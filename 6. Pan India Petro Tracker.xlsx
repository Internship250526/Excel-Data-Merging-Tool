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filterPrivacy="1" codeName="ThisWorkbook" hidePivotFieldList="1"/>
  <xr:revisionPtr revIDLastSave="0" documentId="13_ncr:1_{AEC51D9A-5E46-4C9B-ABAF-51D4A9ED569C}" xr6:coauthVersionLast="36" xr6:coauthVersionMax="36" xr10:uidLastSave="{00000000-0000-0000-0000-000000000000}"/>
  <bookViews>
    <workbookView xWindow="0" yWindow="0" windowWidth="20490" windowHeight="7425" tabRatio="837" activeTab="4" xr2:uid="{00000000-000D-0000-FFFF-FFFF00000000}"/>
  </bookViews>
  <sheets>
    <sheet name="Main Dashboard" sheetId="129" r:id="rId1"/>
    <sheet name="Summary" sheetId="131" r:id="rId2"/>
    <sheet name="AOP Format" sheetId="128" r:id="rId3"/>
    <sheet name="AOP Calendar" sheetId="115" r:id="rId4"/>
    <sheet name="Backup" sheetId="132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</externalReferences>
  <definedNames>
    <definedName name="_________________________________dk1" hidden="1">{#N/A,#N/A,FALSE,"COVER.XLS";#N/A,#N/A,FALSE,"RACT1.XLS";#N/A,#N/A,FALSE,"RACT2.XLS";#N/A,#N/A,FALSE,"ECCMP";#N/A,#N/A,FALSE,"WELDER.XLS"}</definedName>
    <definedName name="_________________________________kv2" hidden="1">{#N/A,#N/A,FALSE,"COVER1.XLS ";#N/A,#N/A,FALSE,"RACT1.XLS";#N/A,#N/A,FALSE,"RACT2.XLS";#N/A,#N/A,FALSE,"ECCMP";#N/A,#N/A,FALSE,"WELDER.XLS"}</definedName>
    <definedName name="_________________________________kvs1" hidden="1">{#N/A,#N/A,FALSE,"COVER1.XLS ";#N/A,#N/A,FALSE,"RACT1.XLS";#N/A,#N/A,FALSE,"RACT2.XLS";#N/A,#N/A,FALSE,"ECCMP";#N/A,#N/A,FALSE,"WELDER.XLS"}</definedName>
    <definedName name="_________________________________kvs2" hidden="1">{#N/A,#N/A,FALSE,"COVER1.XLS ";#N/A,#N/A,FALSE,"RACT1.XLS";#N/A,#N/A,FALSE,"RACT2.XLS";#N/A,#N/A,FALSE,"ECCMP";#N/A,#N/A,FALSE,"WELDER.XLS"}</definedName>
    <definedName name="_________________________________kvs5" hidden="1">{#N/A,#N/A,FALSE,"COVER.XLS";#N/A,#N/A,FALSE,"RACT1.XLS";#N/A,#N/A,FALSE,"RACT2.XLS";#N/A,#N/A,FALSE,"ECCMP";#N/A,#N/A,FALSE,"WELDER.XLS"}</definedName>
    <definedName name="_________________________________kvs8" hidden="1">{#N/A,#N/A,FALSE,"COVER1.XLS ";#N/A,#N/A,FALSE,"RACT1.XLS";#N/A,#N/A,FALSE,"RACT2.XLS";#N/A,#N/A,FALSE,"ECCMP";#N/A,#N/A,FALSE,"WELDER.XLS"}</definedName>
    <definedName name="________________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______ns1" hidden="1">{#N/A,#N/A,FALSE,"COVER1.XLS ";#N/A,#N/A,FALSE,"RACT1.XLS";#N/A,#N/A,FALSE,"RACT2.XLS";#N/A,#N/A,FALSE,"ECCMP";#N/A,#N/A,FALSE,"WELDER.XLS"}</definedName>
    <definedName name="________________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____dk1" hidden="1">{#N/A,#N/A,FALSE,"COVER.XLS";#N/A,#N/A,FALSE,"RACT1.XLS";#N/A,#N/A,FALSE,"RACT2.XLS";#N/A,#N/A,FALSE,"ECCMP";#N/A,#N/A,FALSE,"WELDER.XLS"}</definedName>
    <definedName name="_______________________________kv2" hidden="1">{#N/A,#N/A,FALSE,"COVER1.XLS ";#N/A,#N/A,FALSE,"RACT1.XLS";#N/A,#N/A,FALSE,"RACT2.XLS";#N/A,#N/A,FALSE,"ECCMP";#N/A,#N/A,FALSE,"WELDER.XLS"}</definedName>
    <definedName name="_______________________________kvs1" hidden="1">{#N/A,#N/A,FALSE,"COVER1.XLS ";#N/A,#N/A,FALSE,"RACT1.XLS";#N/A,#N/A,FALSE,"RACT2.XLS";#N/A,#N/A,FALSE,"ECCMP";#N/A,#N/A,FALSE,"WELDER.XLS"}</definedName>
    <definedName name="_______________________________kvs2" hidden="1">{#N/A,#N/A,FALSE,"COVER1.XLS ";#N/A,#N/A,FALSE,"RACT1.XLS";#N/A,#N/A,FALSE,"RACT2.XLS";#N/A,#N/A,FALSE,"ECCMP";#N/A,#N/A,FALSE,"WELDER.XLS"}</definedName>
    <definedName name="_______________________________kvs5" hidden="1">{#N/A,#N/A,FALSE,"COVER.XLS";#N/A,#N/A,FALSE,"RACT1.XLS";#N/A,#N/A,FALSE,"RACT2.XLS";#N/A,#N/A,FALSE,"ECCMP";#N/A,#N/A,FALSE,"WELDER.XLS"}</definedName>
    <definedName name="_______________________________kvs8" hidden="1">{#N/A,#N/A,FALSE,"COVER1.XLS ";#N/A,#N/A,FALSE,"RACT1.XLS";#N/A,#N/A,FALSE,"RACT2.XLS";#N/A,#N/A,FALSE,"ECCMP";#N/A,#N/A,FALSE,"WELDER.XLS"}</definedName>
    <definedName name="______________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____ns1" hidden="1">{#N/A,#N/A,FALSE,"COVER1.XLS ";#N/A,#N/A,FALSE,"RACT1.XLS";#N/A,#N/A,FALSE,"RACT2.XLS";#N/A,#N/A,FALSE,"ECCMP";#N/A,#N/A,FALSE,"WELDER.XLS"}</definedName>
    <definedName name="______________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dk1" hidden="1">{#N/A,#N/A,FALSE,"COVER.XLS";#N/A,#N/A,FALSE,"RACT1.XLS";#N/A,#N/A,FALSE,"RACT2.XLS";#N/A,#N/A,FALSE,"ECCMP";#N/A,#N/A,FALSE,"WELDER.XLS"}</definedName>
    <definedName name="___________________________kv2" hidden="1">{#N/A,#N/A,FALSE,"COVER1.XLS ";#N/A,#N/A,FALSE,"RACT1.XLS";#N/A,#N/A,FALSE,"RACT2.XLS";#N/A,#N/A,FALSE,"ECCMP";#N/A,#N/A,FALSE,"WELDER.XLS"}</definedName>
    <definedName name="___________________________kvs1" hidden="1">{#N/A,#N/A,FALSE,"COVER1.XLS ";#N/A,#N/A,FALSE,"RACT1.XLS";#N/A,#N/A,FALSE,"RACT2.XLS";#N/A,#N/A,FALSE,"ECCMP";#N/A,#N/A,FALSE,"WELDER.XLS"}</definedName>
    <definedName name="___________________________kvs2" hidden="1">{#N/A,#N/A,FALSE,"COVER1.XLS ";#N/A,#N/A,FALSE,"RACT1.XLS";#N/A,#N/A,FALSE,"RACT2.XLS";#N/A,#N/A,FALSE,"ECCMP";#N/A,#N/A,FALSE,"WELDER.XLS"}</definedName>
    <definedName name="___________________________kvs5" hidden="1">{#N/A,#N/A,FALSE,"COVER.XLS";#N/A,#N/A,FALSE,"RACT1.XLS";#N/A,#N/A,FALSE,"RACT2.XLS";#N/A,#N/A,FALSE,"ECCMP";#N/A,#N/A,FALSE,"WELDER.XLS"}</definedName>
    <definedName name="___________________________kvs8" hidden="1">{#N/A,#N/A,FALSE,"COVER1.XLS ";#N/A,#N/A,FALSE,"RACT1.XLS";#N/A,#N/A,FALSE,"RACT2.XLS";#N/A,#N/A,FALSE,"ECCMP";#N/A,#N/A,FALSE,"WELDER.XLS"}</definedName>
    <definedName name="__________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ns1" hidden="1">{#N/A,#N/A,FALSE,"COVER1.XLS ";#N/A,#N/A,FALSE,"RACT1.XLS";#N/A,#N/A,FALSE,"RACT2.XLS";#N/A,#N/A,FALSE,"ECCMP";#N/A,#N/A,FALSE,"WELDER.XLS"}</definedName>
    <definedName name="__________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__________dk1" hidden="1">{#N/A,#N/A,FALSE,"COVER.XLS";#N/A,#N/A,FALSE,"RACT1.XLS";#N/A,#N/A,FALSE,"RACT2.XLS";#N/A,#N/A,FALSE,"ECCMP";#N/A,#N/A,FALSE,"WELDER.XLS"}</definedName>
    <definedName name="_________________________kv2" hidden="1">{#N/A,#N/A,FALSE,"COVER1.XLS ";#N/A,#N/A,FALSE,"RACT1.XLS";#N/A,#N/A,FALSE,"RACT2.XLS";#N/A,#N/A,FALSE,"ECCMP";#N/A,#N/A,FALSE,"WELDER.XLS"}</definedName>
    <definedName name="_________________________kvs1" hidden="1">{#N/A,#N/A,FALSE,"COVER1.XLS ";#N/A,#N/A,FALSE,"RACT1.XLS";#N/A,#N/A,FALSE,"RACT2.XLS";#N/A,#N/A,FALSE,"ECCMP";#N/A,#N/A,FALSE,"WELDER.XLS"}</definedName>
    <definedName name="_________________________kvs2" hidden="1">{#N/A,#N/A,FALSE,"COVER1.XLS ";#N/A,#N/A,FALSE,"RACT1.XLS";#N/A,#N/A,FALSE,"RACT2.XLS";#N/A,#N/A,FALSE,"ECCMP";#N/A,#N/A,FALSE,"WELDER.XLS"}</definedName>
    <definedName name="_________________________kvs5" hidden="1">{#N/A,#N/A,FALSE,"COVER.XLS";#N/A,#N/A,FALSE,"RACT1.XLS";#N/A,#N/A,FALSE,"RACT2.XLS";#N/A,#N/A,FALSE,"ECCMP";#N/A,#N/A,FALSE,"WELDER.XLS"}</definedName>
    <definedName name="_________________________kvs8" hidden="1">{#N/A,#N/A,FALSE,"COVER1.XLS ";#N/A,#N/A,FALSE,"RACT1.XLS";#N/A,#N/A,FALSE,"RACT2.XLS";#N/A,#N/A,FALSE,"ECCMP";#N/A,#N/A,FALSE,"WELDER.XLS"}</definedName>
    <definedName name="________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ns1" hidden="1">{#N/A,#N/A,FALSE,"COVER1.XLS ";#N/A,#N/A,FALSE,"RACT1.XLS";#N/A,#N/A,FALSE,"RACT2.XLS";#N/A,#N/A,FALSE,"ECCMP";#N/A,#N/A,FALSE,"WELDER.XLS"}</definedName>
    <definedName name="________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________dk1" hidden="1">{#N/A,#N/A,FALSE,"COVER.XLS";#N/A,#N/A,FALSE,"RACT1.XLS";#N/A,#N/A,FALSE,"RACT2.XLS";#N/A,#N/A,FALSE,"ECCMP";#N/A,#N/A,FALSE,"WELDER.XLS"}</definedName>
    <definedName name="_______________________kv2" hidden="1">{#N/A,#N/A,FALSE,"COVER1.XLS ";#N/A,#N/A,FALSE,"RACT1.XLS";#N/A,#N/A,FALSE,"RACT2.XLS";#N/A,#N/A,FALSE,"ECCMP";#N/A,#N/A,FALSE,"WELDER.XLS"}</definedName>
    <definedName name="_______________________kvs1" hidden="1">{#N/A,#N/A,FALSE,"COVER1.XLS ";#N/A,#N/A,FALSE,"RACT1.XLS";#N/A,#N/A,FALSE,"RACT2.XLS";#N/A,#N/A,FALSE,"ECCMP";#N/A,#N/A,FALSE,"WELDER.XLS"}</definedName>
    <definedName name="_______________________kvs2" hidden="1">{#N/A,#N/A,FALSE,"COVER1.XLS ";#N/A,#N/A,FALSE,"RACT1.XLS";#N/A,#N/A,FALSE,"RACT2.XLS";#N/A,#N/A,FALSE,"ECCMP";#N/A,#N/A,FALSE,"WELDER.XLS"}</definedName>
    <definedName name="_______________________kvs5" hidden="1">{#N/A,#N/A,FALSE,"COVER.XLS";#N/A,#N/A,FALSE,"RACT1.XLS";#N/A,#N/A,FALSE,"RACT2.XLS";#N/A,#N/A,FALSE,"ECCMP";#N/A,#N/A,FALSE,"WELDER.XLS"}</definedName>
    <definedName name="_______________________kvs8" hidden="1">{#N/A,#N/A,FALSE,"COVER1.XLS ";#N/A,#N/A,FALSE,"RACT1.XLS";#N/A,#N/A,FALSE,"RACT2.XLS";#N/A,#N/A,FALSE,"ECCMP";#N/A,#N/A,FALSE,"WELDER.XLS"}</definedName>
    <definedName name="______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ns1" hidden="1">{#N/A,#N/A,FALSE,"COVER1.XLS ";#N/A,#N/A,FALSE,"RACT1.XLS";#N/A,#N/A,FALSE,"RACT2.XLS";#N/A,#N/A,FALSE,"ECCMP";#N/A,#N/A,FALSE,"WELDER.XLS"}</definedName>
    <definedName name="______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dk1" hidden="1">{#N/A,#N/A,FALSE,"COVER.XLS";#N/A,#N/A,FALSE,"RACT1.XLS";#N/A,#N/A,FALSE,"RACT2.XLS";#N/A,#N/A,FALSE,"ECCMP";#N/A,#N/A,FALSE,"WELDER.XLS"}</definedName>
    <definedName name="_____________________kv2" hidden="1">{#N/A,#N/A,FALSE,"COVER1.XLS ";#N/A,#N/A,FALSE,"RACT1.XLS";#N/A,#N/A,FALSE,"RACT2.XLS";#N/A,#N/A,FALSE,"ECCMP";#N/A,#N/A,FALSE,"WELDER.XLS"}</definedName>
    <definedName name="_____________________kvs1" hidden="1">{#N/A,#N/A,FALSE,"COVER1.XLS ";#N/A,#N/A,FALSE,"RACT1.XLS";#N/A,#N/A,FALSE,"RACT2.XLS";#N/A,#N/A,FALSE,"ECCMP";#N/A,#N/A,FALSE,"WELDER.XLS"}</definedName>
    <definedName name="_____________________kvs2" hidden="1">{#N/A,#N/A,FALSE,"COVER1.XLS ";#N/A,#N/A,FALSE,"RACT1.XLS";#N/A,#N/A,FALSE,"RACT2.XLS";#N/A,#N/A,FALSE,"ECCMP";#N/A,#N/A,FALSE,"WELDER.XLS"}</definedName>
    <definedName name="_____________________kvs5" hidden="1">{#N/A,#N/A,FALSE,"COVER.XLS";#N/A,#N/A,FALSE,"RACT1.XLS";#N/A,#N/A,FALSE,"RACT2.XLS";#N/A,#N/A,FALSE,"ECCMP";#N/A,#N/A,FALSE,"WELDER.XLS"}</definedName>
    <definedName name="_____________________kvs8" hidden="1">{#N/A,#N/A,FALSE,"COVER1.XLS ";#N/A,#N/A,FALSE,"RACT1.XLS";#N/A,#N/A,FALSE,"RACT2.XLS";#N/A,#N/A,FALSE,"ECCMP";#N/A,#N/A,FALSE,"WELDER.XLS"}</definedName>
    <definedName name="____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ns1" hidden="1">{#N/A,#N/A,FALSE,"COVER1.XLS ";#N/A,#N/A,FALSE,"RACT1.XLS";#N/A,#N/A,FALSE,"RACT2.XLS";#N/A,#N/A,FALSE,"ECCMP";#N/A,#N/A,FALSE,"WELDER.XLS"}</definedName>
    <definedName name="____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____dk1" hidden="1">{#N/A,#N/A,FALSE,"COVER.XLS";#N/A,#N/A,FALSE,"RACT1.XLS";#N/A,#N/A,FALSE,"RACT2.XLS";#N/A,#N/A,FALSE,"ECCMP";#N/A,#N/A,FALSE,"WELDER.XLS"}</definedName>
    <definedName name="___________________kv2" hidden="1">{#N/A,#N/A,FALSE,"COVER1.XLS ";#N/A,#N/A,FALSE,"RACT1.XLS";#N/A,#N/A,FALSE,"RACT2.XLS";#N/A,#N/A,FALSE,"ECCMP";#N/A,#N/A,FALSE,"WELDER.XLS"}</definedName>
    <definedName name="___________________kvs1" hidden="1">{#N/A,#N/A,FALSE,"COVER1.XLS ";#N/A,#N/A,FALSE,"RACT1.XLS";#N/A,#N/A,FALSE,"RACT2.XLS";#N/A,#N/A,FALSE,"ECCMP";#N/A,#N/A,FALSE,"WELDER.XLS"}</definedName>
    <definedName name="___________________kvs2" hidden="1">{#N/A,#N/A,FALSE,"COVER1.XLS ";#N/A,#N/A,FALSE,"RACT1.XLS";#N/A,#N/A,FALSE,"RACT2.XLS";#N/A,#N/A,FALSE,"ECCMP";#N/A,#N/A,FALSE,"WELDER.XLS"}</definedName>
    <definedName name="___________________kvs5" hidden="1">{#N/A,#N/A,FALSE,"COVER.XLS";#N/A,#N/A,FALSE,"RACT1.XLS";#N/A,#N/A,FALSE,"RACT2.XLS";#N/A,#N/A,FALSE,"ECCMP";#N/A,#N/A,FALSE,"WELDER.XLS"}</definedName>
    <definedName name="___________________kvs8" hidden="1">{#N/A,#N/A,FALSE,"COVER1.XLS ";#N/A,#N/A,FALSE,"RACT1.XLS";#N/A,#N/A,FALSE,"RACT2.XLS";#N/A,#N/A,FALSE,"ECCMP";#N/A,#N/A,FALSE,"WELDER.XLS"}</definedName>
    <definedName name="__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ns1" hidden="1">{#N/A,#N/A,FALSE,"COVER1.XLS ";#N/A,#N/A,FALSE,"RACT1.XLS";#N/A,#N/A,FALSE,"RACT2.XLS";#N/A,#N/A,FALSE,"ECCMP";#N/A,#N/A,FALSE,"WELDER.XLS"}</definedName>
    <definedName name="__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__dk1" hidden="1">{#N/A,#N/A,FALSE,"COVER.XLS";#N/A,#N/A,FALSE,"RACT1.XLS";#N/A,#N/A,FALSE,"RACT2.XLS";#N/A,#N/A,FALSE,"ECCMP";#N/A,#N/A,FALSE,"WELDER.XLS"}</definedName>
    <definedName name="_________________kv2" hidden="1">{#N/A,#N/A,FALSE,"COVER1.XLS ";#N/A,#N/A,FALSE,"RACT1.XLS";#N/A,#N/A,FALSE,"RACT2.XLS";#N/A,#N/A,FALSE,"ECCMP";#N/A,#N/A,FALSE,"WELDER.XLS"}</definedName>
    <definedName name="_________________kvs1" hidden="1">{#N/A,#N/A,FALSE,"COVER1.XLS ";#N/A,#N/A,FALSE,"RACT1.XLS";#N/A,#N/A,FALSE,"RACT2.XLS";#N/A,#N/A,FALSE,"ECCMP";#N/A,#N/A,FALSE,"WELDER.XLS"}</definedName>
    <definedName name="_________________kvs2" hidden="1">{#N/A,#N/A,FALSE,"COVER1.XLS ";#N/A,#N/A,FALSE,"RACT1.XLS";#N/A,#N/A,FALSE,"RACT2.XLS";#N/A,#N/A,FALSE,"ECCMP";#N/A,#N/A,FALSE,"WELDER.XLS"}</definedName>
    <definedName name="_________________kvs5" hidden="1">{#N/A,#N/A,FALSE,"COVER.XLS";#N/A,#N/A,FALSE,"RACT1.XLS";#N/A,#N/A,FALSE,"RACT2.XLS";#N/A,#N/A,FALSE,"ECCMP";#N/A,#N/A,FALSE,"WELDER.XLS"}</definedName>
    <definedName name="_________________kvs8" hidden="1">{#N/A,#N/A,FALSE,"COVER1.XLS ";#N/A,#N/A,FALSE,"RACT1.XLS";#N/A,#N/A,FALSE,"RACT2.XLS";#N/A,#N/A,FALSE,"ECCMP";#N/A,#N/A,FALSE,"WELDER.XLS"}</definedName>
    <definedName name="__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ns1" hidden="1">{#N/A,#N/A,FALSE,"COVER1.XLS ";#N/A,#N/A,FALSE,"RACT1.XLS";#N/A,#N/A,FALSE,"RACT2.XLS";#N/A,#N/A,FALSE,"ECCMP";#N/A,#N/A,FALSE,"WELDER.XLS"}</definedName>
    <definedName name="__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__dk1" hidden="1">{#N/A,#N/A,FALSE,"COVER.XLS";#N/A,#N/A,FALSE,"RACT1.XLS";#N/A,#N/A,FALSE,"RACT2.XLS";#N/A,#N/A,FALSE,"ECCMP";#N/A,#N/A,FALSE,"WELDER.XLS"}</definedName>
    <definedName name="_______________kv2" hidden="1">{#N/A,#N/A,FALSE,"COVER1.XLS ";#N/A,#N/A,FALSE,"RACT1.XLS";#N/A,#N/A,FALSE,"RACT2.XLS";#N/A,#N/A,FALSE,"ECCMP";#N/A,#N/A,FALSE,"WELDER.XLS"}</definedName>
    <definedName name="_______________kvs1" hidden="1">{#N/A,#N/A,FALSE,"COVER1.XLS ";#N/A,#N/A,FALSE,"RACT1.XLS";#N/A,#N/A,FALSE,"RACT2.XLS";#N/A,#N/A,FALSE,"ECCMP";#N/A,#N/A,FALSE,"WELDER.XLS"}</definedName>
    <definedName name="_______________kvs2" hidden="1">{#N/A,#N/A,FALSE,"COVER1.XLS ";#N/A,#N/A,FALSE,"RACT1.XLS";#N/A,#N/A,FALSE,"RACT2.XLS";#N/A,#N/A,FALSE,"ECCMP";#N/A,#N/A,FALSE,"WELDER.XLS"}</definedName>
    <definedName name="_______________kvs5" hidden="1">{#N/A,#N/A,FALSE,"COVER.XLS";#N/A,#N/A,FALSE,"RACT1.XLS";#N/A,#N/A,FALSE,"RACT2.XLS";#N/A,#N/A,FALSE,"ECCMP";#N/A,#N/A,FALSE,"WELDER.XLS"}</definedName>
    <definedName name="_______________kvs8" hidden="1">{#N/A,#N/A,FALSE,"COVER1.XLS ";#N/A,#N/A,FALSE,"RACT1.XLS";#N/A,#N/A,FALSE,"RACT2.XLS";#N/A,#N/A,FALSE,"ECCMP";#N/A,#N/A,FALSE,"WELDER.XLS"}</definedName>
    <definedName name="__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ns1" hidden="1">{#N/A,#N/A,FALSE,"COVER1.XLS ";#N/A,#N/A,FALSE,"RACT1.XLS";#N/A,#N/A,FALSE,"RACT2.XLS";#N/A,#N/A,FALSE,"ECCMP";#N/A,#N/A,FALSE,"WELDER.XLS"}</definedName>
    <definedName name="__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__dk1" hidden="1">{#N/A,#N/A,FALSE,"COVER.XLS";#N/A,#N/A,FALSE,"RACT1.XLS";#N/A,#N/A,FALSE,"RACT2.XLS";#N/A,#N/A,FALSE,"ECCMP";#N/A,#N/A,FALSE,"WELDER.XLS"}</definedName>
    <definedName name="_____________kv2" hidden="1">{#N/A,#N/A,FALSE,"COVER1.XLS ";#N/A,#N/A,FALSE,"RACT1.XLS";#N/A,#N/A,FALSE,"RACT2.XLS";#N/A,#N/A,FALSE,"ECCMP";#N/A,#N/A,FALSE,"WELDER.XLS"}</definedName>
    <definedName name="_____________kvs1" hidden="1">{#N/A,#N/A,FALSE,"COVER1.XLS ";#N/A,#N/A,FALSE,"RACT1.XLS";#N/A,#N/A,FALSE,"RACT2.XLS";#N/A,#N/A,FALSE,"ECCMP";#N/A,#N/A,FALSE,"WELDER.XLS"}</definedName>
    <definedName name="_____________kvs2" hidden="1">{#N/A,#N/A,FALSE,"COVER1.XLS ";#N/A,#N/A,FALSE,"RACT1.XLS";#N/A,#N/A,FALSE,"RACT2.XLS";#N/A,#N/A,FALSE,"ECCMP";#N/A,#N/A,FALSE,"WELDER.XLS"}</definedName>
    <definedName name="_____________kvs5" hidden="1">{#N/A,#N/A,FALSE,"COVER.XLS";#N/A,#N/A,FALSE,"RACT1.XLS";#N/A,#N/A,FALSE,"RACT2.XLS";#N/A,#N/A,FALSE,"ECCMP";#N/A,#N/A,FALSE,"WELDER.XLS"}</definedName>
    <definedName name="_____________kvs8" hidden="1">{#N/A,#N/A,FALSE,"COVER1.XLS ";#N/A,#N/A,FALSE,"RACT1.XLS";#N/A,#N/A,FALSE,"RACT2.XLS";#N/A,#N/A,FALSE,"ECCMP";#N/A,#N/A,FALSE,"WELDER.XLS"}</definedName>
    <definedName name="__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ns1" hidden="1">{#N/A,#N/A,FALSE,"COVER1.XLS ";#N/A,#N/A,FALSE,"RACT1.XLS";#N/A,#N/A,FALSE,"RACT2.XLS";#N/A,#N/A,FALSE,"ECCMP";#N/A,#N/A,FALSE,"WELDER.XLS"}</definedName>
    <definedName name="__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_dk1" hidden="1">{#N/A,#N/A,FALSE,"COVER.XLS";#N/A,#N/A,FALSE,"RACT1.XLS";#N/A,#N/A,FALSE,"RACT2.XLS";#N/A,#N/A,FALSE,"ECCMP";#N/A,#N/A,FALSE,"WELDER.XLS"}</definedName>
    <definedName name="___________kv2" hidden="1">{#N/A,#N/A,FALSE,"COVER1.XLS ";#N/A,#N/A,FALSE,"RACT1.XLS";#N/A,#N/A,FALSE,"RACT2.XLS";#N/A,#N/A,FALSE,"ECCMP";#N/A,#N/A,FALSE,"WELDER.XLS"}</definedName>
    <definedName name="___________kvs1" hidden="1">{#N/A,#N/A,FALSE,"COVER1.XLS ";#N/A,#N/A,FALSE,"RACT1.XLS";#N/A,#N/A,FALSE,"RACT2.XLS";#N/A,#N/A,FALSE,"ECCMP";#N/A,#N/A,FALSE,"WELDER.XLS"}</definedName>
    <definedName name="___________kvs2" hidden="1">{#N/A,#N/A,FALSE,"COVER1.XLS ";#N/A,#N/A,FALSE,"RACT1.XLS";#N/A,#N/A,FALSE,"RACT2.XLS";#N/A,#N/A,FALSE,"ECCMP";#N/A,#N/A,FALSE,"WELDER.XLS"}</definedName>
    <definedName name="___________kvs5" hidden="1">{#N/A,#N/A,FALSE,"COVER.XLS";#N/A,#N/A,FALSE,"RACT1.XLS";#N/A,#N/A,FALSE,"RACT2.XLS";#N/A,#N/A,FALSE,"ECCMP";#N/A,#N/A,FALSE,"WELDER.XLS"}</definedName>
    <definedName name="___________kvs8" hidden="1">{#N/A,#N/A,FALSE,"COVER1.XLS ";#N/A,#N/A,FALSE,"RACT1.XLS";#N/A,#N/A,FALSE,"RACT2.XLS";#N/A,#N/A,FALSE,"ECCMP";#N/A,#N/A,FALSE,"WELDER.XLS"}</definedName>
    <definedName name="_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ns1" hidden="1">{#N/A,#N/A,FALSE,"COVER1.XLS ";#N/A,#N/A,FALSE,"RACT1.XLS";#N/A,#N/A,FALSE,"RACT2.XLS";#N/A,#N/A,FALSE,"ECCMP";#N/A,#N/A,FALSE,"WELDER.XLS"}</definedName>
    <definedName name="___________PRN1" hidden="1">{#N/A,#N/A,FALSE,"COVER.XLS";#N/A,#N/A,FALSE,"RACT1.XLS";#N/A,#N/A,FALSE,"RACT2.XLS";#N/A,#N/A,FALSE,"ECCMP";#N/A,#N/A,FALSE,"WELDER.XLS"}</definedName>
    <definedName name="_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_WRN2" hidden="1">{#N/A,#N/A,FALSE,"COVER1.XLS ";#N/A,#N/A,FALSE,"RACT1.XLS";#N/A,#N/A,FALSE,"RACT2.XLS";#N/A,#N/A,FALSE,"ECCMP";#N/A,#N/A,FALSE,"WELDER.XLS"}</definedName>
    <definedName name="________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_dk1" hidden="1">{#N/A,#N/A,FALSE,"COVER.XLS";#N/A,#N/A,FALSE,"RACT1.XLS";#N/A,#N/A,FALSE,"RACT2.XLS";#N/A,#N/A,FALSE,"ECCMP";#N/A,#N/A,FALSE,"WELDER.XLS"}</definedName>
    <definedName name="__________kv2" hidden="1">{#N/A,#N/A,FALSE,"COVER1.XLS ";#N/A,#N/A,FALSE,"RACT1.XLS";#N/A,#N/A,FALSE,"RACT2.XLS";#N/A,#N/A,FALSE,"ECCMP";#N/A,#N/A,FALSE,"WELDER.XLS"}</definedName>
    <definedName name="__________kvs1" hidden="1">{#N/A,#N/A,FALSE,"COVER1.XLS ";#N/A,#N/A,FALSE,"RACT1.XLS";#N/A,#N/A,FALSE,"RACT2.XLS";#N/A,#N/A,FALSE,"ECCMP";#N/A,#N/A,FALSE,"WELDER.XLS"}</definedName>
    <definedName name="__________kvs2" hidden="1">{#N/A,#N/A,FALSE,"COVER1.XLS ";#N/A,#N/A,FALSE,"RACT1.XLS";#N/A,#N/A,FALSE,"RACT2.XLS";#N/A,#N/A,FALSE,"ECCMP";#N/A,#N/A,FALSE,"WELDER.XLS"}</definedName>
    <definedName name="__________kvs5" hidden="1">{#N/A,#N/A,FALSE,"COVER.XLS";#N/A,#N/A,FALSE,"RACT1.XLS";#N/A,#N/A,FALSE,"RACT2.XLS";#N/A,#N/A,FALSE,"ECCMP";#N/A,#N/A,FALSE,"WELDER.XLS"}</definedName>
    <definedName name="__________kvs8" hidden="1">{#N/A,#N/A,FALSE,"COVER1.XLS ";#N/A,#N/A,FALSE,"RACT1.XLS";#N/A,#N/A,FALSE,"RACT2.XLS";#N/A,#N/A,FALSE,"ECCMP";#N/A,#N/A,FALSE,"WELDER.XLS"}</definedName>
    <definedName name="_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ns1" hidden="1">{#N/A,#N/A,FALSE,"COVER1.XLS ";#N/A,#N/A,FALSE,"RACT1.XLS";#N/A,#N/A,FALSE,"RACT2.XLS";#N/A,#N/A,FALSE,"ECCMP";#N/A,#N/A,FALSE,"WELDER.XLS"}</definedName>
    <definedName name="_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_dk1" hidden="1">{#N/A,#N/A,FALSE,"COVER.XLS";#N/A,#N/A,FALSE,"RACT1.XLS";#N/A,#N/A,FALSE,"RACT2.XLS";#N/A,#N/A,FALSE,"ECCMP";#N/A,#N/A,FALSE,"WELDER.XLS"}</definedName>
    <definedName name="_________kv2" hidden="1">{#N/A,#N/A,FALSE,"COVER1.XLS ";#N/A,#N/A,FALSE,"RACT1.XLS";#N/A,#N/A,FALSE,"RACT2.XLS";#N/A,#N/A,FALSE,"ECCMP";#N/A,#N/A,FALSE,"WELDER.XLS"}</definedName>
    <definedName name="_________kvs1" hidden="1">{#N/A,#N/A,FALSE,"COVER1.XLS ";#N/A,#N/A,FALSE,"RACT1.XLS";#N/A,#N/A,FALSE,"RACT2.XLS";#N/A,#N/A,FALSE,"ECCMP";#N/A,#N/A,FALSE,"WELDER.XLS"}</definedName>
    <definedName name="_________kvs2" hidden="1">{#N/A,#N/A,FALSE,"COVER1.XLS ";#N/A,#N/A,FALSE,"RACT1.XLS";#N/A,#N/A,FALSE,"RACT2.XLS";#N/A,#N/A,FALSE,"ECCMP";#N/A,#N/A,FALSE,"WELDER.XLS"}</definedName>
    <definedName name="_________kvs5" hidden="1">{#N/A,#N/A,FALSE,"COVER.XLS";#N/A,#N/A,FALSE,"RACT1.XLS";#N/A,#N/A,FALSE,"RACT2.XLS";#N/A,#N/A,FALSE,"ECCMP";#N/A,#N/A,FALSE,"WELDER.XLS"}</definedName>
    <definedName name="_________kvs8" hidden="1">{#N/A,#N/A,FALSE,"COVER1.XLS ";#N/A,#N/A,FALSE,"RACT1.XLS";#N/A,#N/A,FALSE,"RACT2.XLS";#N/A,#N/A,FALSE,"ECCMP";#N/A,#N/A,FALSE,"WELDER.XLS"}</definedName>
    <definedName name="_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ns1" hidden="1">{#N/A,#N/A,FALSE,"COVER1.XLS ";#N/A,#N/A,FALSE,"RACT1.XLS";#N/A,#N/A,FALSE,"RACT2.XLS";#N/A,#N/A,FALSE,"ECCMP";#N/A,#N/A,FALSE,"WELDER.XLS"}</definedName>
    <definedName name="_________PRN1" hidden="1">{#N/A,#N/A,FALSE,"COVER.XLS";#N/A,#N/A,FALSE,"RACT1.XLS";#N/A,#N/A,FALSE,"RACT2.XLS";#N/A,#N/A,FALSE,"ECCMP";#N/A,#N/A,FALSE,"WELDER.XLS"}</definedName>
    <definedName name="_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_WRN2" hidden="1">{#N/A,#N/A,FALSE,"COVER1.XLS ";#N/A,#N/A,FALSE,"RACT1.XLS";#N/A,#N/A,FALSE,"RACT2.XLS";#N/A,#N/A,FALSE,"ECCMP";#N/A,#N/A,FALSE,"WELDER.XLS"}</definedName>
    <definedName name="______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_dk1" hidden="1">{#N/A,#N/A,FALSE,"COVER.XLS";#N/A,#N/A,FALSE,"RACT1.XLS";#N/A,#N/A,FALSE,"RACT2.XLS";#N/A,#N/A,FALSE,"ECCMP";#N/A,#N/A,FALSE,"WELDER.XLS"}</definedName>
    <definedName name="________k8" hidden="1">{#N/A,#N/A,FALSE,"COVER1.XLS ";#N/A,#N/A,FALSE,"RACT1.XLS";#N/A,#N/A,FALSE,"RACT2.XLS";#N/A,#N/A,FALSE,"ECCMP";#N/A,#N/A,FALSE,"WELDER.XLS"}</definedName>
    <definedName name="________k8_1" hidden="1">{#N/A,#N/A,FALSE,"COVER1.XLS ";#N/A,#N/A,FALSE,"RACT1.XLS";#N/A,#N/A,FALSE,"RACT2.XLS";#N/A,#N/A,FALSE,"ECCMP";#N/A,#N/A,FALSE,"WELDER.XLS"}</definedName>
    <definedName name="________k8_2" hidden="1">{#N/A,#N/A,FALSE,"COVER1.XLS ";#N/A,#N/A,FALSE,"RACT1.XLS";#N/A,#N/A,FALSE,"RACT2.XLS";#N/A,#N/A,FALSE,"ECCMP";#N/A,#N/A,FALSE,"WELDER.XLS"}</definedName>
    <definedName name="________k8_3" hidden="1">{#N/A,#N/A,FALSE,"COVER1.XLS ";#N/A,#N/A,FALSE,"RACT1.XLS";#N/A,#N/A,FALSE,"RACT2.XLS";#N/A,#N/A,FALSE,"ECCMP";#N/A,#N/A,FALSE,"WELDER.XLS"}</definedName>
    <definedName name="________k8_4" hidden="1">{#N/A,#N/A,FALSE,"COVER1.XLS ";#N/A,#N/A,FALSE,"RACT1.XLS";#N/A,#N/A,FALSE,"RACT2.XLS";#N/A,#N/A,FALSE,"ECCMP";#N/A,#N/A,FALSE,"WELDER.XLS"}</definedName>
    <definedName name="________k8_5" hidden="1">{#N/A,#N/A,FALSE,"COVER1.XLS ";#N/A,#N/A,FALSE,"RACT1.XLS";#N/A,#N/A,FALSE,"RACT2.XLS";#N/A,#N/A,FALSE,"ECCMP";#N/A,#N/A,FALSE,"WELDER.XLS"}</definedName>
    <definedName name="________kv2" hidden="1">{#N/A,#N/A,FALSE,"COVER1.XLS ";#N/A,#N/A,FALSE,"RACT1.XLS";#N/A,#N/A,FALSE,"RACT2.XLS";#N/A,#N/A,FALSE,"ECCMP";#N/A,#N/A,FALSE,"WELDER.XLS"}</definedName>
    <definedName name="________kvs1" hidden="1">{#N/A,#N/A,FALSE,"COVER1.XLS ";#N/A,#N/A,FALSE,"RACT1.XLS";#N/A,#N/A,FALSE,"RACT2.XLS";#N/A,#N/A,FALSE,"ECCMP";#N/A,#N/A,FALSE,"WELDER.XLS"}</definedName>
    <definedName name="________kvs1_1" hidden="1">{#N/A,#N/A,FALSE,"COVER1.XLS ";#N/A,#N/A,FALSE,"RACT1.XLS";#N/A,#N/A,FALSE,"RACT2.XLS";#N/A,#N/A,FALSE,"ECCMP";#N/A,#N/A,FALSE,"WELDER.XLS"}</definedName>
    <definedName name="________kvs1_2" hidden="1">{#N/A,#N/A,FALSE,"COVER1.XLS ";#N/A,#N/A,FALSE,"RACT1.XLS";#N/A,#N/A,FALSE,"RACT2.XLS";#N/A,#N/A,FALSE,"ECCMP";#N/A,#N/A,FALSE,"WELDER.XLS"}</definedName>
    <definedName name="________kvs1_3" hidden="1">{#N/A,#N/A,FALSE,"COVER1.XLS ";#N/A,#N/A,FALSE,"RACT1.XLS";#N/A,#N/A,FALSE,"RACT2.XLS";#N/A,#N/A,FALSE,"ECCMP";#N/A,#N/A,FALSE,"WELDER.XLS"}</definedName>
    <definedName name="________kvs1_4" hidden="1">{#N/A,#N/A,FALSE,"COVER1.XLS ";#N/A,#N/A,FALSE,"RACT1.XLS";#N/A,#N/A,FALSE,"RACT2.XLS";#N/A,#N/A,FALSE,"ECCMP";#N/A,#N/A,FALSE,"WELDER.XLS"}</definedName>
    <definedName name="________kvs1_5" hidden="1">{#N/A,#N/A,FALSE,"COVER1.XLS ";#N/A,#N/A,FALSE,"RACT1.XLS";#N/A,#N/A,FALSE,"RACT2.XLS";#N/A,#N/A,FALSE,"ECCMP";#N/A,#N/A,FALSE,"WELDER.XLS"}</definedName>
    <definedName name="________kvs2" hidden="1">{#N/A,#N/A,FALSE,"COVER1.XLS ";#N/A,#N/A,FALSE,"RACT1.XLS";#N/A,#N/A,FALSE,"RACT2.XLS";#N/A,#N/A,FALSE,"ECCMP";#N/A,#N/A,FALSE,"WELDER.XLS"}</definedName>
    <definedName name="________kvs2_1" hidden="1">{#N/A,#N/A,FALSE,"COVER1.XLS ";#N/A,#N/A,FALSE,"RACT1.XLS";#N/A,#N/A,FALSE,"RACT2.XLS";#N/A,#N/A,FALSE,"ECCMP";#N/A,#N/A,FALSE,"WELDER.XLS"}</definedName>
    <definedName name="________kvs2_2" hidden="1">{#N/A,#N/A,FALSE,"COVER1.XLS ";#N/A,#N/A,FALSE,"RACT1.XLS";#N/A,#N/A,FALSE,"RACT2.XLS";#N/A,#N/A,FALSE,"ECCMP";#N/A,#N/A,FALSE,"WELDER.XLS"}</definedName>
    <definedName name="________kvs2_3" hidden="1">{#N/A,#N/A,FALSE,"COVER1.XLS ";#N/A,#N/A,FALSE,"RACT1.XLS";#N/A,#N/A,FALSE,"RACT2.XLS";#N/A,#N/A,FALSE,"ECCMP";#N/A,#N/A,FALSE,"WELDER.XLS"}</definedName>
    <definedName name="________kvs2_4" hidden="1">{#N/A,#N/A,FALSE,"COVER1.XLS ";#N/A,#N/A,FALSE,"RACT1.XLS";#N/A,#N/A,FALSE,"RACT2.XLS";#N/A,#N/A,FALSE,"ECCMP";#N/A,#N/A,FALSE,"WELDER.XLS"}</definedName>
    <definedName name="________kvs2_5" hidden="1">{#N/A,#N/A,FALSE,"COVER1.XLS ";#N/A,#N/A,FALSE,"RACT1.XLS";#N/A,#N/A,FALSE,"RACT2.XLS";#N/A,#N/A,FALSE,"ECCMP";#N/A,#N/A,FALSE,"WELDER.XLS"}</definedName>
    <definedName name="________kvs5" hidden="1">{#N/A,#N/A,FALSE,"COVER.XLS";#N/A,#N/A,FALSE,"RACT1.XLS";#N/A,#N/A,FALSE,"RACT2.XLS";#N/A,#N/A,FALSE,"ECCMP";#N/A,#N/A,FALSE,"WELDER.XLS"}</definedName>
    <definedName name="________kvs5_1" hidden="1">{#N/A,#N/A,FALSE,"COVER.XLS";#N/A,#N/A,FALSE,"RACT1.XLS";#N/A,#N/A,FALSE,"RACT2.XLS";#N/A,#N/A,FALSE,"ECCMP";#N/A,#N/A,FALSE,"WELDER.XLS"}</definedName>
    <definedName name="________kvs5_2" hidden="1">{#N/A,#N/A,FALSE,"COVER.XLS";#N/A,#N/A,FALSE,"RACT1.XLS";#N/A,#N/A,FALSE,"RACT2.XLS";#N/A,#N/A,FALSE,"ECCMP";#N/A,#N/A,FALSE,"WELDER.XLS"}</definedName>
    <definedName name="________kvs5_3" hidden="1">{#N/A,#N/A,FALSE,"COVER.XLS";#N/A,#N/A,FALSE,"RACT1.XLS";#N/A,#N/A,FALSE,"RACT2.XLS";#N/A,#N/A,FALSE,"ECCMP";#N/A,#N/A,FALSE,"WELDER.XLS"}</definedName>
    <definedName name="________kvs5_4" hidden="1">{#N/A,#N/A,FALSE,"COVER.XLS";#N/A,#N/A,FALSE,"RACT1.XLS";#N/A,#N/A,FALSE,"RACT2.XLS";#N/A,#N/A,FALSE,"ECCMP";#N/A,#N/A,FALSE,"WELDER.XLS"}</definedName>
    <definedName name="________kvs5_5" hidden="1">{#N/A,#N/A,FALSE,"COVER.XLS";#N/A,#N/A,FALSE,"RACT1.XLS";#N/A,#N/A,FALSE,"RACT2.XLS";#N/A,#N/A,FALSE,"ECCMP";#N/A,#N/A,FALSE,"WELDER.XLS"}</definedName>
    <definedName name="________kvs7" hidden="1">{#N/A,#N/A,FALSE,"COVER1.XLS ";#N/A,#N/A,FALSE,"RACT1.XLS";#N/A,#N/A,FALSE,"RACT2.XLS";#N/A,#N/A,FALSE,"ECCMP";#N/A,#N/A,FALSE,"WELDER.XLS"}</definedName>
    <definedName name="________kvs7_1" hidden="1">{#N/A,#N/A,FALSE,"COVER1.XLS ";#N/A,#N/A,FALSE,"RACT1.XLS";#N/A,#N/A,FALSE,"RACT2.XLS";#N/A,#N/A,FALSE,"ECCMP";#N/A,#N/A,FALSE,"WELDER.XLS"}</definedName>
    <definedName name="________kvs7_2" hidden="1">{#N/A,#N/A,FALSE,"COVER1.XLS ";#N/A,#N/A,FALSE,"RACT1.XLS";#N/A,#N/A,FALSE,"RACT2.XLS";#N/A,#N/A,FALSE,"ECCMP";#N/A,#N/A,FALSE,"WELDER.XLS"}</definedName>
    <definedName name="________kvs7_3" hidden="1">{#N/A,#N/A,FALSE,"COVER1.XLS ";#N/A,#N/A,FALSE,"RACT1.XLS";#N/A,#N/A,FALSE,"RACT2.XLS";#N/A,#N/A,FALSE,"ECCMP";#N/A,#N/A,FALSE,"WELDER.XLS"}</definedName>
    <definedName name="________kvs7_4" hidden="1">{#N/A,#N/A,FALSE,"COVER1.XLS ";#N/A,#N/A,FALSE,"RACT1.XLS";#N/A,#N/A,FALSE,"RACT2.XLS";#N/A,#N/A,FALSE,"ECCMP";#N/A,#N/A,FALSE,"WELDER.XLS"}</definedName>
    <definedName name="________kvs7_5" hidden="1">{#N/A,#N/A,FALSE,"COVER1.XLS ";#N/A,#N/A,FALSE,"RACT1.XLS";#N/A,#N/A,FALSE,"RACT2.XLS";#N/A,#N/A,FALSE,"ECCMP";#N/A,#N/A,FALSE,"WELDER.XLS"}</definedName>
    <definedName name="________kvs8" hidden="1">{#N/A,#N/A,FALSE,"COVER1.XLS ";#N/A,#N/A,FALSE,"RACT1.XLS";#N/A,#N/A,FALSE,"RACT2.XLS";#N/A,#N/A,FALSE,"ECCMP";#N/A,#N/A,FALSE,"WELDER.XLS"}</definedName>
    <definedName name="________kvs8_1" hidden="1">{#N/A,#N/A,FALSE,"COVER1.XLS ";#N/A,#N/A,FALSE,"RACT1.XLS";#N/A,#N/A,FALSE,"RACT2.XLS";#N/A,#N/A,FALSE,"ECCMP";#N/A,#N/A,FALSE,"WELDER.XLS"}</definedName>
    <definedName name="________kvs8_2" hidden="1">{#N/A,#N/A,FALSE,"COVER1.XLS ";#N/A,#N/A,FALSE,"RACT1.XLS";#N/A,#N/A,FALSE,"RACT2.XLS";#N/A,#N/A,FALSE,"ECCMP";#N/A,#N/A,FALSE,"WELDER.XLS"}</definedName>
    <definedName name="________kvs8_3" hidden="1">{#N/A,#N/A,FALSE,"COVER1.XLS ";#N/A,#N/A,FALSE,"RACT1.XLS";#N/A,#N/A,FALSE,"RACT2.XLS";#N/A,#N/A,FALSE,"ECCMP";#N/A,#N/A,FALSE,"WELDER.XLS"}</definedName>
    <definedName name="________kvs8_4" hidden="1">{#N/A,#N/A,FALSE,"COVER1.XLS ";#N/A,#N/A,FALSE,"RACT1.XLS";#N/A,#N/A,FALSE,"RACT2.XLS";#N/A,#N/A,FALSE,"ECCMP";#N/A,#N/A,FALSE,"WELDER.XLS"}</definedName>
    <definedName name="________kvs8_5" hidden="1">{#N/A,#N/A,FALSE,"COVER1.XLS ";#N/A,#N/A,FALSE,"RACT1.XLS";#N/A,#N/A,FALSE,"RACT2.XLS";#N/A,#N/A,FALSE,"ECCMP";#N/A,#N/A,FALSE,"WELDER.XLS"}</definedName>
    <definedName name="________KVS9" hidden="1">{#N/A,#N/A,FALSE,"COVER1.XLS ";#N/A,#N/A,FALSE,"RACT1.XLS";#N/A,#N/A,FALSE,"RACT2.XLS";#N/A,#N/A,FALSE,"ECCMP";#N/A,#N/A,FALSE,"WELDER.XLS"}</definedName>
    <definedName name="________KVS9_1" hidden="1">{#N/A,#N/A,FALSE,"COVER1.XLS ";#N/A,#N/A,FALSE,"RACT1.XLS";#N/A,#N/A,FALSE,"RACT2.XLS";#N/A,#N/A,FALSE,"ECCMP";#N/A,#N/A,FALSE,"WELDER.XLS"}</definedName>
    <definedName name="________KVS9_2" hidden="1">{#N/A,#N/A,FALSE,"COVER1.XLS ";#N/A,#N/A,FALSE,"RACT1.XLS";#N/A,#N/A,FALSE,"RACT2.XLS";#N/A,#N/A,FALSE,"ECCMP";#N/A,#N/A,FALSE,"WELDER.XLS"}</definedName>
    <definedName name="________KVS9_3" hidden="1">{#N/A,#N/A,FALSE,"COVER1.XLS ";#N/A,#N/A,FALSE,"RACT1.XLS";#N/A,#N/A,FALSE,"RACT2.XLS";#N/A,#N/A,FALSE,"ECCMP";#N/A,#N/A,FALSE,"WELDER.XLS"}</definedName>
    <definedName name="________KVS9_4" hidden="1">{#N/A,#N/A,FALSE,"COVER1.XLS ";#N/A,#N/A,FALSE,"RACT1.XLS";#N/A,#N/A,FALSE,"RACT2.XLS";#N/A,#N/A,FALSE,"ECCMP";#N/A,#N/A,FALSE,"WELDER.XLS"}</definedName>
    <definedName name="________KVS9_5" hidden="1">{#N/A,#N/A,FALSE,"COVER1.XLS ";#N/A,#N/A,FALSE,"RACT1.XLS";#N/A,#N/A,FALSE,"RACT2.XLS";#N/A,#N/A,FALSE,"ECCMP";#N/A,#N/A,FALSE,"WELDER.XLS"}</definedName>
    <definedName name="___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k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k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k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k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lk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ns1" hidden="1">{#N/A,#N/A,FALSE,"COVER1.XLS ";#N/A,#N/A,FALSE,"RACT1.XLS";#N/A,#N/A,FALSE,"RACT2.XLS";#N/A,#N/A,FALSE,"ECCMP";#N/A,#N/A,FALSE,"WELDER.XLS"}</definedName>
    <definedName name="________q2" hidden="1">{#N/A,#N/A,FALSE,"COVER1.XLS ";#N/A,#N/A,FALSE,"RACT1.XLS";#N/A,#N/A,FALSE,"RACT2.XLS";#N/A,#N/A,FALSE,"ECCMP";#N/A,#N/A,FALSE,"WELDER.XLS"}</definedName>
    <definedName name="________q2_1" hidden="1">{#N/A,#N/A,FALSE,"COVER1.XLS ";#N/A,#N/A,FALSE,"RACT1.XLS";#N/A,#N/A,FALSE,"RACT2.XLS";#N/A,#N/A,FALSE,"ECCMP";#N/A,#N/A,FALSE,"WELDER.XLS"}</definedName>
    <definedName name="________q2_2" hidden="1">{#N/A,#N/A,FALSE,"COVER1.XLS ";#N/A,#N/A,FALSE,"RACT1.XLS";#N/A,#N/A,FALSE,"RACT2.XLS";#N/A,#N/A,FALSE,"ECCMP";#N/A,#N/A,FALSE,"WELDER.XLS"}</definedName>
    <definedName name="________q2_3" hidden="1">{#N/A,#N/A,FALSE,"COVER1.XLS ";#N/A,#N/A,FALSE,"RACT1.XLS";#N/A,#N/A,FALSE,"RACT2.XLS";#N/A,#N/A,FALSE,"ECCMP";#N/A,#N/A,FALSE,"WELDER.XLS"}</definedName>
    <definedName name="________q2_4" hidden="1">{#N/A,#N/A,FALSE,"COVER1.XLS ";#N/A,#N/A,FALSE,"RACT1.XLS";#N/A,#N/A,FALSE,"RACT2.XLS";#N/A,#N/A,FALSE,"ECCMP";#N/A,#N/A,FALSE,"WELDER.XLS"}</definedName>
    <definedName name="________q2_5" hidden="1">{#N/A,#N/A,FALSE,"COVER1.XLS ";#N/A,#N/A,FALSE,"RACT1.XLS";#N/A,#N/A,FALSE,"RACT2.XLS";#N/A,#N/A,FALSE,"ECCMP";#N/A,#N/A,FALSE,"WELDER.XLS"}</definedName>
    <definedName name="___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r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r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r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r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tr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_w2" hidden="1">{#N/A,#N/A,FALSE,"17MAY";#N/A,#N/A,FALSE,"24MAY"}</definedName>
    <definedName name="________w2_1" hidden="1">{#N/A,#N/A,FALSE,"17MAY";#N/A,#N/A,FALSE,"24MAY"}</definedName>
    <definedName name="________w2_2" hidden="1">{#N/A,#N/A,FALSE,"17MAY";#N/A,#N/A,FALSE,"24MAY"}</definedName>
    <definedName name="________w2_3" hidden="1">{#N/A,#N/A,FALSE,"17MAY";#N/A,#N/A,FALSE,"24MAY"}</definedName>
    <definedName name="________w2_4" hidden="1">{#N/A,#N/A,FALSE,"17MAY";#N/A,#N/A,FALSE,"24MAY"}</definedName>
    <definedName name="________w2_5" hidden="1">{#N/A,#N/A,FALSE,"17MAY";#N/A,#N/A,FALSE,"24MAY"}</definedName>
    <definedName name="_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_dk1" hidden="1">{#N/A,#N/A,FALSE,"COVER.XLS";#N/A,#N/A,FALSE,"RACT1.XLS";#N/A,#N/A,FALSE,"RACT2.XLS";#N/A,#N/A,FALSE,"ECCMP";#N/A,#N/A,FALSE,"WELDER.XLS"}</definedName>
    <definedName name="_______kv2" hidden="1">{#N/A,#N/A,FALSE,"COVER1.XLS ";#N/A,#N/A,FALSE,"RACT1.XLS";#N/A,#N/A,FALSE,"RACT2.XLS";#N/A,#N/A,FALSE,"ECCMP";#N/A,#N/A,FALSE,"WELDER.XLS"}</definedName>
    <definedName name="_______kvs1" hidden="1">{#N/A,#N/A,FALSE,"COVER1.XLS ";#N/A,#N/A,FALSE,"RACT1.XLS";#N/A,#N/A,FALSE,"RACT2.XLS";#N/A,#N/A,FALSE,"ECCMP";#N/A,#N/A,FALSE,"WELDER.XLS"}</definedName>
    <definedName name="_______kvs2" hidden="1">{#N/A,#N/A,FALSE,"COVER1.XLS ";#N/A,#N/A,FALSE,"RACT1.XLS";#N/A,#N/A,FALSE,"RACT2.XLS";#N/A,#N/A,FALSE,"ECCMP";#N/A,#N/A,FALSE,"WELDER.XLS"}</definedName>
    <definedName name="_______kvs5" hidden="1">{#N/A,#N/A,FALSE,"COVER.XLS";#N/A,#N/A,FALSE,"RACT1.XLS";#N/A,#N/A,FALSE,"RACT2.XLS";#N/A,#N/A,FALSE,"ECCMP";#N/A,#N/A,FALSE,"WELDER.XLS"}</definedName>
    <definedName name="_______kvs8" hidden="1">{#N/A,#N/A,FALSE,"COVER1.XLS ";#N/A,#N/A,FALSE,"RACT1.XLS";#N/A,#N/A,FALSE,"RACT2.XLS";#N/A,#N/A,FALSE,"ECCMP";#N/A,#N/A,FALSE,"WELDER.XLS"}</definedName>
    <definedName name="_______KVS9" hidden="1">{#N/A,#N/A,FALSE,"COVER1.XLS ";#N/A,#N/A,FALSE,"RACT1.XLS";#N/A,#N/A,FALSE,"RACT2.XLS";#N/A,#N/A,FALSE,"ECCMP";#N/A,#N/A,FALSE,"WELDER.XLS"}</definedName>
    <definedName name="_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ns1" hidden="1">{#N/A,#N/A,FALSE,"COVER1.XLS ";#N/A,#N/A,FALSE,"RACT1.XLS";#N/A,#N/A,FALSE,"RACT2.XLS";#N/A,#N/A,FALSE,"ECCMP";#N/A,#N/A,FALSE,"WELDER.XLS"}</definedName>
    <definedName name="_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_dk1" hidden="1">{#N/A,#N/A,FALSE,"COVER.XLS";#N/A,#N/A,FALSE,"RACT1.XLS";#N/A,#N/A,FALSE,"RACT2.XLS";#N/A,#N/A,FALSE,"ECCMP";#N/A,#N/A,FALSE,"WELDER.XLS"}</definedName>
    <definedName name="______dk1_1" hidden="1">{#N/A,#N/A,FALSE,"COVER.XLS";#N/A,#N/A,FALSE,"RACT1.XLS";#N/A,#N/A,FALSE,"RACT2.XLS";#N/A,#N/A,FALSE,"ECCMP";#N/A,#N/A,FALSE,"WELDER.XLS"}</definedName>
    <definedName name="______dk1_2" hidden="1">{#N/A,#N/A,FALSE,"COVER.XLS";#N/A,#N/A,FALSE,"RACT1.XLS";#N/A,#N/A,FALSE,"RACT2.XLS";#N/A,#N/A,FALSE,"ECCMP";#N/A,#N/A,FALSE,"WELDER.XLS"}</definedName>
    <definedName name="______dk1_3" hidden="1">{#N/A,#N/A,FALSE,"COVER.XLS";#N/A,#N/A,FALSE,"RACT1.XLS";#N/A,#N/A,FALSE,"RACT2.XLS";#N/A,#N/A,FALSE,"ECCMP";#N/A,#N/A,FALSE,"WELDER.XLS"}</definedName>
    <definedName name="______dk1_4" hidden="1">{#N/A,#N/A,FALSE,"COVER.XLS";#N/A,#N/A,FALSE,"RACT1.XLS";#N/A,#N/A,FALSE,"RACT2.XLS";#N/A,#N/A,FALSE,"ECCMP";#N/A,#N/A,FALSE,"WELDER.XLS"}</definedName>
    <definedName name="______dk1_5" hidden="1">{#N/A,#N/A,FALSE,"COVER.XLS";#N/A,#N/A,FALSE,"RACT1.XLS";#N/A,#N/A,FALSE,"RACT2.XLS";#N/A,#N/A,FALSE,"ECCMP";#N/A,#N/A,FALSE,"WELDER.XLS"}</definedName>
    <definedName name="______k8" hidden="1">{#N/A,#N/A,FALSE,"COVER1.XLS ";#N/A,#N/A,FALSE,"RACT1.XLS";#N/A,#N/A,FALSE,"RACT2.XLS";#N/A,#N/A,FALSE,"ECCMP";#N/A,#N/A,FALSE,"WELDER.XLS"}</definedName>
    <definedName name="______k8_1" hidden="1">{#N/A,#N/A,FALSE,"COVER1.XLS ";#N/A,#N/A,FALSE,"RACT1.XLS";#N/A,#N/A,FALSE,"RACT2.XLS";#N/A,#N/A,FALSE,"ECCMP";#N/A,#N/A,FALSE,"WELDER.XLS"}</definedName>
    <definedName name="______k8_2" hidden="1">{#N/A,#N/A,FALSE,"COVER1.XLS ";#N/A,#N/A,FALSE,"RACT1.XLS";#N/A,#N/A,FALSE,"RACT2.XLS";#N/A,#N/A,FALSE,"ECCMP";#N/A,#N/A,FALSE,"WELDER.XLS"}</definedName>
    <definedName name="______k8_3" hidden="1">{#N/A,#N/A,FALSE,"COVER1.XLS ";#N/A,#N/A,FALSE,"RACT1.XLS";#N/A,#N/A,FALSE,"RACT2.XLS";#N/A,#N/A,FALSE,"ECCMP";#N/A,#N/A,FALSE,"WELDER.XLS"}</definedName>
    <definedName name="______k8_4" hidden="1">{#N/A,#N/A,FALSE,"COVER1.XLS ";#N/A,#N/A,FALSE,"RACT1.XLS";#N/A,#N/A,FALSE,"RACT2.XLS";#N/A,#N/A,FALSE,"ECCMP";#N/A,#N/A,FALSE,"WELDER.XLS"}</definedName>
    <definedName name="______k8_5" hidden="1">{#N/A,#N/A,FALSE,"COVER1.XLS ";#N/A,#N/A,FALSE,"RACT1.XLS";#N/A,#N/A,FALSE,"RACT2.XLS";#N/A,#N/A,FALSE,"ECCMP";#N/A,#N/A,FALSE,"WELDER.XLS"}</definedName>
    <definedName name="______kv2" hidden="1">{#N/A,#N/A,FALSE,"COVER1.XLS ";#N/A,#N/A,FALSE,"RACT1.XLS";#N/A,#N/A,FALSE,"RACT2.XLS";#N/A,#N/A,FALSE,"ECCMP";#N/A,#N/A,FALSE,"WELDER.XLS"}</definedName>
    <definedName name="______kvs1" hidden="1">{#N/A,#N/A,FALSE,"COVER1.XLS ";#N/A,#N/A,FALSE,"RACT1.XLS";#N/A,#N/A,FALSE,"RACT2.XLS";#N/A,#N/A,FALSE,"ECCMP";#N/A,#N/A,FALSE,"WELDER.XLS"}</definedName>
    <definedName name="______kvs1_1" hidden="1">{#N/A,#N/A,FALSE,"COVER1.XLS ";#N/A,#N/A,FALSE,"RACT1.XLS";#N/A,#N/A,FALSE,"RACT2.XLS";#N/A,#N/A,FALSE,"ECCMP";#N/A,#N/A,FALSE,"WELDER.XLS"}</definedName>
    <definedName name="______kvs1_2" hidden="1">{#N/A,#N/A,FALSE,"COVER1.XLS ";#N/A,#N/A,FALSE,"RACT1.XLS";#N/A,#N/A,FALSE,"RACT2.XLS";#N/A,#N/A,FALSE,"ECCMP";#N/A,#N/A,FALSE,"WELDER.XLS"}</definedName>
    <definedName name="______kvs1_3" hidden="1">{#N/A,#N/A,FALSE,"COVER1.XLS ";#N/A,#N/A,FALSE,"RACT1.XLS";#N/A,#N/A,FALSE,"RACT2.XLS";#N/A,#N/A,FALSE,"ECCMP";#N/A,#N/A,FALSE,"WELDER.XLS"}</definedName>
    <definedName name="______kvs1_4" hidden="1">{#N/A,#N/A,FALSE,"COVER1.XLS ";#N/A,#N/A,FALSE,"RACT1.XLS";#N/A,#N/A,FALSE,"RACT2.XLS";#N/A,#N/A,FALSE,"ECCMP";#N/A,#N/A,FALSE,"WELDER.XLS"}</definedName>
    <definedName name="______kvs1_5" hidden="1">{#N/A,#N/A,FALSE,"COVER1.XLS ";#N/A,#N/A,FALSE,"RACT1.XLS";#N/A,#N/A,FALSE,"RACT2.XLS";#N/A,#N/A,FALSE,"ECCMP";#N/A,#N/A,FALSE,"WELDER.XLS"}</definedName>
    <definedName name="______kvs2" hidden="1">{#N/A,#N/A,FALSE,"COVER1.XLS ";#N/A,#N/A,FALSE,"RACT1.XLS";#N/A,#N/A,FALSE,"RACT2.XLS";#N/A,#N/A,FALSE,"ECCMP";#N/A,#N/A,FALSE,"WELDER.XLS"}</definedName>
    <definedName name="______kvs2_1" hidden="1">{#N/A,#N/A,FALSE,"COVER1.XLS ";#N/A,#N/A,FALSE,"RACT1.XLS";#N/A,#N/A,FALSE,"RACT2.XLS";#N/A,#N/A,FALSE,"ECCMP";#N/A,#N/A,FALSE,"WELDER.XLS"}</definedName>
    <definedName name="______kvs2_2" hidden="1">{#N/A,#N/A,FALSE,"COVER1.XLS ";#N/A,#N/A,FALSE,"RACT1.XLS";#N/A,#N/A,FALSE,"RACT2.XLS";#N/A,#N/A,FALSE,"ECCMP";#N/A,#N/A,FALSE,"WELDER.XLS"}</definedName>
    <definedName name="______kvs2_3" hidden="1">{#N/A,#N/A,FALSE,"COVER1.XLS ";#N/A,#N/A,FALSE,"RACT1.XLS";#N/A,#N/A,FALSE,"RACT2.XLS";#N/A,#N/A,FALSE,"ECCMP";#N/A,#N/A,FALSE,"WELDER.XLS"}</definedName>
    <definedName name="______kvs2_4" hidden="1">{#N/A,#N/A,FALSE,"COVER1.XLS ";#N/A,#N/A,FALSE,"RACT1.XLS";#N/A,#N/A,FALSE,"RACT2.XLS";#N/A,#N/A,FALSE,"ECCMP";#N/A,#N/A,FALSE,"WELDER.XLS"}</definedName>
    <definedName name="______kvs2_5" hidden="1">{#N/A,#N/A,FALSE,"COVER1.XLS ";#N/A,#N/A,FALSE,"RACT1.XLS";#N/A,#N/A,FALSE,"RACT2.XLS";#N/A,#N/A,FALSE,"ECCMP";#N/A,#N/A,FALSE,"WELDER.XLS"}</definedName>
    <definedName name="______kvs5" hidden="1">{#N/A,#N/A,FALSE,"COVER.XLS";#N/A,#N/A,FALSE,"RACT1.XLS";#N/A,#N/A,FALSE,"RACT2.XLS";#N/A,#N/A,FALSE,"ECCMP";#N/A,#N/A,FALSE,"WELDER.XLS"}</definedName>
    <definedName name="______kvs5_1" hidden="1">{#N/A,#N/A,FALSE,"COVER.XLS";#N/A,#N/A,FALSE,"RACT1.XLS";#N/A,#N/A,FALSE,"RACT2.XLS";#N/A,#N/A,FALSE,"ECCMP";#N/A,#N/A,FALSE,"WELDER.XLS"}</definedName>
    <definedName name="______kvs5_2" hidden="1">{#N/A,#N/A,FALSE,"COVER.XLS";#N/A,#N/A,FALSE,"RACT1.XLS";#N/A,#N/A,FALSE,"RACT2.XLS";#N/A,#N/A,FALSE,"ECCMP";#N/A,#N/A,FALSE,"WELDER.XLS"}</definedName>
    <definedName name="______kvs5_3" hidden="1">{#N/A,#N/A,FALSE,"COVER.XLS";#N/A,#N/A,FALSE,"RACT1.XLS";#N/A,#N/A,FALSE,"RACT2.XLS";#N/A,#N/A,FALSE,"ECCMP";#N/A,#N/A,FALSE,"WELDER.XLS"}</definedName>
    <definedName name="______kvs5_4" hidden="1">{#N/A,#N/A,FALSE,"COVER.XLS";#N/A,#N/A,FALSE,"RACT1.XLS";#N/A,#N/A,FALSE,"RACT2.XLS";#N/A,#N/A,FALSE,"ECCMP";#N/A,#N/A,FALSE,"WELDER.XLS"}</definedName>
    <definedName name="______kvs5_5" hidden="1">{#N/A,#N/A,FALSE,"COVER.XLS";#N/A,#N/A,FALSE,"RACT1.XLS";#N/A,#N/A,FALSE,"RACT2.XLS";#N/A,#N/A,FALSE,"ECCMP";#N/A,#N/A,FALSE,"WELDER.XLS"}</definedName>
    <definedName name="______kvs7" hidden="1">{#N/A,#N/A,FALSE,"COVER1.XLS ";#N/A,#N/A,FALSE,"RACT1.XLS";#N/A,#N/A,FALSE,"RACT2.XLS";#N/A,#N/A,FALSE,"ECCMP";#N/A,#N/A,FALSE,"WELDER.XLS"}</definedName>
    <definedName name="______kvs7_1" hidden="1">{#N/A,#N/A,FALSE,"COVER1.XLS ";#N/A,#N/A,FALSE,"RACT1.XLS";#N/A,#N/A,FALSE,"RACT2.XLS";#N/A,#N/A,FALSE,"ECCMP";#N/A,#N/A,FALSE,"WELDER.XLS"}</definedName>
    <definedName name="______kvs7_2" hidden="1">{#N/A,#N/A,FALSE,"COVER1.XLS ";#N/A,#N/A,FALSE,"RACT1.XLS";#N/A,#N/A,FALSE,"RACT2.XLS";#N/A,#N/A,FALSE,"ECCMP";#N/A,#N/A,FALSE,"WELDER.XLS"}</definedName>
    <definedName name="______kvs7_3" hidden="1">{#N/A,#N/A,FALSE,"COVER1.XLS ";#N/A,#N/A,FALSE,"RACT1.XLS";#N/A,#N/A,FALSE,"RACT2.XLS";#N/A,#N/A,FALSE,"ECCMP";#N/A,#N/A,FALSE,"WELDER.XLS"}</definedName>
    <definedName name="______kvs7_4" hidden="1">{#N/A,#N/A,FALSE,"COVER1.XLS ";#N/A,#N/A,FALSE,"RACT1.XLS";#N/A,#N/A,FALSE,"RACT2.XLS";#N/A,#N/A,FALSE,"ECCMP";#N/A,#N/A,FALSE,"WELDER.XLS"}</definedName>
    <definedName name="______kvs7_5" hidden="1">{#N/A,#N/A,FALSE,"COVER1.XLS ";#N/A,#N/A,FALSE,"RACT1.XLS";#N/A,#N/A,FALSE,"RACT2.XLS";#N/A,#N/A,FALSE,"ECCMP";#N/A,#N/A,FALSE,"WELDER.XLS"}</definedName>
    <definedName name="______kvs8" hidden="1">{#N/A,#N/A,FALSE,"COVER1.XLS ";#N/A,#N/A,FALSE,"RACT1.XLS";#N/A,#N/A,FALSE,"RACT2.XLS";#N/A,#N/A,FALSE,"ECCMP";#N/A,#N/A,FALSE,"WELDER.XLS"}</definedName>
    <definedName name="______kvs8_1" hidden="1">{#N/A,#N/A,FALSE,"COVER1.XLS ";#N/A,#N/A,FALSE,"RACT1.XLS";#N/A,#N/A,FALSE,"RACT2.XLS";#N/A,#N/A,FALSE,"ECCMP";#N/A,#N/A,FALSE,"WELDER.XLS"}</definedName>
    <definedName name="______kvs8_2" hidden="1">{#N/A,#N/A,FALSE,"COVER1.XLS ";#N/A,#N/A,FALSE,"RACT1.XLS";#N/A,#N/A,FALSE,"RACT2.XLS";#N/A,#N/A,FALSE,"ECCMP";#N/A,#N/A,FALSE,"WELDER.XLS"}</definedName>
    <definedName name="______kvs8_3" hidden="1">{#N/A,#N/A,FALSE,"COVER1.XLS ";#N/A,#N/A,FALSE,"RACT1.XLS";#N/A,#N/A,FALSE,"RACT2.XLS";#N/A,#N/A,FALSE,"ECCMP";#N/A,#N/A,FALSE,"WELDER.XLS"}</definedName>
    <definedName name="______kvs8_4" hidden="1">{#N/A,#N/A,FALSE,"COVER1.XLS ";#N/A,#N/A,FALSE,"RACT1.XLS";#N/A,#N/A,FALSE,"RACT2.XLS";#N/A,#N/A,FALSE,"ECCMP";#N/A,#N/A,FALSE,"WELDER.XLS"}</definedName>
    <definedName name="______kvs8_5" hidden="1">{#N/A,#N/A,FALSE,"COVER1.XLS ";#N/A,#N/A,FALSE,"RACT1.XLS";#N/A,#N/A,FALSE,"RACT2.XLS";#N/A,#N/A,FALSE,"ECCMP";#N/A,#N/A,FALSE,"WELDER.XLS"}</definedName>
    <definedName name="______KVS9" hidden="1">{#N/A,#N/A,FALSE,"COVER1.XLS ";#N/A,#N/A,FALSE,"RACT1.XLS";#N/A,#N/A,FALSE,"RACT2.XLS";#N/A,#N/A,FALSE,"ECCMP";#N/A,#N/A,FALSE,"WELDER.XLS"}</definedName>
    <definedName name="______KVS9_1" hidden="1">{#N/A,#N/A,FALSE,"COVER1.XLS ";#N/A,#N/A,FALSE,"RACT1.XLS";#N/A,#N/A,FALSE,"RACT2.XLS";#N/A,#N/A,FALSE,"ECCMP";#N/A,#N/A,FALSE,"WELDER.XLS"}</definedName>
    <definedName name="______KVS9_2" hidden="1">{#N/A,#N/A,FALSE,"COVER1.XLS ";#N/A,#N/A,FALSE,"RACT1.XLS";#N/A,#N/A,FALSE,"RACT2.XLS";#N/A,#N/A,FALSE,"ECCMP";#N/A,#N/A,FALSE,"WELDER.XLS"}</definedName>
    <definedName name="______KVS9_3" hidden="1">{#N/A,#N/A,FALSE,"COVER1.XLS ";#N/A,#N/A,FALSE,"RACT1.XLS";#N/A,#N/A,FALSE,"RACT2.XLS";#N/A,#N/A,FALSE,"ECCMP";#N/A,#N/A,FALSE,"WELDER.XLS"}</definedName>
    <definedName name="______KVS9_4" hidden="1">{#N/A,#N/A,FALSE,"COVER1.XLS ";#N/A,#N/A,FALSE,"RACT1.XLS";#N/A,#N/A,FALSE,"RACT2.XLS";#N/A,#N/A,FALSE,"ECCMP";#N/A,#N/A,FALSE,"WELDER.XLS"}</definedName>
    <definedName name="______KVS9_5" hidden="1">{#N/A,#N/A,FALSE,"COVER1.XLS ";#N/A,#N/A,FALSE,"RACT1.XLS";#N/A,#N/A,FALSE,"RACT2.XLS";#N/A,#N/A,FALSE,"ECCMP";#N/A,#N/A,FALSE,"WELDER.XLS"}</definedName>
    <definedName name="_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lk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ns1" hidden="1">{#N/A,#N/A,FALSE,"COVER1.XLS ";#N/A,#N/A,FALSE,"RACT1.XLS";#N/A,#N/A,FALSE,"RACT2.XLS";#N/A,#N/A,FALSE,"ECCMP";#N/A,#N/A,FALSE,"WELDER.XLS"}</definedName>
    <definedName name="______ns1_1" hidden="1">{#N/A,#N/A,FALSE,"COVER1.XLS ";#N/A,#N/A,FALSE,"RACT1.XLS";#N/A,#N/A,FALSE,"RACT2.XLS";#N/A,#N/A,FALSE,"ECCMP";#N/A,#N/A,FALSE,"WELDER.XLS"}</definedName>
    <definedName name="______ns1_2" hidden="1">{#N/A,#N/A,FALSE,"COVER1.XLS ";#N/A,#N/A,FALSE,"RACT1.XLS";#N/A,#N/A,FALSE,"RACT2.XLS";#N/A,#N/A,FALSE,"ECCMP";#N/A,#N/A,FALSE,"WELDER.XLS"}</definedName>
    <definedName name="______ns1_3" hidden="1">{#N/A,#N/A,FALSE,"COVER1.XLS ";#N/A,#N/A,FALSE,"RACT1.XLS";#N/A,#N/A,FALSE,"RACT2.XLS";#N/A,#N/A,FALSE,"ECCMP";#N/A,#N/A,FALSE,"WELDER.XLS"}</definedName>
    <definedName name="______ns1_4" hidden="1">{#N/A,#N/A,FALSE,"COVER1.XLS ";#N/A,#N/A,FALSE,"RACT1.XLS";#N/A,#N/A,FALSE,"RACT2.XLS";#N/A,#N/A,FALSE,"ECCMP";#N/A,#N/A,FALSE,"WELDER.XLS"}</definedName>
    <definedName name="______ns1_5" hidden="1">{#N/A,#N/A,FALSE,"COVER1.XLS ";#N/A,#N/A,FALSE,"RACT1.XLS";#N/A,#N/A,FALSE,"RACT2.XLS";#N/A,#N/A,FALSE,"ECCMP";#N/A,#N/A,FALSE,"WELDER.XLS"}</definedName>
    <definedName name="______PRN1" hidden="1">{#N/A,#N/A,FALSE,"COVER.XLS";#N/A,#N/A,FALSE,"RACT1.XLS";#N/A,#N/A,FALSE,"RACT2.XLS";#N/A,#N/A,FALSE,"ECCMP";#N/A,#N/A,FALSE,"WELDER.XLS"}</definedName>
    <definedName name="______q2" hidden="1">{#N/A,#N/A,FALSE,"COVER1.XLS ";#N/A,#N/A,FALSE,"RACT1.XLS";#N/A,#N/A,FALSE,"RACT2.XLS";#N/A,#N/A,FALSE,"ECCMP";#N/A,#N/A,FALSE,"WELDER.XLS"}</definedName>
    <definedName name="______q2_1" hidden="1">{#N/A,#N/A,FALSE,"COVER1.XLS ";#N/A,#N/A,FALSE,"RACT1.XLS";#N/A,#N/A,FALSE,"RACT2.XLS";#N/A,#N/A,FALSE,"ECCMP";#N/A,#N/A,FALSE,"WELDER.XLS"}</definedName>
    <definedName name="______q2_2" hidden="1">{#N/A,#N/A,FALSE,"COVER1.XLS ";#N/A,#N/A,FALSE,"RACT1.XLS";#N/A,#N/A,FALSE,"RACT2.XLS";#N/A,#N/A,FALSE,"ECCMP";#N/A,#N/A,FALSE,"WELDER.XLS"}</definedName>
    <definedName name="______q2_3" hidden="1">{#N/A,#N/A,FALSE,"COVER1.XLS ";#N/A,#N/A,FALSE,"RACT1.XLS";#N/A,#N/A,FALSE,"RACT2.XLS";#N/A,#N/A,FALSE,"ECCMP";#N/A,#N/A,FALSE,"WELDER.XLS"}</definedName>
    <definedName name="______q2_4" hidden="1">{#N/A,#N/A,FALSE,"COVER1.XLS ";#N/A,#N/A,FALSE,"RACT1.XLS";#N/A,#N/A,FALSE,"RACT2.XLS";#N/A,#N/A,FALSE,"ECCMP";#N/A,#N/A,FALSE,"WELDER.XLS"}</definedName>
    <definedName name="______q2_5" hidden="1">{#N/A,#N/A,FALSE,"COVER1.XLS ";#N/A,#N/A,FALSE,"RACT1.XLS";#N/A,#N/A,FALSE,"RACT2.XLS";#N/A,#N/A,FALSE,"ECCMP";#N/A,#N/A,FALSE,"WELDER.XLS"}</definedName>
    <definedName name="_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r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r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r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r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tr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2" hidden="1">{#N/A,#N/A,FALSE,"17MAY";#N/A,#N/A,FALSE,"24MAY"}</definedName>
    <definedName name="______w2_1" hidden="1">{#N/A,#N/A,FALSE,"17MAY";#N/A,#N/A,FALSE,"24MAY"}</definedName>
    <definedName name="______w2_2" hidden="1">{#N/A,#N/A,FALSE,"17MAY";#N/A,#N/A,FALSE,"24MAY"}</definedName>
    <definedName name="______w2_3" hidden="1">{#N/A,#N/A,FALSE,"17MAY";#N/A,#N/A,FALSE,"24MAY"}</definedName>
    <definedName name="______w2_4" hidden="1">{#N/A,#N/A,FALSE,"17MAY";#N/A,#N/A,FALSE,"24MAY"}</definedName>
    <definedName name="______w2_5" hidden="1">{#N/A,#N/A,FALSE,"17MAY";#N/A,#N/A,FALSE,"24MAY"}</definedName>
    <definedName name="_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rn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rn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rn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rn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rn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_WRN2" hidden="1">{#N/A,#N/A,FALSE,"COVER1.XLS ";#N/A,#N/A,FALSE,"RACT1.XLS";#N/A,#N/A,FALSE,"RACT2.XLS";#N/A,#N/A,FALSE,"ECCMP";#N/A,#N/A,FALSE,"WELDER.XLS"}</definedName>
    <definedName name="___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_dk1" hidden="1">{#N/A,#N/A,FALSE,"COVER.XLS";#N/A,#N/A,FALSE,"RACT1.XLS";#N/A,#N/A,FALSE,"RACT2.XLS";#N/A,#N/A,FALSE,"ECCMP";#N/A,#N/A,FALSE,"WELDER.XLS"}</definedName>
    <definedName name="_____dk1_1" hidden="1">{#N/A,#N/A,FALSE,"COVER.XLS";#N/A,#N/A,FALSE,"RACT1.XLS";#N/A,#N/A,FALSE,"RACT2.XLS";#N/A,#N/A,FALSE,"ECCMP";#N/A,#N/A,FALSE,"WELDER.XLS"}</definedName>
    <definedName name="_____dk1_2" hidden="1">{#N/A,#N/A,FALSE,"COVER.XLS";#N/A,#N/A,FALSE,"RACT1.XLS";#N/A,#N/A,FALSE,"RACT2.XLS";#N/A,#N/A,FALSE,"ECCMP";#N/A,#N/A,FALSE,"WELDER.XLS"}</definedName>
    <definedName name="_____dk1_3" hidden="1">{#N/A,#N/A,FALSE,"COVER.XLS";#N/A,#N/A,FALSE,"RACT1.XLS";#N/A,#N/A,FALSE,"RACT2.XLS";#N/A,#N/A,FALSE,"ECCMP";#N/A,#N/A,FALSE,"WELDER.XLS"}</definedName>
    <definedName name="_____dk1_4" hidden="1">{#N/A,#N/A,FALSE,"COVER.XLS";#N/A,#N/A,FALSE,"RACT1.XLS";#N/A,#N/A,FALSE,"RACT2.XLS";#N/A,#N/A,FALSE,"ECCMP";#N/A,#N/A,FALSE,"WELDER.XLS"}</definedName>
    <definedName name="_____dk1_5" hidden="1">{#N/A,#N/A,FALSE,"COVER.XLS";#N/A,#N/A,FALSE,"RACT1.XLS";#N/A,#N/A,FALSE,"RACT2.XLS";#N/A,#N/A,FALSE,"ECCMP";#N/A,#N/A,FALSE,"WELDER.XLS"}</definedName>
    <definedName name="_____k8" hidden="1">{#N/A,#N/A,FALSE,"COVER1.XLS ";#N/A,#N/A,FALSE,"RACT1.XLS";#N/A,#N/A,FALSE,"RACT2.XLS";#N/A,#N/A,FALSE,"ECCMP";#N/A,#N/A,FALSE,"WELDER.XLS"}</definedName>
    <definedName name="_____k8_1" hidden="1">{#N/A,#N/A,FALSE,"COVER1.XLS ";#N/A,#N/A,FALSE,"RACT1.XLS";#N/A,#N/A,FALSE,"RACT2.XLS";#N/A,#N/A,FALSE,"ECCMP";#N/A,#N/A,FALSE,"WELDER.XLS"}</definedName>
    <definedName name="_____k8_2" hidden="1">{#N/A,#N/A,FALSE,"COVER1.XLS ";#N/A,#N/A,FALSE,"RACT1.XLS";#N/A,#N/A,FALSE,"RACT2.XLS";#N/A,#N/A,FALSE,"ECCMP";#N/A,#N/A,FALSE,"WELDER.XLS"}</definedName>
    <definedName name="_____k8_3" hidden="1">{#N/A,#N/A,FALSE,"COVER1.XLS ";#N/A,#N/A,FALSE,"RACT1.XLS";#N/A,#N/A,FALSE,"RACT2.XLS";#N/A,#N/A,FALSE,"ECCMP";#N/A,#N/A,FALSE,"WELDER.XLS"}</definedName>
    <definedName name="_____k8_4" hidden="1">{#N/A,#N/A,FALSE,"COVER1.XLS ";#N/A,#N/A,FALSE,"RACT1.XLS";#N/A,#N/A,FALSE,"RACT2.XLS";#N/A,#N/A,FALSE,"ECCMP";#N/A,#N/A,FALSE,"WELDER.XLS"}</definedName>
    <definedName name="_____k8_5" hidden="1">{#N/A,#N/A,FALSE,"COVER1.XLS ";#N/A,#N/A,FALSE,"RACT1.XLS";#N/A,#N/A,FALSE,"RACT2.XLS";#N/A,#N/A,FALSE,"ECCMP";#N/A,#N/A,FALSE,"WELDER.XLS"}</definedName>
    <definedName name="_____kv2" hidden="1">{#N/A,#N/A,FALSE,"COVER1.XLS ";#N/A,#N/A,FALSE,"RACT1.XLS";#N/A,#N/A,FALSE,"RACT2.XLS";#N/A,#N/A,FALSE,"ECCMP";#N/A,#N/A,FALSE,"WELDER.XLS"}</definedName>
    <definedName name="_____kvs1" hidden="1">{#N/A,#N/A,FALSE,"COVER1.XLS ";#N/A,#N/A,FALSE,"RACT1.XLS";#N/A,#N/A,FALSE,"RACT2.XLS";#N/A,#N/A,FALSE,"ECCMP";#N/A,#N/A,FALSE,"WELDER.XLS"}</definedName>
    <definedName name="_____kvs1_1" hidden="1">{#N/A,#N/A,FALSE,"COVER1.XLS ";#N/A,#N/A,FALSE,"RACT1.XLS";#N/A,#N/A,FALSE,"RACT2.XLS";#N/A,#N/A,FALSE,"ECCMP";#N/A,#N/A,FALSE,"WELDER.XLS"}</definedName>
    <definedName name="_____kvs1_2" hidden="1">{#N/A,#N/A,FALSE,"COVER1.XLS ";#N/A,#N/A,FALSE,"RACT1.XLS";#N/A,#N/A,FALSE,"RACT2.XLS";#N/A,#N/A,FALSE,"ECCMP";#N/A,#N/A,FALSE,"WELDER.XLS"}</definedName>
    <definedName name="_____kvs1_3" hidden="1">{#N/A,#N/A,FALSE,"COVER1.XLS ";#N/A,#N/A,FALSE,"RACT1.XLS";#N/A,#N/A,FALSE,"RACT2.XLS";#N/A,#N/A,FALSE,"ECCMP";#N/A,#N/A,FALSE,"WELDER.XLS"}</definedName>
    <definedName name="_____kvs1_4" hidden="1">{#N/A,#N/A,FALSE,"COVER1.XLS ";#N/A,#N/A,FALSE,"RACT1.XLS";#N/A,#N/A,FALSE,"RACT2.XLS";#N/A,#N/A,FALSE,"ECCMP";#N/A,#N/A,FALSE,"WELDER.XLS"}</definedName>
    <definedName name="_____kvs1_5" hidden="1">{#N/A,#N/A,FALSE,"COVER1.XLS ";#N/A,#N/A,FALSE,"RACT1.XLS";#N/A,#N/A,FALSE,"RACT2.XLS";#N/A,#N/A,FALSE,"ECCMP";#N/A,#N/A,FALSE,"WELDER.XLS"}</definedName>
    <definedName name="_____kvs2" hidden="1">{#N/A,#N/A,FALSE,"COVER1.XLS ";#N/A,#N/A,FALSE,"RACT1.XLS";#N/A,#N/A,FALSE,"RACT2.XLS";#N/A,#N/A,FALSE,"ECCMP";#N/A,#N/A,FALSE,"WELDER.XLS"}</definedName>
    <definedName name="_____kvs2_1" hidden="1">{#N/A,#N/A,FALSE,"COVER1.XLS ";#N/A,#N/A,FALSE,"RACT1.XLS";#N/A,#N/A,FALSE,"RACT2.XLS";#N/A,#N/A,FALSE,"ECCMP";#N/A,#N/A,FALSE,"WELDER.XLS"}</definedName>
    <definedName name="_____kvs2_2" hidden="1">{#N/A,#N/A,FALSE,"COVER1.XLS ";#N/A,#N/A,FALSE,"RACT1.XLS";#N/A,#N/A,FALSE,"RACT2.XLS";#N/A,#N/A,FALSE,"ECCMP";#N/A,#N/A,FALSE,"WELDER.XLS"}</definedName>
    <definedName name="_____kvs2_3" hidden="1">{#N/A,#N/A,FALSE,"COVER1.XLS ";#N/A,#N/A,FALSE,"RACT1.XLS";#N/A,#N/A,FALSE,"RACT2.XLS";#N/A,#N/A,FALSE,"ECCMP";#N/A,#N/A,FALSE,"WELDER.XLS"}</definedName>
    <definedName name="_____kvs2_4" hidden="1">{#N/A,#N/A,FALSE,"COVER1.XLS ";#N/A,#N/A,FALSE,"RACT1.XLS";#N/A,#N/A,FALSE,"RACT2.XLS";#N/A,#N/A,FALSE,"ECCMP";#N/A,#N/A,FALSE,"WELDER.XLS"}</definedName>
    <definedName name="_____kvs2_5" hidden="1">{#N/A,#N/A,FALSE,"COVER1.XLS ";#N/A,#N/A,FALSE,"RACT1.XLS";#N/A,#N/A,FALSE,"RACT2.XLS";#N/A,#N/A,FALSE,"ECCMP";#N/A,#N/A,FALSE,"WELDER.XLS"}</definedName>
    <definedName name="_____kvs5" hidden="1">{#N/A,#N/A,FALSE,"COVER.XLS";#N/A,#N/A,FALSE,"RACT1.XLS";#N/A,#N/A,FALSE,"RACT2.XLS";#N/A,#N/A,FALSE,"ECCMP";#N/A,#N/A,FALSE,"WELDER.XLS"}</definedName>
    <definedName name="_____kvs5_1" hidden="1">{#N/A,#N/A,FALSE,"COVER.XLS";#N/A,#N/A,FALSE,"RACT1.XLS";#N/A,#N/A,FALSE,"RACT2.XLS";#N/A,#N/A,FALSE,"ECCMP";#N/A,#N/A,FALSE,"WELDER.XLS"}</definedName>
    <definedName name="_____kvs5_2" hidden="1">{#N/A,#N/A,FALSE,"COVER.XLS";#N/A,#N/A,FALSE,"RACT1.XLS";#N/A,#N/A,FALSE,"RACT2.XLS";#N/A,#N/A,FALSE,"ECCMP";#N/A,#N/A,FALSE,"WELDER.XLS"}</definedName>
    <definedName name="_____kvs5_3" hidden="1">{#N/A,#N/A,FALSE,"COVER.XLS";#N/A,#N/A,FALSE,"RACT1.XLS";#N/A,#N/A,FALSE,"RACT2.XLS";#N/A,#N/A,FALSE,"ECCMP";#N/A,#N/A,FALSE,"WELDER.XLS"}</definedName>
    <definedName name="_____kvs5_4" hidden="1">{#N/A,#N/A,FALSE,"COVER.XLS";#N/A,#N/A,FALSE,"RACT1.XLS";#N/A,#N/A,FALSE,"RACT2.XLS";#N/A,#N/A,FALSE,"ECCMP";#N/A,#N/A,FALSE,"WELDER.XLS"}</definedName>
    <definedName name="_____kvs5_5" hidden="1">{#N/A,#N/A,FALSE,"COVER.XLS";#N/A,#N/A,FALSE,"RACT1.XLS";#N/A,#N/A,FALSE,"RACT2.XLS";#N/A,#N/A,FALSE,"ECCMP";#N/A,#N/A,FALSE,"WELDER.XLS"}</definedName>
    <definedName name="_____kvs7" hidden="1">{#N/A,#N/A,FALSE,"COVER1.XLS ";#N/A,#N/A,FALSE,"RACT1.XLS";#N/A,#N/A,FALSE,"RACT2.XLS";#N/A,#N/A,FALSE,"ECCMP";#N/A,#N/A,FALSE,"WELDER.XLS"}</definedName>
    <definedName name="_____kvs7_1" hidden="1">{#N/A,#N/A,FALSE,"COVER1.XLS ";#N/A,#N/A,FALSE,"RACT1.XLS";#N/A,#N/A,FALSE,"RACT2.XLS";#N/A,#N/A,FALSE,"ECCMP";#N/A,#N/A,FALSE,"WELDER.XLS"}</definedName>
    <definedName name="_____kvs7_2" hidden="1">{#N/A,#N/A,FALSE,"COVER1.XLS ";#N/A,#N/A,FALSE,"RACT1.XLS";#N/A,#N/A,FALSE,"RACT2.XLS";#N/A,#N/A,FALSE,"ECCMP";#N/A,#N/A,FALSE,"WELDER.XLS"}</definedName>
    <definedName name="_____kvs7_3" hidden="1">{#N/A,#N/A,FALSE,"COVER1.XLS ";#N/A,#N/A,FALSE,"RACT1.XLS";#N/A,#N/A,FALSE,"RACT2.XLS";#N/A,#N/A,FALSE,"ECCMP";#N/A,#N/A,FALSE,"WELDER.XLS"}</definedName>
    <definedName name="_____kvs7_4" hidden="1">{#N/A,#N/A,FALSE,"COVER1.XLS ";#N/A,#N/A,FALSE,"RACT1.XLS";#N/A,#N/A,FALSE,"RACT2.XLS";#N/A,#N/A,FALSE,"ECCMP";#N/A,#N/A,FALSE,"WELDER.XLS"}</definedName>
    <definedName name="_____kvs7_5" hidden="1">{#N/A,#N/A,FALSE,"COVER1.XLS ";#N/A,#N/A,FALSE,"RACT1.XLS";#N/A,#N/A,FALSE,"RACT2.XLS";#N/A,#N/A,FALSE,"ECCMP";#N/A,#N/A,FALSE,"WELDER.XLS"}</definedName>
    <definedName name="_____kvs8" hidden="1">{#N/A,#N/A,FALSE,"COVER1.XLS ";#N/A,#N/A,FALSE,"RACT1.XLS";#N/A,#N/A,FALSE,"RACT2.XLS";#N/A,#N/A,FALSE,"ECCMP";#N/A,#N/A,FALSE,"WELDER.XLS"}</definedName>
    <definedName name="_____kvs8_1" hidden="1">{#N/A,#N/A,FALSE,"COVER1.XLS ";#N/A,#N/A,FALSE,"RACT1.XLS";#N/A,#N/A,FALSE,"RACT2.XLS";#N/A,#N/A,FALSE,"ECCMP";#N/A,#N/A,FALSE,"WELDER.XLS"}</definedName>
    <definedName name="_____kvs8_2" hidden="1">{#N/A,#N/A,FALSE,"COVER1.XLS ";#N/A,#N/A,FALSE,"RACT1.XLS";#N/A,#N/A,FALSE,"RACT2.XLS";#N/A,#N/A,FALSE,"ECCMP";#N/A,#N/A,FALSE,"WELDER.XLS"}</definedName>
    <definedName name="_____kvs8_3" hidden="1">{#N/A,#N/A,FALSE,"COVER1.XLS ";#N/A,#N/A,FALSE,"RACT1.XLS";#N/A,#N/A,FALSE,"RACT2.XLS";#N/A,#N/A,FALSE,"ECCMP";#N/A,#N/A,FALSE,"WELDER.XLS"}</definedName>
    <definedName name="_____kvs8_4" hidden="1">{#N/A,#N/A,FALSE,"COVER1.XLS ";#N/A,#N/A,FALSE,"RACT1.XLS";#N/A,#N/A,FALSE,"RACT2.XLS";#N/A,#N/A,FALSE,"ECCMP";#N/A,#N/A,FALSE,"WELDER.XLS"}</definedName>
    <definedName name="_____kvs8_5" hidden="1">{#N/A,#N/A,FALSE,"COVER1.XLS ";#N/A,#N/A,FALSE,"RACT1.XLS";#N/A,#N/A,FALSE,"RACT2.XLS";#N/A,#N/A,FALSE,"ECCMP";#N/A,#N/A,FALSE,"WELDER.XLS"}</definedName>
    <definedName name="_____KVS9" hidden="1">{#N/A,#N/A,FALSE,"COVER1.XLS ";#N/A,#N/A,FALSE,"RACT1.XLS";#N/A,#N/A,FALSE,"RACT2.XLS";#N/A,#N/A,FALSE,"ECCMP";#N/A,#N/A,FALSE,"WELDER.XLS"}</definedName>
    <definedName name="_____KVS9_1" hidden="1">{#N/A,#N/A,FALSE,"COVER1.XLS ";#N/A,#N/A,FALSE,"RACT1.XLS";#N/A,#N/A,FALSE,"RACT2.XLS";#N/A,#N/A,FALSE,"ECCMP";#N/A,#N/A,FALSE,"WELDER.XLS"}</definedName>
    <definedName name="_____KVS9_2" hidden="1">{#N/A,#N/A,FALSE,"COVER1.XLS ";#N/A,#N/A,FALSE,"RACT1.XLS";#N/A,#N/A,FALSE,"RACT2.XLS";#N/A,#N/A,FALSE,"ECCMP";#N/A,#N/A,FALSE,"WELDER.XLS"}</definedName>
    <definedName name="_____KVS9_3" hidden="1">{#N/A,#N/A,FALSE,"COVER1.XLS ";#N/A,#N/A,FALSE,"RACT1.XLS";#N/A,#N/A,FALSE,"RACT2.XLS";#N/A,#N/A,FALSE,"ECCMP";#N/A,#N/A,FALSE,"WELDER.XLS"}</definedName>
    <definedName name="_____KVS9_4" hidden="1">{#N/A,#N/A,FALSE,"COVER1.XLS ";#N/A,#N/A,FALSE,"RACT1.XLS";#N/A,#N/A,FALSE,"RACT2.XLS";#N/A,#N/A,FALSE,"ECCMP";#N/A,#N/A,FALSE,"WELDER.XLS"}</definedName>
    <definedName name="_____KVS9_5" hidden="1">{#N/A,#N/A,FALSE,"COVER1.XLS ";#N/A,#N/A,FALSE,"RACT1.XLS";#N/A,#N/A,FALSE,"RACT2.XLS";#N/A,#N/A,FALSE,"ECCMP";#N/A,#N/A,FALSE,"WELDER.XLS"}</definedName>
    <definedName name="_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lk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ns1" hidden="1">{#N/A,#N/A,FALSE,"COVER1.XLS ";#N/A,#N/A,FALSE,"RACT1.XLS";#N/A,#N/A,FALSE,"RACT2.XLS";#N/A,#N/A,FALSE,"ECCMP";#N/A,#N/A,FALSE,"WELDER.XLS"}</definedName>
    <definedName name="_____ns1_1" hidden="1">{#N/A,#N/A,FALSE,"COVER1.XLS ";#N/A,#N/A,FALSE,"RACT1.XLS";#N/A,#N/A,FALSE,"RACT2.XLS";#N/A,#N/A,FALSE,"ECCMP";#N/A,#N/A,FALSE,"WELDER.XLS"}</definedName>
    <definedName name="_____ns1_2" hidden="1">{#N/A,#N/A,FALSE,"COVER1.XLS ";#N/A,#N/A,FALSE,"RACT1.XLS";#N/A,#N/A,FALSE,"RACT2.XLS";#N/A,#N/A,FALSE,"ECCMP";#N/A,#N/A,FALSE,"WELDER.XLS"}</definedName>
    <definedName name="_____ns1_3" hidden="1">{#N/A,#N/A,FALSE,"COVER1.XLS ";#N/A,#N/A,FALSE,"RACT1.XLS";#N/A,#N/A,FALSE,"RACT2.XLS";#N/A,#N/A,FALSE,"ECCMP";#N/A,#N/A,FALSE,"WELDER.XLS"}</definedName>
    <definedName name="_____ns1_4" hidden="1">{#N/A,#N/A,FALSE,"COVER1.XLS ";#N/A,#N/A,FALSE,"RACT1.XLS";#N/A,#N/A,FALSE,"RACT2.XLS";#N/A,#N/A,FALSE,"ECCMP";#N/A,#N/A,FALSE,"WELDER.XLS"}</definedName>
    <definedName name="_____ns1_5" hidden="1">{#N/A,#N/A,FALSE,"COVER1.XLS ";#N/A,#N/A,FALSE,"RACT1.XLS";#N/A,#N/A,FALSE,"RACT2.XLS";#N/A,#N/A,FALSE,"ECCMP";#N/A,#N/A,FALSE,"WELDER.XLS"}</definedName>
    <definedName name="_____PRN1" hidden="1">{#N/A,#N/A,FALSE,"COVER.XLS";#N/A,#N/A,FALSE,"RACT1.XLS";#N/A,#N/A,FALSE,"RACT2.XLS";#N/A,#N/A,FALSE,"ECCMP";#N/A,#N/A,FALSE,"WELDER.XLS"}</definedName>
    <definedName name="_____q2" hidden="1">{#N/A,#N/A,FALSE,"COVER1.XLS ";#N/A,#N/A,FALSE,"RACT1.XLS";#N/A,#N/A,FALSE,"RACT2.XLS";#N/A,#N/A,FALSE,"ECCMP";#N/A,#N/A,FALSE,"WELDER.XLS"}</definedName>
    <definedName name="_____q2_1" hidden="1">{#N/A,#N/A,FALSE,"COVER1.XLS ";#N/A,#N/A,FALSE,"RACT1.XLS";#N/A,#N/A,FALSE,"RACT2.XLS";#N/A,#N/A,FALSE,"ECCMP";#N/A,#N/A,FALSE,"WELDER.XLS"}</definedName>
    <definedName name="_____q2_2" hidden="1">{#N/A,#N/A,FALSE,"COVER1.XLS ";#N/A,#N/A,FALSE,"RACT1.XLS";#N/A,#N/A,FALSE,"RACT2.XLS";#N/A,#N/A,FALSE,"ECCMP";#N/A,#N/A,FALSE,"WELDER.XLS"}</definedName>
    <definedName name="_____q2_3" hidden="1">{#N/A,#N/A,FALSE,"COVER1.XLS ";#N/A,#N/A,FALSE,"RACT1.XLS";#N/A,#N/A,FALSE,"RACT2.XLS";#N/A,#N/A,FALSE,"ECCMP";#N/A,#N/A,FALSE,"WELDER.XLS"}</definedName>
    <definedName name="_____q2_4" hidden="1">{#N/A,#N/A,FALSE,"COVER1.XLS ";#N/A,#N/A,FALSE,"RACT1.XLS";#N/A,#N/A,FALSE,"RACT2.XLS";#N/A,#N/A,FALSE,"ECCMP";#N/A,#N/A,FALSE,"WELDER.XLS"}</definedName>
    <definedName name="_____q2_5" hidden="1">{#N/A,#N/A,FALSE,"COVER1.XLS ";#N/A,#N/A,FALSE,"RACT1.XLS";#N/A,#N/A,FALSE,"RACT2.XLS";#N/A,#N/A,FALSE,"ECCMP";#N/A,#N/A,FALSE,"WELDER.XLS"}</definedName>
    <definedName name="_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r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r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r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r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tr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2" hidden="1">{#N/A,#N/A,FALSE,"17MAY";#N/A,#N/A,FALSE,"24MAY"}</definedName>
    <definedName name="_____w2_1" hidden="1">{#N/A,#N/A,FALSE,"17MAY";#N/A,#N/A,FALSE,"24MAY"}</definedName>
    <definedName name="_____w2_2" hidden="1">{#N/A,#N/A,FALSE,"17MAY";#N/A,#N/A,FALSE,"24MAY"}</definedName>
    <definedName name="_____w2_3" hidden="1">{#N/A,#N/A,FALSE,"17MAY";#N/A,#N/A,FALSE,"24MAY"}</definedName>
    <definedName name="_____w2_4" hidden="1">{#N/A,#N/A,FALSE,"17MAY";#N/A,#N/A,FALSE,"24MAY"}</definedName>
    <definedName name="_____w2_5" hidden="1">{#N/A,#N/A,FALSE,"17MAY";#N/A,#N/A,FALSE,"24MAY"}</definedName>
    <definedName name="_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rn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rn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rn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rn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rn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_WRN2" hidden="1">{#N/A,#N/A,FALSE,"COVER1.XLS ";#N/A,#N/A,FALSE,"RACT1.XLS";#N/A,#N/A,FALSE,"RACT2.XLS";#N/A,#N/A,FALSE,"ECCMP";#N/A,#N/A,FALSE,"WELDER.XLS"}</definedName>
    <definedName name="__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_dk1" hidden="1">{#N/A,#N/A,FALSE,"COVER.XLS";#N/A,#N/A,FALSE,"RACT1.XLS";#N/A,#N/A,FALSE,"RACT2.XLS";#N/A,#N/A,FALSE,"ECCMP";#N/A,#N/A,FALSE,"WELDER.XLS"}</definedName>
    <definedName name="____dk1_1" hidden="1">{#N/A,#N/A,FALSE,"COVER.XLS";#N/A,#N/A,FALSE,"RACT1.XLS";#N/A,#N/A,FALSE,"RACT2.XLS";#N/A,#N/A,FALSE,"ECCMP";#N/A,#N/A,FALSE,"WELDER.XLS"}</definedName>
    <definedName name="____dk1_2" hidden="1">{#N/A,#N/A,FALSE,"COVER.XLS";#N/A,#N/A,FALSE,"RACT1.XLS";#N/A,#N/A,FALSE,"RACT2.XLS";#N/A,#N/A,FALSE,"ECCMP";#N/A,#N/A,FALSE,"WELDER.XLS"}</definedName>
    <definedName name="____dk1_3" hidden="1">{#N/A,#N/A,FALSE,"COVER.XLS";#N/A,#N/A,FALSE,"RACT1.XLS";#N/A,#N/A,FALSE,"RACT2.XLS";#N/A,#N/A,FALSE,"ECCMP";#N/A,#N/A,FALSE,"WELDER.XLS"}</definedName>
    <definedName name="____dk1_4" hidden="1">{#N/A,#N/A,FALSE,"COVER.XLS";#N/A,#N/A,FALSE,"RACT1.XLS";#N/A,#N/A,FALSE,"RACT2.XLS";#N/A,#N/A,FALSE,"ECCMP";#N/A,#N/A,FALSE,"WELDER.XLS"}</definedName>
    <definedName name="____dk1_5" hidden="1">{#N/A,#N/A,FALSE,"COVER.XLS";#N/A,#N/A,FALSE,"RACT1.XLS";#N/A,#N/A,FALSE,"RACT2.XLS";#N/A,#N/A,FALSE,"ECCMP";#N/A,#N/A,FALSE,"WELDER.XLS"}</definedName>
    <definedName name="____k8" hidden="1">{#N/A,#N/A,FALSE,"COVER1.XLS ";#N/A,#N/A,FALSE,"RACT1.XLS";#N/A,#N/A,FALSE,"RACT2.XLS";#N/A,#N/A,FALSE,"ECCMP";#N/A,#N/A,FALSE,"WELDER.XLS"}</definedName>
    <definedName name="____k8_1" hidden="1">{#N/A,#N/A,FALSE,"COVER1.XLS ";#N/A,#N/A,FALSE,"RACT1.XLS";#N/A,#N/A,FALSE,"RACT2.XLS";#N/A,#N/A,FALSE,"ECCMP";#N/A,#N/A,FALSE,"WELDER.XLS"}</definedName>
    <definedName name="____k8_2" hidden="1">{#N/A,#N/A,FALSE,"COVER1.XLS ";#N/A,#N/A,FALSE,"RACT1.XLS";#N/A,#N/A,FALSE,"RACT2.XLS";#N/A,#N/A,FALSE,"ECCMP";#N/A,#N/A,FALSE,"WELDER.XLS"}</definedName>
    <definedName name="____k8_3" hidden="1">{#N/A,#N/A,FALSE,"COVER1.XLS ";#N/A,#N/A,FALSE,"RACT1.XLS";#N/A,#N/A,FALSE,"RACT2.XLS";#N/A,#N/A,FALSE,"ECCMP";#N/A,#N/A,FALSE,"WELDER.XLS"}</definedName>
    <definedName name="____k8_4" hidden="1">{#N/A,#N/A,FALSE,"COVER1.XLS ";#N/A,#N/A,FALSE,"RACT1.XLS";#N/A,#N/A,FALSE,"RACT2.XLS";#N/A,#N/A,FALSE,"ECCMP";#N/A,#N/A,FALSE,"WELDER.XLS"}</definedName>
    <definedName name="____k8_5" hidden="1">{#N/A,#N/A,FALSE,"COVER1.XLS ";#N/A,#N/A,FALSE,"RACT1.XLS";#N/A,#N/A,FALSE,"RACT2.XLS";#N/A,#N/A,FALSE,"ECCMP";#N/A,#N/A,FALSE,"WELDER.XLS"}</definedName>
    <definedName name="____kv2" hidden="1">{#N/A,#N/A,FALSE,"COVER1.XLS ";#N/A,#N/A,FALSE,"RACT1.XLS";#N/A,#N/A,FALSE,"RACT2.XLS";#N/A,#N/A,FALSE,"ECCMP";#N/A,#N/A,FALSE,"WELDER.XLS"}</definedName>
    <definedName name="____kvs1" hidden="1">{#N/A,#N/A,FALSE,"COVER1.XLS ";#N/A,#N/A,FALSE,"RACT1.XLS";#N/A,#N/A,FALSE,"RACT2.XLS";#N/A,#N/A,FALSE,"ECCMP";#N/A,#N/A,FALSE,"WELDER.XLS"}</definedName>
    <definedName name="____kvs1_1" hidden="1">{#N/A,#N/A,FALSE,"COVER1.XLS ";#N/A,#N/A,FALSE,"RACT1.XLS";#N/A,#N/A,FALSE,"RACT2.XLS";#N/A,#N/A,FALSE,"ECCMP";#N/A,#N/A,FALSE,"WELDER.XLS"}</definedName>
    <definedName name="____kvs1_2" hidden="1">{#N/A,#N/A,FALSE,"COVER1.XLS ";#N/A,#N/A,FALSE,"RACT1.XLS";#N/A,#N/A,FALSE,"RACT2.XLS";#N/A,#N/A,FALSE,"ECCMP";#N/A,#N/A,FALSE,"WELDER.XLS"}</definedName>
    <definedName name="____kvs1_3" hidden="1">{#N/A,#N/A,FALSE,"COVER1.XLS ";#N/A,#N/A,FALSE,"RACT1.XLS";#N/A,#N/A,FALSE,"RACT2.XLS";#N/A,#N/A,FALSE,"ECCMP";#N/A,#N/A,FALSE,"WELDER.XLS"}</definedName>
    <definedName name="____kvs1_4" hidden="1">{#N/A,#N/A,FALSE,"COVER1.XLS ";#N/A,#N/A,FALSE,"RACT1.XLS";#N/A,#N/A,FALSE,"RACT2.XLS";#N/A,#N/A,FALSE,"ECCMP";#N/A,#N/A,FALSE,"WELDER.XLS"}</definedName>
    <definedName name="____kvs1_5" hidden="1">{#N/A,#N/A,FALSE,"COVER1.XLS ";#N/A,#N/A,FALSE,"RACT1.XLS";#N/A,#N/A,FALSE,"RACT2.XLS";#N/A,#N/A,FALSE,"ECCMP";#N/A,#N/A,FALSE,"WELDER.XLS"}</definedName>
    <definedName name="____kvs2" hidden="1">{#N/A,#N/A,FALSE,"COVER1.XLS ";#N/A,#N/A,FALSE,"RACT1.XLS";#N/A,#N/A,FALSE,"RACT2.XLS";#N/A,#N/A,FALSE,"ECCMP";#N/A,#N/A,FALSE,"WELDER.XLS"}</definedName>
    <definedName name="____kvs2_1" hidden="1">{#N/A,#N/A,FALSE,"COVER1.XLS ";#N/A,#N/A,FALSE,"RACT1.XLS";#N/A,#N/A,FALSE,"RACT2.XLS";#N/A,#N/A,FALSE,"ECCMP";#N/A,#N/A,FALSE,"WELDER.XLS"}</definedName>
    <definedName name="____kvs2_2" hidden="1">{#N/A,#N/A,FALSE,"COVER1.XLS ";#N/A,#N/A,FALSE,"RACT1.XLS";#N/A,#N/A,FALSE,"RACT2.XLS";#N/A,#N/A,FALSE,"ECCMP";#N/A,#N/A,FALSE,"WELDER.XLS"}</definedName>
    <definedName name="____kvs2_3" hidden="1">{#N/A,#N/A,FALSE,"COVER1.XLS ";#N/A,#N/A,FALSE,"RACT1.XLS";#N/A,#N/A,FALSE,"RACT2.XLS";#N/A,#N/A,FALSE,"ECCMP";#N/A,#N/A,FALSE,"WELDER.XLS"}</definedName>
    <definedName name="____kvs2_4" hidden="1">{#N/A,#N/A,FALSE,"COVER1.XLS ";#N/A,#N/A,FALSE,"RACT1.XLS";#N/A,#N/A,FALSE,"RACT2.XLS";#N/A,#N/A,FALSE,"ECCMP";#N/A,#N/A,FALSE,"WELDER.XLS"}</definedName>
    <definedName name="____kvs2_5" hidden="1">{#N/A,#N/A,FALSE,"COVER1.XLS ";#N/A,#N/A,FALSE,"RACT1.XLS";#N/A,#N/A,FALSE,"RACT2.XLS";#N/A,#N/A,FALSE,"ECCMP";#N/A,#N/A,FALSE,"WELDER.XLS"}</definedName>
    <definedName name="____kvs5" hidden="1">{#N/A,#N/A,FALSE,"COVER.XLS";#N/A,#N/A,FALSE,"RACT1.XLS";#N/A,#N/A,FALSE,"RACT2.XLS";#N/A,#N/A,FALSE,"ECCMP";#N/A,#N/A,FALSE,"WELDER.XLS"}</definedName>
    <definedName name="____kvs5_1" hidden="1">{#N/A,#N/A,FALSE,"COVER.XLS";#N/A,#N/A,FALSE,"RACT1.XLS";#N/A,#N/A,FALSE,"RACT2.XLS";#N/A,#N/A,FALSE,"ECCMP";#N/A,#N/A,FALSE,"WELDER.XLS"}</definedName>
    <definedName name="____kvs5_2" hidden="1">{#N/A,#N/A,FALSE,"COVER.XLS";#N/A,#N/A,FALSE,"RACT1.XLS";#N/A,#N/A,FALSE,"RACT2.XLS";#N/A,#N/A,FALSE,"ECCMP";#N/A,#N/A,FALSE,"WELDER.XLS"}</definedName>
    <definedName name="____kvs5_3" hidden="1">{#N/A,#N/A,FALSE,"COVER.XLS";#N/A,#N/A,FALSE,"RACT1.XLS";#N/A,#N/A,FALSE,"RACT2.XLS";#N/A,#N/A,FALSE,"ECCMP";#N/A,#N/A,FALSE,"WELDER.XLS"}</definedName>
    <definedName name="____kvs5_4" hidden="1">{#N/A,#N/A,FALSE,"COVER.XLS";#N/A,#N/A,FALSE,"RACT1.XLS";#N/A,#N/A,FALSE,"RACT2.XLS";#N/A,#N/A,FALSE,"ECCMP";#N/A,#N/A,FALSE,"WELDER.XLS"}</definedName>
    <definedName name="____kvs5_5" hidden="1">{#N/A,#N/A,FALSE,"COVER.XLS";#N/A,#N/A,FALSE,"RACT1.XLS";#N/A,#N/A,FALSE,"RACT2.XLS";#N/A,#N/A,FALSE,"ECCMP";#N/A,#N/A,FALSE,"WELDER.XLS"}</definedName>
    <definedName name="____kvs7" hidden="1">{#N/A,#N/A,FALSE,"COVER1.XLS ";#N/A,#N/A,FALSE,"RACT1.XLS";#N/A,#N/A,FALSE,"RACT2.XLS";#N/A,#N/A,FALSE,"ECCMP";#N/A,#N/A,FALSE,"WELDER.XLS"}</definedName>
    <definedName name="____kvs7_1" hidden="1">{#N/A,#N/A,FALSE,"COVER1.XLS ";#N/A,#N/A,FALSE,"RACT1.XLS";#N/A,#N/A,FALSE,"RACT2.XLS";#N/A,#N/A,FALSE,"ECCMP";#N/A,#N/A,FALSE,"WELDER.XLS"}</definedName>
    <definedName name="____kvs7_2" hidden="1">{#N/A,#N/A,FALSE,"COVER1.XLS ";#N/A,#N/A,FALSE,"RACT1.XLS";#N/A,#N/A,FALSE,"RACT2.XLS";#N/A,#N/A,FALSE,"ECCMP";#N/A,#N/A,FALSE,"WELDER.XLS"}</definedName>
    <definedName name="____kvs7_3" hidden="1">{#N/A,#N/A,FALSE,"COVER1.XLS ";#N/A,#N/A,FALSE,"RACT1.XLS";#N/A,#N/A,FALSE,"RACT2.XLS";#N/A,#N/A,FALSE,"ECCMP";#N/A,#N/A,FALSE,"WELDER.XLS"}</definedName>
    <definedName name="____kvs7_4" hidden="1">{#N/A,#N/A,FALSE,"COVER1.XLS ";#N/A,#N/A,FALSE,"RACT1.XLS";#N/A,#N/A,FALSE,"RACT2.XLS";#N/A,#N/A,FALSE,"ECCMP";#N/A,#N/A,FALSE,"WELDER.XLS"}</definedName>
    <definedName name="____kvs7_5" hidden="1">{#N/A,#N/A,FALSE,"COVER1.XLS ";#N/A,#N/A,FALSE,"RACT1.XLS";#N/A,#N/A,FALSE,"RACT2.XLS";#N/A,#N/A,FALSE,"ECCMP";#N/A,#N/A,FALSE,"WELDER.XLS"}</definedName>
    <definedName name="____kvs8" hidden="1">{#N/A,#N/A,FALSE,"COVER1.XLS ";#N/A,#N/A,FALSE,"RACT1.XLS";#N/A,#N/A,FALSE,"RACT2.XLS";#N/A,#N/A,FALSE,"ECCMP";#N/A,#N/A,FALSE,"WELDER.XLS"}</definedName>
    <definedName name="____kvs8_1" hidden="1">{#N/A,#N/A,FALSE,"COVER1.XLS ";#N/A,#N/A,FALSE,"RACT1.XLS";#N/A,#N/A,FALSE,"RACT2.XLS";#N/A,#N/A,FALSE,"ECCMP";#N/A,#N/A,FALSE,"WELDER.XLS"}</definedName>
    <definedName name="____kvs8_2" hidden="1">{#N/A,#N/A,FALSE,"COVER1.XLS ";#N/A,#N/A,FALSE,"RACT1.XLS";#N/A,#N/A,FALSE,"RACT2.XLS";#N/A,#N/A,FALSE,"ECCMP";#N/A,#N/A,FALSE,"WELDER.XLS"}</definedName>
    <definedName name="____kvs8_3" hidden="1">{#N/A,#N/A,FALSE,"COVER1.XLS ";#N/A,#N/A,FALSE,"RACT1.XLS";#N/A,#N/A,FALSE,"RACT2.XLS";#N/A,#N/A,FALSE,"ECCMP";#N/A,#N/A,FALSE,"WELDER.XLS"}</definedName>
    <definedName name="____kvs8_4" hidden="1">{#N/A,#N/A,FALSE,"COVER1.XLS ";#N/A,#N/A,FALSE,"RACT1.XLS";#N/A,#N/A,FALSE,"RACT2.XLS";#N/A,#N/A,FALSE,"ECCMP";#N/A,#N/A,FALSE,"WELDER.XLS"}</definedName>
    <definedName name="____kvs8_5" hidden="1">{#N/A,#N/A,FALSE,"COVER1.XLS ";#N/A,#N/A,FALSE,"RACT1.XLS";#N/A,#N/A,FALSE,"RACT2.XLS";#N/A,#N/A,FALSE,"ECCMP";#N/A,#N/A,FALSE,"WELDER.XLS"}</definedName>
    <definedName name="____KVS9" hidden="1">{#N/A,#N/A,FALSE,"COVER1.XLS ";#N/A,#N/A,FALSE,"RACT1.XLS";#N/A,#N/A,FALSE,"RACT2.XLS";#N/A,#N/A,FALSE,"ECCMP";#N/A,#N/A,FALSE,"WELDER.XLS"}</definedName>
    <definedName name="____KVS9_1" hidden="1">{#N/A,#N/A,FALSE,"COVER1.XLS ";#N/A,#N/A,FALSE,"RACT1.XLS";#N/A,#N/A,FALSE,"RACT2.XLS";#N/A,#N/A,FALSE,"ECCMP";#N/A,#N/A,FALSE,"WELDER.XLS"}</definedName>
    <definedName name="____KVS9_2" hidden="1">{#N/A,#N/A,FALSE,"COVER1.XLS ";#N/A,#N/A,FALSE,"RACT1.XLS";#N/A,#N/A,FALSE,"RACT2.XLS";#N/A,#N/A,FALSE,"ECCMP";#N/A,#N/A,FALSE,"WELDER.XLS"}</definedName>
    <definedName name="____KVS9_3" hidden="1">{#N/A,#N/A,FALSE,"COVER1.XLS ";#N/A,#N/A,FALSE,"RACT1.XLS";#N/A,#N/A,FALSE,"RACT2.XLS";#N/A,#N/A,FALSE,"ECCMP";#N/A,#N/A,FALSE,"WELDER.XLS"}</definedName>
    <definedName name="____KVS9_4" hidden="1">{#N/A,#N/A,FALSE,"COVER1.XLS ";#N/A,#N/A,FALSE,"RACT1.XLS";#N/A,#N/A,FALSE,"RACT2.XLS";#N/A,#N/A,FALSE,"ECCMP";#N/A,#N/A,FALSE,"WELDER.XLS"}</definedName>
    <definedName name="____KVS9_5" hidden="1">{#N/A,#N/A,FALSE,"COVER1.XLS ";#N/A,#N/A,FALSE,"RACT1.XLS";#N/A,#N/A,FALSE,"RACT2.XLS";#N/A,#N/A,FALSE,"ECCMP";#N/A,#N/A,FALSE,"WELDER.XLS"}</definedName>
    <definedName name="_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lk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ns1" hidden="1">{#N/A,#N/A,FALSE,"COVER1.XLS ";#N/A,#N/A,FALSE,"RACT1.XLS";#N/A,#N/A,FALSE,"RACT2.XLS";#N/A,#N/A,FALSE,"ECCMP";#N/A,#N/A,FALSE,"WELDER.XLS"}</definedName>
    <definedName name="____ns1_1" hidden="1">{#N/A,#N/A,FALSE,"COVER1.XLS ";#N/A,#N/A,FALSE,"RACT1.XLS";#N/A,#N/A,FALSE,"RACT2.XLS";#N/A,#N/A,FALSE,"ECCMP";#N/A,#N/A,FALSE,"WELDER.XLS"}</definedName>
    <definedName name="____ns1_2" hidden="1">{#N/A,#N/A,FALSE,"COVER1.XLS ";#N/A,#N/A,FALSE,"RACT1.XLS";#N/A,#N/A,FALSE,"RACT2.XLS";#N/A,#N/A,FALSE,"ECCMP";#N/A,#N/A,FALSE,"WELDER.XLS"}</definedName>
    <definedName name="____ns1_3" hidden="1">{#N/A,#N/A,FALSE,"COVER1.XLS ";#N/A,#N/A,FALSE,"RACT1.XLS";#N/A,#N/A,FALSE,"RACT2.XLS";#N/A,#N/A,FALSE,"ECCMP";#N/A,#N/A,FALSE,"WELDER.XLS"}</definedName>
    <definedName name="____ns1_4" hidden="1">{#N/A,#N/A,FALSE,"COVER1.XLS ";#N/A,#N/A,FALSE,"RACT1.XLS";#N/A,#N/A,FALSE,"RACT2.XLS";#N/A,#N/A,FALSE,"ECCMP";#N/A,#N/A,FALSE,"WELDER.XLS"}</definedName>
    <definedName name="____ns1_5" hidden="1">{#N/A,#N/A,FALSE,"COVER1.XLS ";#N/A,#N/A,FALSE,"RACT1.XLS";#N/A,#N/A,FALSE,"RACT2.XLS";#N/A,#N/A,FALSE,"ECCMP";#N/A,#N/A,FALSE,"WELDER.XLS"}</definedName>
    <definedName name="____PRN1" hidden="1">{#N/A,#N/A,FALSE,"COVER.XLS";#N/A,#N/A,FALSE,"RACT1.XLS";#N/A,#N/A,FALSE,"RACT2.XLS";#N/A,#N/A,FALSE,"ECCMP";#N/A,#N/A,FALSE,"WELDER.XLS"}</definedName>
    <definedName name="____q2" hidden="1">{#N/A,#N/A,FALSE,"COVER1.XLS ";#N/A,#N/A,FALSE,"RACT1.XLS";#N/A,#N/A,FALSE,"RACT2.XLS";#N/A,#N/A,FALSE,"ECCMP";#N/A,#N/A,FALSE,"WELDER.XLS"}</definedName>
    <definedName name="____q2_1" hidden="1">{#N/A,#N/A,FALSE,"COVER1.XLS ";#N/A,#N/A,FALSE,"RACT1.XLS";#N/A,#N/A,FALSE,"RACT2.XLS";#N/A,#N/A,FALSE,"ECCMP";#N/A,#N/A,FALSE,"WELDER.XLS"}</definedName>
    <definedName name="____q2_2" hidden="1">{#N/A,#N/A,FALSE,"COVER1.XLS ";#N/A,#N/A,FALSE,"RACT1.XLS";#N/A,#N/A,FALSE,"RACT2.XLS";#N/A,#N/A,FALSE,"ECCMP";#N/A,#N/A,FALSE,"WELDER.XLS"}</definedName>
    <definedName name="____q2_3" hidden="1">{#N/A,#N/A,FALSE,"COVER1.XLS ";#N/A,#N/A,FALSE,"RACT1.XLS";#N/A,#N/A,FALSE,"RACT2.XLS";#N/A,#N/A,FALSE,"ECCMP";#N/A,#N/A,FALSE,"WELDER.XLS"}</definedName>
    <definedName name="____q2_4" hidden="1">{#N/A,#N/A,FALSE,"COVER1.XLS ";#N/A,#N/A,FALSE,"RACT1.XLS";#N/A,#N/A,FALSE,"RACT2.XLS";#N/A,#N/A,FALSE,"ECCMP";#N/A,#N/A,FALSE,"WELDER.XLS"}</definedName>
    <definedName name="____q2_5" hidden="1">{#N/A,#N/A,FALSE,"COVER1.XLS ";#N/A,#N/A,FALSE,"RACT1.XLS";#N/A,#N/A,FALSE,"RACT2.XLS";#N/A,#N/A,FALSE,"ECCMP";#N/A,#N/A,FALSE,"WELDER.XLS"}</definedName>
    <definedName name="_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tr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2" hidden="1">{#N/A,#N/A,FALSE,"17MAY";#N/A,#N/A,FALSE,"24MAY"}</definedName>
    <definedName name="____w2_1" hidden="1">{#N/A,#N/A,FALSE,"17MAY";#N/A,#N/A,FALSE,"24MAY"}</definedName>
    <definedName name="____w2_2" hidden="1">{#N/A,#N/A,FALSE,"17MAY";#N/A,#N/A,FALSE,"24MAY"}</definedName>
    <definedName name="____w2_3" hidden="1">{#N/A,#N/A,FALSE,"17MAY";#N/A,#N/A,FALSE,"24MAY"}</definedName>
    <definedName name="____w2_4" hidden="1">{#N/A,#N/A,FALSE,"17MAY";#N/A,#N/A,FALSE,"24MAY"}</definedName>
    <definedName name="____w2_5" hidden="1">{#N/A,#N/A,FALSE,"17MAY";#N/A,#N/A,FALSE,"24MAY"}</definedName>
    <definedName name="_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rn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rn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rn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rn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rn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_WRN2" hidden="1">{#N/A,#N/A,FALSE,"COVER1.XLS ";#N/A,#N/A,FALSE,"RACT1.XLS";#N/A,#N/A,FALSE,"RACT2.XLS";#N/A,#N/A,FALSE,"ECCMP";#N/A,#N/A,FALSE,"WELDER.XLS"}</definedName>
    <definedName name="_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_dk1" hidden="1">{#N/A,#N/A,FALSE,"COVER.XLS";#N/A,#N/A,FALSE,"RACT1.XLS";#N/A,#N/A,FALSE,"RACT2.XLS";#N/A,#N/A,FALSE,"ECCMP";#N/A,#N/A,FALSE,"WELDER.XLS"}</definedName>
    <definedName name="___dk1_1" hidden="1">{#N/A,#N/A,FALSE,"COVER.XLS";#N/A,#N/A,FALSE,"RACT1.XLS";#N/A,#N/A,FALSE,"RACT2.XLS";#N/A,#N/A,FALSE,"ECCMP";#N/A,#N/A,FALSE,"WELDER.XLS"}</definedName>
    <definedName name="___dk1_2" hidden="1">{#N/A,#N/A,FALSE,"COVER.XLS";#N/A,#N/A,FALSE,"RACT1.XLS";#N/A,#N/A,FALSE,"RACT2.XLS";#N/A,#N/A,FALSE,"ECCMP";#N/A,#N/A,FALSE,"WELDER.XLS"}</definedName>
    <definedName name="___dk1_3" hidden="1">{#N/A,#N/A,FALSE,"COVER.XLS";#N/A,#N/A,FALSE,"RACT1.XLS";#N/A,#N/A,FALSE,"RACT2.XLS";#N/A,#N/A,FALSE,"ECCMP";#N/A,#N/A,FALSE,"WELDER.XLS"}</definedName>
    <definedName name="___dk1_4" hidden="1">{#N/A,#N/A,FALSE,"COVER.XLS";#N/A,#N/A,FALSE,"RACT1.XLS";#N/A,#N/A,FALSE,"RACT2.XLS";#N/A,#N/A,FALSE,"ECCMP";#N/A,#N/A,FALSE,"WELDER.XLS"}</definedName>
    <definedName name="___dk1_5" hidden="1">{#N/A,#N/A,FALSE,"COVER.XLS";#N/A,#N/A,FALSE,"RACT1.XLS";#N/A,#N/A,FALSE,"RACT2.XLS";#N/A,#N/A,FALSE,"ECCMP";#N/A,#N/A,FALSE,"WELDER.XLS"}</definedName>
    <definedName name="___k8" hidden="1">{#N/A,#N/A,FALSE,"COVER1.XLS ";#N/A,#N/A,FALSE,"RACT1.XLS";#N/A,#N/A,FALSE,"RACT2.XLS";#N/A,#N/A,FALSE,"ECCMP";#N/A,#N/A,FALSE,"WELDER.XLS"}</definedName>
    <definedName name="___k8_1" hidden="1">{#N/A,#N/A,FALSE,"COVER1.XLS ";#N/A,#N/A,FALSE,"RACT1.XLS";#N/A,#N/A,FALSE,"RACT2.XLS";#N/A,#N/A,FALSE,"ECCMP";#N/A,#N/A,FALSE,"WELDER.XLS"}</definedName>
    <definedName name="___k8_2" hidden="1">{#N/A,#N/A,FALSE,"COVER1.XLS ";#N/A,#N/A,FALSE,"RACT1.XLS";#N/A,#N/A,FALSE,"RACT2.XLS";#N/A,#N/A,FALSE,"ECCMP";#N/A,#N/A,FALSE,"WELDER.XLS"}</definedName>
    <definedName name="___k8_3" hidden="1">{#N/A,#N/A,FALSE,"COVER1.XLS ";#N/A,#N/A,FALSE,"RACT1.XLS";#N/A,#N/A,FALSE,"RACT2.XLS";#N/A,#N/A,FALSE,"ECCMP";#N/A,#N/A,FALSE,"WELDER.XLS"}</definedName>
    <definedName name="___k8_4" hidden="1">{#N/A,#N/A,FALSE,"COVER1.XLS ";#N/A,#N/A,FALSE,"RACT1.XLS";#N/A,#N/A,FALSE,"RACT2.XLS";#N/A,#N/A,FALSE,"ECCMP";#N/A,#N/A,FALSE,"WELDER.XLS"}</definedName>
    <definedName name="___k8_5" hidden="1">{#N/A,#N/A,FALSE,"COVER1.XLS ";#N/A,#N/A,FALSE,"RACT1.XLS";#N/A,#N/A,FALSE,"RACT2.XLS";#N/A,#N/A,FALSE,"ECCMP";#N/A,#N/A,FALSE,"WELDER.XLS"}</definedName>
    <definedName name="___kv2" hidden="1">{#N/A,#N/A,FALSE,"COVER1.XLS ";#N/A,#N/A,FALSE,"RACT1.XLS";#N/A,#N/A,FALSE,"RACT2.XLS";#N/A,#N/A,FALSE,"ECCMP";#N/A,#N/A,FALSE,"WELDER.XLS"}</definedName>
    <definedName name="___kvs1" hidden="1">{#N/A,#N/A,FALSE,"COVER1.XLS ";#N/A,#N/A,FALSE,"RACT1.XLS";#N/A,#N/A,FALSE,"RACT2.XLS";#N/A,#N/A,FALSE,"ECCMP";#N/A,#N/A,FALSE,"WELDER.XLS"}</definedName>
    <definedName name="___kvs1_1" hidden="1">{#N/A,#N/A,FALSE,"COVER1.XLS ";#N/A,#N/A,FALSE,"RACT1.XLS";#N/A,#N/A,FALSE,"RACT2.XLS";#N/A,#N/A,FALSE,"ECCMP";#N/A,#N/A,FALSE,"WELDER.XLS"}</definedName>
    <definedName name="___kvs1_2" hidden="1">{#N/A,#N/A,FALSE,"COVER1.XLS ";#N/A,#N/A,FALSE,"RACT1.XLS";#N/A,#N/A,FALSE,"RACT2.XLS";#N/A,#N/A,FALSE,"ECCMP";#N/A,#N/A,FALSE,"WELDER.XLS"}</definedName>
    <definedName name="___kvs1_3" hidden="1">{#N/A,#N/A,FALSE,"COVER1.XLS ";#N/A,#N/A,FALSE,"RACT1.XLS";#N/A,#N/A,FALSE,"RACT2.XLS";#N/A,#N/A,FALSE,"ECCMP";#N/A,#N/A,FALSE,"WELDER.XLS"}</definedName>
    <definedName name="___kvs1_4" hidden="1">{#N/A,#N/A,FALSE,"COVER1.XLS ";#N/A,#N/A,FALSE,"RACT1.XLS";#N/A,#N/A,FALSE,"RACT2.XLS";#N/A,#N/A,FALSE,"ECCMP";#N/A,#N/A,FALSE,"WELDER.XLS"}</definedName>
    <definedName name="___kvs1_5" hidden="1">{#N/A,#N/A,FALSE,"COVER1.XLS ";#N/A,#N/A,FALSE,"RACT1.XLS";#N/A,#N/A,FALSE,"RACT2.XLS";#N/A,#N/A,FALSE,"ECCMP";#N/A,#N/A,FALSE,"WELDER.XLS"}</definedName>
    <definedName name="___kvs2" hidden="1">{#N/A,#N/A,FALSE,"COVER1.XLS ";#N/A,#N/A,FALSE,"RACT1.XLS";#N/A,#N/A,FALSE,"RACT2.XLS";#N/A,#N/A,FALSE,"ECCMP";#N/A,#N/A,FALSE,"WELDER.XLS"}</definedName>
    <definedName name="___kvs2_1" hidden="1">{#N/A,#N/A,FALSE,"COVER1.XLS ";#N/A,#N/A,FALSE,"RACT1.XLS";#N/A,#N/A,FALSE,"RACT2.XLS";#N/A,#N/A,FALSE,"ECCMP";#N/A,#N/A,FALSE,"WELDER.XLS"}</definedName>
    <definedName name="___kvs2_2" hidden="1">{#N/A,#N/A,FALSE,"COVER1.XLS ";#N/A,#N/A,FALSE,"RACT1.XLS";#N/A,#N/A,FALSE,"RACT2.XLS";#N/A,#N/A,FALSE,"ECCMP";#N/A,#N/A,FALSE,"WELDER.XLS"}</definedName>
    <definedName name="___kvs2_3" hidden="1">{#N/A,#N/A,FALSE,"COVER1.XLS ";#N/A,#N/A,FALSE,"RACT1.XLS";#N/A,#N/A,FALSE,"RACT2.XLS";#N/A,#N/A,FALSE,"ECCMP";#N/A,#N/A,FALSE,"WELDER.XLS"}</definedName>
    <definedName name="___kvs2_4" hidden="1">{#N/A,#N/A,FALSE,"COVER1.XLS ";#N/A,#N/A,FALSE,"RACT1.XLS";#N/A,#N/A,FALSE,"RACT2.XLS";#N/A,#N/A,FALSE,"ECCMP";#N/A,#N/A,FALSE,"WELDER.XLS"}</definedName>
    <definedName name="___kvs2_5" hidden="1">{#N/A,#N/A,FALSE,"COVER1.XLS ";#N/A,#N/A,FALSE,"RACT1.XLS";#N/A,#N/A,FALSE,"RACT2.XLS";#N/A,#N/A,FALSE,"ECCMP";#N/A,#N/A,FALSE,"WELDER.XLS"}</definedName>
    <definedName name="___kvs5" hidden="1">{#N/A,#N/A,FALSE,"COVER.XLS";#N/A,#N/A,FALSE,"RACT1.XLS";#N/A,#N/A,FALSE,"RACT2.XLS";#N/A,#N/A,FALSE,"ECCMP";#N/A,#N/A,FALSE,"WELDER.XLS"}</definedName>
    <definedName name="___kvs5_1" hidden="1">{#N/A,#N/A,FALSE,"COVER.XLS";#N/A,#N/A,FALSE,"RACT1.XLS";#N/A,#N/A,FALSE,"RACT2.XLS";#N/A,#N/A,FALSE,"ECCMP";#N/A,#N/A,FALSE,"WELDER.XLS"}</definedName>
    <definedName name="___kvs5_2" hidden="1">{#N/A,#N/A,FALSE,"COVER.XLS";#N/A,#N/A,FALSE,"RACT1.XLS";#N/A,#N/A,FALSE,"RACT2.XLS";#N/A,#N/A,FALSE,"ECCMP";#N/A,#N/A,FALSE,"WELDER.XLS"}</definedName>
    <definedName name="___kvs5_3" hidden="1">{#N/A,#N/A,FALSE,"COVER.XLS";#N/A,#N/A,FALSE,"RACT1.XLS";#N/A,#N/A,FALSE,"RACT2.XLS";#N/A,#N/A,FALSE,"ECCMP";#N/A,#N/A,FALSE,"WELDER.XLS"}</definedName>
    <definedName name="___kvs5_4" hidden="1">{#N/A,#N/A,FALSE,"COVER.XLS";#N/A,#N/A,FALSE,"RACT1.XLS";#N/A,#N/A,FALSE,"RACT2.XLS";#N/A,#N/A,FALSE,"ECCMP";#N/A,#N/A,FALSE,"WELDER.XLS"}</definedName>
    <definedName name="___kvs5_5" hidden="1">{#N/A,#N/A,FALSE,"COVER.XLS";#N/A,#N/A,FALSE,"RACT1.XLS";#N/A,#N/A,FALSE,"RACT2.XLS";#N/A,#N/A,FALSE,"ECCMP";#N/A,#N/A,FALSE,"WELDER.XLS"}</definedName>
    <definedName name="___kvs7" hidden="1">{#N/A,#N/A,FALSE,"COVER1.XLS ";#N/A,#N/A,FALSE,"RACT1.XLS";#N/A,#N/A,FALSE,"RACT2.XLS";#N/A,#N/A,FALSE,"ECCMP";#N/A,#N/A,FALSE,"WELDER.XLS"}</definedName>
    <definedName name="___kvs7_1" hidden="1">{#N/A,#N/A,FALSE,"COVER1.XLS ";#N/A,#N/A,FALSE,"RACT1.XLS";#N/A,#N/A,FALSE,"RACT2.XLS";#N/A,#N/A,FALSE,"ECCMP";#N/A,#N/A,FALSE,"WELDER.XLS"}</definedName>
    <definedName name="___kvs7_2" hidden="1">{#N/A,#N/A,FALSE,"COVER1.XLS ";#N/A,#N/A,FALSE,"RACT1.XLS";#N/A,#N/A,FALSE,"RACT2.XLS";#N/A,#N/A,FALSE,"ECCMP";#N/A,#N/A,FALSE,"WELDER.XLS"}</definedName>
    <definedName name="___kvs7_3" hidden="1">{#N/A,#N/A,FALSE,"COVER1.XLS ";#N/A,#N/A,FALSE,"RACT1.XLS";#N/A,#N/A,FALSE,"RACT2.XLS";#N/A,#N/A,FALSE,"ECCMP";#N/A,#N/A,FALSE,"WELDER.XLS"}</definedName>
    <definedName name="___kvs7_4" hidden="1">{#N/A,#N/A,FALSE,"COVER1.XLS ";#N/A,#N/A,FALSE,"RACT1.XLS";#N/A,#N/A,FALSE,"RACT2.XLS";#N/A,#N/A,FALSE,"ECCMP";#N/A,#N/A,FALSE,"WELDER.XLS"}</definedName>
    <definedName name="___kvs7_5" hidden="1">{#N/A,#N/A,FALSE,"COVER1.XLS ";#N/A,#N/A,FALSE,"RACT1.XLS";#N/A,#N/A,FALSE,"RACT2.XLS";#N/A,#N/A,FALSE,"ECCMP";#N/A,#N/A,FALSE,"WELDER.XLS"}</definedName>
    <definedName name="___kvs8" hidden="1">{#N/A,#N/A,FALSE,"COVER1.XLS ";#N/A,#N/A,FALSE,"RACT1.XLS";#N/A,#N/A,FALSE,"RACT2.XLS";#N/A,#N/A,FALSE,"ECCMP";#N/A,#N/A,FALSE,"WELDER.XLS"}</definedName>
    <definedName name="___kvs8_1" hidden="1">{#N/A,#N/A,FALSE,"COVER1.XLS ";#N/A,#N/A,FALSE,"RACT1.XLS";#N/A,#N/A,FALSE,"RACT2.XLS";#N/A,#N/A,FALSE,"ECCMP";#N/A,#N/A,FALSE,"WELDER.XLS"}</definedName>
    <definedName name="___kvs8_2" hidden="1">{#N/A,#N/A,FALSE,"COVER1.XLS ";#N/A,#N/A,FALSE,"RACT1.XLS";#N/A,#N/A,FALSE,"RACT2.XLS";#N/A,#N/A,FALSE,"ECCMP";#N/A,#N/A,FALSE,"WELDER.XLS"}</definedName>
    <definedName name="___kvs8_3" hidden="1">{#N/A,#N/A,FALSE,"COVER1.XLS ";#N/A,#N/A,FALSE,"RACT1.XLS";#N/A,#N/A,FALSE,"RACT2.XLS";#N/A,#N/A,FALSE,"ECCMP";#N/A,#N/A,FALSE,"WELDER.XLS"}</definedName>
    <definedName name="___kvs8_4" hidden="1">{#N/A,#N/A,FALSE,"COVER1.XLS ";#N/A,#N/A,FALSE,"RACT1.XLS";#N/A,#N/A,FALSE,"RACT2.XLS";#N/A,#N/A,FALSE,"ECCMP";#N/A,#N/A,FALSE,"WELDER.XLS"}</definedName>
    <definedName name="___kvs8_5" hidden="1">{#N/A,#N/A,FALSE,"COVER1.XLS ";#N/A,#N/A,FALSE,"RACT1.XLS";#N/A,#N/A,FALSE,"RACT2.XLS";#N/A,#N/A,FALSE,"ECCMP";#N/A,#N/A,FALSE,"WELDER.XLS"}</definedName>
    <definedName name="___KVS9" hidden="1">{#N/A,#N/A,FALSE,"COVER1.XLS ";#N/A,#N/A,FALSE,"RACT1.XLS";#N/A,#N/A,FALSE,"RACT2.XLS";#N/A,#N/A,FALSE,"ECCMP";#N/A,#N/A,FALSE,"WELDER.XLS"}</definedName>
    <definedName name="___KVS9_1" hidden="1">{#N/A,#N/A,FALSE,"COVER1.XLS ";#N/A,#N/A,FALSE,"RACT1.XLS";#N/A,#N/A,FALSE,"RACT2.XLS";#N/A,#N/A,FALSE,"ECCMP";#N/A,#N/A,FALSE,"WELDER.XLS"}</definedName>
    <definedName name="___KVS9_2" hidden="1">{#N/A,#N/A,FALSE,"COVER1.XLS ";#N/A,#N/A,FALSE,"RACT1.XLS";#N/A,#N/A,FALSE,"RACT2.XLS";#N/A,#N/A,FALSE,"ECCMP";#N/A,#N/A,FALSE,"WELDER.XLS"}</definedName>
    <definedName name="___KVS9_3" hidden="1">{#N/A,#N/A,FALSE,"COVER1.XLS ";#N/A,#N/A,FALSE,"RACT1.XLS";#N/A,#N/A,FALSE,"RACT2.XLS";#N/A,#N/A,FALSE,"ECCMP";#N/A,#N/A,FALSE,"WELDER.XLS"}</definedName>
    <definedName name="___KVS9_4" hidden="1">{#N/A,#N/A,FALSE,"COVER1.XLS ";#N/A,#N/A,FALSE,"RACT1.XLS";#N/A,#N/A,FALSE,"RACT2.XLS";#N/A,#N/A,FALSE,"ECCMP";#N/A,#N/A,FALSE,"WELDER.XLS"}</definedName>
    <definedName name="___KVS9_5" hidden="1">{#N/A,#N/A,FALSE,"COVER1.XLS ";#N/A,#N/A,FALSE,"RACT1.XLS";#N/A,#N/A,FALSE,"RACT2.XLS";#N/A,#N/A,FALSE,"ECCMP";#N/A,#N/A,FALSE,"WELDER.XLS"}</definedName>
    <definedName name="_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lk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ns1" hidden="1">{#N/A,#N/A,FALSE,"COVER1.XLS ";#N/A,#N/A,FALSE,"RACT1.XLS";#N/A,#N/A,FALSE,"RACT2.XLS";#N/A,#N/A,FALSE,"ECCMP";#N/A,#N/A,FALSE,"WELDER.XLS"}</definedName>
    <definedName name="___ns1_1" hidden="1">{#N/A,#N/A,FALSE,"COVER1.XLS ";#N/A,#N/A,FALSE,"RACT1.XLS";#N/A,#N/A,FALSE,"RACT2.XLS";#N/A,#N/A,FALSE,"ECCMP";#N/A,#N/A,FALSE,"WELDER.XLS"}</definedName>
    <definedName name="___ns1_2" hidden="1">{#N/A,#N/A,FALSE,"COVER1.XLS ";#N/A,#N/A,FALSE,"RACT1.XLS";#N/A,#N/A,FALSE,"RACT2.XLS";#N/A,#N/A,FALSE,"ECCMP";#N/A,#N/A,FALSE,"WELDER.XLS"}</definedName>
    <definedName name="___ns1_3" hidden="1">{#N/A,#N/A,FALSE,"COVER1.XLS ";#N/A,#N/A,FALSE,"RACT1.XLS";#N/A,#N/A,FALSE,"RACT2.XLS";#N/A,#N/A,FALSE,"ECCMP";#N/A,#N/A,FALSE,"WELDER.XLS"}</definedName>
    <definedName name="___ns1_4" hidden="1">{#N/A,#N/A,FALSE,"COVER1.XLS ";#N/A,#N/A,FALSE,"RACT1.XLS";#N/A,#N/A,FALSE,"RACT2.XLS";#N/A,#N/A,FALSE,"ECCMP";#N/A,#N/A,FALSE,"WELDER.XLS"}</definedName>
    <definedName name="___ns1_5" hidden="1">{#N/A,#N/A,FALSE,"COVER1.XLS ";#N/A,#N/A,FALSE,"RACT1.XLS";#N/A,#N/A,FALSE,"RACT2.XLS";#N/A,#N/A,FALSE,"ECCMP";#N/A,#N/A,FALSE,"WELDER.XLS"}</definedName>
    <definedName name="___PRN1" hidden="1">{#N/A,#N/A,FALSE,"COVER.XLS";#N/A,#N/A,FALSE,"RACT1.XLS";#N/A,#N/A,FALSE,"RACT2.XLS";#N/A,#N/A,FALSE,"ECCMP";#N/A,#N/A,FALSE,"WELDER.XLS"}</definedName>
    <definedName name="___q2" hidden="1">{#N/A,#N/A,FALSE,"COVER1.XLS ";#N/A,#N/A,FALSE,"RACT1.XLS";#N/A,#N/A,FALSE,"RACT2.XLS";#N/A,#N/A,FALSE,"ECCMP";#N/A,#N/A,FALSE,"WELDER.XLS"}</definedName>
    <definedName name="___q2_1" hidden="1">{#N/A,#N/A,FALSE,"COVER1.XLS ";#N/A,#N/A,FALSE,"RACT1.XLS";#N/A,#N/A,FALSE,"RACT2.XLS";#N/A,#N/A,FALSE,"ECCMP";#N/A,#N/A,FALSE,"WELDER.XLS"}</definedName>
    <definedName name="___q2_2" hidden="1">{#N/A,#N/A,FALSE,"COVER1.XLS ";#N/A,#N/A,FALSE,"RACT1.XLS";#N/A,#N/A,FALSE,"RACT2.XLS";#N/A,#N/A,FALSE,"ECCMP";#N/A,#N/A,FALSE,"WELDER.XLS"}</definedName>
    <definedName name="___q2_3" hidden="1">{#N/A,#N/A,FALSE,"COVER1.XLS ";#N/A,#N/A,FALSE,"RACT1.XLS";#N/A,#N/A,FALSE,"RACT2.XLS";#N/A,#N/A,FALSE,"ECCMP";#N/A,#N/A,FALSE,"WELDER.XLS"}</definedName>
    <definedName name="___q2_4" hidden="1">{#N/A,#N/A,FALSE,"COVER1.XLS ";#N/A,#N/A,FALSE,"RACT1.XLS";#N/A,#N/A,FALSE,"RACT2.XLS";#N/A,#N/A,FALSE,"ECCMP";#N/A,#N/A,FALSE,"WELDER.XLS"}</definedName>
    <definedName name="___q2_5" hidden="1">{#N/A,#N/A,FALSE,"COVER1.XLS ";#N/A,#N/A,FALSE,"RACT1.XLS";#N/A,#N/A,FALSE,"RACT2.XLS";#N/A,#N/A,FALSE,"ECCMP";#N/A,#N/A,FALSE,"WELDER.XLS"}</definedName>
    <definedName name="_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hinkcellM0YAAAAAAAABAAAAznM.vtrMCU2pnYQQreLI9Q" hidden="1">'[1]NPO - Model'!#REF!</definedName>
    <definedName name="_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r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r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r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r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tr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2" hidden="1">{#N/A,#N/A,FALSE,"17MAY";#N/A,#N/A,FALSE,"24MAY"}</definedName>
    <definedName name="___w2_1" hidden="1">{#N/A,#N/A,FALSE,"17MAY";#N/A,#N/A,FALSE,"24MAY"}</definedName>
    <definedName name="___w2_2" hidden="1">{#N/A,#N/A,FALSE,"17MAY";#N/A,#N/A,FALSE,"24MAY"}</definedName>
    <definedName name="___w2_3" hidden="1">{#N/A,#N/A,FALSE,"17MAY";#N/A,#N/A,FALSE,"24MAY"}</definedName>
    <definedName name="___w2_4" hidden="1">{#N/A,#N/A,FALSE,"17MAY";#N/A,#N/A,FALSE,"24MAY"}</definedName>
    <definedName name="___w2_5" hidden="1">{#N/A,#N/A,FALSE,"17MAY";#N/A,#N/A,FALSE,"24MAY"}</definedName>
    <definedName name="_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_WRN2" hidden="1">{#N/A,#N/A,FALSE,"COVER1.XLS ";#N/A,#N/A,FALSE,"RACT1.XLS";#N/A,#N/A,FALSE,"RACT2.XLS";#N/A,#N/A,FALSE,"ECCMP";#N/A,#N/A,FALSE,"WELDER.XLS"}</definedName>
    <definedName name="_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1__123Graph_ACHART_28" hidden="1">[2]B!$D$10:$U$10</definedName>
    <definedName name="__123Graph_A" hidden="1">[3]rate!#REF!</definedName>
    <definedName name="__123Graph_ACHART1" hidden="1">[3]rate!#REF!</definedName>
    <definedName name="__123Graph_ACHART2" hidden="1">[3]rate!#REF!</definedName>
    <definedName name="__123Graph_ACURRENT" hidden="1">[3]rate!#REF!</definedName>
    <definedName name="__123Graph_AGRAPH1" hidden="1">[4]apports!$H$151:$H$162</definedName>
    <definedName name="__123Graph_ARECENT" hidden="1">'[5]Les Cèdres'!#REF!</definedName>
    <definedName name="__123Graph_ASTATPROG" hidden="1">[6]COMPLEXALL!#REF!</definedName>
    <definedName name="__123Graph_B" hidden="1">[6]COMPLEXALL!#REF!</definedName>
    <definedName name="__123Graph_BGRAPH1" hidden="1">[4]apports!$I$151:$I$162</definedName>
    <definedName name="__123Graph_BRECENT" hidden="1">'[5]Les Cèdres'!#REF!</definedName>
    <definedName name="__123Graph_C" hidden="1">[7]Adjust!#REF!</definedName>
    <definedName name="__123Graph_CGRAPH1" hidden="1">[4]apports!$H$163:$H$173</definedName>
    <definedName name="__123Graph_CRECENT" hidden="1">'[5]Les Cèdres'!#REF!</definedName>
    <definedName name="__123Graph_D" hidden="1">[7]Adjust!#REF!</definedName>
    <definedName name="__123Graph_DRECENT" hidden="1">'[5]Les Cèdres'!#REF!</definedName>
    <definedName name="__123Graph_E" hidden="1">[3]rate!#REF!</definedName>
    <definedName name="__123Graph_ECHART1" hidden="1">[3]rate!#REF!</definedName>
    <definedName name="__123Graph_ECHART2" hidden="1">[3]rate!#REF!</definedName>
    <definedName name="__123Graph_ECURRENT" hidden="1">[3]rate!#REF!</definedName>
    <definedName name="__123Graph_ERECENT" hidden="1">'[5]Les Cèdres'!#REF!</definedName>
    <definedName name="__123Graph_F" hidden="1">[3]rate!#REF!</definedName>
    <definedName name="__123Graph_FCHART1" hidden="1">[3]rate!#REF!</definedName>
    <definedName name="__123Graph_FCHART2" hidden="1">[3]rate!#REF!</definedName>
    <definedName name="__123Graph_FCURRENT" hidden="1">[3]rate!#REF!</definedName>
    <definedName name="__123Graph_LBL_A" hidden="1">'[8]Ownership split'!#REF!</definedName>
    <definedName name="__123Graph_LBL_B" hidden="1">'[8]Ownership split'!#REF!</definedName>
    <definedName name="__123Graph_LBL_C" hidden="1">'[8]Ownership split'!#REF!</definedName>
    <definedName name="__123Graph_LBL_D" hidden="1">'[8]Ownership split'!#REF!</definedName>
    <definedName name="__123Graph_LBL_E" hidden="1">'[8]Ownership split'!#REF!</definedName>
    <definedName name="__123Graph_LBL_F" hidden="1">'[8]Ownership split'!#REF!</definedName>
    <definedName name="__123Graph_X" hidden="1">[6]COMPLEXALL!#REF!</definedName>
    <definedName name="__123Graph_XSTATPROG" hidden="1">[6]COMPLEXALL!#REF!</definedName>
    <definedName name="__2__123Graph_BCHART_28" hidden="1">[2]B!$D$11:$U$11</definedName>
    <definedName name="__3__123Graph_CCHART_28" hidden="1">[2]B!$D$12:$U$12</definedName>
    <definedName name="__4__123Graph_DCHART_28" hidden="1">[2]B!$D$7:$U$7</definedName>
    <definedName name="__5__123Graph_ECHART_28" hidden="1">[2]B!$D$8:$U$8</definedName>
    <definedName name="__6__123Graph_FCHART_28" hidden="1">[2]B!$D$9:$U$9</definedName>
    <definedName name="__abc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__dk1" hidden="1">{#N/A,#N/A,FALSE,"COVER.XLS";#N/A,#N/A,FALSE,"RACT1.XLS";#N/A,#N/A,FALSE,"RACT2.XLS";#N/A,#N/A,FALSE,"ECCMP";#N/A,#N/A,FALSE,"WELDER.XLS"}</definedName>
    <definedName name="__dk1_1" hidden="1">{#N/A,#N/A,FALSE,"COVER.XLS";#N/A,#N/A,FALSE,"RACT1.XLS";#N/A,#N/A,FALSE,"RACT2.XLS";#N/A,#N/A,FALSE,"ECCMP";#N/A,#N/A,FALSE,"WELDER.XLS"}</definedName>
    <definedName name="__dk1_2" hidden="1">{#N/A,#N/A,FALSE,"COVER.XLS";#N/A,#N/A,FALSE,"RACT1.XLS";#N/A,#N/A,FALSE,"RACT2.XLS";#N/A,#N/A,FALSE,"ECCMP";#N/A,#N/A,FALSE,"WELDER.XLS"}</definedName>
    <definedName name="__dk1_3" hidden="1">{#N/A,#N/A,FALSE,"COVER.XLS";#N/A,#N/A,FALSE,"RACT1.XLS";#N/A,#N/A,FALSE,"RACT2.XLS";#N/A,#N/A,FALSE,"ECCMP";#N/A,#N/A,FALSE,"WELDER.XLS"}</definedName>
    <definedName name="__dk1_4" hidden="1">{#N/A,#N/A,FALSE,"COVER.XLS";#N/A,#N/A,FALSE,"RACT1.XLS";#N/A,#N/A,FALSE,"RACT2.XLS";#N/A,#N/A,FALSE,"ECCMP";#N/A,#N/A,FALSE,"WELDER.XLS"}</definedName>
    <definedName name="__dk1_5" hidden="1">{#N/A,#N/A,FALSE,"COVER.XLS";#N/A,#N/A,FALSE,"RACT1.XLS";#N/A,#N/A,FALSE,"RACT2.XLS";#N/A,#N/A,FALSE,"ECCMP";#N/A,#N/A,FALSE,"WELDER.XLS"}</definedName>
    <definedName name="__dk2" hidden="1">{#N/A,#N/A,FALSE,"COVER.XLS";#N/A,#N/A,FALSE,"RACT1.XLS";#N/A,#N/A,FALSE,"RACT2.XLS";#N/A,#N/A,FALSE,"ECCMP";#N/A,#N/A,FALSE,"WELDER.XLS"}</definedName>
    <definedName name="__dk2_1" hidden="1">{#N/A,#N/A,FALSE,"COVER.XLS";#N/A,#N/A,FALSE,"RACT1.XLS";#N/A,#N/A,FALSE,"RACT2.XLS";#N/A,#N/A,FALSE,"ECCMP";#N/A,#N/A,FALSE,"WELDER.XLS"}</definedName>
    <definedName name="__dk2_2" hidden="1">{#N/A,#N/A,FALSE,"COVER.XLS";#N/A,#N/A,FALSE,"RACT1.XLS";#N/A,#N/A,FALSE,"RACT2.XLS";#N/A,#N/A,FALSE,"ECCMP";#N/A,#N/A,FALSE,"WELDER.XLS"}</definedName>
    <definedName name="__dk2_3" hidden="1">{#N/A,#N/A,FALSE,"COVER.XLS";#N/A,#N/A,FALSE,"RACT1.XLS";#N/A,#N/A,FALSE,"RACT2.XLS";#N/A,#N/A,FALSE,"ECCMP";#N/A,#N/A,FALSE,"WELDER.XLS"}</definedName>
    <definedName name="__dk2_4" hidden="1">{#N/A,#N/A,FALSE,"COVER.XLS";#N/A,#N/A,FALSE,"RACT1.XLS";#N/A,#N/A,FALSE,"RACT2.XLS";#N/A,#N/A,FALSE,"ECCMP";#N/A,#N/A,FALSE,"WELDER.XLS"}</definedName>
    <definedName name="__dk2_5" hidden="1">{#N/A,#N/A,FALSE,"COVER.XLS";#N/A,#N/A,FALSE,"RACT1.XLS";#N/A,#N/A,FALSE,"RACT2.XLS";#N/A,#N/A,FALSE,"ECCMP";#N/A,#N/A,FALSE,"WELDER.XLS"}</definedName>
    <definedName name="__FDS_HYPERLINK_TOGGLE_STATE__" hidden="1">"ON"</definedName>
    <definedName name="__FDS_UNIQUE_RANGE_ID_GENERATOR_COUNTER" hidden="1">1</definedName>
    <definedName name="__Ht_Data_Spc_Version_Spc_1" hidden="1">"01._Spc_Current_Spc_Data_Spc_Version"</definedName>
    <definedName name="__Ht_Data_Spc_Version_Spc_2" hidden="1">"02._Spc_Previous_Spc_Year_Spc_Data_Spc_Version"</definedName>
    <definedName name="__Ht_Data_Spc_Version_Spc_3" hidden="1">"03._Spc_Most_Spc_recent_Spc_Budget_Spc_Version"</definedName>
    <definedName name="__Ht_Data_Spc_Version_Spc_4" hidden="1">"04._Spc_Target_Spc_Data_Spc_version_Spc_for_Spc_Quarter_Hyp_to_Hyp_go"</definedName>
    <definedName name="__Ht_Data_Spc_Version_Spc_5" hidden="1">"02b._Spc_Previous_Spc_Year_Spc_Current_Spc_volume_Spc_Version"</definedName>
    <definedName name="__Ht_Data_Spc_Version_Spc_6" hidden="1">"03b._Spc_Most_Spc_recent_Spc_budget_Spc_Current_Spc_volume_Spc_version"</definedName>
    <definedName name="__Ht_Data_Spc_Version_Spc_7" hidden="1">"01b._Spc_Current_Spc_volume_Spc_Data_Spc_Version"</definedName>
    <definedName name="__Ht_Data_Spc_Version_Spc_8" hidden="1">"04b._Spc_Target_Spc_Volume_Spc_version_Spc_for_Spc_Quarter_Hyp_to_Hyp_go"</definedName>
    <definedName name="__Ht_Period_Spc_1" hidden="1">"05._Spc_Current_Spc_Month"</definedName>
    <definedName name="__Ht_Period_Spc_2" hidden="1">"07._Spc_All_Spc_months_Spc_in_Spc_YTD"</definedName>
    <definedName name="__Ht_Period_Spc_3" hidden="1">"06._Spc_All_Spc_months_Spc_in_Spc_current_Spc_Quarter"</definedName>
    <definedName name="__Ht_Region_Spc_1" hidden="1">"18._Spc_Select_Spc_your_Spc_region"</definedName>
    <definedName name="__Ht_USD_Spc_Month_Spc_1?" hidden="1">"12._Spc_Financials_Spc_Month"</definedName>
    <definedName name="__Ht_USD_Spc_Quarter_Spc_1?" hidden="1">"13._Spc_Financials_Spc_Quarter"</definedName>
    <definedName name="__Ht_USD_Spc_YTD_Spc_1?" hidden="1">"14._Spc_Financials_Spc_YTD"</definedName>
    <definedName name="__Ht_Variance_Spc_Description_Spc_1" hidden="1">"08._Spc_Variance_Spc_Description_Spc_vs._Spc_Actual"</definedName>
    <definedName name="__Ht_Variance_Spc_Description_Spc_2" hidden="1">"9._Spc_Variance_Spc_Description_Spc_vs._Spc_Budget"</definedName>
    <definedName name="__Ht_Variance_Spc_Description_Spc_3" hidden="1">"10._Spc_OCI_Spc_tracking_Spc_Variance_Spc_Description_Spc_1"</definedName>
    <definedName name="__Ht_Variance_Spc_Description_Spc_4" hidden="1">"11._Spc_OCI_Spc_tracking_Spc_Variance_Spc_Description_Spc_2"</definedName>
    <definedName name="__Ht_Volume_Spc_Month_Spc_1?" hidden="1">"15._Spc_Volume_Spc_Month"</definedName>
    <definedName name="__Ht_Volume_Spc_Quarter_Spc_1?" hidden="1">"16._Spc_Volume_Spc_Quarter"</definedName>
    <definedName name="__Ht_Volume_Spc_YTD_Spc_1?" hidden="1">"17._Spc_Volume_Spc_YTD"</definedName>
    <definedName name="__k8" hidden="1">{#N/A,#N/A,FALSE,"COVER1.XLS ";#N/A,#N/A,FALSE,"RACT1.XLS";#N/A,#N/A,FALSE,"RACT2.XLS";#N/A,#N/A,FALSE,"ECCMP";#N/A,#N/A,FALSE,"WELDER.XLS"}</definedName>
    <definedName name="__k8_1" hidden="1">{#N/A,#N/A,FALSE,"COVER1.XLS ";#N/A,#N/A,FALSE,"RACT1.XLS";#N/A,#N/A,FALSE,"RACT2.XLS";#N/A,#N/A,FALSE,"ECCMP";#N/A,#N/A,FALSE,"WELDER.XLS"}</definedName>
    <definedName name="__k8_2" hidden="1">{#N/A,#N/A,FALSE,"COVER1.XLS ";#N/A,#N/A,FALSE,"RACT1.XLS";#N/A,#N/A,FALSE,"RACT2.XLS";#N/A,#N/A,FALSE,"ECCMP";#N/A,#N/A,FALSE,"WELDER.XLS"}</definedName>
    <definedName name="__k8_3" hidden="1">{#N/A,#N/A,FALSE,"COVER1.XLS ";#N/A,#N/A,FALSE,"RACT1.XLS";#N/A,#N/A,FALSE,"RACT2.XLS";#N/A,#N/A,FALSE,"ECCMP";#N/A,#N/A,FALSE,"WELDER.XLS"}</definedName>
    <definedName name="__k8_4" hidden="1">{#N/A,#N/A,FALSE,"COVER1.XLS ";#N/A,#N/A,FALSE,"RACT1.XLS";#N/A,#N/A,FALSE,"RACT2.XLS";#N/A,#N/A,FALSE,"ECCMP";#N/A,#N/A,FALSE,"WELDER.XLS"}</definedName>
    <definedName name="__k8_5" hidden="1">{#N/A,#N/A,FALSE,"COVER1.XLS ";#N/A,#N/A,FALSE,"RACT1.XLS";#N/A,#N/A,FALSE,"RACT2.XLS";#N/A,#N/A,FALSE,"ECCMP";#N/A,#N/A,FALSE,"WELDER.XLS"}</definedName>
    <definedName name="__kv2" hidden="1">{#N/A,#N/A,FALSE,"COVER1.XLS ";#N/A,#N/A,FALSE,"RACT1.XLS";#N/A,#N/A,FALSE,"RACT2.XLS";#N/A,#N/A,FALSE,"ECCMP";#N/A,#N/A,FALSE,"WELDER.XLS"}</definedName>
    <definedName name="__kv2_1" hidden="1">{#N/A,#N/A,FALSE,"COVER1.XLS ";#N/A,#N/A,FALSE,"RACT1.XLS";#N/A,#N/A,FALSE,"RACT2.XLS";#N/A,#N/A,FALSE,"ECCMP";#N/A,#N/A,FALSE,"WELDER.XLS"}</definedName>
    <definedName name="__kv2_2" hidden="1">{#N/A,#N/A,FALSE,"COVER1.XLS ";#N/A,#N/A,FALSE,"RACT1.XLS";#N/A,#N/A,FALSE,"RACT2.XLS";#N/A,#N/A,FALSE,"ECCMP";#N/A,#N/A,FALSE,"WELDER.XLS"}</definedName>
    <definedName name="__kv2_3" hidden="1">{#N/A,#N/A,FALSE,"COVER1.XLS ";#N/A,#N/A,FALSE,"RACT1.XLS";#N/A,#N/A,FALSE,"RACT2.XLS";#N/A,#N/A,FALSE,"ECCMP";#N/A,#N/A,FALSE,"WELDER.XLS"}</definedName>
    <definedName name="__kv2_4" hidden="1">{#N/A,#N/A,FALSE,"COVER1.XLS ";#N/A,#N/A,FALSE,"RACT1.XLS";#N/A,#N/A,FALSE,"RACT2.XLS";#N/A,#N/A,FALSE,"ECCMP";#N/A,#N/A,FALSE,"WELDER.XLS"}</definedName>
    <definedName name="__kv2_5" hidden="1">{#N/A,#N/A,FALSE,"COVER1.XLS ";#N/A,#N/A,FALSE,"RACT1.XLS";#N/A,#N/A,FALSE,"RACT2.XLS";#N/A,#N/A,FALSE,"ECCMP";#N/A,#N/A,FALSE,"WELDER.XLS"}</definedName>
    <definedName name="__kvs1" hidden="1">{#N/A,#N/A,FALSE,"COVER1.XLS ";#N/A,#N/A,FALSE,"RACT1.XLS";#N/A,#N/A,FALSE,"RACT2.XLS";#N/A,#N/A,FALSE,"ECCMP";#N/A,#N/A,FALSE,"WELDER.XLS"}</definedName>
    <definedName name="__kvs1_1" hidden="1">{#N/A,#N/A,FALSE,"COVER1.XLS ";#N/A,#N/A,FALSE,"RACT1.XLS";#N/A,#N/A,FALSE,"RACT2.XLS";#N/A,#N/A,FALSE,"ECCMP";#N/A,#N/A,FALSE,"WELDER.XLS"}</definedName>
    <definedName name="__kvs1_2" hidden="1">{#N/A,#N/A,FALSE,"COVER1.XLS ";#N/A,#N/A,FALSE,"RACT1.XLS";#N/A,#N/A,FALSE,"RACT2.XLS";#N/A,#N/A,FALSE,"ECCMP";#N/A,#N/A,FALSE,"WELDER.XLS"}</definedName>
    <definedName name="__kvs1_3" hidden="1">{#N/A,#N/A,FALSE,"COVER1.XLS ";#N/A,#N/A,FALSE,"RACT1.XLS";#N/A,#N/A,FALSE,"RACT2.XLS";#N/A,#N/A,FALSE,"ECCMP";#N/A,#N/A,FALSE,"WELDER.XLS"}</definedName>
    <definedName name="__kvs1_4" hidden="1">{#N/A,#N/A,FALSE,"COVER1.XLS ";#N/A,#N/A,FALSE,"RACT1.XLS";#N/A,#N/A,FALSE,"RACT2.XLS";#N/A,#N/A,FALSE,"ECCMP";#N/A,#N/A,FALSE,"WELDER.XLS"}</definedName>
    <definedName name="__kvs1_5" hidden="1">{#N/A,#N/A,FALSE,"COVER1.XLS ";#N/A,#N/A,FALSE,"RACT1.XLS";#N/A,#N/A,FALSE,"RACT2.XLS";#N/A,#N/A,FALSE,"ECCMP";#N/A,#N/A,FALSE,"WELDER.XLS"}</definedName>
    <definedName name="__kvs2" hidden="1">{#N/A,#N/A,FALSE,"COVER1.XLS ";#N/A,#N/A,FALSE,"RACT1.XLS";#N/A,#N/A,FALSE,"RACT2.XLS";#N/A,#N/A,FALSE,"ECCMP";#N/A,#N/A,FALSE,"WELDER.XLS"}</definedName>
    <definedName name="__kvs2_1" hidden="1">{#N/A,#N/A,FALSE,"COVER1.XLS ";#N/A,#N/A,FALSE,"RACT1.XLS";#N/A,#N/A,FALSE,"RACT2.XLS";#N/A,#N/A,FALSE,"ECCMP";#N/A,#N/A,FALSE,"WELDER.XLS"}</definedName>
    <definedName name="__kvs2_2" hidden="1">{#N/A,#N/A,FALSE,"COVER1.XLS ";#N/A,#N/A,FALSE,"RACT1.XLS";#N/A,#N/A,FALSE,"RACT2.XLS";#N/A,#N/A,FALSE,"ECCMP";#N/A,#N/A,FALSE,"WELDER.XLS"}</definedName>
    <definedName name="__kvs2_3" hidden="1">{#N/A,#N/A,FALSE,"COVER1.XLS ";#N/A,#N/A,FALSE,"RACT1.XLS";#N/A,#N/A,FALSE,"RACT2.XLS";#N/A,#N/A,FALSE,"ECCMP";#N/A,#N/A,FALSE,"WELDER.XLS"}</definedName>
    <definedName name="__kvs2_4" hidden="1">{#N/A,#N/A,FALSE,"COVER1.XLS ";#N/A,#N/A,FALSE,"RACT1.XLS";#N/A,#N/A,FALSE,"RACT2.XLS";#N/A,#N/A,FALSE,"ECCMP";#N/A,#N/A,FALSE,"WELDER.XLS"}</definedName>
    <definedName name="__kvs2_5" hidden="1">{#N/A,#N/A,FALSE,"COVER1.XLS ";#N/A,#N/A,FALSE,"RACT1.XLS";#N/A,#N/A,FALSE,"RACT2.XLS";#N/A,#N/A,FALSE,"ECCMP";#N/A,#N/A,FALSE,"WELDER.XLS"}</definedName>
    <definedName name="__kvs5" hidden="1">{#N/A,#N/A,FALSE,"COVER.XLS";#N/A,#N/A,FALSE,"RACT1.XLS";#N/A,#N/A,FALSE,"RACT2.XLS";#N/A,#N/A,FALSE,"ECCMP";#N/A,#N/A,FALSE,"WELDER.XLS"}</definedName>
    <definedName name="__kvs5_1" hidden="1">{#N/A,#N/A,FALSE,"COVER.XLS";#N/A,#N/A,FALSE,"RACT1.XLS";#N/A,#N/A,FALSE,"RACT2.XLS";#N/A,#N/A,FALSE,"ECCMP";#N/A,#N/A,FALSE,"WELDER.XLS"}</definedName>
    <definedName name="__kvs5_2" hidden="1">{#N/A,#N/A,FALSE,"COVER.XLS";#N/A,#N/A,FALSE,"RACT1.XLS";#N/A,#N/A,FALSE,"RACT2.XLS";#N/A,#N/A,FALSE,"ECCMP";#N/A,#N/A,FALSE,"WELDER.XLS"}</definedName>
    <definedName name="__kvs5_3" hidden="1">{#N/A,#N/A,FALSE,"COVER.XLS";#N/A,#N/A,FALSE,"RACT1.XLS";#N/A,#N/A,FALSE,"RACT2.XLS";#N/A,#N/A,FALSE,"ECCMP";#N/A,#N/A,FALSE,"WELDER.XLS"}</definedName>
    <definedName name="__kvs5_4" hidden="1">{#N/A,#N/A,FALSE,"COVER.XLS";#N/A,#N/A,FALSE,"RACT1.XLS";#N/A,#N/A,FALSE,"RACT2.XLS";#N/A,#N/A,FALSE,"ECCMP";#N/A,#N/A,FALSE,"WELDER.XLS"}</definedName>
    <definedName name="__kvs5_5" hidden="1">{#N/A,#N/A,FALSE,"COVER.XLS";#N/A,#N/A,FALSE,"RACT1.XLS";#N/A,#N/A,FALSE,"RACT2.XLS";#N/A,#N/A,FALSE,"ECCMP";#N/A,#N/A,FALSE,"WELDER.XLS"}</definedName>
    <definedName name="__kvs7" hidden="1">{#N/A,#N/A,FALSE,"COVER1.XLS ";#N/A,#N/A,FALSE,"RACT1.XLS";#N/A,#N/A,FALSE,"RACT2.XLS";#N/A,#N/A,FALSE,"ECCMP";#N/A,#N/A,FALSE,"WELDER.XLS"}</definedName>
    <definedName name="__kvs7_1" hidden="1">{#N/A,#N/A,FALSE,"COVER1.XLS ";#N/A,#N/A,FALSE,"RACT1.XLS";#N/A,#N/A,FALSE,"RACT2.XLS";#N/A,#N/A,FALSE,"ECCMP";#N/A,#N/A,FALSE,"WELDER.XLS"}</definedName>
    <definedName name="__kvs7_2" hidden="1">{#N/A,#N/A,FALSE,"COVER1.XLS ";#N/A,#N/A,FALSE,"RACT1.XLS";#N/A,#N/A,FALSE,"RACT2.XLS";#N/A,#N/A,FALSE,"ECCMP";#N/A,#N/A,FALSE,"WELDER.XLS"}</definedName>
    <definedName name="__kvs7_3" hidden="1">{#N/A,#N/A,FALSE,"COVER1.XLS ";#N/A,#N/A,FALSE,"RACT1.XLS";#N/A,#N/A,FALSE,"RACT2.XLS";#N/A,#N/A,FALSE,"ECCMP";#N/A,#N/A,FALSE,"WELDER.XLS"}</definedName>
    <definedName name="__kvs7_4" hidden="1">{#N/A,#N/A,FALSE,"COVER1.XLS ";#N/A,#N/A,FALSE,"RACT1.XLS";#N/A,#N/A,FALSE,"RACT2.XLS";#N/A,#N/A,FALSE,"ECCMP";#N/A,#N/A,FALSE,"WELDER.XLS"}</definedName>
    <definedName name="__kvs7_5" hidden="1">{#N/A,#N/A,FALSE,"COVER1.XLS ";#N/A,#N/A,FALSE,"RACT1.XLS";#N/A,#N/A,FALSE,"RACT2.XLS";#N/A,#N/A,FALSE,"ECCMP";#N/A,#N/A,FALSE,"WELDER.XLS"}</definedName>
    <definedName name="__kvs8" hidden="1">{#N/A,#N/A,FALSE,"COVER1.XLS ";#N/A,#N/A,FALSE,"RACT1.XLS";#N/A,#N/A,FALSE,"RACT2.XLS";#N/A,#N/A,FALSE,"ECCMP";#N/A,#N/A,FALSE,"WELDER.XLS"}</definedName>
    <definedName name="__kvs8_1" hidden="1">{#N/A,#N/A,FALSE,"COVER1.XLS ";#N/A,#N/A,FALSE,"RACT1.XLS";#N/A,#N/A,FALSE,"RACT2.XLS";#N/A,#N/A,FALSE,"ECCMP";#N/A,#N/A,FALSE,"WELDER.XLS"}</definedName>
    <definedName name="__kvs8_2" hidden="1">{#N/A,#N/A,FALSE,"COVER1.XLS ";#N/A,#N/A,FALSE,"RACT1.XLS";#N/A,#N/A,FALSE,"RACT2.XLS";#N/A,#N/A,FALSE,"ECCMP";#N/A,#N/A,FALSE,"WELDER.XLS"}</definedName>
    <definedName name="__kvs8_3" hidden="1">{#N/A,#N/A,FALSE,"COVER1.XLS ";#N/A,#N/A,FALSE,"RACT1.XLS";#N/A,#N/A,FALSE,"RACT2.XLS";#N/A,#N/A,FALSE,"ECCMP";#N/A,#N/A,FALSE,"WELDER.XLS"}</definedName>
    <definedName name="__kvs8_4" hidden="1">{#N/A,#N/A,FALSE,"COVER1.XLS ";#N/A,#N/A,FALSE,"RACT1.XLS";#N/A,#N/A,FALSE,"RACT2.XLS";#N/A,#N/A,FALSE,"ECCMP";#N/A,#N/A,FALSE,"WELDER.XLS"}</definedName>
    <definedName name="__kvs8_5" hidden="1">{#N/A,#N/A,FALSE,"COVER1.XLS ";#N/A,#N/A,FALSE,"RACT1.XLS";#N/A,#N/A,FALSE,"RACT2.XLS";#N/A,#N/A,FALSE,"ECCMP";#N/A,#N/A,FALSE,"WELDER.XLS"}</definedName>
    <definedName name="__KVS9" hidden="1">{#N/A,#N/A,FALSE,"COVER1.XLS ";#N/A,#N/A,FALSE,"RACT1.XLS";#N/A,#N/A,FALSE,"RACT2.XLS";#N/A,#N/A,FALSE,"ECCMP";#N/A,#N/A,FALSE,"WELDER.XLS"}</definedName>
    <definedName name="__KVS9_1" hidden="1">{#N/A,#N/A,FALSE,"COVER1.XLS ";#N/A,#N/A,FALSE,"RACT1.XLS";#N/A,#N/A,FALSE,"RACT2.XLS";#N/A,#N/A,FALSE,"ECCMP";#N/A,#N/A,FALSE,"WELDER.XLS"}</definedName>
    <definedName name="__KVS9_2" hidden="1">{#N/A,#N/A,FALSE,"COVER1.XLS ";#N/A,#N/A,FALSE,"RACT1.XLS";#N/A,#N/A,FALSE,"RACT2.XLS";#N/A,#N/A,FALSE,"ECCMP";#N/A,#N/A,FALSE,"WELDER.XLS"}</definedName>
    <definedName name="__KVS9_3" hidden="1">{#N/A,#N/A,FALSE,"COVER1.XLS ";#N/A,#N/A,FALSE,"RACT1.XLS";#N/A,#N/A,FALSE,"RACT2.XLS";#N/A,#N/A,FALSE,"ECCMP";#N/A,#N/A,FALSE,"WELDER.XLS"}</definedName>
    <definedName name="__KVS9_4" hidden="1">{#N/A,#N/A,FALSE,"COVER1.XLS ";#N/A,#N/A,FALSE,"RACT1.XLS";#N/A,#N/A,FALSE,"RACT2.XLS";#N/A,#N/A,FALSE,"ECCMP";#N/A,#N/A,FALSE,"WELDER.XLS"}</definedName>
    <definedName name="__KVS9_5" hidden="1">{#N/A,#N/A,FALSE,"COVER1.XLS ";#N/A,#N/A,FALSE,"RACT1.XLS";#N/A,#N/A,FALSE,"RACT2.XLS";#N/A,#N/A,FALSE,"ECCMP";#N/A,#N/A,FALSE,"WELDER.XLS"}</definedName>
    <definedName name="_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lk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ns1" hidden="1">{#N/A,#N/A,FALSE,"COVER1.XLS ";#N/A,#N/A,FALSE,"RACT1.XLS";#N/A,#N/A,FALSE,"RACT2.XLS";#N/A,#N/A,FALSE,"ECCMP";#N/A,#N/A,FALSE,"WELDER.XLS"}</definedName>
    <definedName name="__ns1_1" hidden="1">{#N/A,#N/A,FALSE,"COVER1.XLS ";#N/A,#N/A,FALSE,"RACT1.XLS";#N/A,#N/A,FALSE,"RACT2.XLS";#N/A,#N/A,FALSE,"ECCMP";#N/A,#N/A,FALSE,"WELDER.XLS"}</definedName>
    <definedName name="__ns1_2" hidden="1">{#N/A,#N/A,FALSE,"COVER1.XLS ";#N/A,#N/A,FALSE,"RACT1.XLS";#N/A,#N/A,FALSE,"RACT2.XLS";#N/A,#N/A,FALSE,"ECCMP";#N/A,#N/A,FALSE,"WELDER.XLS"}</definedName>
    <definedName name="__ns1_3" hidden="1">{#N/A,#N/A,FALSE,"COVER1.XLS ";#N/A,#N/A,FALSE,"RACT1.XLS";#N/A,#N/A,FALSE,"RACT2.XLS";#N/A,#N/A,FALSE,"ECCMP";#N/A,#N/A,FALSE,"WELDER.XLS"}</definedName>
    <definedName name="__ns1_4" hidden="1">{#N/A,#N/A,FALSE,"COVER1.XLS ";#N/A,#N/A,FALSE,"RACT1.XLS";#N/A,#N/A,FALSE,"RACT2.XLS";#N/A,#N/A,FALSE,"ECCMP";#N/A,#N/A,FALSE,"WELDER.XLS"}</definedName>
    <definedName name="__ns1_5" hidden="1">{#N/A,#N/A,FALSE,"COVER1.XLS ";#N/A,#N/A,FALSE,"RACT1.XLS";#N/A,#N/A,FALSE,"RACT2.XLS";#N/A,#N/A,FALSE,"ECCMP";#N/A,#N/A,FALSE,"WELDER.XLS"}</definedName>
    <definedName name="__PRN1" hidden="1">{#N/A,#N/A,FALSE,"COVER.XLS";#N/A,#N/A,FALSE,"RACT1.XLS";#N/A,#N/A,FALSE,"RACT2.XLS";#N/A,#N/A,FALSE,"ECCMP";#N/A,#N/A,FALSE,"WELDER.XLS"}</definedName>
    <definedName name="__PRN1_1" hidden="1">{#N/A,#N/A,FALSE,"COVER.XLS";#N/A,#N/A,FALSE,"RACT1.XLS";#N/A,#N/A,FALSE,"RACT2.XLS";#N/A,#N/A,FALSE,"ECCMP";#N/A,#N/A,FALSE,"WELDER.XLS"}</definedName>
    <definedName name="__PRN1_2" hidden="1">{#N/A,#N/A,FALSE,"COVER.XLS";#N/A,#N/A,FALSE,"RACT1.XLS";#N/A,#N/A,FALSE,"RACT2.XLS";#N/A,#N/A,FALSE,"ECCMP";#N/A,#N/A,FALSE,"WELDER.XLS"}</definedName>
    <definedName name="__PRN1_3" hidden="1">{#N/A,#N/A,FALSE,"COVER.XLS";#N/A,#N/A,FALSE,"RACT1.XLS";#N/A,#N/A,FALSE,"RACT2.XLS";#N/A,#N/A,FALSE,"ECCMP";#N/A,#N/A,FALSE,"WELDER.XLS"}</definedName>
    <definedName name="__PRN1_4" hidden="1">{#N/A,#N/A,FALSE,"COVER.XLS";#N/A,#N/A,FALSE,"RACT1.XLS";#N/A,#N/A,FALSE,"RACT2.XLS";#N/A,#N/A,FALSE,"ECCMP";#N/A,#N/A,FALSE,"WELDER.XLS"}</definedName>
    <definedName name="__PRN1_5" hidden="1">{#N/A,#N/A,FALSE,"COVER.XLS";#N/A,#N/A,FALSE,"RACT1.XLS";#N/A,#N/A,FALSE,"RACT2.XLS";#N/A,#N/A,FALSE,"ECCMP";#N/A,#N/A,FALSE,"WELDER.XLS"}</definedName>
    <definedName name="__q2" hidden="1">{#N/A,#N/A,FALSE,"COVER1.XLS ";#N/A,#N/A,FALSE,"RACT1.XLS";#N/A,#N/A,FALSE,"RACT2.XLS";#N/A,#N/A,FALSE,"ECCMP";#N/A,#N/A,FALSE,"WELDER.XLS"}</definedName>
    <definedName name="__q2_1" hidden="1">{#N/A,#N/A,FALSE,"COVER1.XLS ";#N/A,#N/A,FALSE,"RACT1.XLS";#N/A,#N/A,FALSE,"RACT2.XLS";#N/A,#N/A,FALSE,"ECCMP";#N/A,#N/A,FALSE,"WELDER.XLS"}</definedName>
    <definedName name="__q2_2" hidden="1">{#N/A,#N/A,FALSE,"COVER1.XLS ";#N/A,#N/A,FALSE,"RACT1.XLS";#N/A,#N/A,FALSE,"RACT2.XLS";#N/A,#N/A,FALSE,"ECCMP";#N/A,#N/A,FALSE,"WELDER.XLS"}</definedName>
    <definedName name="__q2_3" hidden="1">{#N/A,#N/A,FALSE,"COVER1.XLS ";#N/A,#N/A,FALSE,"RACT1.XLS";#N/A,#N/A,FALSE,"RACT2.XLS";#N/A,#N/A,FALSE,"ECCMP";#N/A,#N/A,FALSE,"WELDER.XLS"}</definedName>
    <definedName name="__q2_4" hidden="1">{#N/A,#N/A,FALSE,"COVER1.XLS ";#N/A,#N/A,FALSE,"RACT1.XLS";#N/A,#N/A,FALSE,"RACT2.XLS";#N/A,#N/A,FALSE,"ECCMP";#N/A,#N/A,FALSE,"WELDER.XLS"}</definedName>
    <definedName name="__q2_5" hidden="1">{#N/A,#N/A,FALSE,"COVER1.XLS ";#N/A,#N/A,FALSE,"RACT1.XLS";#N/A,#N/A,FALSE,"RACT2.XLS";#N/A,#N/A,FALSE,"ECCMP";#N/A,#N/A,FALSE,"WELDER.XLS"}</definedName>
    <definedName name="_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tr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2" hidden="1">{#N/A,#N/A,FALSE,"17MAY";#N/A,#N/A,FALSE,"24MAY"}</definedName>
    <definedName name="__w2_1" hidden="1">{#N/A,#N/A,FALSE,"17MAY";#N/A,#N/A,FALSE,"24MAY"}</definedName>
    <definedName name="__w2_2" hidden="1">{#N/A,#N/A,FALSE,"17MAY";#N/A,#N/A,FALSE,"24MAY"}</definedName>
    <definedName name="__w2_3" hidden="1">{#N/A,#N/A,FALSE,"17MAY";#N/A,#N/A,FALSE,"24MAY"}</definedName>
    <definedName name="__w2_4" hidden="1">{#N/A,#N/A,FALSE,"17MAY";#N/A,#N/A,FALSE,"24MAY"}</definedName>
    <definedName name="__w2_5" hidden="1">{#N/A,#N/A,FALSE,"17MAY";#N/A,#N/A,FALSE,"24MAY"}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WRN2" hidden="1">{#N/A,#N/A,FALSE,"COVER1.XLS ";#N/A,#N/A,FALSE,"RACT1.XLS";#N/A,#N/A,FALSE,"RACT2.XLS";#N/A,#N/A,FALSE,"ECCMP";#N/A,#N/A,FALSE,"WELDER.XLS"}</definedName>
    <definedName name="__WRN2_1" hidden="1">{#N/A,#N/A,FALSE,"COVER1.XLS ";#N/A,#N/A,FALSE,"RACT1.XLS";#N/A,#N/A,FALSE,"RACT2.XLS";#N/A,#N/A,FALSE,"ECCMP";#N/A,#N/A,FALSE,"WELDER.XLS"}</definedName>
    <definedName name="__WRN2_2" hidden="1">{#N/A,#N/A,FALSE,"COVER1.XLS ";#N/A,#N/A,FALSE,"RACT1.XLS";#N/A,#N/A,FALSE,"RACT2.XLS";#N/A,#N/A,FALSE,"ECCMP";#N/A,#N/A,FALSE,"WELDER.XLS"}</definedName>
    <definedName name="__WRN2_3" hidden="1">{#N/A,#N/A,FALSE,"COVER1.XLS ";#N/A,#N/A,FALSE,"RACT1.XLS";#N/A,#N/A,FALSE,"RACT2.XLS";#N/A,#N/A,FALSE,"ECCMP";#N/A,#N/A,FALSE,"WELDER.XLS"}</definedName>
    <definedName name="__WRN2_4" hidden="1">{#N/A,#N/A,FALSE,"COVER1.XLS ";#N/A,#N/A,FALSE,"RACT1.XLS";#N/A,#N/A,FALSE,"RACT2.XLS";#N/A,#N/A,FALSE,"ECCMP";#N/A,#N/A,FALSE,"WELDER.XLS"}</definedName>
    <definedName name="__WRN2_5" hidden="1">{#N/A,#N/A,FALSE,"COVER1.XLS ";#N/A,#N/A,FALSE,"RACT1.XLS";#N/A,#N/A,FALSE,"RACT2.XLS";#N/A,#N/A,FALSE,"ECCMP";#N/A,#N/A,FALSE,"WELDER.XLS"}</definedName>
    <definedName name="_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WRN3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WRN3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WRN3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WRN3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WRN3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_xlfn.RTD" hidden="1">#NAME?</definedName>
    <definedName name="_1__123Graph_ACHART_1" hidden="1">[9]A!$F$106:$F$116</definedName>
    <definedName name="_1__123Graph_ACHART_28" hidden="1">[2]B!$D$10:$U$10</definedName>
    <definedName name="_1__123Graph_ACHART_4" hidden="1">[10]Fut_Perf!#REF!</definedName>
    <definedName name="_123" hidden="1">'[8]Ownership split'!#REF!</definedName>
    <definedName name="_2__123Graph_ACHART_4" hidden="1">[10]Fut_Perf!#REF!</definedName>
    <definedName name="_2__123Graph_BCHART_28" hidden="1">[2]B!$D$11:$U$11</definedName>
    <definedName name="_2__123Graph_BCHART_4" hidden="1">[10]Fut_Perf!#REF!</definedName>
    <definedName name="_3__123Graph_BCHART_4" hidden="1">[10]Fut_Perf!#REF!</definedName>
    <definedName name="_3__123Graph_CCHART_28" hidden="1">[2]B!$D$12:$U$12</definedName>
    <definedName name="_3__123Graph_CCHART_4" hidden="1">[10]Fut_Perf!#REF!</definedName>
    <definedName name="_4__123Graph_CCHART_4" hidden="1">[10]Fut_Perf!#REF!</definedName>
    <definedName name="_4__123Graph_DCHART_28" hidden="1">[2]B!$D$7:$U$7</definedName>
    <definedName name="_5__123Graph_ECHART_28" hidden="1">[2]B!$D$8:$U$8</definedName>
    <definedName name="_5__123Graph_XCHART_1" hidden="1">[9]A!$E$106:$E$116</definedName>
    <definedName name="_6__123Graph_FCHART_28" hidden="1">[2]B!$D$9:$U$9</definedName>
    <definedName name="_aba1" hidden="1">{#N/A,#N/A,FALSE,"COVER1.XLS ";#N/A,#N/A,FALSE,"RACT1.XLS";#N/A,#N/A,FALSE,"RACT2.XLS";#N/A,#N/A,FALSE,"ECCMP";#N/A,#N/A,FALSE,"WELDER.XLS"}</definedName>
    <definedName name="_aba1_1" hidden="1">{#N/A,#N/A,FALSE,"COVER1.XLS ";#N/A,#N/A,FALSE,"RACT1.XLS";#N/A,#N/A,FALSE,"RACT2.XLS";#N/A,#N/A,FALSE,"ECCMP";#N/A,#N/A,FALSE,"WELDER.XLS"}</definedName>
    <definedName name="_aba1_2" hidden="1">{#N/A,#N/A,FALSE,"COVER1.XLS ";#N/A,#N/A,FALSE,"RACT1.XLS";#N/A,#N/A,FALSE,"RACT2.XLS";#N/A,#N/A,FALSE,"ECCMP";#N/A,#N/A,FALSE,"WELDER.XLS"}</definedName>
    <definedName name="_aba1_3" hidden="1">{#N/A,#N/A,FALSE,"COVER1.XLS ";#N/A,#N/A,FALSE,"RACT1.XLS";#N/A,#N/A,FALSE,"RACT2.XLS";#N/A,#N/A,FALSE,"ECCMP";#N/A,#N/A,FALSE,"WELDER.XLS"}</definedName>
    <definedName name="_aba1_4" hidden="1">{#N/A,#N/A,FALSE,"COVER1.XLS ";#N/A,#N/A,FALSE,"RACT1.XLS";#N/A,#N/A,FALSE,"RACT2.XLS";#N/A,#N/A,FALSE,"ECCMP";#N/A,#N/A,FALSE,"WELDER.XLS"}</definedName>
    <definedName name="_aba1_5" hidden="1">{#N/A,#N/A,FALSE,"COVER1.XLS ";#N/A,#N/A,FALSE,"RACT1.XLS";#N/A,#N/A,FALSE,"RACT2.XLS";#N/A,#N/A,FALSE,"ECCMP";#N/A,#N/A,FALSE,"WELDER.XLS"}</definedName>
    <definedName name="_abc1" hidden="1">{#N/A,#N/A,FALSE,"COVER1.XLS ";#N/A,#N/A,FALSE,"RACT1.XLS";#N/A,#N/A,FALSE,"RACT2.XLS";#N/A,#N/A,FALSE,"ECCMP";#N/A,#N/A,FALSE,"WELDER.XLS"}</definedName>
    <definedName name="_abc1_1" hidden="1">{#N/A,#N/A,FALSE,"COVER1.XLS ";#N/A,#N/A,FALSE,"RACT1.XLS";#N/A,#N/A,FALSE,"RACT2.XLS";#N/A,#N/A,FALSE,"ECCMP";#N/A,#N/A,FALSE,"WELDER.XLS"}</definedName>
    <definedName name="_abc1_2" hidden="1">{#N/A,#N/A,FALSE,"COVER1.XLS ";#N/A,#N/A,FALSE,"RACT1.XLS";#N/A,#N/A,FALSE,"RACT2.XLS";#N/A,#N/A,FALSE,"ECCMP";#N/A,#N/A,FALSE,"WELDER.XLS"}</definedName>
    <definedName name="_abc1_3" hidden="1">{#N/A,#N/A,FALSE,"COVER1.XLS ";#N/A,#N/A,FALSE,"RACT1.XLS";#N/A,#N/A,FALSE,"RACT2.XLS";#N/A,#N/A,FALSE,"ECCMP";#N/A,#N/A,FALSE,"WELDER.XLS"}</definedName>
    <definedName name="_abc1_4" hidden="1">{#N/A,#N/A,FALSE,"COVER1.XLS ";#N/A,#N/A,FALSE,"RACT1.XLS";#N/A,#N/A,FALSE,"RACT2.XLS";#N/A,#N/A,FALSE,"ECCMP";#N/A,#N/A,FALSE,"WELDER.XLS"}</definedName>
    <definedName name="_abc1_5" hidden="1">{#N/A,#N/A,FALSE,"COVER1.XLS ";#N/A,#N/A,FALSE,"RACT1.XLS";#N/A,#N/A,FALSE,"RACT2.XLS";#N/A,#N/A,FALSE,"ECCMP";#N/A,#N/A,FALSE,"WELDER.XLS"}</definedName>
    <definedName name="_act10" hidden="1">{#N/A,#N/A,FALSE,"LVM JAN04";#N/A,#N/A,FALSE,"LVM CashFlow"}</definedName>
    <definedName name="_act10_1" hidden="1">{#N/A,#N/A,FALSE,"LVM JAN04";#N/A,#N/A,FALSE,"LVM CashFlow"}</definedName>
    <definedName name="_act10_2" hidden="1">{#N/A,#N/A,FALSE,"LVM JAN04";#N/A,#N/A,FALSE,"LVM CashFlow"}</definedName>
    <definedName name="_act10_3" hidden="1">{#N/A,#N/A,FALSE,"LVM JAN04";#N/A,#N/A,FALSE,"LVM CashFlow"}</definedName>
    <definedName name="_act10_4" hidden="1">{#N/A,#N/A,FALSE,"LVM JAN04";#N/A,#N/A,FALSE,"LVM CashFlow"}</definedName>
    <definedName name="_act10_5" hidden="1">{#N/A,#N/A,FALSE,"LVM JAN04";#N/A,#N/A,FALSE,"LVM CashFlow"}</definedName>
    <definedName name="_Dist_Bin" hidden="1">'[8]Ownership split'!#REF!</definedName>
    <definedName name="_dk1" hidden="1">{#N/A,#N/A,FALSE,"COVER.XLS";#N/A,#N/A,FALSE,"RACT1.XLS";#N/A,#N/A,FALSE,"RACT2.XLS";#N/A,#N/A,FALSE,"ECCMP";#N/A,#N/A,FALSE,"WELDER.XLS"}</definedName>
    <definedName name="_dk1_1" hidden="1">{#N/A,#N/A,FALSE,"COVER.XLS";#N/A,#N/A,FALSE,"RACT1.XLS";#N/A,#N/A,FALSE,"RACT2.XLS";#N/A,#N/A,FALSE,"ECCMP";#N/A,#N/A,FALSE,"WELDER.XLS"}</definedName>
    <definedName name="_dk1_1_1" hidden="1">{#N/A,#N/A,FALSE,"COVER.XLS";#N/A,#N/A,FALSE,"RACT1.XLS";#N/A,#N/A,FALSE,"RACT2.XLS";#N/A,#N/A,FALSE,"ECCMP";#N/A,#N/A,FALSE,"WELDER.XLS"}</definedName>
    <definedName name="_dk1_1_2" hidden="1">{#N/A,#N/A,FALSE,"COVER.XLS";#N/A,#N/A,FALSE,"RACT1.XLS";#N/A,#N/A,FALSE,"RACT2.XLS";#N/A,#N/A,FALSE,"ECCMP";#N/A,#N/A,FALSE,"WELDER.XLS"}</definedName>
    <definedName name="_dk1_1_3" hidden="1">{#N/A,#N/A,FALSE,"COVER.XLS";#N/A,#N/A,FALSE,"RACT1.XLS";#N/A,#N/A,FALSE,"RACT2.XLS";#N/A,#N/A,FALSE,"ECCMP";#N/A,#N/A,FALSE,"WELDER.XLS"}</definedName>
    <definedName name="_dk1_1_4" hidden="1">{#N/A,#N/A,FALSE,"COVER.XLS";#N/A,#N/A,FALSE,"RACT1.XLS";#N/A,#N/A,FALSE,"RACT2.XLS";#N/A,#N/A,FALSE,"ECCMP";#N/A,#N/A,FALSE,"WELDER.XLS"}</definedName>
    <definedName name="_dk1_1_5" hidden="1">{#N/A,#N/A,FALSE,"COVER.XLS";#N/A,#N/A,FALSE,"RACT1.XLS";#N/A,#N/A,FALSE,"RACT2.XLS";#N/A,#N/A,FALSE,"ECCMP";#N/A,#N/A,FALSE,"WELDER.XLS"}</definedName>
    <definedName name="_dk1_2" hidden="1">{#N/A,#N/A,FALSE,"COVER.XLS";#N/A,#N/A,FALSE,"RACT1.XLS";#N/A,#N/A,FALSE,"RACT2.XLS";#N/A,#N/A,FALSE,"ECCMP";#N/A,#N/A,FALSE,"WELDER.XLS"}</definedName>
    <definedName name="_dk1_2_1" hidden="1">{#N/A,#N/A,FALSE,"COVER.XLS";#N/A,#N/A,FALSE,"RACT1.XLS";#N/A,#N/A,FALSE,"RACT2.XLS";#N/A,#N/A,FALSE,"ECCMP";#N/A,#N/A,FALSE,"WELDER.XLS"}</definedName>
    <definedName name="_dk1_2_2" hidden="1">{#N/A,#N/A,FALSE,"COVER.XLS";#N/A,#N/A,FALSE,"RACT1.XLS";#N/A,#N/A,FALSE,"RACT2.XLS";#N/A,#N/A,FALSE,"ECCMP";#N/A,#N/A,FALSE,"WELDER.XLS"}</definedName>
    <definedName name="_dk1_2_3" hidden="1">{#N/A,#N/A,FALSE,"COVER.XLS";#N/A,#N/A,FALSE,"RACT1.XLS";#N/A,#N/A,FALSE,"RACT2.XLS";#N/A,#N/A,FALSE,"ECCMP";#N/A,#N/A,FALSE,"WELDER.XLS"}</definedName>
    <definedName name="_dk1_2_4" hidden="1">{#N/A,#N/A,FALSE,"COVER.XLS";#N/A,#N/A,FALSE,"RACT1.XLS";#N/A,#N/A,FALSE,"RACT2.XLS";#N/A,#N/A,FALSE,"ECCMP";#N/A,#N/A,FALSE,"WELDER.XLS"}</definedName>
    <definedName name="_dk1_2_5" hidden="1">{#N/A,#N/A,FALSE,"COVER.XLS";#N/A,#N/A,FALSE,"RACT1.XLS";#N/A,#N/A,FALSE,"RACT2.XLS";#N/A,#N/A,FALSE,"ECCMP";#N/A,#N/A,FALSE,"WELDER.XLS"}</definedName>
    <definedName name="_dk1_3" hidden="1">{#N/A,#N/A,FALSE,"COVER.XLS";#N/A,#N/A,FALSE,"RACT1.XLS";#N/A,#N/A,FALSE,"RACT2.XLS";#N/A,#N/A,FALSE,"ECCMP";#N/A,#N/A,FALSE,"WELDER.XLS"}</definedName>
    <definedName name="_dk1_4" hidden="1">{#N/A,#N/A,FALSE,"COVER.XLS";#N/A,#N/A,FALSE,"RACT1.XLS";#N/A,#N/A,FALSE,"RACT2.XLS";#N/A,#N/A,FALSE,"ECCMP";#N/A,#N/A,FALSE,"WELDER.XLS"}</definedName>
    <definedName name="_dk1_5" hidden="1">{#N/A,#N/A,FALSE,"COVER.XLS";#N/A,#N/A,FALSE,"RACT1.XLS";#N/A,#N/A,FALSE,"RACT2.XLS";#N/A,#N/A,FALSE,"ECCMP";#N/A,#N/A,FALSE,"WELDER.XLS"}</definedName>
    <definedName name="_f3" hidden="1">{#N/A,#N/A,FALSE,"Aging Summary";#N/A,#N/A,FALSE,"Ratio Analysis";#N/A,#N/A,FALSE,"Test 120 Day Accts";#N/A,#N/A,FALSE,"Tickmarks"}</definedName>
    <definedName name="_f4" hidden="1">{#N/A,#N/A,FALSE,"Aging Summary";#N/A,#N/A,FALSE,"Ratio Analysis";#N/A,#N/A,FALSE,"Test 120 Day Accts";#N/A,#N/A,FALSE,"Tickmarks"}</definedName>
    <definedName name="_Fill" hidden="1">'[11]#REF'!$G$2:$G$2</definedName>
    <definedName name="_xlnm._FilterDatabase" localSheetId="2" hidden="1">'AOP Format'!$A$1:$F$255</definedName>
    <definedName name="_xlnm._FilterDatabase" hidden="1">#REF!</definedName>
    <definedName name="_FX2006" hidden="1">{#N/A,#N/A,FALSE,"Aging Summary";#N/A,#N/A,FALSE,"Ratio Analysis";#N/A,#N/A,FALSE,"Test 120 Day Accts";#N/A,#N/A,FALSE,"Tickmarks"}</definedName>
    <definedName name="_k8" hidden="1">{#N/A,#N/A,FALSE,"COVER1.XLS ";#N/A,#N/A,FALSE,"RACT1.XLS";#N/A,#N/A,FALSE,"RACT2.XLS";#N/A,#N/A,FALSE,"ECCMP";#N/A,#N/A,FALSE,"WELDER.XLS"}</definedName>
    <definedName name="_k8_1" hidden="1">{#N/A,#N/A,FALSE,"COVER1.XLS ";#N/A,#N/A,FALSE,"RACT1.XLS";#N/A,#N/A,FALSE,"RACT2.XLS";#N/A,#N/A,FALSE,"ECCMP";#N/A,#N/A,FALSE,"WELDER.XLS"}</definedName>
    <definedName name="_k8_1_1" hidden="1">{#N/A,#N/A,FALSE,"COVER1.XLS ";#N/A,#N/A,FALSE,"RACT1.XLS";#N/A,#N/A,FALSE,"RACT2.XLS";#N/A,#N/A,FALSE,"ECCMP";#N/A,#N/A,FALSE,"WELDER.XLS"}</definedName>
    <definedName name="_k8_1_2" hidden="1">{#N/A,#N/A,FALSE,"COVER1.XLS ";#N/A,#N/A,FALSE,"RACT1.XLS";#N/A,#N/A,FALSE,"RACT2.XLS";#N/A,#N/A,FALSE,"ECCMP";#N/A,#N/A,FALSE,"WELDER.XLS"}</definedName>
    <definedName name="_k8_1_3" hidden="1">{#N/A,#N/A,FALSE,"COVER1.XLS ";#N/A,#N/A,FALSE,"RACT1.XLS";#N/A,#N/A,FALSE,"RACT2.XLS";#N/A,#N/A,FALSE,"ECCMP";#N/A,#N/A,FALSE,"WELDER.XLS"}</definedName>
    <definedName name="_k8_1_4" hidden="1">{#N/A,#N/A,FALSE,"COVER1.XLS ";#N/A,#N/A,FALSE,"RACT1.XLS";#N/A,#N/A,FALSE,"RACT2.XLS";#N/A,#N/A,FALSE,"ECCMP";#N/A,#N/A,FALSE,"WELDER.XLS"}</definedName>
    <definedName name="_k8_1_5" hidden="1">{#N/A,#N/A,FALSE,"COVER1.XLS ";#N/A,#N/A,FALSE,"RACT1.XLS";#N/A,#N/A,FALSE,"RACT2.XLS";#N/A,#N/A,FALSE,"ECCMP";#N/A,#N/A,FALSE,"WELDER.XLS"}</definedName>
    <definedName name="_k8_2" hidden="1">{#N/A,#N/A,FALSE,"COVER1.XLS ";#N/A,#N/A,FALSE,"RACT1.XLS";#N/A,#N/A,FALSE,"RACT2.XLS";#N/A,#N/A,FALSE,"ECCMP";#N/A,#N/A,FALSE,"WELDER.XLS"}</definedName>
    <definedName name="_k8_2_1" hidden="1">{#N/A,#N/A,FALSE,"COVER1.XLS ";#N/A,#N/A,FALSE,"RACT1.XLS";#N/A,#N/A,FALSE,"RACT2.XLS";#N/A,#N/A,FALSE,"ECCMP";#N/A,#N/A,FALSE,"WELDER.XLS"}</definedName>
    <definedName name="_k8_2_2" hidden="1">{#N/A,#N/A,FALSE,"COVER1.XLS ";#N/A,#N/A,FALSE,"RACT1.XLS";#N/A,#N/A,FALSE,"RACT2.XLS";#N/A,#N/A,FALSE,"ECCMP";#N/A,#N/A,FALSE,"WELDER.XLS"}</definedName>
    <definedName name="_k8_2_3" hidden="1">{#N/A,#N/A,FALSE,"COVER1.XLS ";#N/A,#N/A,FALSE,"RACT1.XLS";#N/A,#N/A,FALSE,"RACT2.XLS";#N/A,#N/A,FALSE,"ECCMP";#N/A,#N/A,FALSE,"WELDER.XLS"}</definedName>
    <definedName name="_k8_2_4" hidden="1">{#N/A,#N/A,FALSE,"COVER1.XLS ";#N/A,#N/A,FALSE,"RACT1.XLS";#N/A,#N/A,FALSE,"RACT2.XLS";#N/A,#N/A,FALSE,"ECCMP";#N/A,#N/A,FALSE,"WELDER.XLS"}</definedName>
    <definedName name="_k8_2_5" hidden="1">{#N/A,#N/A,FALSE,"COVER1.XLS ";#N/A,#N/A,FALSE,"RACT1.XLS";#N/A,#N/A,FALSE,"RACT2.XLS";#N/A,#N/A,FALSE,"ECCMP";#N/A,#N/A,FALSE,"WELDER.XLS"}</definedName>
    <definedName name="_k8_3" hidden="1">{#N/A,#N/A,FALSE,"COVER1.XLS ";#N/A,#N/A,FALSE,"RACT1.XLS";#N/A,#N/A,FALSE,"RACT2.XLS";#N/A,#N/A,FALSE,"ECCMP";#N/A,#N/A,FALSE,"WELDER.XLS"}</definedName>
    <definedName name="_k8_4" hidden="1">{#N/A,#N/A,FALSE,"COVER1.XLS ";#N/A,#N/A,FALSE,"RACT1.XLS";#N/A,#N/A,FALSE,"RACT2.XLS";#N/A,#N/A,FALSE,"ECCMP";#N/A,#N/A,FALSE,"WELDER.XLS"}</definedName>
    <definedName name="_k8_5" hidden="1">{#N/A,#N/A,FALSE,"COVER1.XLS ";#N/A,#N/A,FALSE,"RACT1.XLS";#N/A,#N/A,FALSE,"RACT2.XLS";#N/A,#N/A,FALSE,"ECCMP";#N/A,#N/A,FALSE,"WELDER.XLS"}</definedName>
    <definedName name="_Key1" hidden="1">#REF!</definedName>
    <definedName name="_Key2" hidden="1">#REF!</definedName>
    <definedName name="_kp1" hidden="1">#REF!</definedName>
    <definedName name="_kv2" hidden="1">{#N/A,#N/A,FALSE,"COVER1.XLS ";#N/A,#N/A,FALSE,"RACT1.XLS";#N/A,#N/A,FALSE,"RACT2.XLS";#N/A,#N/A,FALSE,"ECCMP";#N/A,#N/A,FALSE,"WELDER.XLS"}</definedName>
    <definedName name="_kvs1" hidden="1">{#N/A,#N/A,FALSE,"COVER1.XLS ";#N/A,#N/A,FALSE,"RACT1.XLS";#N/A,#N/A,FALSE,"RACT2.XLS";#N/A,#N/A,FALSE,"ECCMP";#N/A,#N/A,FALSE,"WELDER.XLS"}</definedName>
    <definedName name="_kvs1_1" hidden="1">{#N/A,#N/A,FALSE,"COVER1.XLS ";#N/A,#N/A,FALSE,"RACT1.XLS";#N/A,#N/A,FALSE,"RACT2.XLS";#N/A,#N/A,FALSE,"ECCMP";#N/A,#N/A,FALSE,"WELDER.XLS"}</definedName>
    <definedName name="_kvs1_1_1" hidden="1">{#N/A,#N/A,FALSE,"COVER1.XLS ";#N/A,#N/A,FALSE,"RACT1.XLS";#N/A,#N/A,FALSE,"RACT2.XLS";#N/A,#N/A,FALSE,"ECCMP";#N/A,#N/A,FALSE,"WELDER.XLS"}</definedName>
    <definedName name="_kvs1_1_2" hidden="1">{#N/A,#N/A,FALSE,"COVER1.XLS ";#N/A,#N/A,FALSE,"RACT1.XLS";#N/A,#N/A,FALSE,"RACT2.XLS";#N/A,#N/A,FALSE,"ECCMP";#N/A,#N/A,FALSE,"WELDER.XLS"}</definedName>
    <definedName name="_kvs1_1_3" hidden="1">{#N/A,#N/A,FALSE,"COVER1.XLS ";#N/A,#N/A,FALSE,"RACT1.XLS";#N/A,#N/A,FALSE,"RACT2.XLS";#N/A,#N/A,FALSE,"ECCMP";#N/A,#N/A,FALSE,"WELDER.XLS"}</definedName>
    <definedName name="_kvs1_1_4" hidden="1">{#N/A,#N/A,FALSE,"COVER1.XLS ";#N/A,#N/A,FALSE,"RACT1.XLS";#N/A,#N/A,FALSE,"RACT2.XLS";#N/A,#N/A,FALSE,"ECCMP";#N/A,#N/A,FALSE,"WELDER.XLS"}</definedName>
    <definedName name="_kvs1_1_5" hidden="1">{#N/A,#N/A,FALSE,"COVER1.XLS ";#N/A,#N/A,FALSE,"RACT1.XLS";#N/A,#N/A,FALSE,"RACT2.XLS";#N/A,#N/A,FALSE,"ECCMP";#N/A,#N/A,FALSE,"WELDER.XLS"}</definedName>
    <definedName name="_kvs1_2" hidden="1">{#N/A,#N/A,FALSE,"COVER1.XLS ";#N/A,#N/A,FALSE,"RACT1.XLS";#N/A,#N/A,FALSE,"RACT2.XLS";#N/A,#N/A,FALSE,"ECCMP";#N/A,#N/A,FALSE,"WELDER.XLS"}</definedName>
    <definedName name="_kvs1_2_1" hidden="1">{#N/A,#N/A,FALSE,"COVER1.XLS ";#N/A,#N/A,FALSE,"RACT1.XLS";#N/A,#N/A,FALSE,"RACT2.XLS";#N/A,#N/A,FALSE,"ECCMP";#N/A,#N/A,FALSE,"WELDER.XLS"}</definedName>
    <definedName name="_kvs1_2_2" hidden="1">{#N/A,#N/A,FALSE,"COVER1.XLS ";#N/A,#N/A,FALSE,"RACT1.XLS";#N/A,#N/A,FALSE,"RACT2.XLS";#N/A,#N/A,FALSE,"ECCMP";#N/A,#N/A,FALSE,"WELDER.XLS"}</definedName>
    <definedName name="_kvs1_2_3" hidden="1">{#N/A,#N/A,FALSE,"COVER1.XLS ";#N/A,#N/A,FALSE,"RACT1.XLS";#N/A,#N/A,FALSE,"RACT2.XLS";#N/A,#N/A,FALSE,"ECCMP";#N/A,#N/A,FALSE,"WELDER.XLS"}</definedName>
    <definedName name="_kvs1_2_4" hidden="1">{#N/A,#N/A,FALSE,"COVER1.XLS ";#N/A,#N/A,FALSE,"RACT1.XLS";#N/A,#N/A,FALSE,"RACT2.XLS";#N/A,#N/A,FALSE,"ECCMP";#N/A,#N/A,FALSE,"WELDER.XLS"}</definedName>
    <definedName name="_kvs1_2_5" hidden="1">{#N/A,#N/A,FALSE,"COVER1.XLS ";#N/A,#N/A,FALSE,"RACT1.XLS";#N/A,#N/A,FALSE,"RACT2.XLS";#N/A,#N/A,FALSE,"ECCMP";#N/A,#N/A,FALSE,"WELDER.XLS"}</definedName>
    <definedName name="_kvs1_3" hidden="1">{#N/A,#N/A,FALSE,"COVER1.XLS ";#N/A,#N/A,FALSE,"RACT1.XLS";#N/A,#N/A,FALSE,"RACT2.XLS";#N/A,#N/A,FALSE,"ECCMP";#N/A,#N/A,FALSE,"WELDER.XLS"}</definedName>
    <definedName name="_kvs1_4" hidden="1">{#N/A,#N/A,FALSE,"COVER1.XLS ";#N/A,#N/A,FALSE,"RACT1.XLS";#N/A,#N/A,FALSE,"RACT2.XLS";#N/A,#N/A,FALSE,"ECCMP";#N/A,#N/A,FALSE,"WELDER.XLS"}</definedName>
    <definedName name="_kvs1_5" hidden="1">{#N/A,#N/A,FALSE,"COVER1.XLS ";#N/A,#N/A,FALSE,"RACT1.XLS";#N/A,#N/A,FALSE,"RACT2.XLS";#N/A,#N/A,FALSE,"ECCMP";#N/A,#N/A,FALSE,"WELDER.XLS"}</definedName>
    <definedName name="_kvs2" hidden="1">{#N/A,#N/A,FALSE,"COVER1.XLS ";#N/A,#N/A,FALSE,"RACT1.XLS";#N/A,#N/A,FALSE,"RACT2.XLS";#N/A,#N/A,FALSE,"ECCMP";#N/A,#N/A,FALSE,"WELDER.XLS"}</definedName>
    <definedName name="_kvs2_1" hidden="1">{#N/A,#N/A,FALSE,"COVER1.XLS ";#N/A,#N/A,FALSE,"RACT1.XLS";#N/A,#N/A,FALSE,"RACT2.XLS";#N/A,#N/A,FALSE,"ECCMP";#N/A,#N/A,FALSE,"WELDER.XLS"}</definedName>
    <definedName name="_kvs2_1_1" hidden="1">{#N/A,#N/A,FALSE,"COVER1.XLS ";#N/A,#N/A,FALSE,"RACT1.XLS";#N/A,#N/A,FALSE,"RACT2.XLS";#N/A,#N/A,FALSE,"ECCMP";#N/A,#N/A,FALSE,"WELDER.XLS"}</definedName>
    <definedName name="_kvs2_1_2" hidden="1">{#N/A,#N/A,FALSE,"COVER1.XLS ";#N/A,#N/A,FALSE,"RACT1.XLS";#N/A,#N/A,FALSE,"RACT2.XLS";#N/A,#N/A,FALSE,"ECCMP";#N/A,#N/A,FALSE,"WELDER.XLS"}</definedName>
    <definedName name="_kvs2_1_3" hidden="1">{#N/A,#N/A,FALSE,"COVER1.XLS ";#N/A,#N/A,FALSE,"RACT1.XLS";#N/A,#N/A,FALSE,"RACT2.XLS";#N/A,#N/A,FALSE,"ECCMP";#N/A,#N/A,FALSE,"WELDER.XLS"}</definedName>
    <definedName name="_kvs2_1_4" hidden="1">{#N/A,#N/A,FALSE,"COVER1.XLS ";#N/A,#N/A,FALSE,"RACT1.XLS";#N/A,#N/A,FALSE,"RACT2.XLS";#N/A,#N/A,FALSE,"ECCMP";#N/A,#N/A,FALSE,"WELDER.XLS"}</definedName>
    <definedName name="_kvs2_1_5" hidden="1">{#N/A,#N/A,FALSE,"COVER1.XLS ";#N/A,#N/A,FALSE,"RACT1.XLS";#N/A,#N/A,FALSE,"RACT2.XLS";#N/A,#N/A,FALSE,"ECCMP";#N/A,#N/A,FALSE,"WELDER.XLS"}</definedName>
    <definedName name="_kvs2_2" hidden="1">{#N/A,#N/A,FALSE,"COVER1.XLS ";#N/A,#N/A,FALSE,"RACT1.XLS";#N/A,#N/A,FALSE,"RACT2.XLS";#N/A,#N/A,FALSE,"ECCMP";#N/A,#N/A,FALSE,"WELDER.XLS"}</definedName>
    <definedName name="_kvs2_2_1" hidden="1">{#N/A,#N/A,FALSE,"COVER1.XLS ";#N/A,#N/A,FALSE,"RACT1.XLS";#N/A,#N/A,FALSE,"RACT2.XLS";#N/A,#N/A,FALSE,"ECCMP";#N/A,#N/A,FALSE,"WELDER.XLS"}</definedName>
    <definedName name="_kvs2_2_2" hidden="1">{#N/A,#N/A,FALSE,"COVER1.XLS ";#N/A,#N/A,FALSE,"RACT1.XLS";#N/A,#N/A,FALSE,"RACT2.XLS";#N/A,#N/A,FALSE,"ECCMP";#N/A,#N/A,FALSE,"WELDER.XLS"}</definedName>
    <definedName name="_kvs2_2_3" hidden="1">{#N/A,#N/A,FALSE,"COVER1.XLS ";#N/A,#N/A,FALSE,"RACT1.XLS";#N/A,#N/A,FALSE,"RACT2.XLS";#N/A,#N/A,FALSE,"ECCMP";#N/A,#N/A,FALSE,"WELDER.XLS"}</definedName>
    <definedName name="_kvs2_2_4" hidden="1">{#N/A,#N/A,FALSE,"COVER1.XLS ";#N/A,#N/A,FALSE,"RACT1.XLS";#N/A,#N/A,FALSE,"RACT2.XLS";#N/A,#N/A,FALSE,"ECCMP";#N/A,#N/A,FALSE,"WELDER.XLS"}</definedName>
    <definedName name="_kvs2_2_5" hidden="1">{#N/A,#N/A,FALSE,"COVER1.XLS ";#N/A,#N/A,FALSE,"RACT1.XLS";#N/A,#N/A,FALSE,"RACT2.XLS";#N/A,#N/A,FALSE,"ECCMP";#N/A,#N/A,FALSE,"WELDER.XLS"}</definedName>
    <definedName name="_kvs2_3" hidden="1">{#N/A,#N/A,FALSE,"COVER1.XLS ";#N/A,#N/A,FALSE,"RACT1.XLS";#N/A,#N/A,FALSE,"RACT2.XLS";#N/A,#N/A,FALSE,"ECCMP";#N/A,#N/A,FALSE,"WELDER.XLS"}</definedName>
    <definedName name="_kvs2_4" hidden="1">{#N/A,#N/A,FALSE,"COVER1.XLS ";#N/A,#N/A,FALSE,"RACT1.XLS";#N/A,#N/A,FALSE,"RACT2.XLS";#N/A,#N/A,FALSE,"ECCMP";#N/A,#N/A,FALSE,"WELDER.XLS"}</definedName>
    <definedName name="_kvs2_5" hidden="1">{#N/A,#N/A,FALSE,"COVER1.XLS ";#N/A,#N/A,FALSE,"RACT1.XLS";#N/A,#N/A,FALSE,"RACT2.XLS";#N/A,#N/A,FALSE,"ECCMP";#N/A,#N/A,FALSE,"WELDER.XLS"}</definedName>
    <definedName name="_kvs5" hidden="1">{#N/A,#N/A,FALSE,"COVER.XLS";#N/A,#N/A,FALSE,"RACT1.XLS";#N/A,#N/A,FALSE,"RACT2.XLS";#N/A,#N/A,FALSE,"ECCMP";#N/A,#N/A,FALSE,"WELDER.XLS"}</definedName>
    <definedName name="_kvs5_1" hidden="1">{#N/A,#N/A,FALSE,"COVER.XLS";#N/A,#N/A,FALSE,"RACT1.XLS";#N/A,#N/A,FALSE,"RACT2.XLS";#N/A,#N/A,FALSE,"ECCMP";#N/A,#N/A,FALSE,"WELDER.XLS"}</definedName>
    <definedName name="_kvs5_1_1" hidden="1">{#N/A,#N/A,FALSE,"COVER.XLS";#N/A,#N/A,FALSE,"RACT1.XLS";#N/A,#N/A,FALSE,"RACT2.XLS";#N/A,#N/A,FALSE,"ECCMP";#N/A,#N/A,FALSE,"WELDER.XLS"}</definedName>
    <definedName name="_kvs5_1_2" hidden="1">{#N/A,#N/A,FALSE,"COVER.XLS";#N/A,#N/A,FALSE,"RACT1.XLS";#N/A,#N/A,FALSE,"RACT2.XLS";#N/A,#N/A,FALSE,"ECCMP";#N/A,#N/A,FALSE,"WELDER.XLS"}</definedName>
    <definedName name="_kvs5_1_3" hidden="1">{#N/A,#N/A,FALSE,"COVER.XLS";#N/A,#N/A,FALSE,"RACT1.XLS";#N/A,#N/A,FALSE,"RACT2.XLS";#N/A,#N/A,FALSE,"ECCMP";#N/A,#N/A,FALSE,"WELDER.XLS"}</definedName>
    <definedName name="_kvs5_1_4" hidden="1">{#N/A,#N/A,FALSE,"COVER.XLS";#N/A,#N/A,FALSE,"RACT1.XLS";#N/A,#N/A,FALSE,"RACT2.XLS";#N/A,#N/A,FALSE,"ECCMP";#N/A,#N/A,FALSE,"WELDER.XLS"}</definedName>
    <definedName name="_kvs5_1_5" hidden="1">{#N/A,#N/A,FALSE,"COVER.XLS";#N/A,#N/A,FALSE,"RACT1.XLS";#N/A,#N/A,FALSE,"RACT2.XLS";#N/A,#N/A,FALSE,"ECCMP";#N/A,#N/A,FALSE,"WELDER.XLS"}</definedName>
    <definedName name="_kvs5_2" hidden="1">{#N/A,#N/A,FALSE,"COVER.XLS";#N/A,#N/A,FALSE,"RACT1.XLS";#N/A,#N/A,FALSE,"RACT2.XLS";#N/A,#N/A,FALSE,"ECCMP";#N/A,#N/A,FALSE,"WELDER.XLS"}</definedName>
    <definedName name="_kvs5_2_1" hidden="1">{#N/A,#N/A,FALSE,"COVER.XLS";#N/A,#N/A,FALSE,"RACT1.XLS";#N/A,#N/A,FALSE,"RACT2.XLS";#N/A,#N/A,FALSE,"ECCMP";#N/A,#N/A,FALSE,"WELDER.XLS"}</definedName>
    <definedName name="_kvs5_2_2" hidden="1">{#N/A,#N/A,FALSE,"COVER.XLS";#N/A,#N/A,FALSE,"RACT1.XLS";#N/A,#N/A,FALSE,"RACT2.XLS";#N/A,#N/A,FALSE,"ECCMP";#N/A,#N/A,FALSE,"WELDER.XLS"}</definedName>
    <definedName name="_kvs5_2_3" hidden="1">{#N/A,#N/A,FALSE,"COVER.XLS";#N/A,#N/A,FALSE,"RACT1.XLS";#N/A,#N/A,FALSE,"RACT2.XLS";#N/A,#N/A,FALSE,"ECCMP";#N/A,#N/A,FALSE,"WELDER.XLS"}</definedName>
    <definedName name="_kvs5_2_4" hidden="1">{#N/A,#N/A,FALSE,"COVER.XLS";#N/A,#N/A,FALSE,"RACT1.XLS";#N/A,#N/A,FALSE,"RACT2.XLS";#N/A,#N/A,FALSE,"ECCMP";#N/A,#N/A,FALSE,"WELDER.XLS"}</definedName>
    <definedName name="_kvs5_2_5" hidden="1">{#N/A,#N/A,FALSE,"COVER.XLS";#N/A,#N/A,FALSE,"RACT1.XLS";#N/A,#N/A,FALSE,"RACT2.XLS";#N/A,#N/A,FALSE,"ECCMP";#N/A,#N/A,FALSE,"WELDER.XLS"}</definedName>
    <definedName name="_kvs5_3" hidden="1">{#N/A,#N/A,FALSE,"COVER.XLS";#N/A,#N/A,FALSE,"RACT1.XLS";#N/A,#N/A,FALSE,"RACT2.XLS";#N/A,#N/A,FALSE,"ECCMP";#N/A,#N/A,FALSE,"WELDER.XLS"}</definedName>
    <definedName name="_kvs5_4" hidden="1">{#N/A,#N/A,FALSE,"COVER.XLS";#N/A,#N/A,FALSE,"RACT1.XLS";#N/A,#N/A,FALSE,"RACT2.XLS";#N/A,#N/A,FALSE,"ECCMP";#N/A,#N/A,FALSE,"WELDER.XLS"}</definedName>
    <definedName name="_kvs5_5" hidden="1">{#N/A,#N/A,FALSE,"COVER.XLS";#N/A,#N/A,FALSE,"RACT1.XLS";#N/A,#N/A,FALSE,"RACT2.XLS";#N/A,#N/A,FALSE,"ECCMP";#N/A,#N/A,FALSE,"WELDER.XLS"}</definedName>
    <definedName name="_kvs7" hidden="1">{#N/A,#N/A,FALSE,"COVER1.XLS ";#N/A,#N/A,FALSE,"RACT1.XLS";#N/A,#N/A,FALSE,"RACT2.XLS";#N/A,#N/A,FALSE,"ECCMP";#N/A,#N/A,FALSE,"WELDER.XLS"}</definedName>
    <definedName name="_kvs7_1" hidden="1">{#N/A,#N/A,FALSE,"COVER1.XLS ";#N/A,#N/A,FALSE,"RACT1.XLS";#N/A,#N/A,FALSE,"RACT2.XLS";#N/A,#N/A,FALSE,"ECCMP";#N/A,#N/A,FALSE,"WELDER.XLS"}</definedName>
    <definedName name="_kvs7_1_1" hidden="1">{#N/A,#N/A,FALSE,"COVER1.XLS ";#N/A,#N/A,FALSE,"RACT1.XLS";#N/A,#N/A,FALSE,"RACT2.XLS";#N/A,#N/A,FALSE,"ECCMP";#N/A,#N/A,FALSE,"WELDER.XLS"}</definedName>
    <definedName name="_kvs7_1_2" hidden="1">{#N/A,#N/A,FALSE,"COVER1.XLS ";#N/A,#N/A,FALSE,"RACT1.XLS";#N/A,#N/A,FALSE,"RACT2.XLS";#N/A,#N/A,FALSE,"ECCMP";#N/A,#N/A,FALSE,"WELDER.XLS"}</definedName>
    <definedName name="_kvs7_1_3" hidden="1">{#N/A,#N/A,FALSE,"COVER1.XLS ";#N/A,#N/A,FALSE,"RACT1.XLS";#N/A,#N/A,FALSE,"RACT2.XLS";#N/A,#N/A,FALSE,"ECCMP";#N/A,#N/A,FALSE,"WELDER.XLS"}</definedName>
    <definedName name="_kvs7_1_4" hidden="1">{#N/A,#N/A,FALSE,"COVER1.XLS ";#N/A,#N/A,FALSE,"RACT1.XLS";#N/A,#N/A,FALSE,"RACT2.XLS";#N/A,#N/A,FALSE,"ECCMP";#N/A,#N/A,FALSE,"WELDER.XLS"}</definedName>
    <definedName name="_kvs7_1_5" hidden="1">{#N/A,#N/A,FALSE,"COVER1.XLS ";#N/A,#N/A,FALSE,"RACT1.XLS";#N/A,#N/A,FALSE,"RACT2.XLS";#N/A,#N/A,FALSE,"ECCMP";#N/A,#N/A,FALSE,"WELDER.XLS"}</definedName>
    <definedName name="_kvs7_2" hidden="1">{#N/A,#N/A,FALSE,"COVER1.XLS ";#N/A,#N/A,FALSE,"RACT1.XLS";#N/A,#N/A,FALSE,"RACT2.XLS";#N/A,#N/A,FALSE,"ECCMP";#N/A,#N/A,FALSE,"WELDER.XLS"}</definedName>
    <definedName name="_kvs7_2_1" hidden="1">{#N/A,#N/A,FALSE,"COVER1.XLS ";#N/A,#N/A,FALSE,"RACT1.XLS";#N/A,#N/A,FALSE,"RACT2.XLS";#N/A,#N/A,FALSE,"ECCMP";#N/A,#N/A,FALSE,"WELDER.XLS"}</definedName>
    <definedName name="_kvs7_2_2" hidden="1">{#N/A,#N/A,FALSE,"COVER1.XLS ";#N/A,#N/A,FALSE,"RACT1.XLS";#N/A,#N/A,FALSE,"RACT2.XLS";#N/A,#N/A,FALSE,"ECCMP";#N/A,#N/A,FALSE,"WELDER.XLS"}</definedName>
    <definedName name="_kvs7_2_3" hidden="1">{#N/A,#N/A,FALSE,"COVER1.XLS ";#N/A,#N/A,FALSE,"RACT1.XLS";#N/A,#N/A,FALSE,"RACT2.XLS";#N/A,#N/A,FALSE,"ECCMP";#N/A,#N/A,FALSE,"WELDER.XLS"}</definedName>
    <definedName name="_kvs7_2_4" hidden="1">{#N/A,#N/A,FALSE,"COVER1.XLS ";#N/A,#N/A,FALSE,"RACT1.XLS";#N/A,#N/A,FALSE,"RACT2.XLS";#N/A,#N/A,FALSE,"ECCMP";#N/A,#N/A,FALSE,"WELDER.XLS"}</definedName>
    <definedName name="_kvs7_2_5" hidden="1">{#N/A,#N/A,FALSE,"COVER1.XLS ";#N/A,#N/A,FALSE,"RACT1.XLS";#N/A,#N/A,FALSE,"RACT2.XLS";#N/A,#N/A,FALSE,"ECCMP";#N/A,#N/A,FALSE,"WELDER.XLS"}</definedName>
    <definedName name="_kvs7_3" hidden="1">{#N/A,#N/A,FALSE,"COVER1.XLS ";#N/A,#N/A,FALSE,"RACT1.XLS";#N/A,#N/A,FALSE,"RACT2.XLS";#N/A,#N/A,FALSE,"ECCMP";#N/A,#N/A,FALSE,"WELDER.XLS"}</definedName>
    <definedName name="_kvs7_4" hidden="1">{#N/A,#N/A,FALSE,"COVER1.XLS ";#N/A,#N/A,FALSE,"RACT1.XLS";#N/A,#N/A,FALSE,"RACT2.XLS";#N/A,#N/A,FALSE,"ECCMP";#N/A,#N/A,FALSE,"WELDER.XLS"}</definedName>
    <definedName name="_kvs7_5" hidden="1">{#N/A,#N/A,FALSE,"COVER1.XLS ";#N/A,#N/A,FALSE,"RACT1.XLS";#N/A,#N/A,FALSE,"RACT2.XLS";#N/A,#N/A,FALSE,"ECCMP";#N/A,#N/A,FALSE,"WELDER.XLS"}</definedName>
    <definedName name="_kvs8" hidden="1">{#N/A,#N/A,FALSE,"COVER1.XLS ";#N/A,#N/A,FALSE,"RACT1.XLS";#N/A,#N/A,FALSE,"RACT2.XLS";#N/A,#N/A,FALSE,"ECCMP";#N/A,#N/A,FALSE,"WELDER.XLS"}</definedName>
    <definedName name="_kvs8_1" hidden="1">{#N/A,#N/A,FALSE,"COVER1.XLS ";#N/A,#N/A,FALSE,"RACT1.XLS";#N/A,#N/A,FALSE,"RACT2.XLS";#N/A,#N/A,FALSE,"ECCMP";#N/A,#N/A,FALSE,"WELDER.XLS"}</definedName>
    <definedName name="_kvs8_1_1" hidden="1">{#N/A,#N/A,FALSE,"COVER1.XLS ";#N/A,#N/A,FALSE,"RACT1.XLS";#N/A,#N/A,FALSE,"RACT2.XLS";#N/A,#N/A,FALSE,"ECCMP";#N/A,#N/A,FALSE,"WELDER.XLS"}</definedName>
    <definedName name="_kvs8_1_2" hidden="1">{#N/A,#N/A,FALSE,"COVER1.XLS ";#N/A,#N/A,FALSE,"RACT1.XLS";#N/A,#N/A,FALSE,"RACT2.XLS";#N/A,#N/A,FALSE,"ECCMP";#N/A,#N/A,FALSE,"WELDER.XLS"}</definedName>
    <definedName name="_kvs8_1_3" hidden="1">{#N/A,#N/A,FALSE,"COVER1.XLS ";#N/A,#N/A,FALSE,"RACT1.XLS";#N/A,#N/A,FALSE,"RACT2.XLS";#N/A,#N/A,FALSE,"ECCMP";#N/A,#N/A,FALSE,"WELDER.XLS"}</definedName>
    <definedName name="_kvs8_1_4" hidden="1">{#N/A,#N/A,FALSE,"COVER1.XLS ";#N/A,#N/A,FALSE,"RACT1.XLS";#N/A,#N/A,FALSE,"RACT2.XLS";#N/A,#N/A,FALSE,"ECCMP";#N/A,#N/A,FALSE,"WELDER.XLS"}</definedName>
    <definedName name="_kvs8_1_5" hidden="1">{#N/A,#N/A,FALSE,"COVER1.XLS ";#N/A,#N/A,FALSE,"RACT1.XLS";#N/A,#N/A,FALSE,"RACT2.XLS";#N/A,#N/A,FALSE,"ECCMP";#N/A,#N/A,FALSE,"WELDER.XLS"}</definedName>
    <definedName name="_kvs8_2" hidden="1">{#N/A,#N/A,FALSE,"COVER1.XLS ";#N/A,#N/A,FALSE,"RACT1.XLS";#N/A,#N/A,FALSE,"RACT2.XLS";#N/A,#N/A,FALSE,"ECCMP";#N/A,#N/A,FALSE,"WELDER.XLS"}</definedName>
    <definedName name="_kvs8_2_1" hidden="1">{#N/A,#N/A,FALSE,"COVER1.XLS ";#N/A,#N/A,FALSE,"RACT1.XLS";#N/A,#N/A,FALSE,"RACT2.XLS";#N/A,#N/A,FALSE,"ECCMP";#N/A,#N/A,FALSE,"WELDER.XLS"}</definedName>
    <definedName name="_kvs8_2_2" hidden="1">{#N/A,#N/A,FALSE,"COVER1.XLS ";#N/A,#N/A,FALSE,"RACT1.XLS";#N/A,#N/A,FALSE,"RACT2.XLS";#N/A,#N/A,FALSE,"ECCMP";#N/A,#N/A,FALSE,"WELDER.XLS"}</definedName>
    <definedName name="_kvs8_2_3" hidden="1">{#N/A,#N/A,FALSE,"COVER1.XLS ";#N/A,#N/A,FALSE,"RACT1.XLS";#N/A,#N/A,FALSE,"RACT2.XLS";#N/A,#N/A,FALSE,"ECCMP";#N/A,#N/A,FALSE,"WELDER.XLS"}</definedName>
    <definedName name="_kvs8_2_4" hidden="1">{#N/A,#N/A,FALSE,"COVER1.XLS ";#N/A,#N/A,FALSE,"RACT1.XLS";#N/A,#N/A,FALSE,"RACT2.XLS";#N/A,#N/A,FALSE,"ECCMP";#N/A,#N/A,FALSE,"WELDER.XLS"}</definedName>
    <definedName name="_kvs8_2_5" hidden="1">{#N/A,#N/A,FALSE,"COVER1.XLS ";#N/A,#N/A,FALSE,"RACT1.XLS";#N/A,#N/A,FALSE,"RACT2.XLS";#N/A,#N/A,FALSE,"ECCMP";#N/A,#N/A,FALSE,"WELDER.XLS"}</definedName>
    <definedName name="_kvs8_3" hidden="1">{#N/A,#N/A,FALSE,"COVER1.XLS ";#N/A,#N/A,FALSE,"RACT1.XLS";#N/A,#N/A,FALSE,"RACT2.XLS";#N/A,#N/A,FALSE,"ECCMP";#N/A,#N/A,FALSE,"WELDER.XLS"}</definedName>
    <definedName name="_kvs8_4" hidden="1">{#N/A,#N/A,FALSE,"COVER1.XLS ";#N/A,#N/A,FALSE,"RACT1.XLS";#N/A,#N/A,FALSE,"RACT2.XLS";#N/A,#N/A,FALSE,"ECCMP";#N/A,#N/A,FALSE,"WELDER.XLS"}</definedName>
    <definedName name="_kvs8_5" hidden="1">{#N/A,#N/A,FALSE,"COVER1.XLS ";#N/A,#N/A,FALSE,"RACT1.XLS";#N/A,#N/A,FALSE,"RACT2.XLS";#N/A,#N/A,FALSE,"ECCMP";#N/A,#N/A,FALSE,"WELDER.XLS"}</definedName>
    <definedName name="_KVS9" hidden="1">{#N/A,#N/A,FALSE,"COVER1.XLS ";#N/A,#N/A,FALSE,"RACT1.XLS";#N/A,#N/A,FALSE,"RACT2.XLS";#N/A,#N/A,FALSE,"ECCMP";#N/A,#N/A,FALSE,"WELDER.XLS"}</definedName>
    <definedName name="_KVS9_1" hidden="1">{#N/A,#N/A,FALSE,"COVER1.XLS ";#N/A,#N/A,FALSE,"RACT1.XLS";#N/A,#N/A,FALSE,"RACT2.XLS";#N/A,#N/A,FALSE,"ECCMP";#N/A,#N/A,FALSE,"WELDER.XLS"}</definedName>
    <definedName name="_KVS9_1_1" hidden="1">{#N/A,#N/A,FALSE,"COVER1.XLS ";#N/A,#N/A,FALSE,"RACT1.XLS";#N/A,#N/A,FALSE,"RACT2.XLS";#N/A,#N/A,FALSE,"ECCMP";#N/A,#N/A,FALSE,"WELDER.XLS"}</definedName>
    <definedName name="_KVS9_1_2" hidden="1">{#N/A,#N/A,FALSE,"COVER1.XLS ";#N/A,#N/A,FALSE,"RACT1.XLS";#N/A,#N/A,FALSE,"RACT2.XLS";#N/A,#N/A,FALSE,"ECCMP";#N/A,#N/A,FALSE,"WELDER.XLS"}</definedName>
    <definedName name="_KVS9_1_3" hidden="1">{#N/A,#N/A,FALSE,"COVER1.XLS ";#N/A,#N/A,FALSE,"RACT1.XLS";#N/A,#N/A,FALSE,"RACT2.XLS";#N/A,#N/A,FALSE,"ECCMP";#N/A,#N/A,FALSE,"WELDER.XLS"}</definedName>
    <definedName name="_KVS9_1_4" hidden="1">{#N/A,#N/A,FALSE,"COVER1.XLS ";#N/A,#N/A,FALSE,"RACT1.XLS";#N/A,#N/A,FALSE,"RACT2.XLS";#N/A,#N/A,FALSE,"ECCMP";#N/A,#N/A,FALSE,"WELDER.XLS"}</definedName>
    <definedName name="_KVS9_1_5" hidden="1">{#N/A,#N/A,FALSE,"COVER1.XLS ";#N/A,#N/A,FALSE,"RACT1.XLS";#N/A,#N/A,FALSE,"RACT2.XLS";#N/A,#N/A,FALSE,"ECCMP";#N/A,#N/A,FALSE,"WELDER.XLS"}</definedName>
    <definedName name="_KVS9_2" hidden="1">{#N/A,#N/A,FALSE,"COVER1.XLS ";#N/A,#N/A,FALSE,"RACT1.XLS";#N/A,#N/A,FALSE,"RACT2.XLS";#N/A,#N/A,FALSE,"ECCMP";#N/A,#N/A,FALSE,"WELDER.XLS"}</definedName>
    <definedName name="_KVS9_2_1" hidden="1">{#N/A,#N/A,FALSE,"COVER1.XLS ";#N/A,#N/A,FALSE,"RACT1.XLS";#N/A,#N/A,FALSE,"RACT2.XLS";#N/A,#N/A,FALSE,"ECCMP";#N/A,#N/A,FALSE,"WELDER.XLS"}</definedName>
    <definedName name="_KVS9_2_2" hidden="1">{#N/A,#N/A,FALSE,"COVER1.XLS ";#N/A,#N/A,FALSE,"RACT1.XLS";#N/A,#N/A,FALSE,"RACT2.XLS";#N/A,#N/A,FALSE,"ECCMP";#N/A,#N/A,FALSE,"WELDER.XLS"}</definedName>
    <definedName name="_KVS9_2_3" hidden="1">{#N/A,#N/A,FALSE,"COVER1.XLS ";#N/A,#N/A,FALSE,"RACT1.XLS";#N/A,#N/A,FALSE,"RACT2.XLS";#N/A,#N/A,FALSE,"ECCMP";#N/A,#N/A,FALSE,"WELDER.XLS"}</definedName>
    <definedName name="_KVS9_2_4" hidden="1">{#N/A,#N/A,FALSE,"COVER1.XLS ";#N/A,#N/A,FALSE,"RACT1.XLS";#N/A,#N/A,FALSE,"RACT2.XLS";#N/A,#N/A,FALSE,"ECCMP";#N/A,#N/A,FALSE,"WELDER.XLS"}</definedName>
    <definedName name="_KVS9_2_5" hidden="1">{#N/A,#N/A,FALSE,"COVER1.XLS ";#N/A,#N/A,FALSE,"RACT1.XLS";#N/A,#N/A,FALSE,"RACT2.XLS";#N/A,#N/A,FALSE,"ECCMP";#N/A,#N/A,FALSE,"WELDER.XLS"}</definedName>
    <definedName name="_KVS9_3" hidden="1">{#N/A,#N/A,FALSE,"COVER1.XLS ";#N/A,#N/A,FALSE,"RACT1.XLS";#N/A,#N/A,FALSE,"RACT2.XLS";#N/A,#N/A,FALSE,"ECCMP";#N/A,#N/A,FALSE,"WELDER.XLS"}</definedName>
    <definedName name="_KVS9_4" hidden="1">{#N/A,#N/A,FALSE,"COVER1.XLS ";#N/A,#N/A,FALSE,"RACT1.XLS";#N/A,#N/A,FALSE,"RACT2.XLS";#N/A,#N/A,FALSE,"ECCMP";#N/A,#N/A,FALSE,"WELDER.XLS"}</definedName>
    <definedName name="_KVS9_5" hidden="1">{#N/A,#N/A,FALSE,"COVER1.XLS ";#N/A,#N/A,FALSE,"RACT1.XLS";#N/A,#N/A,FALSE,"RACT2.XLS";#N/A,#N/A,FALSE,"ECCMP";#N/A,#N/A,FALSE,"WELDER.XLS"}</definedName>
    <definedName name="_l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lk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ns1" hidden="1">{#N/A,#N/A,FALSE,"COVER1.XLS ";#N/A,#N/A,FALSE,"RACT1.XLS";#N/A,#N/A,FALSE,"RACT2.XLS";#N/A,#N/A,FALSE,"ECCMP";#N/A,#N/A,FALSE,"WELDER.XLS"}</definedName>
    <definedName name="_ns1_1" hidden="1">{#N/A,#N/A,FALSE,"COVER1.XLS ";#N/A,#N/A,FALSE,"RACT1.XLS";#N/A,#N/A,FALSE,"RACT2.XLS";#N/A,#N/A,FALSE,"ECCMP";#N/A,#N/A,FALSE,"WELDER.XLS"}</definedName>
    <definedName name="_ns1_1_1" hidden="1">{#N/A,#N/A,FALSE,"COVER1.XLS ";#N/A,#N/A,FALSE,"RACT1.XLS";#N/A,#N/A,FALSE,"RACT2.XLS";#N/A,#N/A,FALSE,"ECCMP";#N/A,#N/A,FALSE,"WELDER.XLS"}</definedName>
    <definedName name="_ns1_1_2" hidden="1">{#N/A,#N/A,FALSE,"COVER1.XLS ";#N/A,#N/A,FALSE,"RACT1.XLS";#N/A,#N/A,FALSE,"RACT2.XLS";#N/A,#N/A,FALSE,"ECCMP";#N/A,#N/A,FALSE,"WELDER.XLS"}</definedName>
    <definedName name="_ns1_1_3" hidden="1">{#N/A,#N/A,FALSE,"COVER1.XLS ";#N/A,#N/A,FALSE,"RACT1.XLS";#N/A,#N/A,FALSE,"RACT2.XLS";#N/A,#N/A,FALSE,"ECCMP";#N/A,#N/A,FALSE,"WELDER.XLS"}</definedName>
    <definedName name="_ns1_1_4" hidden="1">{#N/A,#N/A,FALSE,"COVER1.XLS ";#N/A,#N/A,FALSE,"RACT1.XLS";#N/A,#N/A,FALSE,"RACT2.XLS";#N/A,#N/A,FALSE,"ECCMP";#N/A,#N/A,FALSE,"WELDER.XLS"}</definedName>
    <definedName name="_ns1_1_5" hidden="1">{#N/A,#N/A,FALSE,"COVER1.XLS ";#N/A,#N/A,FALSE,"RACT1.XLS";#N/A,#N/A,FALSE,"RACT2.XLS";#N/A,#N/A,FALSE,"ECCMP";#N/A,#N/A,FALSE,"WELDER.XLS"}</definedName>
    <definedName name="_ns1_2" hidden="1">{#N/A,#N/A,FALSE,"COVER1.XLS ";#N/A,#N/A,FALSE,"RACT1.XLS";#N/A,#N/A,FALSE,"RACT2.XLS";#N/A,#N/A,FALSE,"ECCMP";#N/A,#N/A,FALSE,"WELDER.XLS"}</definedName>
    <definedName name="_ns1_2_1" hidden="1">{#N/A,#N/A,FALSE,"COVER1.XLS ";#N/A,#N/A,FALSE,"RACT1.XLS";#N/A,#N/A,FALSE,"RACT2.XLS";#N/A,#N/A,FALSE,"ECCMP";#N/A,#N/A,FALSE,"WELDER.XLS"}</definedName>
    <definedName name="_ns1_2_2" hidden="1">{#N/A,#N/A,FALSE,"COVER1.XLS ";#N/A,#N/A,FALSE,"RACT1.XLS";#N/A,#N/A,FALSE,"RACT2.XLS";#N/A,#N/A,FALSE,"ECCMP";#N/A,#N/A,FALSE,"WELDER.XLS"}</definedName>
    <definedName name="_ns1_2_3" hidden="1">{#N/A,#N/A,FALSE,"COVER1.XLS ";#N/A,#N/A,FALSE,"RACT1.XLS";#N/A,#N/A,FALSE,"RACT2.XLS";#N/A,#N/A,FALSE,"ECCMP";#N/A,#N/A,FALSE,"WELDER.XLS"}</definedName>
    <definedName name="_ns1_2_4" hidden="1">{#N/A,#N/A,FALSE,"COVER1.XLS ";#N/A,#N/A,FALSE,"RACT1.XLS";#N/A,#N/A,FALSE,"RACT2.XLS";#N/A,#N/A,FALSE,"ECCMP";#N/A,#N/A,FALSE,"WELDER.XLS"}</definedName>
    <definedName name="_ns1_2_5" hidden="1">{#N/A,#N/A,FALSE,"COVER1.XLS ";#N/A,#N/A,FALSE,"RACT1.XLS";#N/A,#N/A,FALSE,"RACT2.XLS";#N/A,#N/A,FALSE,"ECCMP";#N/A,#N/A,FALSE,"WELDER.XLS"}</definedName>
    <definedName name="_ns1_3" hidden="1">{#N/A,#N/A,FALSE,"COVER1.XLS ";#N/A,#N/A,FALSE,"RACT1.XLS";#N/A,#N/A,FALSE,"RACT2.XLS";#N/A,#N/A,FALSE,"ECCMP";#N/A,#N/A,FALSE,"WELDER.XLS"}</definedName>
    <definedName name="_ns1_4" hidden="1">{#N/A,#N/A,FALSE,"COVER1.XLS ";#N/A,#N/A,FALSE,"RACT1.XLS";#N/A,#N/A,FALSE,"RACT2.XLS";#N/A,#N/A,FALSE,"ECCMP";#N/A,#N/A,FALSE,"WELDER.XLS"}</definedName>
    <definedName name="_ns1_5" hidden="1">{#N/A,#N/A,FALSE,"COVER1.XLS ";#N/A,#N/A,FALSE,"RACT1.XLS";#N/A,#N/A,FALSE,"RACT2.XLS";#N/A,#N/A,FALSE,"ECCMP";#N/A,#N/A,FALSE,"WELDER.XLS"}</definedName>
    <definedName name="_Order1" hidden="1">255</definedName>
    <definedName name="_Order2" hidden="1">255</definedName>
    <definedName name="_PRN1" hidden="1">{#N/A,#N/A,FALSE,"COVER.XLS";#N/A,#N/A,FALSE,"RACT1.XLS";#N/A,#N/A,FALSE,"RACT2.XLS";#N/A,#N/A,FALSE,"ECCMP";#N/A,#N/A,FALSE,"WELDER.XLS"}</definedName>
    <definedName name="_PRN1_1" hidden="1">{#N/A,#N/A,FALSE,"COVER.XLS";#N/A,#N/A,FALSE,"RACT1.XLS";#N/A,#N/A,FALSE,"RACT2.XLS";#N/A,#N/A,FALSE,"ECCMP";#N/A,#N/A,FALSE,"WELDER.XLS"}</definedName>
    <definedName name="_PRN1_2" hidden="1">{#N/A,#N/A,FALSE,"COVER.XLS";#N/A,#N/A,FALSE,"RACT1.XLS";#N/A,#N/A,FALSE,"RACT2.XLS";#N/A,#N/A,FALSE,"ECCMP";#N/A,#N/A,FALSE,"WELDER.XLS"}</definedName>
    <definedName name="_PRN1_3" hidden="1">{#N/A,#N/A,FALSE,"COVER.XLS";#N/A,#N/A,FALSE,"RACT1.XLS";#N/A,#N/A,FALSE,"RACT2.XLS";#N/A,#N/A,FALSE,"ECCMP";#N/A,#N/A,FALSE,"WELDER.XLS"}</definedName>
    <definedName name="_PRN1_4" hidden="1">{#N/A,#N/A,FALSE,"COVER.XLS";#N/A,#N/A,FALSE,"RACT1.XLS";#N/A,#N/A,FALSE,"RACT2.XLS";#N/A,#N/A,FALSE,"ECCMP";#N/A,#N/A,FALSE,"WELDER.XLS"}</definedName>
    <definedName name="_PRN1_5" hidden="1">{#N/A,#N/A,FALSE,"COVER.XLS";#N/A,#N/A,FALSE,"RACT1.XLS";#N/A,#N/A,FALSE,"RACT2.XLS";#N/A,#N/A,FALSE,"ECCMP";#N/A,#N/A,FALSE,"WELDER.XLS"}</definedName>
    <definedName name="_q2" hidden="1">{#N/A,#N/A,FALSE,"COVER1.XLS ";#N/A,#N/A,FALSE,"RACT1.XLS";#N/A,#N/A,FALSE,"RACT2.XLS";#N/A,#N/A,FALSE,"ECCMP";#N/A,#N/A,FALSE,"WELDER.XLS"}</definedName>
    <definedName name="_q2_1" hidden="1">{#N/A,#N/A,FALSE,"COVER1.XLS ";#N/A,#N/A,FALSE,"RACT1.XLS";#N/A,#N/A,FALSE,"RACT2.XLS";#N/A,#N/A,FALSE,"ECCMP";#N/A,#N/A,FALSE,"WELDER.XLS"}</definedName>
    <definedName name="_q2_1_1" hidden="1">{#N/A,#N/A,FALSE,"COVER1.XLS ";#N/A,#N/A,FALSE,"RACT1.XLS";#N/A,#N/A,FALSE,"RACT2.XLS";#N/A,#N/A,FALSE,"ECCMP";#N/A,#N/A,FALSE,"WELDER.XLS"}</definedName>
    <definedName name="_q2_1_2" hidden="1">{#N/A,#N/A,FALSE,"COVER1.XLS ";#N/A,#N/A,FALSE,"RACT1.XLS";#N/A,#N/A,FALSE,"RACT2.XLS";#N/A,#N/A,FALSE,"ECCMP";#N/A,#N/A,FALSE,"WELDER.XLS"}</definedName>
    <definedName name="_q2_1_3" hidden="1">{#N/A,#N/A,FALSE,"COVER1.XLS ";#N/A,#N/A,FALSE,"RACT1.XLS";#N/A,#N/A,FALSE,"RACT2.XLS";#N/A,#N/A,FALSE,"ECCMP";#N/A,#N/A,FALSE,"WELDER.XLS"}</definedName>
    <definedName name="_q2_1_4" hidden="1">{#N/A,#N/A,FALSE,"COVER1.XLS ";#N/A,#N/A,FALSE,"RACT1.XLS";#N/A,#N/A,FALSE,"RACT2.XLS";#N/A,#N/A,FALSE,"ECCMP";#N/A,#N/A,FALSE,"WELDER.XLS"}</definedName>
    <definedName name="_q2_1_5" hidden="1">{#N/A,#N/A,FALSE,"COVER1.XLS ";#N/A,#N/A,FALSE,"RACT1.XLS";#N/A,#N/A,FALSE,"RACT2.XLS";#N/A,#N/A,FALSE,"ECCMP";#N/A,#N/A,FALSE,"WELDER.XLS"}</definedName>
    <definedName name="_q2_2" hidden="1">{#N/A,#N/A,FALSE,"COVER1.XLS ";#N/A,#N/A,FALSE,"RACT1.XLS";#N/A,#N/A,FALSE,"RACT2.XLS";#N/A,#N/A,FALSE,"ECCMP";#N/A,#N/A,FALSE,"WELDER.XLS"}</definedName>
    <definedName name="_q2_2_1" hidden="1">{#N/A,#N/A,FALSE,"COVER1.XLS ";#N/A,#N/A,FALSE,"RACT1.XLS";#N/A,#N/A,FALSE,"RACT2.XLS";#N/A,#N/A,FALSE,"ECCMP";#N/A,#N/A,FALSE,"WELDER.XLS"}</definedName>
    <definedName name="_q2_2_2" hidden="1">{#N/A,#N/A,FALSE,"COVER1.XLS ";#N/A,#N/A,FALSE,"RACT1.XLS";#N/A,#N/A,FALSE,"RACT2.XLS";#N/A,#N/A,FALSE,"ECCMP";#N/A,#N/A,FALSE,"WELDER.XLS"}</definedName>
    <definedName name="_q2_2_3" hidden="1">{#N/A,#N/A,FALSE,"COVER1.XLS ";#N/A,#N/A,FALSE,"RACT1.XLS";#N/A,#N/A,FALSE,"RACT2.XLS";#N/A,#N/A,FALSE,"ECCMP";#N/A,#N/A,FALSE,"WELDER.XLS"}</definedName>
    <definedName name="_q2_2_4" hidden="1">{#N/A,#N/A,FALSE,"COVER1.XLS ";#N/A,#N/A,FALSE,"RACT1.XLS";#N/A,#N/A,FALSE,"RACT2.XLS";#N/A,#N/A,FALSE,"ECCMP";#N/A,#N/A,FALSE,"WELDER.XLS"}</definedName>
    <definedName name="_q2_2_5" hidden="1">{#N/A,#N/A,FALSE,"COVER1.XLS ";#N/A,#N/A,FALSE,"RACT1.XLS";#N/A,#N/A,FALSE,"RACT2.XLS";#N/A,#N/A,FALSE,"ECCMP";#N/A,#N/A,FALSE,"WELDER.XLS"}</definedName>
    <definedName name="_q2_3" hidden="1">{#N/A,#N/A,FALSE,"COVER1.XLS ";#N/A,#N/A,FALSE,"RACT1.XLS";#N/A,#N/A,FALSE,"RACT2.XLS";#N/A,#N/A,FALSE,"ECCMP";#N/A,#N/A,FALSE,"WELDER.XLS"}</definedName>
    <definedName name="_q2_4" hidden="1">{#N/A,#N/A,FALSE,"COVER1.XLS ";#N/A,#N/A,FALSE,"RACT1.XLS";#N/A,#N/A,FALSE,"RACT2.XLS";#N/A,#N/A,FALSE,"ECCMP";#N/A,#N/A,FALSE,"WELDER.XLS"}</definedName>
    <definedName name="_q2_5" hidden="1">{#N/A,#N/A,FALSE,"COVER1.XLS ";#N/A,#N/A,FALSE,"RACT1.XLS";#N/A,#N/A,FALSE,"RACT2.XLS";#N/A,#N/A,FALSE,"ECCMP";#N/A,#N/A,FALSE,"WELDER.XLS"}</definedName>
    <definedName name="_Regression_Out" hidden="1">#REF!</definedName>
    <definedName name="_Regression_X" hidden="1">#REF!</definedName>
    <definedName name="_Regression_Y" hidden="1">#REF!</definedName>
    <definedName name="_Sort" hidden="1">#REF!</definedName>
    <definedName name="_t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tr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2" hidden="1">{#N/A,#N/A,FALSE,"17MAY";#N/A,#N/A,FALSE,"24MAY"}</definedName>
    <definedName name="_w2_1" hidden="1">{#N/A,#N/A,FALSE,"17MAY";#N/A,#N/A,FALSE,"24MAY"}</definedName>
    <definedName name="_w2_1_1" hidden="1">{#N/A,#N/A,FALSE,"17MAY";#N/A,#N/A,FALSE,"24MAY"}</definedName>
    <definedName name="_w2_1_2" hidden="1">{#N/A,#N/A,FALSE,"17MAY";#N/A,#N/A,FALSE,"24MAY"}</definedName>
    <definedName name="_w2_1_3" hidden="1">{#N/A,#N/A,FALSE,"17MAY";#N/A,#N/A,FALSE,"24MAY"}</definedName>
    <definedName name="_w2_1_4" hidden="1">{#N/A,#N/A,FALSE,"17MAY";#N/A,#N/A,FALSE,"24MAY"}</definedName>
    <definedName name="_w2_1_5" hidden="1">{#N/A,#N/A,FALSE,"17MAY";#N/A,#N/A,FALSE,"24MAY"}</definedName>
    <definedName name="_w2_2" hidden="1">{#N/A,#N/A,FALSE,"17MAY";#N/A,#N/A,FALSE,"24MAY"}</definedName>
    <definedName name="_w2_2_1" hidden="1">{#N/A,#N/A,FALSE,"17MAY";#N/A,#N/A,FALSE,"24MAY"}</definedName>
    <definedName name="_w2_2_2" hidden="1">{#N/A,#N/A,FALSE,"17MAY";#N/A,#N/A,FALSE,"24MAY"}</definedName>
    <definedName name="_w2_2_3" hidden="1">{#N/A,#N/A,FALSE,"17MAY";#N/A,#N/A,FALSE,"24MAY"}</definedName>
    <definedName name="_w2_2_4" hidden="1">{#N/A,#N/A,FALSE,"17MAY";#N/A,#N/A,FALSE,"24MAY"}</definedName>
    <definedName name="_w2_2_5" hidden="1">{#N/A,#N/A,FALSE,"17MAY";#N/A,#N/A,FALSE,"24MAY"}</definedName>
    <definedName name="_w2_3" hidden="1">{#N/A,#N/A,FALSE,"17MAY";#N/A,#N/A,FALSE,"24MAY"}</definedName>
    <definedName name="_w2_4" hidden="1">{#N/A,#N/A,FALSE,"17MAY";#N/A,#N/A,FALSE,"24MAY"}</definedName>
    <definedName name="_w2_5" hidden="1">{#N/A,#N/A,FALSE,"17MAY";#N/A,#N/A,FALSE,"24MAY"}</definedName>
    <definedName name="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WRN2" hidden="1">{#N/A,#N/A,FALSE,"COVER1.XLS ";#N/A,#N/A,FALSE,"RACT1.XLS";#N/A,#N/A,FALSE,"RACT2.XLS";#N/A,#N/A,FALSE,"ECCMP";#N/A,#N/A,FALSE,"WELDER.XLS"}</definedName>
    <definedName name="_WRN2_1" hidden="1">{#N/A,#N/A,FALSE,"COVER1.XLS ";#N/A,#N/A,FALSE,"RACT1.XLS";#N/A,#N/A,FALSE,"RACT2.XLS";#N/A,#N/A,FALSE,"ECCMP";#N/A,#N/A,FALSE,"WELDER.XLS"}</definedName>
    <definedName name="_WRN2_2" hidden="1">{#N/A,#N/A,FALSE,"COVER1.XLS ";#N/A,#N/A,FALSE,"RACT1.XLS";#N/A,#N/A,FALSE,"RACT2.XLS";#N/A,#N/A,FALSE,"ECCMP";#N/A,#N/A,FALSE,"WELDER.XLS"}</definedName>
    <definedName name="_WRN2_3" hidden="1">{#N/A,#N/A,FALSE,"COVER1.XLS ";#N/A,#N/A,FALSE,"RACT1.XLS";#N/A,#N/A,FALSE,"RACT2.XLS";#N/A,#N/A,FALSE,"ECCMP";#N/A,#N/A,FALSE,"WELDER.XLS"}</definedName>
    <definedName name="_WRN2_4" hidden="1">{#N/A,#N/A,FALSE,"COVER1.XLS ";#N/A,#N/A,FALSE,"RACT1.XLS";#N/A,#N/A,FALSE,"RACT2.XLS";#N/A,#N/A,FALSE,"ECCMP";#N/A,#N/A,FALSE,"WELDER.XLS"}</definedName>
    <definedName name="_WRN2_5" hidden="1">{#N/A,#N/A,FALSE,"COVER1.XLS ";#N/A,#N/A,FALSE,"RACT1.XLS";#N/A,#N/A,FALSE,"RACT2.XLS";#N/A,#N/A,FALSE,"ECCMP";#N/A,#N/A,FALSE,"WELDER.XLS"}</definedName>
    <definedName name="_WRN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WRN3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WRN3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WRN3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WRN3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_WRN3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AAa" hidden="1">{#N/A,#N/A,FALSE,"COVER1.XLS ";#N/A,#N/A,FALSE,"RACT1.XLS";#N/A,#N/A,FALSE,"RACT2.XLS";#N/A,#N/A,FALSE,"ECCMP";#N/A,#N/A,FALSE,"WELDER.XLS"}</definedName>
    <definedName name="AAa_1" hidden="1">{#N/A,#N/A,FALSE,"COVER1.XLS ";#N/A,#N/A,FALSE,"RACT1.XLS";#N/A,#N/A,FALSE,"RACT2.XLS";#N/A,#N/A,FALSE,"ECCMP";#N/A,#N/A,FALSE,"WELDER.XLS"}</definedName>
    <definedName name="AAa_1_1" hidden="1">{#N/A,#N/A,FALSE,"COVER1.XLS ";#N/A,#N/A,FALSE,"RACT1.XLS";#N/A,#N/A,FALSE,"RACT2.XLS";#N/A,#N/A,FALSE,"ECCMP";#N/A,#N/A,FALSE,"WELDER.XLS"}</definedName>
    <definedName name="AAa_1_2" hidden="1">{#N/A,#N/A,FALSE,"COVER1.XLS ";#N/A,#N/A,FALSE,"RACT1.XLS";#N/A,#N/A,FALSE,"RACT2.XLS";#N/A,#N/A,FALSE,"ECCMP";#N/A,#N/A,FALSE,"WELDER.XLS"}</definedName>
    <definedName name="AAa_1_3" hidden="1">{#N/A,#N/A,FALSE,"COVER1.XLS ";#N/A,#N/A,FALSE,"RACT1.XLS";#N/A,#N/A,FALSE,"RACT2.XLS";#N/A,#N/A,FALSE,"ECCMP";#N/A,#N/A,FALSE,"WELDER.XLS"}</definedName>
    <definedName name="AAa_1_4" hidden="1">{#N/A,#N/A,FALSE,"COVER1.XLS ";#N/A,#N/A,FALSE,"RACT1.XLS";#N/A,#N/A,FALSE,"RACT2.XLS";#N/A,#N/A,FALSE,"ECCMP";#N/A,#N/A,FALSE,"WELDER.XLS"}</definedName>
    <definedName name="AAa_1_5" hidden="1">{#N/A,#N/A,FALSE,"COVER1.XLS ";#N/A,#N/A,FALSE,"RACT1.XLS";#N/A,#N/A,FALSE,"RACT2.XLS";#N/A,#N/A,FALSE,"ECCMP";#N/A,#N/A,FALSE,"WELDER.XLS"}</definedName>
    <definedName name="AAa_2" hidden="1">{#N/A,#N/A,FALSE,"COVER1.XLS ";#N/A,#N/A,FALSE,"RACT1.XLS";#N/A,#N/A,FALSE,"RACT2.XLS";#N/A,#N/A,FALSE,"ECCMP";#N/A,#N/A,FALSE,"WELDER.XLS"}</definedName>
    <definedName name="AAa_2_1" hidden="1">{#N/A,#N/A,FALSE,"COVER1.XLS ";#N/A,#N/A,FALSE,"RACT1.XLS";#N/A,#N/A,FALSE,"RACT2.XLS";#N/A,#N/A,FALSE,"ECCMP";#N/A,#N/A,FALSE,"WELDER.XLS"}</definedName>
    <definedName name="AAa_2_2" hidden="1">{#N/A,#N/A,FALSE,"COVER1.XLS ";#N/A,#N/A,FALSE,"RACT1.XLS";#N/A,#N/A,FALSE,"RACT2.XLS";#N/A,#N/A,FALSE,"ECCMP";#N/A,#N/A,FALSE,"WELDER.XLS"}</definedName>
    <definedName name="AAa_2_3" hidden="1">{#N/A,#N/A,FALSE,"COVER1.XLS ";#N/A,#N/A,FALSE,"RACT1.XLS";#N/A,#N/A,FALSE,"RACT2.XLS";#N/A,#N/A,FALSE,"ECCMP";#N/A,#N/A,FALSE,"WELDER.XLS"}</definedName>
    <definedName name="AAa_2_4" hidden="1">{#N/A,#N/A,FALSE,"COVER1.XLS ";#N/A,#N/A,FALSE,"RACT1.XLS";#N/A,#N/A,FALSE,"RACT2.XLS";#N/A,#N/A,FALSE,"ECCMP";#N/A,#N/A,FALSE,"WELDER.XLS"}</definedName>
    <definedName name="AAa_2_5" hidden="1">{#N/A,#N/A,FALSE,"COVER1.XLS ";#N/A,#N/A,FALSE,"RACT1.XLS";#N/A,#N/A,FALSE,"RACT2.XLS";#N/A,#N/A,FALSE,"ECCMP";#N/A,#N/A,FALSE,"WELDER.XLS"}</definedName>
    <definedName name="AAa_3" hidden="1">{#N/A,#N/A,FALSE,"COVER1.XLS ";#N/A,#N/A,FALSE,"RACT1.XLS";#N/A,#N/A,FALSE,"RACT2.XLS";#N/A,#N/A,FALSE,"ECCMP";#N/A,#N/A,FALSE,"WELDER.XLS"}</definedName>
    <definedName name="AAa_4" hidden="1">{#N/A,#N/A,FALSE,"COVER1.XLS ";#N/A,#N/A,FALSE,"RACT1.XLS";#N/A,#N/A,FALSE,"RACT2.XLS";#N/A,#N/A,FALSE,"ECCMP";#N/A,#N/A,FALSE,"WELDER.XLS"}</definedName>
    <definedName name="AAa_5" hidden="1">{#N/A,#N/A,FALSE,"COVER1.XLS ";#N/A,#N/A,FALSE,"RACT1.XLS";#N/A,#N/A,FALSE,"RACT2.XLS";#N/A,#N/A,FALSE,"ECCMP";#N/A,#N/A,FALSE,"WELDER.XLS"}</definedName>
    <definedName name="AAA_DOCTOPS" hidden="1">"AAA_SET"</definedName>
    <definedName name="AAA_duser" hidden="1">"OFF"</definedName>
    <definedName name="aaa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aaaaa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aaaaaa" hidden="1">'[1]NPO - Model'!#REF!</definedName>
    <definedName name="aaaaaaaaaaaaaaaaaa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aaaaaaaaaaaaaaaaaaaaaaaaaa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AB_Addin5" hidden="1">"AAB_Description for addin 5,Description for addin 5,Description for addin 5,Description for addin 5,Description for addin 5,Description for addin 5"</definedName>
    <definedName name="aaffa" hidden="1">{#N/A,#N/A,FALSE,"COVER.XLS";#N/A,#N/A,FALSE,"RACT1.XLS";#N/A,#N/A,FALSE,"RACT2.XLS";#N/A,#N/A,FALSE,"ECCMP";#N/A,#N/A,FALSE,"WELDER.XLS"}</definedName>
    <definedName name="aaffa_1" hidden="1">{#N/A,#N/A,FALSE,"COVER.XLS";#N/A,#N/A,FALSE,"RACT1.XLS";#N/A,#N/A,FALSE,"RACT2.XLS";#N/A,#N/A,FALSE,"ECCMP";#N/A,#N/A,FALSE,"WELDER.XLS"}</definedName>
    <definedName name="aaffa_1_1" hidden="1">{#N/A,#N/A,FALSE,"COVER.XLS";#N/A,#N/A,FALSE,"RACT1.XLS";#N/A,#N/A,FALSE,"RACT2.XLS";#N/A,#N/A,FALSE,"ECCMP";#N/A,#N/A,FALSE,"WELDER.XLS"}</definedName>
    <definedName name="aaffa_1_2" hidden="1">{#N/A,#N/A,FALSE,"COVER.XLS";#N/A,#N/A,FALSE,"RACT1.XLS";#N/A,#N/A,FALSE,"RACT2.XLS";#N/A,#N/A,FALSE,"ECCMP";#N/A,#N/A,FALSE,"WELDER.XLS"}</definedName>
    <definedName name="aaffa_1_3" hidden="1">{#N/A,#N/A,FALSE,"COVER.XLS";#N/A,#N/A,FALSE,"RACT1.XLS";#N/A,#N/A,FALSE,"RACT2.XLS";#N/A,#N/A,FALSE,"ECCMP";#N/A,#N/A,FALSE,"WELDER.XLS"}</definedName>
    <definedName name="aaffa_1_4" hidden="1">{#N/A,#N/A,FALSE,"COVER.XLS";#N/A,#N/A,FALSE,"RACT1.XLS";#N/A,#N/A,FALSE,"RACT2.XLS";#N/A,#N/A,FALSE,"ECCMP";#N/A,#N/A,FALSE,"WELDER.XLS"}</definedName>
    <definedName name="aaffa_1_5" hidden="1">{#N/A,#N/A,FALSE,"COVER.XLS";#N/A,#N/A,FALSE,"RACT1.XLS";#N/A,#N/A,FALSE,"RACT2.XLS";#N/A,#N/A,FALSE,"ECCMP";#N/A,#N/A,FALSE,"WELDER.XLS"}</definedName>
    <definedName name="aaffa_2" hidden="1">{#N/A,#N/A,FALSE,"COVER.XLS";#N/A,#N/A,FALSE,"RACT1.XLS";#N/A,#N/A,FALSE,"RACT2.XLS";#N/A,#N/A,FALSE,"ECCMP";#N/A,#N/A,FALSE,"WELDER.XLS"}</definedName>
    <definedName name="aaffa_2_1" hidden="1">{#N/A,#N/A,FALSE,"COVER.XLS";#N/A,#N/A,FALSE,"RACT1.XLS";#N/A,#N/A,FALSE,"RACT2.XLS";#N/A,#N/A,FALSE,"ECCMP";#N/A,#N/A,FALSE,"WELDER.XLS"}</definedName>
    <definedName name="aaffa_2_2" hidden="1">{#N/A,#N/A,FALSE,"COVER.XLS";#N/A,#N/A,FALSE,"RACT1.XLS";#N/A,#N/A,FALSE,"RACT2.XLS";#N/A,#N/A,FALSE,"ECCMP";#N/A,#N/A,FALSE,"WELDER.XLS"}</definedName>
    <definedName name="aaffa_2_3" hidden="1">{#N/A,#N/A,FALSE,"COVER.XLS";#N/A,#N/A,FALSE,"RACT1.XLS";#N/A,#N/A,FALSE,"RACT2.XLS";#N/A,#N/A,FALSE,"ECCMP";#N/A,#N/A,FALSE,"WELDER.XLS"}</definedName>
    <definedName name="aaffa_2_4" hidden="1">{#N/A,#N/A,FALSE,"COVER.XLS";#N/A,#N/A,FALSE,"RACT1.XLS";#N/A,#N/A,FALSE,"RACT2.XLS";#N/A,#N/A,FALSE,"ECCMP";#N/A,#N/A,FALSE,"WELDER.XLS"}</definedName>
    <definedName name="aaffa_2_5" hidden="1">{#N/A,#N/A,FALSE,"COVER.XLS";#N/A,#N/A,FALSE,"RACT1.XLS";#N/A,#N/A,FALSE,"RACT2.XLS";#N/A,#N/A,FALSE,"ECCMP";#N/A,#N/A,FALSE,"WELDER.XLS"}</definedName>
    <definedName name="aaffa_3" hidden="1">{#N/A,#N/A,FALSE,"COVER.XLS";#N/A,#N/A,FALSE,"RACT1.XLS";#N/A,#N/A,FALSE,"RACT2.XLS";#N/A,#N/A,FALSE,"ECCMP";#N/A,#N/A,FALSE,"WELDER.XLS"}</definedName>
    <definedName name="aaffa_4" hidden="1">{#N/A,#N/A,FALSE,"COVER.XLS";#N/A,#N/A,FALSE,"RACT1.XLS";#N/A,#N/A,FALSE,"RACT2.XLS";#N/A,#N/A,FALSE,"ECCMP";#N/A,#N/A,FALSE,"WELDER.XLS"}</definedName>
    <definedName name="aaffa_5" hidden="1">{#N/A,#N/A,FALSE,"COVER.XLS";#N/A,#N/A,FALSE,"RACT1.XLS";#N/A,#N/A,FALSE,"RACT2.XLS";#N/A,#N/A,FALSE,"ECCMP";#N/A,#N/A,FALSE,"WELDER.XLS"}</definedName>
    <definedName name="aba" hidden="1">{#N/A,#N/A,FALSE,"COVER1.XLS ";#N/A,#N/A,FALSE,"RACT1.XLS";#N/A,#N/A,FALSE,"RACT2.XLS";#N/A,#N/A,FALSE,"ECCMP";#N/A,#N/A,FALSE,"WELDER.XLS"}</definedName>
    <definedName name="aba_1" hidden="1">{#N/A,#N/A,FALSE,"COVER1.XLS ";#N/A,#N/A,FALSE,"RACT1.XLS";#N/A,#N/A,FALSE,"RACT2.XLS";#N/A,#N/A,FALSE,"ECCMP";#N/A,#N/A,FALSE,"WELDER.XLS"}</definedName>
    <definedName name="aba_1_1" hidden="1">{#N/A,#N/A,FALSE,"COVER1.XLS ";#N/A,#N/A,FALSE,"RACT1.XLS";#N/A,#N/A,FALSE,"RACT2.XLS";#N/A,#N/A,FALSE,"ECCMP";#N/A,#N/A,FALSE,"WELDER.XLS"}</definedName>
    <definedName name="aba_1_2" hidden="1">{#N/A,#N/A,FALSE,"COVER1.XLS ";#N/A,#N/A,FALSE,"RACT1.XLS";#N/A,#N/A,FALSE,"RACT2.XLS";#N/A,#N/A,FALSE,"ECCMP";#N/A,#N/A,FALSE,"WELDER.XLS"}</definedName>
    <definedName name="aba_1_3" hidden="1">{#N/A,#N/A,FALSE,"COVER1.XLS ";#N/A,#N/A,FALSE,"RACT1.XLS";#N/A,#N/A,FALSE,"RACT2.XLS";#N/A,#N/A,FALSE,"ECCMP";#N/A,#N/A,FALSE,"WELDER.XLS"}</definedName>
    <definedName name="aba_1_4" hidden="1">{#N/A,#N/A,FALSE,"COVER1.XLS ";#N/A,#N/A,FALSE,"RACT1.XLS";#N/A,#N/A,FALSE,"RACT2.XLS";#N/A,#N/A,FALSE,"ECCMP";#N/A,#N/A,FALSE,"WELDER.XLS"}</definedName>
    <definedName name="aba_1_5" hidden="1">{#N/A,#N/A,FALSE,"COVER1.XLS ";#N/A,#N/A,FALSE,"RACT1.XLS";#N/A,#N/A,FALSE,"RACT2.XLS";#N/A,#N/A,FALSE,"ECCMP";#N/A,#N/A,FALSE,"WELDER.XLS"}</definedName>
    <definedName name="aba_2" hidden="1">{#N/A,#N/A,FALSE,"COVER1.XLS ";#N/A,#N/A,FALSE,"RACT1.XLS";#N/A,#N/A,FALSE,"RACT2.XLS";#N/A,#N/A,FALSE,"ECCMP";#N/A,#N/A,FALSE,"WELDER.XLS"}</definedName>
    <definedName name="aba_2_1" hidden="1">{#N/A,#N/A,FALSE,"COVER1.XLS ";#N/A,#N/A,FALSE,"RACT1.XLS";#N/A,#N/A,FALSE,"RACT2.XLS";#N/A,#N/A,FALSE,"ECCMP";#N/A,#N/A,FALSE,"WELDER.XLS"}</definedName>
    <definedName name="aba_2_2" hidden="1">{#N/A,#N/A,FALSE,"COVER1.XLS ";#N/A,#N/A,FALSE,"RACT1.XLS";#N/A,#N/A,FALSE,"RACT2.XLS";#N/A,#N/A,FALSE,"ECCMP";#N/A,#N/A,FALSE,"WELDER.XLS"}</definedName>
    <definedName name="aba_2_3" hidden="1">{#N/A,#N/A,FALSE,"COVER1.XLS ";#N/A,#N/A,FALSE,"RACT1.XLS";#N/A,#N/A,FALSE,"RACT2.XLS";#N/A,#N/A,FALSE,"ECCMP";#N/A,#N/A,FALSE,"WELDER.XLS"}</definedName>
    <definedName name="aba_2_4" hidden="1">{#N/A,#N/A,FALSE,"COVER1.XLS ";#N/A,#N/A,FALSE,"RACT1.XLS";#N/A,#N/A,FALSE,"RACT2.XLS";#N/A,#N/A,FALSE,"ECCMP";#N/A,#N/A,FALSE,"WELDER.XLS"}</definedName>
    <definedName name="aba_2_5" hidden="1">{#N/A,#N/A,FALSE,"COVER1.XLS ";#N/A,#N/A,FALSE,"RACT1.XLS";#N/A,#N/A,FALSE,"RACT2.XLS";#N/A,#N/A,FALSE,"ECCMP";#N/A,#N/A,FALSE,"WELDER.XLS"}</definedName>
    <definedName name="aba_3" hidden="1">{#N/A,#N/A,FALSE,"COVER1.XLS ";#N/A,#N/A,FALSE,"RACT1.XLS";#N/A,#N/A,FALSE,"RACT2.XLS";#N/A,#N/A,FALSE,"ECCMP";#N/A,#N/A,FALSE,"WELDER.XLS"}</definedName>
    <definedName name="aba_4" hidden="1">{#N/A,#N/A,FALSE,"COVER1.XLS ";#N/A,#N/A,FALSE,"RACT1.XLS";#N/A,#N/A,FALSE,"RACT2.XLS";#N/A,#N/A,FALSE,"ECCMP";#N/A,#N/A,FALSE,"WELDER.XLS"}</definedName>
    <definedName name="aba_5" hidden="1">{#N/A,#N/A,FALSE,"COVER1.XLS ";#N/A,#N/A,FALSE,"RACT1.XLS";#N/A,#N/A,FALSE,"RACT2.XLS";#N/A,#N/A,FALSE,"ECCMP";#N/A,#N/A,FALSE,"WELDER.XLS"}</definedName>
    <definedName name="abb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ba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c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bcd" hidden="1">#REF!</definedName>
    <definedName name="Abhimanyu" hidden="1">{#N/A,#N/A,FALSE,"COVER1.XLS ";#N/A,#N/A,FALSE,"RACT1.XLS";#N/A,#N/A,FALSE,"RACT2.XLS";#N/A,#N/A,FALSE,"ECCMP";#N/A,#N/A,FALSE,"WELDER.XLS"}</definedName>
    <definedName name="Abhimanyu_1" hidden="1">{#N/A,#N/A,FALSE,"COVER1.XLS ";#N/A,#N/A,FALSE,"RACT1.XLS";#N/A,#N/A,FALSE,"RACT2.XLS";#N/A,#N/A,FALSE,"ECCMP";#N/A,#N/A,FALSE,"WELDER.XLS"}</definedName>
    <definedName name="Abhimanyu_2" hidden="1">{#N/A,#N/A,FALSE,"COVER1.XLS ";#N/A,#N/A,FALSE,"RACT1.XLS";#N/A,#N/A,FALSE,"RACT2.XLS";#N/A,#N/A,FALSE,"ECCMP";#N/A,#N/A,FALSE,"WELDER.XLS"}</definedName>
    <definedName name="Abhimanyu_3" hidden="1">{#N/A,#N/A,FALSE,"COVER1.XLS ";#N/A,#N/A,FALSE,"RACT1.XLS";#N/A,#N/A,FALSE,"RACT2.XLS";#N/A,#N/A,FALSE,"ECCMP";#N/A,#N/A,FALSE,"WELDER.XLS"}</definedName>
    <definedName name="Abhimanyu_4" hidden="1">{#N/A,#N/A,FALSE,"COVER1.XLS ";#N/A,#N/A,FALSE,"RACT1.XLS";#N/A,#N/A,FALSE,"RACT2.XLS";#N/A,#N/A,FALSE,"ECCMP";#N/A,#N/A,FALSE,"WELDER.XLS"}</definedName>
    <definedName name="Abhimanyu_5" hidden="1">{#N/A,#N/A,FALSE,"COVER1.XLS ";#N/A,#N/A,FALSE,"RACT1.XLS";#N/A,#N/A,FALSE,"RACT2.XLS";#N/A,#N/A,FALSE,"ECCMP";#N/A,#N/A,FALSE,"WELDER.XLS"}</definedName>
    <definedName name="ab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s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s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s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s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bs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ccess_Button" hidden="1">"Loan_Front_End_Input_List"</definedName>
    <definedName name="AccessDatabase" hidden="1">"C:\My Documents\MIS\new formats\HO\RepOprHO.mdb"</definedName>
    <definedName name="Accessorie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cvgds" hidden="1">{#N/A,#N/A,FALSE,"COVER.XLS";#N/A,#N/A,FALSE,"RACT1.XLS";#N/A,#N/A,FALSE,"RACT2.XLS";#N/A,#N/A,FALSE,"ECCMP";#N/A,#N/A,FALSE,"WELDER.XLS"}</definedName>
    <definedName name="ACwvu.Overhead._.detail." hidden="1">#REF!</definedName>
    <definedName name="ACwvu.Profit._.report._.detailed." hidden="1">#REF!</definedName>
    <definedName name="ad" hidden="1">{#N/A,#N/A,FALSE,"Sheet5";#N/A,#N/A,FALSE,"Sheet5";#N/A,#N/A,FALSE,"Sheet5"}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d" hidden="1">{#N/A,#N/A,FALSE,"COVER1.XLS ";#N/A,#N/A,FALSE,"RACT1.XLS";#N/A,#N/A,FALSE,"RACT2.XLS";#N/A,#N/A,FALSE,"ECCMP";#N/A,#N/A,FALSE,"WELDER.XLS"}</definedName>
    <definedName name="adadd_1" hidden="1">{#N/A,#N/A,FALSE,"COVER1.XLS ";#N/A,#N/A,FALSE,"RACT1.XLS";#N/A,#N/A,FALSE,"RACT2.XLS";#N/A,#N/A,FALSE,"ECCMP";#N/A,#N/A,FALSE,"WELDER.XLS"}</definedName>
    <definedName name="adadd_1_1" hidden="1">{#N/A,#N/A,FALSE,"COVER1.XLS ";#N/A,#N/A,FALSE,"RACT1.XLS";#N/A,#N/A,FALSE,"RACT2.XLS";#N/A,#N/A,FALSE,"ECCMP";#N/A,#N/A,FALSE,"WELDER.XLS"}</definedName>
    <definedName name="adadd_1_2" hidden="1">{#N/A,#N/A,FALSE,"COVER1.XLS ";#N/A,#N/A,FALSE,"RACT1.XLS";#N/A,#N/A,FALSE,"RACT2.XLS";#N/A,#N/A,FALSE,"ECCMP";#N/A,#N/A,FALSE,"WELDER.XLS"}</definedName>
    <definedName name="adadd_1_3" hidden="1">{#N/A,#N/A,FALSE,"COVER1.XLS ";#N/A,#N/A,FALSE,"RACT1.XLS";#N/A,#N/A,FALSE,"RACT2.XLS";#N/A,#N/A,FALSE,"ECCMP";#N/A,#N/A,FALSE,"WELDER.XLS"}</definedName>
    <definedName name="adadd_1_4" hidden="1">{#N/A,#N/A,FALSE,"COVER1.XLS ";#N/A,#N/A,FALSE,"RACT1.XLS";#N/A,#N/A,FALSE,"RACT2.XLS";#N/A,#N/A,FALSE,"ECCMP";#N/A,#N/A,FALSE,"WELDER.XLS"}</definedName>
    <definedName name="adadd_1_5" hidden="1">{#N/A,#N/A,FALSE,"COVER1.XLS ";#N/A,#N/A,FALSE,"RACT1.XLS";#N/A,#N/A,FALSE,"RACT2.XLS";#N/A,#N/A,FALSE,"ECCMP";#N/A,#N/A,FALSE,"WELDER.XLS"}</definedName>
    <definedName name="adadd_2" hidden="1">{#N/A,#N/A,FALSE,"COVER1.XLS ";#N/A,#N/A,FALSE,"RACT1.XLS";#N/A,#N/A,FALSE,"RACT2.XLS";#N/A,#N/A,FALSE,"ECCMP";#N/A,#N/A,FALSE,"WELDER.XLS"}</definedName>
    <definedName name="adadd_2_1" hidden="1">{#N/A,#N/A,FALSE,"COVER1.XLS ";#N/A,#N/A,FALSE,"RACT1.XLS";#N/A,#N/A,FALSE,"RACT2.XLS";#N/A,#N/A,FALSE,"ECCMP";#N/A,#N/A,FALSE,"WELDER.XLS"}</definedName>
    <definedName name="adadd_2_2" hidden="1">{#N/A,#N/A,FALSE,"COVER1.XLS ";#N/A,#N/A,FALSE,"RACT1.XLS";#N/A,#N/A,FALSE,"RACT2.XLS";#N/A,#N/A,FALSE,"ECCMP";#N/A,#N/A,FALSE,"WELDER.XLS"}</definedName>
    <definedName name="adadd_2_3" hidden="1">{#N/A,#N/A,FALSE,"COVER1.XLS ";#N/A,#N/A,FALSE,"RACT1.XLS";#N/A,#N/A,FALSE,"RACT2.XLS";#N/A,#N/A,FALSE,"ECCMP";#N/A,#N/A,FALSE,"WELDER.XLS"}</definedName>
    <definedName name="adadd_2_4" hidden="1">{#N/A,#N/A,FALSE,"COVER1.XLS ";#N/A,#N/A,FALSE,"RACT1.XLS";#N/A,#N/A,FALSE,"RACT2.XLS";#N/A,#N/A,FALSE,"ECCMP";#N/A,#N/A,FALSE,"WELDER.XLS"}</definedName>
    <definedName name="adadd_2_5" hidden="1">{#N/A,#N/A,FALSE,"COVER1.XLS ";#N/A,#N/A,FALSE,"RACT1.XLS";#N/A,#N/A,FALSE,"RACT2.XLS";#N/A,#N/A,FALSE,"ECCMP";#N/A,#N/A,FALSE,"WELDER.XLS"}</definedName>
    <definedName name="adadd_3" hidden="1">{#N/A,#N/A,FALSE,"COVER1.XLS ";#N/A,#N/A,FALSE,"RACT1.XLS";#N/A,#N/A,FALSE,"RACT2.XLS";#N/A,#N/A,FALSE,"ECCMP";#N/A,#N/A,FALSE,"WELDER.XLS"}</definedName>
    <definedName name="adadd_4" hidden="1">{#N/A,#N/A,FALSE,"COVER1.XLS ";#N/A,#N/A,FALSE,"RACT1.XLS";#N/A,#N/A,FALSE,"RACT2.XLS";#N/A,#N/A,FALSE,"ECCMP";#N/A,#N/A,FALSE,"WELDER.XLS"}</definedName>
    <definedName name="adadd_5" hidden="1">{#N/A,#N/A,FALSE,"COVER1.XLS ";#N/A,#N/A,FALSE,"RACT1.XLS";#N/A,#N/A,FALSE,"RACT2.XLS";#N/A,#N/A,FALSE,"ECCMP";#N/A,#N/A,FALSE,"WELDER.XLS"}</definedName>
    <definedName name="adf" hidden="1">{#N/A,#N/A,FALSE,"COVER1.XLS ";#N/A,#N/A,FALSE,"RACT1.XLS";#N/A,#N/A,FALSE,"RACT2.XLS";#N/A,#N/A,FALSE,"ECCMP";#N/A,#N/A,FALSE,"WELDER.XLS"}</definedName>
    <definedName name="adf_1" hidden="1">{#N/A,#N/A,FALSE,"COVER1.XLS ";#N/A,#N/A,FALSE,"RACT1.XLS";#N/A,#N/A,FALSE,"RACT2.XLS";#N/A,#N/A,FALSE,"ECCMP";#N/A,#N/A,FALSE,"WELDER.XLS"}</definedName>
    <definedName name="adf_2" hidden="1">{#N/A,#N/A,FALSE,"COVER1.XLS ";#N/A,#N/A,FALSE,"RACT1.XLS";#N/A,#N/A,FALSE,"RACT2.XLS";#N/A,#N/A,FALSE,"ECCMP";#N/A,#N/A,FALSE,"WELDER.XLS"}</definedName>
    <definedName name="adf_3" hidden="1">{#N/A,#N/A,FALSE,"COVER1.XLS ";#N/A,#N/A,FALSE,"RACT1.XLS";#N/A,#N/A,FALSE,"RACT2.XLS";#N/A,#N/A,FALSE,"ECCMP";#N/A,#N/A,FALSE,"WELDER.XLS"}</definedName>
    <definedName name="adf_4" hidden="1">{#N/A,#N/A,FALSE,"COVER1.XLS ";#N/A,#N/A,FALSE,"RACT1.XLS";#N/A,#N/A,FALSE,"RACT2.XLS";#N/A,#N/A,FALSE,"ECCMP";#N/A,#N/A,FALSE,"WELDER.XLS"}</definedName>
    <definedName name="adf_5" hidden="1">{#N/A,#N/A,FALSE,"COVER1.XLS ";#N/A,#N/A,FALSE,"RACT1.XLS";#N/A,#N/A,FALSE,"RACT2.XLS";#N/A,#N/A,FALSE,"ECCMP";#N/A,#N/A,FALSE,"WELDER.XLS"}</definedName>
    <definedName name="adfrs" hidden="1">{#N/A,#N/A,FALSE,"COVER.XLS";#N/A,#N/A,FALSE,"RACT1.XLS";#N/A,#N/A,FALSE,"RACT2.XLS";#N/A,#N/A,FALSE,"ECCMP";#N/A,#N/A,FALSE,"WELDER.XLS"}</definedName>
    <definedName name="adfrs_1" hidden="1">{#N/A,#N/A,FALSE,"COVER.XLS";#N/A,#N/A,FALSE,"RACT1.XLS";#N/A,#N/A,FALSE,"RACT2.XLS";#N/A,#N/A,FALSE,"ECCMP";#N/A,#N/A,FALSE,"WELDER.XLS"}</definedName>
    <definedName name="adfrs_1_1" hidden="1">{#N/A,#N/A,FALSE,"COVER.XLS";#N/A,#N/A,FALSE,"RACT1.XLS";#N/A,#N/A,FALSE,"RACT2.XLS";#N/A,#N/A,FALSE,"ECCMP";#N/A,#N/A,FALSE,"WELDER.XLS"}</definedName>
    <definedName name="adfrs_1_2" hidden="1">{#N/A,#N/A,FALSE,"COVER.XLS";#N/A,#N/A,FALSE,"RACT1.XLS";#N/A,#N/A,FALSE,"RACT2.XLS";#N/A,#N/A,FALSE,"ECCMP";#N/A,#N/A,FALSE,"WELDER.XLS"}</definedName>
    <definedName name="adfrs_1_3" hidden="1">{#N/A,#N/A,FALSE,"COVER.XLS";#N/A,#N/A,FALSE,"RACT1.XLS";#N/A,#N/A,FALSE,"RACT2.XLS";#N/A,#N/A,FALSE,"ECCMP";#N/A,#N/A,FALSE,"WELDER.XLS"}</definedName>
    <definedName name="adfrs_1_4" hidden="1">{#N/A,#N/A,FALSE,"COVER.XLS";#N/A,#N/A,FALSE,"RACT1.XLS";#N/A,#N/A,FALSE,"RACT2.XLS";#N/A,#N/A,FALSE,"ECCMP";#N/A,#N/A,FALSE,"WELDER.XLS"}</definedName>
    <definedName name="adfrs_1_5" hidden="1">{#N/A,#N/A,FALSE,"COVER.XLS";#N/A,#N/A,FALSE,"RACT1.XLS";#N/A,#N/A,FALSE,"RACT2.XLS";#N/A,#N/A,FALSE,"ECCMP";#N/A,#N/A,FALSE,"WELDER.XLS"}</definedName>
    <definedName name="adfrs_2" hidden="1">{#N/A,#N/A,FALSE,"COVER.XLS";#N/A,#N/A,FALSE,"RACT1.XLS";#N/A,#N/A,FALSE,"RACT2.XLS";#N/A,#N/A,FALSE,"ECCMP";#N/A,#N/A,FALSE,"WELDER.XLS"}</definedName>
    <definedName name="adfrs_2_1" hidden="1">{#N/A,#N/A,FALSE,"COVER.XLS";#N/A,#N/A,FALSE,"RACT1.XLS";#N/A,#N/A,FALSE,"RACT2.XLS";#N/A,#N/A,FALSE,"ECCMP";#N/A,#N/A,FALSE,"WELDER.XLS"}</definedName>
    <definedName name="adfrs_2_2" hidden="1">{#N/A,#N/A,FALSE,"COVER.XLS";#N/A,#N/A,FALSE,"RACT1.XLS";#N/A,#N/A,FALSE,"RACT2.XLS";#N/A,#N/A,FALSE,"ECCMP";#N/A,#N/A,FALSE,"WELDER.XLS"}</definedName>
    <definedName name="adfrs_2_3" hidden="1">{#N/A,#N/A,FALSE,"COVER.XLS";#N/A,#N/A,FALSE,"RACT1.XLS";#N/A,#N/A,FALSE,"RACT2.XLS";#N/A,#N/A,FALSE,"ECCMP";#N/A,#N/A,FALSE,"WELDER.XLS"}</definedName>
    <definedName name="adfrs_2_4" hidden="1">{#N/A,#N/A,FALSE,"COVER.XLS";#N/A,#N/A,FALSE,"RACT1.XLS";#N/A,#N/A,FALSE,"RACT2.XLS";#N/A,#N/A,FALSE,"ECCMP";#N/A,#N/A,FALSE,"WELDER.XLS"}</definedName>
    <definedName name="adfrs_2_5" hidden="1">{#N/A,#N/A,FALSE,"COVER.XLS";#N/A,#N/A,FALSE,"RACT1.XLS";#N/A,#N/A,FALSE,"RACT2.XLS";#N/A,#N/A,FALSE,"ECCMP";#N/A,#N/A,FALSE,"WELDER.XLS"}</definedName>
    <definedName name="adfrs_3" hidden="1">{#N/A,#N/A,FALSE,"COVER.XLS";#N/A,#N/A,FALSE,"RACT1.XLS";#N/A,#N/A,FALSE,"RACT2.XLS";#N/A,#N/A,FALSE,"ECCMP";#N/A,#N/A,FALSE,"WELDER.XLS"}</definedName>
    <definedName name="adfrs_4" hidden="1">{#N/A,#N/A,FALSE,"COVER.XLS";#N/A,#N/A,FALSE,"RACT1.XLS";#N/A,#N/A,FALSE,"RACT2.XLS";#N/A,#N/A,FALSE,"ECCMP";#N/A,#N/A,FALSE,"WELDER.XLS"}</definedName>
    <definedName name="adfrs_5" hidden="1">{#N/A,#N/A,FALSE,"COVER.XLS";#N/A,#N/A,FALSE,"RACT1.XLS";#N/A,#N/A,FALSE,"RACT2.XLS";#N/A,#N/A,FALSE,"ECCMP";#N/A,#N/A,FALSE,"WELDER.XLS"}</definedName>
    <definedName name="adfsad" hidden="1">{#N/A,#N/A,FALSE,"COVER1.XLS ";#N/A,#N/A,FALSE,"RACT1.XLS";#N/A,#N/A,FALSE,"RACT2.XLS";#N/A,#N/A,FALSE,"ECCMP";#N/A,#N/A,FALSE,"WELDER.XLS"}</definedName>
    <definedName name="adfsad_1" hidden="1">{#N/A,#N/A,FALSE,"COVER1.XLS ";#N/A,#N/A,FALSE,"RACT1.XLS";#N/A,#N/A,FALSE,"RACT2.XLS";#N/A,#N/A,FALSE,"ECCMP";#N/A,#N/A,FALSE,"WELDER.XLS"}</definedName>
    <definedName name="adfsad_2" hidden="1">{#N/A,#N/A,FALSE,"COVER1.XLS ";#N/A,#N/A,FALSE,"RACT1.XLS";#N/A,#N/A,FALSE,"RACT2.XLS";#N/A,#N/A,FALSE,"ECCMP";#N/A,#N/A,FALSE,"WELDER.XLS"}</definedName>
    <definedName name="adfsad_3" hidden="1">{#N/A,#N/A,FALSE,"COVER1.XLS ";#N/A,#N/A,FALSE,"RACT1.XLS";#N/A,#N/A,FALSE,"RACT2.XLS";#N/A,#N/A,FALSE,"ECCMP";#N/A,#N/A,FALSE,"WELDER.XLS"}</definedName>
    <definedName name="adfsad_4" hidden="1">{#N/A,#N/A,FALSE,"COVER1.XLS ";#N/A,#N/A,FALSE,"RACT1.XLS";#N/A,#N/A,FALSE,"RACT2.XLS";#N/A,#N/A,FALSE,"ECCMP";#N/A,#N/A,FALSE,"WELDER.XLS"}</definedName>
    <definedName name="adfsad_5" hidden="1">{#N/A,#N/A,FALSE,"COVER1.XLS ";#N/A,#N/A,FALSE,"RACT1.XLS";#N/A,#N/A,FALSE,"RACT2.XLS";#N/A,#N/A,FALSE,"ECCMP";#N/A,#N/A,FALSE,"WELDER.XLS"}</definedName>
    <definedName name="ads" hidden="1">{#N/A,#N/A,FALSE,"COVER1.XLS ";#N/A,#N/A,FALSE,"RACT1.XLS";#N/A,#N/A,FALSE,"RACT2.XLS";#N/A,#N/A,FALSE,"ECCMP";#N/A,#N/A,FALSE,"WELDER.XLS"}</definedName>
    <definedName name="ads_1" hidden="1">{#N/A,#N/A,FALSE,"COVER1.XLS ";#N/A,#N/A,FALSE,"RACT1.XLS";#N/A,#N/A,FALSE,"RACT2.XLS";#N/A,#N/A,FALSE,"ECCMP";#N/A,#N/A,FALSE,"WELDER.XLS"}</definedName>
    <definedName name="ads_1_1" hidden="1">{#N/A,#N/A,FALSE,"COVER1.XLS ";#N/A,#N/A,FALSE,"RACT1.XLS";#N/A,#N/A,FALSE,"RACT2.XLS";#N/A,#N/A,FALSE,"ECCMP";#N/A,#N/A,FALSE,"WELDER.XLS"}</definedName>
    <definedName name="ads_1_2" hidden="1">{#N/A,#N/A,FALSE,"COVER1.XLS ";#N/A,#N/A,FALSE,"RACT1.XLS";#N/A,#N/A,FALSE,"RACT2.XLS";#N/A,#N/A,FALSE,"ECCMP";#N/A,#N/A,FALSE,"WELDER.XLS"}</definedName>
    <definedName name="ads_1_3" hidden="1">{#N/A,#N/A,FALSE,"COVER1.XLS ";#N/A,#N/A,FALSE,"RACT1.XLS";#N/A,#N/A,FALSE,"RACT2.XLS";#N/A,#N/A,FALSE,"ECCMP";#N/A,#N/A,FALSE,"WELDER.XLS"}</definedName>
    <definedName name="ads_1_4" hidden="1">{#N/A,#N/A,FALSE,"COVER1.XLS ";#N/A,#N/A,FALSE,"RACT1.XLS";#N/A,#N/A,FALSE,"RACT2.XLS";#N/A,#N/A,FALSE,"ECCMP";#N/A,#N/A,FALSE,"WELDER.XLS"}</definedName>
    <definedName name="ads_1_5" hidden="1">{#N/A,#N/A,FALSE,"COVER1.XLS ";#N/A,#N/A,FALSE,"RACT1.XLS";#N/A,#N/A,FALSE,"RACT2.XLS";#N/A,#N/A,FALSE,"ECCMP";#N/A,#N/A,FALSE,"WELDER.XLS"}</definedName>
    <definedName name="ads_2" hidden="1">{#N/A,#N/A,FALSE,"COVER1.XLS ";#N/A,#N/A,FALSE,"RACT1.XLS";#N/A,#N/A,FALSE,"RACT2.XLS";#N/A,#N/A,FALSE,"ECCMP";#N/A,#N/A,FALSE,"WELDER.XLS"}</definedName>
    <definedName name="ads_2_1" hidden="1">{#N/A,#N/A,FALSE,"COVER1.XLS ";#N/A,#N/A,FALSE,"RACT1.XLS";#N/A,#N/A,FALSE,"RACT2.XLS";#N/A,#N/A,FALSE,"ECCMP";#N/A,#N/A,FALSE,"WELDER.XLS"}</definedName>
    <definedName name="ads_2_2" hidden="1">{#N/A,#N/A,FALSE,"COVER1.XLS ";#N/A,#N/A,FALSE,"RACT1.XLS";#N/A,#N/A,FALSE,"RACT2.XLS";#N/A,#N/A,FALSE,"ECCMP";#N/A,#N/A,FALSE,"WELDER.XLS"}</definedName>
    <definedName name="ads_2_3" hidden="1">{#N/A,#N/A,FALSE,"COVER1.XLS ";#N/A,#N/A,FALSE,"RACT1.XLS";#N/A,#N/A,FALSE,"RACT2.XLS";#N/A,#N/A,FALSE,"ECCMP";#N/A,#N/A,FALSE,"WELDER.XLS"}</definedName>
    <definedName name="ads_2_4" hidden="1">{#N/A,#N/A,FALSE,"COVER1.XLS ";#N/A,#N/A,FALSE,"RACT1.XLS";#N/A,#N/A,FALSE,"RACT2.XLS";#N/A,#N/A,FALSE,"ECCMP";#N/A,#N/A,FALSE,"WELDER.XLS"}</definedName>
    <definedName name="ads_2_5" hidden="1">{#N/A,#N/A,FALSE,"COVER1.XLS ";#N/A,#N/A,FALSE,"RACT1.XLS";#N/A,#N/A,FALSE,"RACT2.XLS";#N/A,#N/A,FALSE,"ECCMP";#N/A,#N/A,FALSE,"WELDER.XLS"}</definedName>
    <definedName name="ads_3" hidden="1">{#N/A,#N/A,FALSE,"COVER1.XLS ";#N/A,#N/A,FALSE,"RACT1.XLS";#N/A,#N/A,FALSE,"RACT2.XLS";#N/A,#N/A,FALSE,"ECCMP";#N/A,#N/A,FALSE,"WELDER.XLS"}</definedName>
    <definedName name="ads_4" hidden="1">{#N/A,#N/A,FALSE,"COVER1.XLS ";#N/A,#N/A,FALSE,"RACT1.XLS";#N/A,#N/A,FALSE,"RACT2.XLS";#N/A,#N/A,FALSE,"ECCMP";#N/A,#N/A,FALSE,"WELDER.XLS"}</definedName>
    <definedName name="ads_5" hidden="1">{#N/A,#N/A,FALSE,"COVER1.XLS ";#N/A,#N/A,FALSE,"RACT1.XLS";#N/A,#N/A,FALSE,"RACT2.XLS";#N/A,#N/A,FALSE,"ECCMP";#N/A,#N/A,FALSE,"WELDER.XLS"}</definedName>
    <definedName name="AJHSFG" hidden="1">#REF!</definedName>
    <definedName name="al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lpuussss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m" hidden="1">{#N/A,#N/A,FALSE,"COVER.XLS";#N/A,#N/A,FALSE,"RACT1.XLS";#N/A,#N/A,FALSE,"RACT2.XLS";#N/A,#N/A,FALSE,"ECCMP";#N/A,#N/A,FALSE,"WELDER.XLS"}</definedName>
    <definedName name="an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al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nscount" hidden="1">1</definedName>
    <definedName name="arajamo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rajamo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rajamo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rajamo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rajamo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rajamo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" hidden="1">{#N/A,#N/A,FALSE,"COVER.XLS";#N/A,#N/A,FALSE,"RACT1.XLS";#N/A,#N/A,FALSE,"RACT2.XLS";#N/A,#N/A,FALSE,"ECCMP";#N/A,#N/A,FALSE,"WELDER.XLS"}</definedName>
    <definedName name="AS_1" hidden="1">{#N/A,#N/A,FALSE,"COVER.XLS";#N/A,#N/A,FALSE,"RACT1.XLS";#N/A,#N/A,FALSE,"RACT2.XLS";#N/A,#N/A,FALSE,"ECCMP";#N/A,#N/A,FALSE,"WELDER.XLS"}</definedName>
    <definedName name="AS_2" hidden="1">{#N/A,#N/A,FALSE,"COVER.XLS";#N/A,#N/A,FALSE,"RACT1.XLS";#N/A,#N/A,FALSE,"RACT2.XLS";#N/A,#N/A,FALSE,"ECCMP";#N/A,#N/A,FALSE,"WELDER.XLS"}</definedName>
    <definedName name="AS_3" hidden="1">{#N/A,#N/A,FALSE,"COVER.XLS";#N/A,#N/A,FALSE,"RACT1.XLS";#N/A,#N/A,FALSE,"RACT2.XLS";#N/A,#N/A,FALSE,"ECCMP";#N/A,#N/A,FALSE,"WELDER.XLS"}</definedName>
    <definedName name="AS_4" hidden="1">{#N/A,#N/A,FALSE,"COVER.XLS";#N/A,#N/A,FALSE,"RACT1.XLS";#N/A,#N/A,FALSE,"RACT2.XLS";#N/A,#N/A,FALSE,"ECCMP";#N/A,#N/A,FALSE,"WELDER.XLS"}</definedName>
    <definedName name="AS_5" hidden="1">{#N/A,#N/A,FALSE,"COVER.XLS";#N/A,#N/A,FALSE,"RACT1.XLS";#N/A,#N/A,FALSE,"RACT2.XLS";#N/A,#N/A,FALSE,"ECCMP";#N/A,#N/A,FALSE,"WELDER.XLS"}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a" hidden="1">{#N/A,#N/A,FALSE,"COVER1.XLS ";#N/A,#N/A,FALSE,"RACT1.XLS";#N/A,#N/A,FALSE,"RACT2.XLS";#N/A,#N/A,FALSE,"ECCMP";#N/A,#N/A,FALSE,"WELDER.XLS"}</definedName>
    <definedName name="asa_1" hidden="1">{#N/A,#N/A,FALSE,"COVER1.XLS ";#N/A,#N/A,FALSE,"RACT1.XLS";#N/A,#N/A,FALSE,"RACT2.XLS";#N/A,#N/A,FALSE,"ECCMP";#N/A,#N/A,FALSE,"WELDER.XLS"}</definedName>
    <definedName name="asa_1_1" hidden="1">{#N/A,#N/A,FALSE,"COVER1.XLS ";#N/A,#N/A,FALSE,"RACT1.XLS";#N/A,#N/A,FALSE,"RACT2.XLS";#N/A,#N/A,FALSE,"ECCMP";#N/A,#N/A,FALSE,"WELDER.XLS"}</definedName>
    <definedName name="asa_1_2" hidden="1">{#N/A,#N/A,FALSE,"COVER1.XLS ";#N/A,#N/A,FALSE,"RACT1.XLS";#N/A,#N/A,FALSE,"RACT2.XLS";#N/A,#N/A,FALSE,"ECCMP";#N/A,#N/A,FALSE,"WELDER.XLS"}</definedName>
    <definedName name="asa_1_3" hidden="1">{#N/A,#N/A,FALSE,"COVER1.XLS ";#N/A,#N/A,FALSE,"RACT1.XLS";#N/A,#N/A,FALSE,"RACT2.XLS";#N/A,#N/A,FALSE,"ECCMP";#N/A,#N/A,FALSE,"WELDER.XLS"}</definedName>
    <definedName name="asa_1_4" hidden="1">{#N/A,#N/A,FALSE,"COVER1.XLS ";#N/A,#N/A,FALSE,"RACT1.XLS";#N/A,#N/A,FALSE,"RACT2.XLS";#N/A,#N/A,FALSE,"ECCMP";#N/A,#N/A,FALSE,"WELDER.XLS"}</definedName>
    <definedName name="asa_1_5" hidden="1">{#N/A,#N/A,FALSE,"COVER1.XLS ";#N/A,#N/A,FALSE,"RACT1.XLS";#N/A,#N/A,FALSE,"RACT2.XLS";#N/A,#N/A,FALSE,"ECCMP";#N/A,#N/A,FALSE,"WELDER.XLS"}</definedName>
    <definedName name="asa_2" hidden="1">{#N/A,#N/A,FALSE,"COVER1.XLS ";#N/A,#N/A,FALSE,"RACT1.XLS";#N/A,#N/A,FALSE,"RACT2.XLS";#N/A,#N/A,FALSE,"ECCMP";#N/A,#N/A,FALSE,"WELDER.XLS"}</definedName>
    <definedName name="asa_2_1" hidden="1">{#N/A,#N/A,FALSE,"COVER1.XLS ";#N/A,#N/A,FALSE,"RACT1.XLS";#N/A,#N/A,FALSE,"RACT2.XLS";#N/A,#N/A,FALSE,"ECCMP";#N/A,#N/A,FALSE,"WELDER.XLS"}</definedName>
    <definedName name="asa_2_2" hidden="1">{#N/A,#N/A,FALSE,"COVER1.XLS ";#N/A,#N/A,FALSE,"RACT1.XLS";#N/A,#N/A,FALSE,"RACT2.XLS";#N/A,#N/A,FALSE,"ECCMP";#N/A,#N/A,FALSE,"WELDER.XLS"}</definedName>
    <definedName name="asa_2_3" hidden="1">{#N/A,#N/A,FALSE,"COVER1.XLS ";#N/A,#N/A,FALSE,"RACT1.XLS";#N/A,#N/A,FALSE,"RACT2.XLS";#N/A,#N/A,FALSE,"ECCMP";#N/A,#N/A,FALSE,"WELDER.XLS"}</definedName>
    <definedName name="asa_2_4" hidden="1">{#N/A,#N/A,FALSE,"COVER1.XLS ";#N/A,#N/A,FALSE,"RACT1.XLS";#N/A,#N/A,FALSE,"RACT2.XLS";#N/A,#N/A,FALSE,"ECCMP";#N/A,#N/A,FALSE,"WELDER.XLS"}</definedName>
    <definedName name="asa_2_5" hidden="1">{#N/A,#N/A,FALSE,"COVER1.XLS ";#N/A,#N/A,FALSE,"RACT1.XLS";#N/A,#N/A,FALSE,"RACT2.XLS";#N/A,#N/A,FALSE,"ECCMP";#N/A,#N/A,FALSE,"WELDER.XLS"}</definedName>
    <definedName name="asa_3" hidden="1">{#N/A,#N/A,FALSE,"COVER1.XLS ";#N/A,#N/A,FALSE,"RACT1.XLS";#N/A,#N/A,FALSE,"RACT2.XLS";#N/A,#N/A,FALSE,"ECCMP";#N/A,#N/A,FALSE,"WELDER.XLS"}</definedName>
    <definedName name="asa_4" hidden="1">{#N/A,#N/A,FALSE,"COVER1.XLS ";#N/A,#N/A,FALSE,"RACT1.XLS";#N/A,#N/A,FALSE,"RACT2.XLS";#N/A,#N/A,FALSE,"ECCMP";#N/A,#N/A,FALSE,"WELDER.XLS"}</definedName>
    <definedName name="asa_5" hidden="1">{#N/A,#N/A,FALSE,"COVER1.XLS ";#N/A,#N/A,FALSE,"RACT1.XLS";#N/A,#N/A,FALSE,"RACT2.XLS";#N/A,#N/A,FALSE,"ECCMP";#N/A,#N/A,FALSE,"WELDER.XLS"}</definedName>
    <definedName name="asad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ad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SD" hidden="1">{#N/A,#N/A,FALSE,"COVER.XLS";#N/A,#N/A,FALSE,"RACT1.XLS";#N/A,#N/A,FALSE,"RACT2.XLS";#N/A,#N/A,FALSE,"ECCMP";#N/A,#N/A,FALSE,"WELDER.XLS"}</definedName>
    <definedName name="ASFSA" hidden="1">#REF!</definedName>
    <definedName name="as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l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l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l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l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l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l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ws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ws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ws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ws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ws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ws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bbb" hidden="1">{#N/A,#N/A,FALSE,"COVER.XLS";#N/A,#N/A,FALSE,"RACT1.XLS";#N/A,#N/A,FALSE,"RACT2.XLS";#N/A,#N/A,FALSE,"ECCMP";#N/A,#N/A,FALSE,"WELDER.XLS"}</definedName>
    <definedName name="bbb_1" hidden="1">{#N/A,#N/A,FALSE,"COVER.XLS";#N/A,#N/A,FALSE,"RACT1.XLS";#N/A,#N/A,FALSE,"RACT2.XLS";#N/A,#N/A,FALSE,"ECCMP";#N/A,#N/A,FALSE,"WELDER.XLS"}</definedName>
    <definedName name="bbb_1_1" hidden="1">{#N/A,#N/A,FALSE,"COVER.XLS";#N/A,#N/A,FALSE,"RACT1.XLS";#N/A,#N/A,FALSE,"RACT2.XLS";#N/A,#N/A,FALSE,"ECCMP";#N/A,#N/A,FALSE,"WELDER.XLS"}</definedName>
    <definedName name="bbb_1_2" hidden="1">{#N/A,#N/A,FALSE,"COVER.XLS";#N/A,#N/A,FALSE,"RACT1.XLS";#N/A,#N/A,FALSE,"RACT2.XLS";#N/A,#N/A,FALSE,"ECCMP";#N/A,#N/A,FALSE,"WELDER.XLS"}</definedName>
    <definedName name="bbb_1_3" hidden="1">{#N/A,#N/A,FALSE,"COVER.XLS";#N/A,#N/A,FALSE,"RACT1.XLS";#N/A,#N/A,FALSE,"RACT2.XLS";#N/A,#N/A,FALSE,"ECCMP";#N/A,#N/A,FALSE,"WELDER.XLS"}</definedName>
    <definedName name="bbb_1_4" hidden="1">{#N/A,#N/A,FALSE,"COVER.XLS";#N/A,#N/A,FALSE,"RACT1.XLS";#N/A,#N/A,FALSE,"RACT2.XLS";#N/A,#N/A,FALSE,"ECCMP";#N/A,#N/A,FALSE,"WELDER.XLS"}</definedName>
    <definedName name="bbb_1_5" hidden="1">{#N/A,#N/A,FALSE,"COVER.XLS";#N/A,#N/A,FALSE,"RACT1.XLS";#N/A,#N/A,FALSE,"RACT2.XLS";#N/A,#N/A,FALSE,"ECCMP";#N/A,#N/A,FALSE,"WELDER.XLS"}</definedName>
    <definedName name="bbb_2" hidden="1">{#N/A,#N/A,FALSE,"COVER.XLS";#N/A,#N/A,FALSE,"RACT1.XLS";#N/A,#N/A,FALSE,"RACT2.XLS";#N/A,#N/A,FALSE,"ECCMP";#N/A,#N/A,FALSE,"WELDER.XLS"}</definedName>
    <definedName name="bbb_2_1" hidden="1">{#N/A,#N/A,FALSE,"COVER.XLS";#N/A,#N/A,FALSE,"RACT1.XLS";#N/A,#N/A,FALSE,"RACT2.XLS";#N/A,#N/A,FALSE,"ECCMP";#N/A,#N/A,FALSE,"WELDER.XLS"}</definedName>
    <definedName name="bbb_2_2" hidden="1">{#N/A,#N/A,FALSE,"COVER.XLS";#N/A,#N/A,FALSE,"RACT1.XLS";#N/A,#N/A,FALSE,"RACT2.XLS";#N/A,#N/A,FALSE,"ECCMP";#N/A,#N/A,FALSE,"WELDER.XLS"}</definedName>
    <definedName name="bbb_2_3" hidden="1">{#N/A,#N/A,FALSE,"COVER.XLS";#N/A,#N/A,FALSE,"RACT1.XLS";#N/A,#N/A,FALSE,"RACT2.XLS";#N/A,#N/A,FALSE,"ECCMP";#N/A,#N/A,FALSE,"WELDER.XLS"}</definedName>
    <definedName name="bbb_2_4" hidden="1">{#N/A,#N/A,FALSE,"COVER.XLS";#N/A,#N/A,FALSE,"RACT1.XLS";#N/A,#N/A,FALSE,"RACT2.XLS";#N/A,#N/A,FALSE,"ECCMP";#N/A,#N/A,FALSE,"WELDER.XLS"}</definedName>
    <definedName name="bbb_2_5" hidden="1">{#N/A,#N/A,FALSE,"COVER.XLS";#N/A,#N/A,FALSE,"RACT1.XLS";#N/A,#N/A,FALSE,"RACT2.XLS";#N/A,#N/A,FALSE,"ECCMP";#N/A,#N/A,FALSE,"WELDER.XLS"}</definedName>
    <definedName name="bbb_3" hidden="1">{#N/A,#N/A,FALSE,"COVER.XLS";#N/A,#N/A,FALSE,"RACT1.XLS";#N/A,#N/A,FALSE,"RACT2.XLS";#N/A,#N/A,FALSE,"ECCMP";#N/A,#N/A,FALSE,"WELDER.XLS"}</definedName>
    <definedName name="bbb_4" hidden="1">{#N/A,#N/A,FALSE,"COVER.XLS";#N/A,#N/A,FALSE,"RACT1.XLS";#N/A,#N/A,FALSE,"RACT2.XLS";#N/A,#N/A,FALSE,"ECCMP";#N/A,#N/A,FALSE,"WELDER.XLS"}</definedName>
    <definedName name="bbb_5" hidden="1">{#N/A,#N/A,FALSE,"COVER.XLS";#N/A,#N/A,FALSE,"RACT1.XLS";#N/A,#N/A,FALSE,"RACT2.XLS";#N/A,#N/A,FALSE,"ECCMP";#N/A,#N/A,FALSE,"WELDER.XLS"}</definedName>
    <definedName name="BBRA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RAS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RAS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RAS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RAS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BRAS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BEx0017DGUEDPCFJUPUZOOLJCS2B" hidden="1">#REF!</definedName>
    <definedName name="BEx001CNWHJ5RULCSFM36ZCGJ1UH" hidden="1">#REF!</definedName>
    <definedName name="BEx004791UAJIJSN57OT7YBLNP82" hidden="1">#REF!</definedName>
    <definedName name="BEx008P2NVFDLBHL7IZ5WTMVOQ1F" hidden="1">#REF!</definedName>
    <definedName name="BEx009G00IN0JUIAQ4WE9NHTMQE2" hidden="1">#REF!</definedName>
    <definedName name="BEx00DXTY2JDVGWQKV8H7FG4SV30" hidden="1">#REF!</definedName>
    <definedName name="BEx00GHLTYRH5N2S6P78YW1CD30N" hidden="1">#REF!</definedName>
    <definedName name="BEx00JC31DY11L45SEU4B10BIN6W" hidden="1">#REF!</definedName>
    <definedName name="BEx00KZHZBHP3TDV1YMX4B19B95O" hidden="1">#REF!</definedName>
    <definedName name="BEx00MBY8XXUOHIZ4LHXHPD7WYD5" hidden="1">#REF!</definedName>
    <definedName name="BEx01HY6E3GJ66ABU5ABN26V6Q13" hidden="1">#REF!</definedName>
    <definedName name="BEx01PW5YQKEGAR8JDDI5OARYXDF" hidden="1">#REF!</definedName>
    <definedName name="BEx01XJ94SHJ1YQ7ORPW0RQGKI2H" hidden="1">#REF!</definedName>
    <definedName name="BEx02Q08R9G839Q4RFGG9026C7PX" hidden="1">#REF!</definedName>
    <definedName name="BEx02SEL3Z1QWGAHXDPUA9WLTTPS" hidden="1">#REF!</definedName>
    <definedName name="BEx02Y3KJZH5BGDM9QEZ1PVVI114" hidden="1">#REF!</definedName>
    <definedName name="BEx0313GRLLASDTVPW5DHTXHE74M" hidden="1">#REF!</definedName>
    <definedName name="BEx1F0SOZ3H5XUHXD7O01TCR8T6J" hidden="1">#REF!</definedName>
    <definedName name="BEx1F9HL824UCNCVZ2U62J4KZCX8" hidden="1">#REF!</definedName>
    <definedName name="BEx1FEVSJKTI1Q1Z874QZVFSJSVA" hidden="1">#REF!</definedName>
    <definedName name="BEx1FGDRUHHLI1GBHELT4PK0LY4V" hidden="1">#REF!</definedName>
    <definedName name="BEx1FJZ7GKO99IYTP6GGGF7EUL3Z" hidden="1">#REF!</definedName>
    <definedName name="BEx1FZV2CM77TBH1R6YYV9P06KA2" hidden="1">#REF!</definedName>
    <definedName name="BEx1G59AY8195JTUM6P18VXUFJ3E" hidden="1">#REF!</definedName>
    <definedName name="BEx1GVMRHFXUP6XYYY9NR12PV5TF" hidden="1">#REF!</definedName>
    <definedName name="BEx1H6KIT7BHUH6MDDWC935V9N47" hidden="1">#REF!</definedName>
    <definedName name="BEx1HDGOOJ3SKHYMWUZJ1P0RQZ9N" hidden="1">#REF!</definedName>
    <definedName name="BEx1HDM5ZXSJG6JQEMSFV52PZ10V" hidden="1">#REF!</definedName>
    <definedName name="BEx1HETBBZVN5F43LKOFMC4QB0CR" hidden="1">#REF!</definedName>
    <definedName name="BEx1HGWNWPLNXICOTP90TKQVVE4E" hidden="1">#REF!</definedName>
    <definedName name="BEx1HIPLJZABY0EMUOTZN0EQMDPU" hidden="1">#REF!</definedName>
    <definedName name="BEx1HO94JIRX219MPWMB5E5XZ04X" hidden="1">#REF!</definedName>
    <definedName name="BEx1HQNF6KHM21E3XLW0NMSSEI9S" hidden="1">#REF!</definedName>
    <definedName name="BEx1HSLNWIW4S97ZBYY7I7M5YVH4" hidden="1">#REF!</definedName>
    <definedName name="BEx1I4QKTILCKZUSOJCVZN7SNHL5" hidden="1">#REF!</definedName>
    <definedName name="BEx1IE0ZP7RIFM9FI24S9I6AAJ14" hidden="1">#REF!</definedName>
    <definedName name="BEx1IGQ5B697MNDOE06MVSR0H58E" hidden="1">#REF!</definedName>
    <definedName name="BEx1IKRPW8MLB9Y485M1TL2IT9SH" hidden="1">#REF!</definedName>
    <definedName name="BEx1J0CSSHDJGBJUHVOEMCF2P4DL" hidden="1">#REF!</definedName>
    <definedName name="BEx1J61RRF9LJ3V3R5OY3WJ6VBWR" hidden="1">#REF!</definedName>
    <definedName name="BEx1J7E8VCGLPYU82QXVUG5N3ZAI" hidden="1">#REF!</definedName>
    <definedName name="BEx1JGE2YQWH8S25USOY08XVGO0D" hidden="1">#REF!</definedName>
    <definedName name="BEx1JJJC9T1W7HY4V7HP1S1W4JO1" hidden="1">#REF!</definedName>
    <definedName name="BEx1JKKZSJ7DI4PTFVI9VVFMB1X2" hidden="1">#REF!</definedName>
    <definedName name="BEx1JUBQFRVMASSFK4B3V0AD7YP9" hidden="1">#REF!</definedName>
    <definedName name="BEx1JXBM5W4YRWNQ0P95QQS6JWD6" hidden="1">#REF!</definedName>
    <definedName name="BEx1KGY9QEHZ9QSARMQUTQKRK4UX" hidden="1">#REF!</definedName>
    <definedName name="BEx1KKP1ELIF2UII2FWVGL7M1X7J" hidden="1">#REF!</definedName>
    <definedName name="BEx1KUVWMB0QCWA3RBE4CADFVRIS" hidden="1">#REF!</definedName>
    <definedName name="BEx1L2OG1SDFK2TPXELJ77YP4NI2" hidden="1">#REF!</definedName>
    <definedName name="BEx1L6Q60MWRDJB4L20LK0XPA0Z2" hidden="1">#REF!</definedName>
    <definedName name="BEx1LD63FP2Z4BR9TKSHOZW9KKZ5" hidden="1">#REF!</definedName>
    <definedName name="BEx1LDMB9RW982DUILM2WPT5VWQ3" hidden="1">#REF!</definedName>
    <definedName name="BEx1LRPGDQCOEMW8YT80J1XCDCIV" hidden="1">#REF!</definedName>
    <definedName name="BEx1LRUSJW4JG54X07QWD9R27WV9" hidden="1">#REF!</definedName>
    <definedName name="BEx1M1WBK5T0LP1AK2JYV6W87ID6" hidden="1">#REF!</definedName>
    <definedName name="BEx1M51HHDYGIT8PON7U8ICL2S95" hidden="1">#REF!</definedName>
    <definedName name="BEx1M9U5SQ65FSUFEF1VMTY2EYHM" hidden="1">#REF!</definedName>
    <definedName name="BEx1MTRKKVCHOZ0YGID6HZ49LJTO" hidden="1">#REF!</definedName>
    <definedName name="BEx1N3CUJ3UX61X38ZAJVPEN4KMC" hidden="1">#REF!</definedName>
    <definedName name="BEx1NM34KQTO1LDNSAFD1L82UZFG" hidden="1">#REF!</definedName>
    <definedName name="BEx1NO6TXZVOGCUWCCRTXRXWW0XL" hidden="1">#REF!</definedName>
    <definedName name="BEx1NS8EU5P9FQV3S0WRTXI5L361" hidden="1">#REF!</definedName>
    <definedName name="BEx1NUBX5VUYZFKQH69FN6BTLWCR" hidden="1">#REF!</definedName>
    <definedName name="BEx1NZ4K1L8UON80Y2A4RASKWGNP" hidden="1">#REF!</definedName>
    <definedName name="BEx1OLAZ915OGYWP0QP1QQWDLCRX" hidden="1">#REF!</definedName>
    <definedName name="BEx1OO5ER042IS6IC4TLDI75JNVH" hidden="1">#REF!</definedName>
    <definedName name="BEx1OTE54CBSUT8FWKRALEDCUWN4" hidden="1">#REF!</definedName>
    <definedName name="BEx1OVSMPADTX95QUOX34KZQ8EDY" hidden="1">#REF!</definedName>
    <definedName name="BEx1OX544IO9FQJI7YYQGZCEHB3O" hidden="1">#REF!</definedName>
    <definedName name="BEx1OY6SVEUT2EQ26P7EKEND342G" hidden="1">#REF!</definedName>
    <definedName name="BEx1OYN1LPIPI12O9G6F7QAOS9T4" hidden="1">#REF!</definedName>
    <definedName name="BEx1P1HHKJA799O3YZXQAX6KFH58" hidden="1">#REF!</definedName>
    <definedName name="BEx1P34W467WGPOXPK292QFJIPHJ" hidden="1">#REF!</definedName>
    <definedName name="BEx1P7S1J4TKGVJ43C2Q2R3M9WRB" hidden="1">#REF!</definedName>
    <definedName name="BEx1PA11BLPVZM8RC5BL46WX8YB5" hidden="1">#REF!</definedName>
    <definedName name="BEx1PBZ4BEFIPGMQXT9T8S4PZ2IM" hidden="1">#REF!</definedName>
    <definedName name="BEx1PLF2CFSXBZPVI6CJ534EIJDN" hidden="1">#REF!</definedName>
    <definedName name="BEx1PMWZB2DO6EM9BKLUICZJ65HD" hidden="1">#REF!</definedName>
    <definedName name="BEx1PRPMXFXAZMQNS3DJO5H7ELSV" hidden="1">#REF!</definedName>
    <definedName name="BEx1QA54J2A4I7IBQR19BTY28ZMR" hidden="1">#REF!</definedName>
    <definedName name="BEx1QFU451RLU2RASH21DN6CB4QV" hidden="1">#REF!</definedName>
    <definedName name="BEx1QMQAHG3KQUK59DVM68SWKZIZ" hidden="1">#REF!</definedName>
    <definedName name="BEx1R9YFKJCMSEST8OVCAO5E47FO" hidden="1">#REF!</definedName>
    <definedName name="BEx1RBGC06B3T52OIC0EQ1KGVP1I" hidden="1">#REF!</definedName>
    <definedName name="BEx1RRC7X4NI1CU4EO5XYE2GVARJ" hidden="1">#REF!</definedName>
    <definedName name="BEx1RZA1NCGT832L7EMR7GMF588W" hidden="1">#REF!</definedName>
    <definedName name="BEx1S0XGIPUSZQUCSGWSK10GKW7Y" hidden="1">#REF!</definedName>
    <definedName name="BEx1S5VFNKIXHTTCWSV60UC50EZ8" hidden="1">#REF!</definedName>
    <definedName name="BEx1SK3U02H0RGKEYXW7ZMCEOF3V" hidden="1">#REF!</definedName>
    <definedName name="BEx1SSNEZINBJT29QVS62VS1THT4" hidden="1">#REF!</definedName>
    <definedName name="BEx1SVNCHNANBJIDIQVB8AFK4HAN" hidden="1">#REF!</definedName>
    <definedName name="BEx1TJ0WLS9O7KNSGIPWTYHDYI1D" hidden="1">#REF!</definedName>
    <definedName name="BEx1U15M7LVVFZENH830B2BGWC04" hidden="1">#REF!</definedName>
    <definedName name="BEx1U7WFO8OZKB1EBF4H386JW91L" hidden="1">#REF!</definedName>
    <definedName name="BEx1U87938YR9N6HYI24KVBKLOS3" hidden="1">#REF!</definedName>
    <definedName name="BEx1UESH4KDWHYESQU2IE55RS3LI" hidden="1">#REF!</definedName>
    <definedName name="BEx1UI8N9KTCPSOJ7RDW0T8UEBNP" hidden="1">#REF!</definedName>
    <definedName name="BEx1UML0HHJFHA5TBOYQ24I3RV1W" hidden="1">#REF!</definedName>
    <definedName name="BEx1UUDIQPZ23XQ79GUL0RAWRSCK" hidden="1">#REF!</definedName>
    <definedName name="BEx1V67SEV778NVW68J8W5SND1J7" hidden="1">#REF!</definedName>
    <definedName name="BEx1VIY9SQLRESD11CC4PHYT0XSG" hidden="1">#REF!</definedName>
    <definedName name="BEx1W2FKLYQ9H7PLNB7J40Y3ZL21" hidden="1">#REF!</definedName>
    <definedName name="BEx1WC67EH10SC38QWX3WEA5KH3A" hidden="1">#REF!</definedName>
    <definedName name="BEx1WGYTKZZIPM1577W5FEYKFH3V" hidden="1">#REF!</definedName>
    <definedName name="BEx1WHPURIV3D3PTJJ359H1OP7ZV" hidden="1">#REF!</definedName>
    <definedName name="BEx1WLWY2CR1WRD694JJSWSDFAIR" hidden="1">#REF!</definedName>
    <definedName name="BEx1WMD1LWPWRIK6GGAJRJAHJM8I" hidden="1">#REF!</definedName>
    <definedName name="BEx1WR0D41MR174LBF3P9E3K0J51" hidden="1">#REF!</definedName>
    <definedName name="BEx1WUB1FAS5PHU33TJ60SUHR618" hidden="1">#REF!</definedName>
    <definedName name="BEx1WX04G0INSPPG9NTNR3DYR6PZ" hidden="1">#REF!</definedName>
    <definedName name="BEx1X3LHU9DPG01VWX2IF65TRATF" hidden="1">#REF!</definedName>
    <definedName name="BEx1X3QU1HJQKZWVJCHE625OPE83" hidden="1">#REF!</definedName>
    <definedName name="BEx1XK8AAMO0AH0Z1OUKW30CA7EQ" hidden="1">#REF!</definedName>
    <definedName name="BEx1XL4MZ7C80495GHQRWOBS16PQ" hidden="1">#REF!</definedName>
    <definedName name="BEx1Y2IGS2K95E1M51PEF9KJZ0KB" hidden="1">#REF!</definedName>
    <definedName name="BEx1Y3PKK83X2FN9SAALFHOWKMRQ" hidden="1">#REF!</definedName>
    <definedName name="BEx1YL3DJ7Y4AZ01ERCOGW0FJ26T" hidden="1">#REF!</definedName>
    <definedName name="BEx1Z2RYHSVD1H37817SN93VMURZ" hidden="1">#REF!</definedName>
    <definedName name="BEx3AMAKWI6458B67VKZO56MCNJW" hidden="1">#REF!</definedName>
    <definedName name="BEx3AOOVM42G82TNF53W0EKXLUSI" hidden="1">#REF!</definedName>
    <definedName name="BEx3AZH9W4SUFCAHNDOQ728R9V4L" hidden="1">#REF!</definedName>
    <definedName name="BEx3BNR9ES4KY7Q1DK83KC5NDGL8" hidden="1">#REF!</definedName>
    <definedName name="BEx3BQR5VZXNQ4H949ORM8ESU3B3" hidden="1">#REF!</definedName>
    <definedName name="BEx3BTLL3ASJN134DLEQTQM70VZM" hidden="1">#REF!</definedName>
    <definedName name="BEx3BW5CTV0DJU5AQS3ZQFK2VLF3" hidden="1">#REF!</definedName>
    <definedName name="BEx3BYP0FG369M7G3JEFLMMXAKTS" hidden="1">#REF!</definedName>
    <definedName name="BEx3C2QR0WUD19QSVO8EMIPNQJKH" hidden="1">#REF!</definedName>
    <definedName name="BEx3CCS3VNR1KW2R7DKSQFZ17QW0" hidden="1">#REF!</definedName>
    <definedName name="BEx3CKFCCPZZ6ROLAT5C1DZNIC1U" hidden="1">#REF!</definedName>
    <definedName name="BEx3CN4GOLBRG5OQU36TU2CKMMP6" hidden="1">#REF!</definedName>
    <definedName name="BEx3CO0SVO4WLH0DO43DCHYDTH1P" hidden="1">#REF!</definedName>
    <definedName name="BEx3D9G6QTSPF9UYI4X0XY0VE896" hidden="1">#REF!</definedName>
    <definedName name="BEx3DCQU9PBRXIMLO62KS5RLH447" hidden="1">#REF!</definedName>
    <definedName name="BEx3DDY0TADW2ISCRYOIIF19ZHJS" hidden="1">#REF!</definedName>
    <definedName name="BEx3EF99FD6QNNCNOKDEE67JHTUJ" hidden="1">#REF!</definedName>
    <definedName name="BEx3EHCSERZ2O2OAG8Y95UPG2IY9" hidden="1">#REF!</definedName>
    <definedName name="BEx3EJR3TCJDYS7ZXNDS5N9KTGIK" hidden="1">#REF!</definedName>
    <definedName name="BEx3ELJTTBS6P05CNISMGOJOA60V" hidden="1">#REF!</definedName>
    <definedName name="BEx3EQSLJBDDJRHNX19PBFCKNY2I" hidden="1">#REF!</definedName>
    <definedName name="BEx3EUUAX947Q5N6MY6W0KSNY78Y" hidden="1">#REF!</definedName>
    <definedName name="BEx3FHMD1P5XBCH23ZKIFO6ZTCNB" hidden="1">#REF!</definedName>
    <definedName name="BEx3FI2G3YYIACQHXNXEA15M8ZK5" hidden="1">#REF!</definedName>
    <definedName name="BEx3FJ9MHSLDK8W91GO85FX1GX57" hidden="1">#REF!</definedName>
    <definedName name="BEx3FR251HFU7A33PU01SJUENL2B" hidden="1">#REF!</definedName>
    <definedName name="BEx3FX7EJL47JSLSWP3EOC265WAE" hidden="1">#REF!</definedName>
    <definedName name="BEx3G201R8NLJ6FIHO2QS0SW9QVV" hidden="1">#REF!</definedName>
    <definedName name="BEx3G2LL2II66XY5YCDPG4JE13A3" hidden="1">#REF!</definedName>
    <definedName name="BEx3G2WA0DTYY9D8AGHHOBTPE2B2" hidden="1">#REF!</definedName>
    <definedName name="BEx3GCXR6IAS0B6WJ03GJVH7CO52" hidden="1">#REF!</definedName>
    <definedName name="BEx3GEVV18SEQDI1JGY7EN6D1GT1" hidden="1">#REF!</definedName>
    <definedName name="BEx3GKFH64MKQX61S7DYTZ15JCPY" hidden="1">#REF!</definedName>
    <definedName name="BEx3GMJ1Y6UU02DLRL0QXCEKDA6C" hidden="1">#REF!</definedName>
    <definedName name="BEx3GN4LY0135CBDIN1TU2UEODGF" hidden="1">#REF!</definedName>
    <definedName name="BEx3GPDH2AH4QKT4OOSN563XUHBD" hidden="1">#REF!</definedName>
    <definedName name="BEx3H5UX2GZFZZT657YR76RHW5I6" hidden="1">#REF!</definedName>
    <definedName name="BEx3HMSEFOP6DBM4R97XA6B7NFG6" hidden="1">#REF!</definedName>
    <definedName name="BEx3HWJ5SQSD2CVCQNR183X44FR8" hidden="1">#REF!</definedName>
    <definedName name="BEx3I09YVXO0G4X7KGSA4WGORM35" hidden="1">#REF!</definedName>
    <definedName name="BEx3ICF1GY8HQEBIU9S43PDJ90BX" hidden="1">#REF!</definedName>
    <definedName name="BEx3IYAH2DEBFWO8F94H4MXE3RLY" hidden="1">#REF!</definedName>
    <definedName name="BEx3IZXXSYEW50379N2EAFWO8DZV" hidden="1">#REF!</definedName>
    <definedName name="BEx3J1VZVGTKT4ATPO9O5JCSFTTR" hidden="1">#REF!</definedName>
    <definedName name="BEx3J6U394V9S5MFS9GBF9T6D49C" hidden="1">#REF!</definedName>
    <definedName name="BEx3JB15DI5HBTKVH0J0MMK9KKZP" hidden="1">#REF!</definedName>
    <definedName name="BEx3JC2TY7JNAAC3L7QHVPQXLGQ8" hidden="1">#REF!</definedName>
    <definedName name="BEx3JX23SYDIGOGM4Y0CQFBW8ZBV" hidden="1">#REF!</definedName>
    <definedName name="BEx3JXCXCVBZJGV5VEG9MJEI01AL" hidden="1">#REF!</definedName>
    <definedName name="BEx3JYK2N7X59TPJSKYZ77ENY8SS" hidden="1">#REF!</definedName>
    <definedName name="BEx3K4EII7GU1CG0BN7UL15M6J8Z" hidden="1">#REF!</definedName>
    <definedName name="BEx3K4ZXQUQ2KYZF74B84SO48XMW" hidden="1">#REF!</definedName>
    <definedName name="BEx3KEFXUCVNVPH7KSEGAZYX13B5" hidden="1">#REF!</definedName>
    <definedName name="BEx3KFXUAF6YXAA47B7Q6X9B3VGB" hidden="1">#REF!</definedName>
    <definedName name="BEx3KIXQYOGMPK4WJJAVBRX4NR28" hidden="1">#REF!</definedName>
    <definedName name="BEx3KJOMVOSFZVJUL3GKCNP6DQDS" hidden="1">#REF!</definedName>
    <definedName name="BEx3KP2VRBMORK0QEAZUYCXL3DHJ" hidden="1">#REF!</definedName>
    <definedName name="BEx3L4IN3LI4C26SITKTGAH27CDU" hidden="1">#REF!</definedName>
    <definedName name="BEx3L4YQ0J7ZU0M5QM6YIPCEYC9K" hidden="1">#REF!</definedName>
    <definedName name="BEx3L60DJOR7NQN42G7YSAODP1EX" hidden="1">#REF!</definedName>
    <definedName name="BEx3L7D0PI38HWZ7VADU16C9E33D" hidden="1">#REF!</definedName>
    <definedName name="BEx3LM1PR4Y7KINKMTMKR984GX8Q" hidden="1">#REF!</definedName>
    <definedName name="BEx3LPCEZ1C0XEKNCM3YT09JWCUO" hidden="1">#REF!</definedName>
    <definedName name="BEx3M1MR1K1NQD03H74BFWOK4MWQ" hidden="1">#REF!</definedName>
    <definedName name="BEx3M4H77MYUKOOD31H9F80NMVK8" hidden="1">#REF!</definedName>
    <definedName name="BEx3M9VFX329PZWYC4DMZ6P3W9R2" hidden="1">#REF!</definedName>
    <definedName name="BEx3MCQ0VEBV0CZXDS505L38EQ8N" hidden="1">#REF!</definedName>
    <definedName name="BEx3MEYV5LQY0BAL7V3CFAFVOM3T" hidden="1">#REF!</definedName>
    <definedName name="BEx3MREOFWJQEYMCMBL7ZE06NBN6" hidden="1">#REF!</definedName>
    <definedName name="BEx3NKXF7GYXHBK75UI6MDRUSU0J" hidden="1">#REF!</definedName>
    <definedName name="BEx3NLIZ7PHF2XE59ECZ3MD04ZG1" hidden="1">#REF!</definedName>
    <definedName name="BEx3NMQ4BVC94728AUM7CCX7UHTU" hidden="1">#REF!</definedName>
    <definedName name="BEx3NQBLA6JB69JFV4CEAMMMXZL8" hidden="1">#REF!</definedName>
    <definedName name="BEx3NR2I4OUFP3Z2QZEDU2PIFIDI" hidden="1">#REF!</definedName>
    <definedName name="BEx3O19B8FTTAPVT5DZXQGQXWFR8" hidden="1">#REF!</definedName>
    <definedName name="BEx3O85IKWARA6NCJOLRBRJFMEWW" hidden="1">#REF!</definedName>
    <definedName name="BEx3OJZSCGFRW7SVGBFI0X9DNVMM" hidden="1">#REF!</definedName>
    <definedName name="BEx3ORSBUXAF21MKEY90YJV9AY9A" hidden="1">#REF!</definedName>
    <definedName name="BEx3OV8BH6PYNZT7C246LOAU9SVX" hidden="1">#REF!</definedName>
    <definedName name="BEx3OXRYJZUEY6E72UJU0PHLMYAR" hidden="1">#REF!</definedName>
    <definedName name="BEx3P59TTRSGQY888P5C1O7M2PQT" hidden="1">#REF!</definedName>
    <definedName name="BEx3PDNRRNKD5GOUBUQFXAHIXLD9" hidden="1">#REF!</definedName>
    <definedName name="BEx3PDT8GNPWLLN02IH1XPV90XYK" hidden="1">#REF!</definedName>
    <definedName name="BEx3PKEMDW8KZEP11IL927C5O7I2" hidden="1">#REF!</definedName>
    <definedName name="BEx3PKJZ1Z7L9S6KV8KXVS6B2FX4" hidden="1">#REF!</definedName>
    <definedName name="BEx3PMNG53Z5HY138H99QOMTX8W3" hidden="1">#REF!</definedName>
    <definedName name="BEx3PP1RRSFZ8UC0JC9R91W6LNKW" hidden="1">#REF!</definedName>
    <definedName name="BEx3PVXYZC8WB9ZJE7OCKUXZ46EA" hidden="1">#REF!</definedName>
    <definedName name="BEx3Q0VWPU5EQECK7MQ47TYJ3SWW" hidden="1">#REF!</definedName>
    <definedName name="BEx3Q7BZ9PUXK2RLIOFSIS9AHU1B" hidden="1">#REF!</definedName>
    <definedName name="BEx3Q8J42S9VU6EAN2Y28MR6DF88" hidden="1">#REF!</definedName>
    <definedName name="BEx3QEDFOYFY5NBTININ5W4RLD4Q" hidden="1">#REF!</definedName>
    <definedName name="BEx3QIKJ3U962US1Q564NZDLU8LD" hidden="1">#REF!</definedName>
    <definedName name="BEx3QR9D45DHW50VQ7Y3Q1AXPOB9" hidden="1">#REF!</definedName>
    <definedName name="BEx3QSWT2S5KWG6U2V9711IYDQBM" hidden="1">#REF!</definedName>
    <definedName name="BEx3QVGG7Q2X4HZHJAM35A8T3VR7" hidden="1">#REF!</definedName>
    <definedName name="BEx3R0JUB9YN8PHPPQTAMIT1IHWK" hidden="1">#REF!</definedName>
    <definedName name="BEx3R81NFRO7M81VHVKOBFT0QBIL" hidden="1">#REF!</definedName>
    <definedName name="BEx3RHC2ZD5UFS6QD4OPFCNNMWH1" hidden="1">#REF!</definedName>
    <definedName name="BEx3RQ10QIWBAPHALAA91BUUCM2X" hidden="1">#REF!</definedName>
    <definedName name="BEx3RV4E1WT43SZBUN09RTB8EK1O" hidden="1">#REF!</definedName>
    <definedName name="BEx3RXYU0QLFXSFTM5EB20GD03W5" hidden="1">#REF!</definedName>
    <definedName name="BEx3RYKLC3QQO3XTUN7BEW2AQL98" hidden="1">#REF!</definedName>
    <definedName name="BEx3SICJ45BYT6FHBER86PJT25FC" hidden="1">#REF!</definedName>
    <definedName name="BEx3SMUCMJVGQ2H4EHQI5ZFHEF0P" hidden="1">#REF!</definedName>
    <definedName name="BEx3SN56F03CPDRDA7LZ763V0N4I" hidden="1">#REF!</definedName>
    <definedName name="BEx3SPE6N1ORXPRCDL3JPZD73Z9F" hidden="1">#REF!</definedName>
    <definedName name="BEx3T29ZTULQE0OMSMWUMZDU9ZZ0" hidden="1">#REF!</definedName>
    <definedName name="BEx3T6MJ1QDJ929WMUDVZ0O3UW0Y" hidden="1">#REF!</definedName>
    <definedName name="BEx3TLR9A7QC0IM1DPPFAH5SJ51V" hidden="1">#REF!</definedName>
    <definedName name="BEx3TPCSI16OAB2L9M9IULQMQ9J9" hidden="1">#REF!</definedName>
    <definedName name="BEx3U64YUOZ419BAJS2W78UMATAW" hidden="1">#REF!</definedName>
    <definedName name="BEx3U94WCEA5DKMWBEX1GU0LKYG2" hidden="1">#REF!</definedName>
    <definedName name="BEx3U9VZ8SQVYS6ZA038J7AP7ZGW" hidden="1">#REF!</definedName>
    <definedName name="BEx3UIQ5WRJBGNTFCCLOR4N7B1OQ" hidden="1">#REF!</definedName>
    <definedName name="BEx3UJMIX2NUSSWGMSI25A5DM4CH" hidden="1">#REF!</definedName>
    <definedName name="BEx3UKOCOQG7S1YQ436S997K1KWV" hidden="1">#REF!</definedName>
    <definedName name="BEx3UYM19VIXLA0EU7LB9NHA77PB" hidden="1">#REF!</definedName>
    <definedName name="BEx3VML7CG70HPISMVYIUEN3711Q" hidden="1">#REF!</definedName>
    <definedName name="BEx56ZID5H04P9AIYLP1OASFGV56" hidden="1">#REF!</definedName>
    <definedName name="BEx587EYSS57E3PI8DT973HLJM9E" hidden="1">#REF!</definedName>
    <definedName name="BEx587KFQ3VKCOCY1SA5F24PQGUI" hidden="1">#REF!</definedName>
    <definedName name="BEx58O780PQ05NF0Z1SKKRB3N099" hidden="1">#REF!</definedName>
    <definedName name="BEx58XHO7ZULLF2EUD7YIS0MGQJ5" hidden="1">#REF!</definedName>
    <definedName name="BEx58ZW0HAIGIPEX9CVA1PQQTR6X" hidden="1">#REF!</definedName>
    <definedName name="BEx59BA1KH3RG6K1LHL7YS2VB79N" hidden="1">#REF!</definedName>
    <definedName name="BEx59E9WABJP2TN71QAIKK79HPK9" hidden="1">#REF!</definedName>
    <definedName name="BEx59P7MAPNU129ZTC5H3EH892G1" hidden="1">#REF!</definedName>
    <definedName name="BEx5A11WZRQSIE089QE119AOX9ZG" hidden="1">#REF!</definedName>
    <definedName name="BEx5A7CIGCOTHJKHGUBDZG91JGPZ" hidden="1">#REF!</definedName>
    <definedName name="BEx5A8UFLT2SWVSG5COFA9B8P376" hidden="1">#REF!</definedName>
    <definedName name="BEx5AFFTN3IXIBHDKM0FYC4OFL1S" hidden="1">#REF!</definedName>
    <definedName name="BEx5AOFIO8KVRHIZ1RII337AA8ML" hidden="1">#REF!</definedName>
    <definedName name="BEx5APRZ66L5BWHFE8E4YYNEDTI4" hidden="1">#REF!</definedName>
    <definedName name="BEx5AUVDSQ35VO4BD9AKKGBM5S7D" hidden="1">#REF!</definedName>
    <definedName name="BEx5B4RHHX0J1BF2FZKEA0SPP29O" hidden="1">#REF!</definedName>
    <definedName name="BEx5B5YMSWP0OVI5CIQRP5V18D0C" hidden="1">#REF!</definedName>
    <definedName name="BEx5B825RW35M5H0UB2IZGGRS4ER" hidden="1">#REF!</definedName>
    <definedName name="BEx5BAWPMY0TL684WDXX6KKJLRCN" hidden="1">#REF!</definedName>
    <definedName name="BEx5BBI61U4Y65GD0ARMTALPP7SJ" hidden="1">#REF!</definedName>
    <definedName name="BEx5BDR56MEV4IHY6CIH2SVNG1UB" hidden="1">#REF!</definedName>
    <definedName name="BEx5BESZC5H329SKHGJOHZFILYJJ" hidden="1">#REF!</definedName>
    <definedName name="BEx5BHSQ42B50IU1TEQFUXFX9XQD" hidden="1">#REF!</definedName>
    <definedName name="BEx5BKSM4UN4C1DM3EYKM79MRC5K" hidden="1">#REF!</definedName>
    <definedName name="BEx5BNN8NPH9KVOBARB9CDD9WLB6" hidden="1">#REF!</definedName>
    <definedName name="BEx5BYFMZ80TDDN2EZO8CF39AIAC" hidden="1">#REF!</definedName>
    <definedName name="BEx5C2BWFW6SHZBFDEISKGXHZCQW" hidden="1">#REF!</definedName>
    <definedName name="BEx5C49ZFH8TO9ZU55729C3F7XG7" hidden="1">#REF!</definedName>
    <definedName name="BEx5C8GZQK13G60ZM70P63I5OS0L" hidden="1">#REF!</definedName>
    <definedName name="BEx5CAPTVN2NBT3UOMA1UFAL1C2R" hidden="1">#REF!</definedName>
    <definedName name="BEx5CEM3SYF9XP0ZZVE0GEPCLV3F" hidden="1">#REF!</definedName>
    <definedName name="BEx5CFYQ0F1Z6P8SCVJ0I3UPVFE4" hidden="1">#REF!</definedName>
    <definedName name="BEx5CINUDCSDCAJSNNV7XVNU8Q79" hidden="1">#REF!</definedName>
    <definedName name="BEx5CNLUIOYU8EODGA03Z3547I9T" hidden="1">#REF!</definedName>
    <definedName name="BEx5CPEKNSJORIPFQC2E1LTRYY8L" hidden="1">#REF!</definedName>
    <definedName name="BEx5CSUOL05D8PAM2TRDA9VRJT1O" hidden="1">#REF!</definedName>
    <definedName name="BEx5CUNFOO4YDFJ22HCMI2QKIGKM" hidden="1">#REF!</definedName>
    <definedName name="BEx5D8ABFPPAS1WW0EMKZLE77TNT" hidden="1">#REF!</definedName>
    <definedName name="BEx5D8L47OF0WHBPFWXGZINZWUBZ" hidden="1">#REF!</definedName>
    <definedName name="BEx5DAJAHQ2SKUPCKSCR3PYML67L" hidden="1">#REF!</definedName>
    <definedName name="BEx5DC18JM1KJCV44PF18E0LNRKA" hidden="1">#REF!</definedName>
    <definedName name="BEx5DF15DMOW2LYIFY5P541BB5ML" hidden="1">#REF!</definedName>
    <definedName name="BEx5DJIZBTNS011R9IIG2OQ2L6ZX" hidden="1">#REF!</definedName>
    <definedName name="BEx5E123OLO9WQUOIRIDJ967KAGK" hidden="1">#REF!</definedName>
    <definedName name="BEx5E2UU5NES6W779W2OZTZOB4O7" hidden="1">#REF!</definedName>
    <definedName name="BEx5E4CSE5G83J5K32WENF7BXL82" hidden="1">#REF!</definedName>
    <definedName name="BEx5ELQL9B0VR6UT18KP11DHOTFX" hidden="1">#REF!</definedName>
    <definedName name="BEx5ER4TJTFPN7IB1MNEB1ZFR5M6" hidden="1">#REF!</definedName>
    <definedName name="BEx5F6V72QTCK7O39Y59R0EVM6CW" hidden="1">#REF!</definedName>
    <definedName name="BEx5FGLQVACD5F5YZG4DGSCHCGO2" hidden="1">#REF!</definedName>
    <definedName name="BEx5FLJWHLW3BTZILDPN5NMA449V" hidden="1">#REF!</definedName>
    <definedName name="BEx5FNI2O10YN2SI1NO4X5GP3GTF" hidden="1">#REF!</definedName>
    <definedName name="BEx5FO8YRFSZCG3L608EHIHIHFY4" hidden="1">#REF!</definedName>
    <definedName name="BEx5FQNA6V4CNYSH013K45RI4BCV" hidden="1">#REF!</definedName>
    <definedName name="BEx5FVQPPEU32CPNV9RRQ9MNLLVE" hidden="1">#REF!</definedName>
    <definedName name="BEx5G08KGMG5X2AQKDGPFYG5GH94" hidden="1">#REF!</definedName>
    <definedName name="BEx5G1A8TFN4C4QII35U9DKYNIS8" hidden="1">#REF!</definedName>
    <definedName name="BEx5G1L0QO91KEPDMV1D8OT4BT73" hidden="1">#REF!</definedName>
    <definedName name="BEx5G86DZL1VYUX6KWODAP3WFAWP" hidden="1">#REF!</definedName>
    <definedName name="BEx5G8BV2GIOCM3C7IUFK8L04A6M" hidden="1">#REF!</definedName>
    <definedName name="BEx5GAFDPPGYTBQI2IIDA2IYSQT8" hidden="1">#REF!</definedName>
    <definedName name="BEx5GID9MVBUPFFT9M8K8B5MO9NV" hidden="1">#REF!</definedName>
    <definedName name="BEx5GN0EWA9SCQDPQ7NTUQH82QVK" hidden="1">#REF!</definedName>
    <definedName name="BEx5GNBCU4WZ74I0UXFL9ZG2XSGJ" hidden="1">#REF!</definedName>
    <definedName name="BEx5GUCTYC7QCWGWU5BTO7Y7HDZX" hidden="1">#REF!</definedName>
    <definedName name="BEx5GYUPJULJQ624TEESYFG1NFOH" hidden="1">#REF!</definedName>
    <definedName name="BEx5H0NEE0AIN5E2UHJ9J9ISU9N1" hidden="1">#REF!</definedName>
    <definedName name="BEx5H1UJSEUQM2K8QHQXO5THVHSO" hidden="1">#REF!</definedName>
    <definedName name="BEx5HAOT9XWUF7XIFRZZS8B9F5TZ" hidden="1">#REF!</definedName>
    <definedName name="BEx5HE4XRF9BUY04MENWY9CHHN5H" hidden="1">#REF!</definedName>
    <definedName name="BEx5HFHMABAT0H9KKS754X4T304E" hidden="1">#REF!</definedName>
    <definedName name="BEx5HGDZ7MX1S3KNXLRL9WU565V4" hidden="1">#REF!</definedName>
    <definedName name="BEx5HJZ9FAVNZSSBTAYRPZDYM9NU" hidden="1">#REF!</definedName>
    <definedName name="BEx5HRMH7TRLVHJFQZ1IERQHIX1M" hidden="1">#REF!</definedName>
    <definedName name="BEx5HZ9JMKHNLFWLVUB1WP5B39BL" hidden="1">#REF!</definedName>
    <definedName name="BEx5I244LQHZTF3XI66J8705R9XX" hidden="1">#REF!</definedName>
    <definedName name="BEx5I7NNYI870586JGTO0W22U5CZ" hidden="1">#REF!</definedName>
    <definedName name="BEx5I8PBP4LIXDGID5BP0THLO0AQ" hidden="1">#REF!</definedName>
    <definedName name="BEx5I8USVUB3JP4S9OXGMZVMOQXR" hidden="1">#REF!</definedName>
    <definedName name="BEx5I9GDQSYIAL65UQNDMNFQCS9Y" hidden="1">#REF!</definedName>
    <definedName name="BEx5IBUPG9AWNW5PK7JGRGEJ4OLM" hidden="1">#REF!</definedName>
    <definedName name="BEx5IC06RVN8BSAEPREVKHKLCJ2L" hidden="1">#REF!</definedName>
    <definedName name="BEx5J0FFP1KS4NGY20AEJI8VREEA" hidden="1">#REF!</definedName>
    <definedName name="BEx5JF3ZXLDIS8VNKDCY7ZI7H1CI" hidden="1">#REF!</definedName>
    <definedName name="BEx5JHCZJ8G6OOOW6EF3GABXKH6F" hidden="1">#REF!</definedName>
    <definedName name="BEx5JJB6W446THXQCRUKD3I7RKLP" hidden="1">#REF!</definedName>
    <definedName name="BEx5JJWTMI37U3RDEJOYLO93RJ6Z" hidden="1">#REF!</definedName>
    <definedName name="BEx5JNCT8Z7XSSPD5EMNAJELCU2V" hidden="1">#REF!</definedName>
    <definedName name="BEx5JQCNT9Y4RM306CHC8IPY3HBZ" hidden="1">#REF!</definedName>
    <definedName name="BEx5K08PYKE6JOKBYIB006TX619P" hidden="1">#REF!</definedName>
    <definedName name="BEx5K1VZO9IJN5M3ZMGW9JR7NOU3" hidden="1">#REF!</definedName>
    <definedName name="BEx5K51DSERT1TR7B4A29R41W4NX" hidden="1">#REF!</definedName>
    <definedName name="BEx5KYER580I4T7WTLMUN7NLNP5K" hidden="1">#REF!</definedName>
    <definedName name="BEx5LHLB3M6K4ZKY2F42QBZT30ZH" hidden="1">#REF!</definedName>
    <definedName name="BEx5LRMNU3HXIE1BUMDHRU31F7JJ" hidden="1">#REF!</definedName>
    <definedName name="BEx5LSJ1LPUAX3ENSPECWPG4J7D1" hidden="1">#REF!</definedName>
    <definedName name="BEx5LTKQ8RQWJE4BC88OP928893U" hidden="1">#REF!</definedName>
    <definedName name="BEx5MB9BR71LZDG7XXQ2EO58JC5F" hidden="1">#REF!</definedName>
    <definedName name="BEx5MLQZM68YQSKARVWTTPINFQ2C" hidden="1">#REF!</definedName>
    <definedName name="BEx5MVXTKNBXHNWTL43C670E4KXC" hidden="1">#REF!</definedName>
    <definedName name="BEx5N4XI4PWB1W9PMZ4O5R0HWTYD" hidden="1">#REF!</definedName>
    <definedName name="BEx5NA68N6FJFX9UJXK4M14U487F" hidden="1">#REF!</definedName>
    <definedName name="BEx5NIKBG2GDJOYGE3WCXKU7YY51" hidden="1">#REF!</definedName>
    <definedName name="BEx5NV06L5J5IMKGOMGKGJ4PBZCD" hidden="1">#REF!</definedName>
    <definedName name="BEx5NZSSQ6PY99ZX2D7Q9IGOR34W" hidden="1">#REF!</definedName>
    <definedName name="BEx5O3ZUQ2OARA1CDOZ3NC4UE5AA" hidden="1">#REF!</definedName>
    <definedName name="BEx5OAFS0NJ2CB86A02E1JYHMLQ1" hidden="1">#REF!</definedName>
    <definedName name="BEx5OG4RPU8W1ETWDWM234NYYYEN" hidden="1">#REF!</definedName>
    <definedName name="BEx5OP9Y43F99O2IT69MKCCXGL61" hidden="1">#REF!</definedName>
    <definedName name="BEx5P9Y9RDXNUAJ6CZ2LHMM8IM7T" hidden="1">#REF!</definedName>
    <definedName name="BEx5PHWB2C0D5QLP3BZIP3UO7DIZ" hidden="1">#REF!</definedName>
    <definedName name="BEx5PJP02W68K2E46L5C5YBSNU6T" hidden="1">#REF!</definedName>
    <definedName name="BEx5PLCA8DOMAU315YCS5275L2HS" hidden="1">#REF!</definedName>
    <definedName name="BEx5PRXMZ5M65Z732WNNGV564C2J" hidden="1">#REF!</definedName>
    <definedName name="BEx5QN3SI1FMLY9YYAMGIE0LOGYS" hidden="1">#REF!</definedName>
    <definedName name="BEx5QPSW4IPLH50WSR87HRER05RF" hidden="1">#REF!</definedName>
    <definedName name="BEx73V0EP8EMNRC3EZJJKKVKWQVB" hidden="1">#REF!</definedName>
    <definedName name="BEx741WJHIJVXUX131SBXTVW8D71" hidden="1">#REF!</definedName>
    <definedName name="BEx74ESIB9Y8KGETIERMKU5PLCQR" hidden="1">#REF!</definedName>
    <definedName name="BEx74Q6H3O7133AWQXWC21MI2UFT" hidden="1">#REF!</definedName>
    <definedName name="BEx74QHBL32KA9TSZ1TJOQLAOROZ" hidden="1">#REF!</definedName>
    <definedName name="BEx74W6BJ8ENO3J25WNM5H5APKA3" hidden="1">#REF!</definedName>
    <definedName name="BEx755GRRD9BL27YHLH5QWIYLWB7" hidden="1">#REF!</definedName>
    <definedName name="BEx755RKN673YY4SS5O88V1K6SY3" hidden="1">#REF!</definedName>
    <definedName name="BEx759D1D5SXS5ELLZVBI0SXYUNF" hidden="1">#REF!</definedName>
    <definedName name="BEx75GJZSZHUDN6OOAGQYFUDA2LP" hidden="1">#REF!</definedName>
    <definedName name="BEx75HGCCV5K4UCJWYV8EV9AG5YT" hidden="1">#REF!</definedName>
    <definedName name="BEx75PZT8TY5P13U978NVBUXKHT4" hidden="1">#REF!</definedName>
    <definedName name="BEx75T55F7GML8V1DMWL26WRT006" hidden="1">#REF!</definedName>
    <definedName name="BEx75VJGR07JY6UUWURQ4PJ29UKC" hidden="1">#REF!</definedName>
    <definedName name="BEx766RZRGVF8SSGR0NIF7197QUX" hidden="1">#REF!</definedName>
    <definedName name="BEx7741OUGLA0WJQLQRUJSL4DE00" hidden="1">#REF!</definedName>
    <definedName name="BEx774N83DXLJZ54Q42PWIJZ2DN1" hidden="1">#REF!</definedName>
    <definedName name="BEx779QNIY3061ZV9BR462WKEGRW" hidden="1">#REF!</definedName>
    <definedName name="BEx77G19QU9A95CNHE6QMVSQR2T3" hidden="1">#REF!</definedName>
    <definedName name="BEx77P0S3GVMS7BJUL9OWUGJ1B02" hidden="1">#REF!</definedName>
    <definedName name="BEx77QDESURI6WW5582YXSK3A972" hidden="1">#REF!</definedName>
    <definedName name="BEx77VBI9XOPFHKEWU5EHQ9J675Y" hidden="1">#REF!</definedName>
    <definedName name="BEx7809GQOCLHSNH95VOYIX7P1TV" hidden="1">#REF!</definedName>
    <definedName name="BEx780K8XAXUHGVZGZWQ74DK4CI3" hidden="1">#REF!</definedName>
    <definedName name="BEx78226TN58UE0CTY98YEDU0LSL" hidden="1">#REF!</definedName>
    <definedName name="BEx7881ZZBWHRAX6W2GY19J8MGEQ" hidden="1">#REF!</definedName>
    <definedName name="BEx78HHRIWDLHQX2LG0HWFRYEL1T" hidden="1">#REF!</definedName>
    <definedName name="BEx78QMXZ2P1ZB3HJ9O50DWHCMXR" hidden="1">#REF!</definedName>
    <definedName name="BEx78SFO5VR28677DWZEMDN7G86X" hidden="1">#REF!</definedName>
    <definedName name="BEx78SFOYH1Z0ZDTO47W2M60TW6K" hidden="1">#REF!</definedName>
    <definedName name="BEx79JK3E6JO8MX4O35A5G8NZCC8" hidden="1">#REF!</definedName>
    <definedName name="BEx79OCP4HQ6XP8EWNGEUDLOZBBS" hidden="1">#REF!</definedName>
    <definedName name="BEx79SEAYKUZB0H4LYBCD6WWJBG2" hidden="1">#REF!</definedName>
    <definedName name="BEx79SJRHTLS9PYM69O9BWW1FMJK" hidden="1">#REF!</definedName>
    <definedName name="BEx79YJJLBELICW9F9FRYSCQ101L" hidden="1">#REF!</definedName>
    <definedName name="BEx79YUC7B0V77FSBGIRCY1BR4VK" hidden="1">#REF!</definedName>
    <definedName name="BEx7A06T3RC2891FUX05G3QPRAUE" hidden="1">#REF!</definedName>
    <definedName name="BEx7A9S3JA1X7FH4CFSQLTZC4691" hidden="1">#REF!</definedName>
    <definedName name="BEx7ABA2C9IWH5VSLVLLLCY62161" hidden="1">#REF!</definedName>
    <definedName name="BEx7AE4LPLX8N85BYB0WCO5S7ZPV" hidden="1">#REF!</definedName>
    <definedName name="BEx7ASD1I654MEDCO6GGWA95PXSC" hidden="1">#REF!</definedName>
    <definedName name="BEx7AVCX9S5RJP3NSZ4QM4E6ERDT" hidden="1">#REF!</definedName>
    <definedName name="BEx7AVYIGP0930MV5JEBWRYCJN68" hidden="1">#REF!</definedName>
    <definedName name="BEx7B6LH6917TXOSAAQ6U7HVF018" hidden="1">#REF!</definedName>
    <definedName name="BEx7BPXFZXJ79FQ0E8AQE21PGVHA" hidden="1">#REF!</definedName>
    <definedName name="BEx7C04AM39DQMC1TIX7CFZ2ADHX" hidden="1">#REF!</definedName>
    <definedName name="BEx7C40F0PQURHPI6YQ39NFIR86Z" hidden="1">#REF!</definedName>
    <definedName name="BEx7C8IFPZAFLHIKDOL1KCSZA9BV" hidden="1">#REF!</definedName>
    <definedName name="BEx7C93VR7SYRIJS1JO8YZKSFAW9" hidden="1">#REF!</definedName>
    <definedName name="BEx7CCPC6R1KQQZ2JQU6EFI1G0RM" hidden="1">#REF!</definedName>
    <definedName name="BEx7CIJST9GLS2QD383UK7VUDTGL" hidden="1">#REF!</definedName>
    <definedName name="BEx7CO8T2XKC7GHDSYNAWTZ9L7YR" hidden="1">#REF!</definedName>
    <definedName name="BEx7CW1CF00DO8A36UNC2X7K65C2" hidden="1">#REF!</definedName>
    <definedName name="BEx7CW6NFRL2P4XWP0MWHIYA97KF" hidden="1">#REF!</definedName>
    <definedName name="BEx7D5RWKRS4W71J4NZ6ZSFHPKFT" hidden="1">#REF!</definedName>
    <definedName name="BEx7D8H1TPOX1UN17QZYEV7Q58GA" hidden="1">#REF!</definedName>
    <definedName name="BEx7DGF13H2074LRWFZQ45PZ6JPX" hidden="1">#REF!</definedName>
    <definedName name="BEx7DKWUXEDIISSX4GDD4YYT887F" hidden="1">#REF!</definedName>
    <definedName name="BEx7DMUYR2HC26WW7AOB1TULERMB" hidden="1">#REF!</definedName>
    <definedName name="BEx7DVJTRV44IMJIBFXELE67SZ7S" hidden="1">#REF!</definedName>
    <definedName name="BEx7DVUMFCI5INHMVFIJ44RTTSTT" hidden="1">#REF!</definedName>
    <definedName name="BEx7E2QT2U8THYOKBPXONB1B47WH" hidden="1">#REF!</definedName>
    <definedName name="BEx7E5QP7W6UKO74F5Y0VJ741HS5" hidden="1">#REF!</definedName>
    <definedName name="BEx7E6N29HGH3I47AFB2DCS6MVS6" hidden="1">#REF!</definedName>
    <definedName name="BEx7EBA8IYHQKT7IQAOAML660SYA" hidden="1">#REF!</definedName>
    <definedName name="BEx7EI6C8MCRZFEQYUBE5FSUTIHK" hidden="1">#REF!</definedName>
    <definedName name="BEx7EI6DL1Z6UWLFBXAKVGZTKHWJ" hidden="1">#REF!</definedName>
    <definedName name="BEx7EQKHX7GZYOLXRDU534TT4H64" hidden="1">#REF!</definedName>
    <definedName name="BEx7ETV6L1TM7JSXJIGK3FC6RVZW" hidden="1">#REF!</definedName>
    <definedName name="BEx7EWK9GUVV6FXWYIGH0TAI4V2O" hidden="1">#REF!</definedName>
    <definedName name="BEx7EYYLHMBYQTH6I377FCQS7CSX" hidden="1">#REF!</definedName>
    <definedName name="BEx7FCLG1RYI2SNOU1Y2GQZNZSWA" hidden="1">#REF!</definedName>
    <definedName name="BEx7FN32ZGWOAA4TTH79KINTDWR9" hidden="1">#REF!</definedName>
    <definedName name="BEx7G82CKM3NIY1PHNFK28M09PCH" hidden="1">#REF!</definedName>
    <definedName name="BEx7GR3ENYWRXXS5IT0UMEGOLGUH" hidden="1">#REF!</definedName>
    <definedName name="BEx7GSAL6P7TASL8MB63RFST1LJL" hidden="1">#REF!</definedName>
    <definedName name="BEx7H0JD6I5I8WQLLWOYWY5YWPQE" hidden="1">#REF!</definedName>
    <definedName name="BEx7H14XCXH7WEXEY1HVO53A6AGH" hidden="1">#REF!</definedName>
    <definedName name="BEx7HFTIA8AC8BR8HKIN81VE1SGW" hidden="1">#REF!</definedName>
    <definedName name="BEx7HGVBEF4LEIF6RC14N3PSU461" hidden="1">#REF!</definedName>
    <definedName name="BEx7HQ5T9FZ42QWS09UO4DT42Y0R" hidden="1">#REF!</definedName>
    <definedName name="BEx7HRCZE3CVGON1HV07MT5MNDZ3" hidden="1">#REF!</definedName>
    <definedName name="BEx7HSPGHDH4E1PRBH79IEBITUYU" hidden="1">#REF!</definedName>
    <definedName name="BEx7HWGE2CANG5M17X4C8YNC3N8F" hidden="1">#REF!</definedName>
    <definedName name="BEx7I8FZ96C5JAHXS18ZV0912LZP" hidden="1">#REF!</definedName>
    <definedName name="BEx7IBVYN47SFZIA0K4MDKQZNN9V" hidden="1">#REF!</definedName>
    <definedName name="BEx7IKFL0A41JL6ZSKU3VHO7N1V9" hidden="1">#REF!</definedName>
    <definedName name="BEx7IV2IJ5WT7UC0UG7WP0WF2JZI" hidden="1">#REF!</definedName>
    <definedName name="BEx7IXGU74GE5E4S6W4Z13AR092Y" hidden="1">#REF!</definedName>
    <definedName name="BEx7J3BCHT1AUNXRK64U462ROE57" hidden="1">#REF!</definedName>
    <definedName name="BEx7J4YL8Q3BI1MLH16YYQ18IJRD" hidden="1">#REF!</definedName>
    <definedName name="BEx7JH3HGBPI07OHZ5LFYK0UFZQR" hidden="1">#REF!</definedName>
    <definedName name="BEx7JV194190CNM6WWGQ3UBJ3CHH" hidden="1">#REF!</definedName>
    <definedName name="BEx7K7GZ607XQOGB81A1HINBTGOZ" hidden="1">#REF!</definedName>
    <definedName name="BEx7KEYPBDXSNROH8M6CDCBN6B50" hidden="1">#REF!</definedName>
    <definedName name="BEx7KKCWV85O59WNXNLAS63I1XZG" hidden="1">#REF!</definedName>
    <definedName name="BEx7KSAS8BZT6H8OQCZ5DNSTMO07" hidden="1">#REF!</definedName>
    <definedName name="BEx7KWHTBD21COXVI4HNEQH0Z3L8" hidden="1">#REF!</definedName>
    <definedName name="BEx7KXUGRMRSUXCM97Z7VRZQ9JH2" hidden="1">#REF!</definedName>
    <definedName name="BEx7L21IQVP1N1TTQLRMANSSLSLE" hidden="1">#REF!</definedName>
    <definedName name="BEx7L5C6U8MP6IZ67BD649WQYJEK" hidden="1">#REF!</definedName>
    <definedName name="BEx7L8HEYEVTATR0OG5JJO647KNI" hidden="1">#REF!</definedName>
    <definedName name="BEx7L8XOV64OMS15ZFURFEUXLMWF" hidden="1">#REF!</definedName>
    <definedName name="BEx7LJVFQACL9F4DRS9YZQ9R2N30" hidden="1">#REF!</definedName>
    <definedName name="BEx7MAUI1JJFDIJGDW4RWY5384LY" hidden="1">#REF!</definedName>
    <definedName name="BEx7MJZO3UKAMJ53UWOJ5ZD4GGMQ" hidden="1">#REF!</definedName>
    <definedName name="BEx7MT4MFNXIVQGAT6D971GZW7CA" hidden="1">#REF!</definedName>
    <definedName name="BEx7NI062THZAM6I8AJWTFJL91CS" hidden="1">#REF!</definedName>
    <definedName name="BEx904S75BPRYMHF0083JF7ES4NG" hidden="1">#REF!</definedName>
    <definedName name="BEx90HDD4RWF7JZGA8GCGG7D63MG" hidden="1">#REF!</definedName>
    <definedName name="BEx90VGH5H09ON2QXYC9WIIEU98T" hidden="1">#REF!</definedName>
    <definedName name="BEx9175B70QXYAU5A8DJPGZQ46L9" hidden="1">#REF!</definedName>
    <definedName name="BEx91AQQRTV87AO27VWHSFZAD4ZR" hidden="1">#REF!</definedName>
    <definedName name="BEx91L8FLL5CWLA2CDHKCOMGVDZN" hidden="1">#REF!</definedName>
    <definedName name="BEx91OTVH9ZDBC3QTORU8RZX4EOC" hidden="1">#REF!</definedName>
    <definedName name="BEx91QH5JRZKQP1GPN2SQMR3CKAG" hidden="1">#REF!</definedName>
    <definedName name="BEx91ROALDNHO7FI4X8L61RH4UJE" hidden="1">#REF!</definedName>
    <definedName name="BEx91TMID71GVYH0U16QM1RV3PX0" hidden="1">#REF!</definedName>
    <definedName name="BEx91VF2D78PAF337E3L2L81K9W2" hidden="1">#REF!</definedName>
    <definedName name="BEx921PNZ46VORG2VRMWREWIC0SE" hidden="1">#REF!</definedName>
    <definedName name="BEx92DPEKL5WM5A3CN8674JI0PR3" hidden="1">#REF!</definedName>
    <definedName name="BEx92ER2RMY93TZK0D9L9T3H0GI5" hidden="1">#REF!</definedName>
    <definedName name="BEx92FI04PJT4LI23KKIHRXWJDTT" hidden="1">#REF!</definedName>
    <definedName name="BEx92HR14HQ9D5JXCSPA4SS4RT62" hidden="1">#REF!</definedName>
    <definedName name="BEx92HWA2D6A5EX9MFG68G0NOMSN" hidden="1">#REF!</definedName>
    <definedName name="BEx92PUBDIXAU1FW5ZAXECMAU0LN" hidden="1">#REF!</definedName>
    <definedName name="BEx92S8MHFFIVRQ2YSHZNQGOFUHD" hidden="1">#REF!</definedName>
    <definedName name="BEx93B9OULL2YGC896XXYAAJSTRK" hidden="1">#REF!</definedName>
    <definedName name="BEx93FRKF99NRT3LH99UTIH7AAYF" hidden="1">#REF!</definedName>
    <definedName name="BEx93M7FSHP50OG34A4W8W8DF12U" hidden="1">#REF!</definedName>
    <definedName name="BEx93OLWY2O3PRA74U41VG5RXT4Q" hidden="1">#REF!</definedName>
    <definedName name="BEx93RWFAF6YJGYUTITVM445C02U" hidden="1">#REF!</definedName>
    <definedName name="BEx93SY9RWG3HUV4YXQKXJH9FH14" hidden="1">#REF!</definedName>
    <definedName name="BEx93TJUX3U0FJDBG6DDSNQ91R5J" hidden="1">#REF!</definedName>
    <definedName name="BEx93VY66RQHHTPH1X8OTWU18AL1" hidden="1">#REF!</definedName>
    <definedName name="BEx942UCRHMI4B0US31HO95GSC2X" hidden="1">#REF!</definedName>
    <definedName name="BEx948ZFFQWVIDNG4AZAUGGGEB5U" hidden="1">#REF!</definedName>
    <definedName name="BEx94CKXG92OMURH41SNU6IOHK4J" hidden="1">#REF!</definedName>
    <definedName name="BEx94GXG30CIVB6ZQN3X3IK6BZXQ" hidden="1">#REF!</definedName>
    <definedName name="BEx94HZ5LURYM9ST744ALV6ZCKYP" hidden="1">#REF!</definedName>
    <definedName name="BEx94IQ75E90YUMWJ9N591LR7DQQ" hidden="1">#REF!</definedName>
    <definedName name="BEx94L9TBK45AUQSX1IUZ86U1GPQ" hidden="1">#REF!</definedName>
    <definedName name="BEx94N7W5T3U7UOE97D6OVIBUCXS" hidden="1">#REF!</definedName>
    <definedName name="BEx953PB6S6ECMD8N0JSW0CBG0DA" hidden="1">#REF!</definedName>
    <definedName name="BEx955NIAWX5OLAHMTV6QFUZPR30" hidden="1">#REF!</definedName>
    <definedName name="BEx9581TYVI2M5TT4ISDAJV4W7Z6" hidden="1">#REF!</definedName>
    <definedName name="BEx95NHF4RVUE0YDOAFZEIVBYJXD" hidden="1">#REF!</definedName>
    <definedName name="BEx95QBZMG0E2KQ9BERJ861QLYN3" hidden="1">#REF!</definedName>
    <definedName name="BEx95QHBVDN795UNQJLRXG3RDU49" hidden="1">#REF!</definedName>
    <definedName name="BEx95TBVUWV7L7OMFMZDQEXGVHU6" hidden="1">#REF!</definedName>
    <definedName name="BEx95U89DZZSVO39TGS62CX8G9N4" hidden="1">#REF!</definedName>
    <definedName name="BEx9602K2GHNBUEUVT9ONRQU1GMD" hidden="1">#REF!</definedName>
    <definedName name="BEx962BL3Y4LA53EBYI64ZYMZE8U" hidden="1">#REF!</definedName>
    <definedName name="BEx96KR21O7H9R29TN0S45Y3QPUK" hidden="1">#REF!</definedName>
    <definedName name="BEx96SUFKHHFE8XQ6UUO6ILDOXHO" hidden="1">#REF!</definedName>
    <definedName name="BEx96UN4YWXBDEZ1U1ZUIPP41Z7I" hidden="1">#REF!</definedName>
    <definedName name="BEx970MYCPJ6DQ44TKLOIGZO5LHH" hidden="1">#REF!</definedName>
    <definedName name="BEx978KSD61YJH3S9DGO050R2EHA" hidden="1">#REF!</definedName>
    <definedName name="BEx97H9O1NAKAPK4MX4PKO34ICL5" hidden="1">#REF!</definedName>
    <definedName name="BEx97HVA5F2I0D6ID81KCUDEQOIH" hidden="1">#REF!</definedName>
    <definedName name="BEx97MNUZQ1Z0AO2FL7XQYVNCPR7" hidden="1">#REF!</definedName>
    <definedName name="BEx97NPQBACJVD9K1YXI08RTW9E2" hidden="1">#REF!</definedName>
    <definedName name="BEx97RWQLXS0OORDCN69IGA58CWU" hidden="1">#REF!</definedName>
    <definedName name="BEx97YNGGDFIXHTMGFL2IHAQX9MI" hidden="1">#REF!</definedName>
    <definedName name="BEx981HW73BUZWT14TBTZHC0ZTJ4" hidden="1">#REF!</definedName>
    <definedName name="BEx9871KU0N99P0900EAK69VFYT2" hidden="1">#REF!</definedName>
    <definedName name="BEx98IFKNJFGZFLID1YTRFEG1SXY" hidden="1">#REF!</definedName>
    <definedName name="BEx9915UVD4G7RA3IMLFZ0LG3UA2" hidden="1">#REF!</definedName>
    <definedName name="BEx992CZON8AO7U7V88VN1JBO0MG" hidden="1">#REF!</definedName>
    <definedName name="BEx9952469XMFGSPXL7CMXHPJF90" hidden="1">#REF!</definedName>
    <definedName name="BEx99B77I7TUSHRR4HIZ9FU2EIUT" hidden="1">#REF!</definedName>
    <definedName name="BEx99DLKITQO6Y1BYYG2G1FP3NT6" hidden="1">#REF!</definedName>
    <definedName name="BEx99Q6PH5F3OQKCCAAO75PYDEFN" hidden="1">#REF!</definedName>
    <definedName name="BEx99WBYT2D6UUC1PT7A40ENYID4" hidden="1">#REF!</definedName>
    <definedName name="BEx99XOGHOM28CNCYKQWYGL56W2S" hidden="1">#REF!</definedName>
    <definedName name="BEx99ZRZ4I7FHDPGRAT5VW7NVBPU" hidden="1">#REF!</definedName>
    <definedName name="BEx9AT5E3ZSHKSOL35O38L8HF9TH" hidden="1">#REF!</definedName>
    <definedName name="BEx9AV8W1FAWF5BHATYEN47X12JN" hidden="1">#REF!</definedName>
    <definedName name="BEx9B8A5186FNTQQNLIO5LK02ABI" hidden="1">#REF!</definedName>
    <definedName name="BEx9B8VR20E2CILU4CDQUQQ9ONXK" hidden="1">#REF!</definedName>
    <definedName name="BEx9B917EUP13X6FQ3NPQL76XM5V" hidden="1">#REF!</definedName>
    <definedName name="BEx9BAJ5WYEQ623HUT9NNCMP3RUG" hidden="1">#REF!</definedName>
    <definedName name="BEx9BF6C6FHS1ZE7UZJINAUEEW75" hidden="1">#REF!</definedName>
    <definedName name="BEx9BIRU9A3XNF3OFQMQ4EIAWQN4" hidden="1">#REF!</definedName>
    <definedName name="BEx9BYSYW7QCPXS2NAVLFAU5Y2Z2" hidden="1">#REF!</definedName>
    <definedName name="BEx9BZEJSVUHZQLE4PSU5UY9RAUO" hidden="1">#REF!</definedName>
    <definedName name="BEx9C590HJ2O31IWJB73C1HR74AI" hidden="1">#REF!</definedName>
    <definedName name="BEx9CCQRMYYOGIOYTOM73VKDIPS1" hidden="1">#REF!</definedName>
    <definedName name="BEx9D1BC9FT19KY0INAABNDBAMR1" hidden="1">#REF!</definedName>
    <definedName name="BEx9DN6ZMF18Q39MPMXSDJTZQNJ3" hidden="1">#REF!</definedName>
    <definedName name="BEx9DQN5HTTJ4R4TBXRDY90JE13Q" hidden="1">#REF!</definedName>
    <definedName name="BEx9DUU8DALPSCW66GTMQRPXZ6GL" hidden="1">#REF!</definedName>
    <definedName name="BEx9E14TDNSEMI784W0OTIEQMWN6" hidden="1">#REF!</definedName>
    <definedName name="BEx9E2BZ2B1R41FMGJCJ7JLGLUAJ" hidden="1">#REF!</definedName>
    <definedName name="BEx9EG9KBJ77M8LEOR9ITOKN5KXY" hidden="1">#REF!</definedName>
    <definedName name="BEx9EMK6HAJJMVYZTN5AUIV7O1E6" hidden="1">#REF!</definedName>
    <definedName name="BEx9EQLVZHYQ1TPX7WH3SOWXCZLE" hidden="1">#REF!</definedName>
    <definedName name="BEx9ETLU0EK5LGEM1QCNYN2S8O5F" hidden="1">#REF!</definedName>
    <definedName name="BEx9F0Y2ESUNE3U7TQDLMPE9BO67" hidden="1">#REF!</definedName>
    <definedName name="BEx9F5W18ZGFOKGRE8PR6T1MO6GT" hidden="1">#REF!</definedName>
    <definedName name="BEx9F78N4HY0XFGBQ4UJRD52L1EI" hidden="1">#REF!</definedName>
    <definedName name="BEx9FF16LOQP5QIR4UHW5EIFGQB8" hidden="1">#REF!</definedName>
    <definedName name="BEx9FJTSRCZ3ZXT3QVBJT5NF8T7V" hidden="1">#REF!</definedName>
    <definedName name="BEx9FRBEEYPS5HLS3XT34AKZN94G" hidden="1">#REF!</definedName>
    <definedName name="BEx9GDY4D8ZPQJCYFIMYM0V0C51Y" hidden="1">#REF!</definedName>
    <definedName name="BEx9GGY04V0ZWI6O9KZH4KSBB389" hidden="1">#REF!</definedName>
    <definedName name="BEx9GNOPB6OZ2RH3FCDNJR38RJOS" hidden="1">#REF!</definedName>
    <definedName name="BEx9GUQALUWCD30UKUQGSWW8KBQ7" hidden="1">#REF!</definedName>
    <definedName name="BEx9GY6BVFQGCLMOWVT6PIC9WP5X" hidden="1">#REF!</definedName>
    <definedName name="BEx9GZ2P3FDHKXEBXX2VS0BG2NP2" hidden="1">#REF!</definedName>
    <definedName name="BEx9H04IB14E1437FF2OIRRWBSD7" hidden="1">#REF!</definedName>
    <definedName name="BEx9H5O1KDZJCW91Q29VRPY5YS6P" hidden="1">#REF!</definedName>
    <definedName name="BEx9H8YR0E906F1JXZMBX3LNT004" hidden="1">#REF!</definedName>
    <definedName name="BEx9I7QCJ0WUNUMB856ZM0P3C2RO" hidden="1">#REF!</definedName>
    <definedName name="BEx9I8XIG7E5NB48QQHXP23FIN60" hidden="1">#REF!</definedName>
    <definedName name="BEx9IQRF01ATLVK0YE60ARKQJ68L" hidden="1">#REF!</definedName>
    <definedName name="BEx9IT5QNZWKM6YQ5WER0DC2PMMU" hidden="1">#REF!</definedName>
    <definedName name="BEx9IW5MFLXTVCJHVUZTUH93AXOS" hidden="1">#REF!</definedName>
    <definedName name="BEx9IXCSPSZC80YZUPRCYTG326KV" hidden="1">#REF!</definedName>
    <definedName name="BEx9IZR39NHDGOM97H4E6F81RTQW" hidden="1">#REF!</definedName>
    <definedName name="BEx9J3CKF7UL0FCZ4YEVSW05DUHR" hidden="1">#REF!</definedName>
    <definedName name="BEx9J6CH5E7YZPER7HXEIOIKGPCA" hidden="1">#REF!</definedName>
    <definedName name="BEx9J858H62KHUYIDB56NTIXPI16" hidden="1">#REF!</definedName>
    <definedName name="BEx9JJTZKVUJAVPTRE0RAVTEH41G" hidden="1">#REF!</definedName>
    <definedName name="BEx9JLBYK239B3F841C7YG1GT7ST" hidden="1">#REF!</definedName>
    <definedName name="BExAW4IIW5D0MDY6TJ3G4FOLPYIR" hidden="1">#REF!</definedName>
    <definedName name="BExAX410NB4F2XOB84OR2197H8M5" hidden="1">#REF!</definedName>
    <definedName name="BExAX8TNG8LQ5Q4904SAYQIPGBSV" hidden="1">#REF!</definedName>
    <definedName name="BExAY0EAT2LXR5MFGM0DLIB45PLO" hidden="1">#REF!</definedName>
    <definedName name="BExAYE6LNIEBR9DSNI5JGNITGKIT" hidden="1">#REF!</definedName>
    <definedName name="BExAYHMLXGGO25P8HYB2S75DEB4F" hidden="1">#REF!</definedName>
    <definedName name="BExAYKXAUWGDOPG952TEJ2UKZKWN" hidden="1">#REF!</definedName>
    <definedName name="BExAYP9TDTI2MBP6EYE0H39CPMXN" hidden="1">#REF!</definedName>
    <definedName name="BExAYPPWJPWDKU59O051WMGB7O0J" hidden="1">#REF!</definedName>
    <definedName name="BExAYR2JZCJBUH6F1LZC2A7JIVRJ" hidden="1">#REF!</definedName>
    <definedName name="BExAYTGVRD3DLKO75RFPMBKCIWB8" hidden="1">#REF!</definedName>
    <definedName name="BExAYY9H9COOT46HJLPVDLTO12UL" hidden="1">#REF!</definedName>
    <definedName name="BExAZCNEGB4JYHC8CZ51KTN890US" hidden="1">#REF!</definedName>
    <definedName name="BExAZFCI302YFYRDJYQDWQQL0Q0O" hidden="1">#REF!</definedName>
    <definedName name="BExAZLHLST9OP89R1HJMC1POQG8H" hidden="1">#REF!</definedName>
    <definedName name="BExAZMDYMIAA7RX1BMCKU1VLBRGY" hidden="1">#REF!</definedName>
    <definedName name="BExAZNL6BHI8DCQWXOX4I2P839UX" hidden="1">#REF!</definedName>
    <definedName name="BExAZRMWSONMCG9KDUM4KAQ7BONM" hidden="1">#REF!</definedName>
    <definedName name="BExAZTFG4SJRG4TW6JXRF7N08JFI" hidden="1">#REF!</definedName>
    <definedName name="BExAZUS4A8OHDZK0MWAOCCCKTH73" hidden="1">#REF!</definedName>
    <definedName name="BExAZX6FECVK3E07KXM2XPYKGM6U" hidden="1">#REF!</definedName>
    <definedName name="BExB012NJ8GASTNNPBRRFTLHIOC9" hidden="1">#REF!</definedName>
    <definedName name="BExB072HHXVMUC0VYNGG48GRSH5Q" hidden="1">#REF!</definedName>
    <definedName name="BExB0FRDEYDEUEAB1W8KD6D965XA" hidden="1">#REF!</definedName>
    <definedName name="BExB0KPCN7YJORQAYUCF4YKIKPMC" hidden="1">#REF!</definedName>
    <definedName name="BExB0WE4PI3NOBXXVO9CTEN4DIU2" hidden="1">#REF!</definedName>
    <definedName name="BExB10QNIVITUYS55OAEKK3VLJFE" hidden="1">#REF!</definedName>
    <definedName name="BExB15ZDRY4CIJ911DONP0KCY9KU" hidden="1">#REF!</definedName>
    <definedName name="BExB16VQY0O0RLZYJFU3OFEONVTE" hidden="1">#REF!</definedName>
    <definedName name="BExB1FKNY2UO4W5FUGFHJOA2WFGG" hidden="1">#REF!</definedName>
    <definedName name="BExB1GMD0PIDGTFBGQOPRWQSP9I4" hidden="1">#REF!</definedName>
    <definedName name="BExB1Q29OO6LNFNT1EQLA3KYE7MX" hidden="1">#REF!</definedName>
    <definedName name="BExB1TNRV5EBWZEHYLHI76T0FVA7" hidden="1">#REF!</definedName>
    <definedName name="BExB1WI6M8I0EEP1ANUQZCFY24EV" hidden="1">#REF!</definedName>
    <definedName name="BExB203OWC9QZA3BYOKQ18L4FUJE" hidden="1">#REF!</definedName>
    <definedName name="BExB2CJHTU7C591BR4WRL5L2F2K6" hidden="1">#REF!</definedName>
    <definedName name="BExB2K1AV4PGNS1O6C7D7AO411AX" hidden="1">#REF!</definedName>
    <definedName name="BExB2O2UYHKI324YE324E1N7FVIB" hidden="1">#REF!</definedName>
    <definedName name="BExB2Q0VJ0MU2URO3JOVUAVHEI3V" hidden="1">#REF!</definedName>
    <definedName name="BExB30IP1DNKNQ6PZ5ERUGR5MK4Z" hidden="1">#REF!</definedName>
    <definedName name="BExB3KG49IX8RX63D6UCRABV4BUV" hidden="1">#REF!</definedName>
    <definedName name="BExB442RX0T3L6HUL6X5T21CENW6" hidden="1">#REF!</definedName>
    <definedName name="BExB4ADD0L7417CII901XTFKXD1J" hidden="1">#REF!</definedName>
    <definedName name="BExB4DO060TQEYKOXGVXHT7J245T" hidden="1">#REF!</definedName>
    <definedName name="BExB4DO1V1NL2AVK5YE1RSL5RYHL" hidden="1">#REF!</definedName>
    <definedName name="BExB4DYU06HCGRIPBSWRCXK804UM" hidden="1">#REF!</definedName>
    <definedName name="BExB4Z3EZBGYYI33U0KQ8NEIH8PY" hidden="1">#REF!</definedName>
    <definedName name="BExB55368XW7UX657ZSPC6BFE92S" hidden="1">#REF!</definedName>
    <definedName name="BExB57MZEPL2SA2ONPK66YFLZWJU" hidden="1">#REF!</definedName>
    <definedName name="BExB5833OAOJ22VK1YK47FHUSVK2" hidden="1">#REF!</definedName>
    <definedName name="BExB58JDIHS42JZT9DJJMKA8QFCO" hidden="1">#REF!</definedName>
    <definedName name="BExB58U5FQC5JWV9CGC83HLLZUZI" hidden="1">#REF!</definedName>
    <definedName name="BExB5EDO9XUKHF74X3HAU2WPPHZH" hidden="1">#REF!</definedName>
    <definedName name="BExB5G6EH68AYEP1UT0GHUEL3SLN" hidden="1">#REF!</definedName>
    <definedName name="BExB5QYVEZWFE5DQVHAM760EV05X" hidden="1">#REF!</definedName>
    <definedName name="BExB5U9IRH14EMOE0YGIE3WIVLFS" hidden="1">#REF!</definedName>
    <definedName name="BExB5VWYMOV6BAIH7XUBBVPU7MMD" hidden="1">#REF!</definedName>
    <definedName name="BExB610DZWIJP1B72U9QM42COH2B" hidden="1">#REF!</definedName>
    <definedName name="BExB6C3FUAKK9ML5T767NMWGA9YB" hidden="1">#REF!</definedName>
    <definedName name="BExB6C8X6JYRLKZKK17VE3QUNL3D" hidden="1">#REF!</definedName>
    <definedName name="BExB6EN8CDMZKBWNBKS6LE10FS75" hidden="1">#REF!</definedName>
    <definedName name="BExB6HN3QRFPXM71MDUK21BKM7PF" hidden="1">#REF!</definedName>
    <definedName name="BExB6IZMHCZ3LB7N73KD90YB1HBZ" hidden="1">#REF!</definedName>
    <definedName name="BExB719SGNX4Y8NE6JEXC555K596" hidden="1">#REF!</definedName>
    <definedName name="BExB7265DCHKS7V2OWRBXCZTEIW9" hidden="1">#REF!</definedName>
    <definedName name="BExB74PS5P9G0P09Y6DZSCX0FLTJ" hidden="1">#REF!</definedName>
    <definedName name="BExB78RH79J0MIF7H8CAZ0CFE88Q" hidden="1">#REF!</definedName>
    <definedName name="BExB7ELT09HGDVO5BJC1ZY9D09GZ" hidden="1">#REF!</definedName>
    <definedName name="BExB806PAXX70XUTA3ZI7OORD78R" hidden="1">#REF!</definedName>
    <definedName name="BExB8HF4UBVZKQCSRFRUQL2EE6VL" hidden="1">#REF!</definedName>
    <definedName name="BExB8HKHKZ1ORJZUYGG2M4VSCC39" hidden="1">#REF!</definedName>
    <definedName name="BExB8QPH8DC5BESEVPSMBCWVN6PO" hidden="1">#REF!</definedName>
    <definedName name="BExB8U5N0D85YR8APKN3PPKG0FWP" hidden="1">#REF!</definedName>
    <definedName name="BExB8ZJUPBTDA36FHN30F7EGQDVX" hidden="1">#REF!</definedName>
    <definedName name="BExB9DHI5I2TJ2LXYPM98EE81L27" hidden="1">#REF!</definedName>
    <definedName name="BExB9Q2MZZHBGW8QQKVEYIMJBPIE" hidden="1">#REF!</definedName>
    <definedName name="BExBA1GON0EZRJ20UYPILAPLNQWM" hidden="1">#REF!</definedName>
    <definedName name="BExBA69ASGYRZW1G1DYIS9QRRTBN" hidden="1">#REF!</definedName>
    <definedName name="BExBA69BTT8GL455M828SSHVXIW3" hidden="1">#REF!</definedName>
    <definedName name="BExBA6K42582A14WFFWQ3Q8QQWB6" hidden="1">#REF!</definedName>
    <definedName name="BExBA8I5D4R8R2PYQ1K16TWGTOEP" hidden="1">#REF!</definedName>
    <definedName name="BExBA93PE0DGUUTA7LLSIGBIXWE5" hidden="1">#REF!</definedName>
    <definedName name="BExBAI8X0FKDQJ6YZJQDTTG4ZCWY" hidden="1">#REF!</definedName>
    <definedName name="BExBAKN7XIBAXCF9PCNVS038PCQO" hidden="1">#REF!</definedName>
    <definedName name="BExBAKXZ7PBW3DDKKA5MWC1ZUC7O" hidden="1">#REF!</definedName>
    <definedName name="BExBAO8NLXZXHO6KCIECSFCH3RR0" hidden="1">#REF!</definedName>
    <definedName name="BExBAOOT1KBSIEISN1ADL4RMY879" hidden="1">#REF!</definedName>
    <definedName name="BExBAVKX8Q09370X1GCZWJ4E91YJ" hidden="1">#REF!</definedName>
    <definedName name="BExBAX2X2ENJYO4QTR5VAIQ86L7B" hidden="1">#REF!</definedName>
    <definedName name="BExBAZ13D3F1DVJQ6YJ8JGUYEYJE" hidden="1">#REF!</definedName>
    <definedName name="BExBBTG649R9I0CT042JLL8LXV18" hidden="1">#REF!</definedName>
    <definedName name="BExBBUCJQRR74Q7GPWDEZXYK2KJL" hidden="1">#REF!</definedName>
    <definedName name="BExBBV8XVMD9CKZY711T0BN7H3PM" hidden="1">#REF!</definedName>
    <definedName name="BExBC78HXWXHO3XAB6E8NVTBGLJS" hidden="1">#REF!</definedName>
    <definedName name="BExBCKKJTIRKC1RZJRTK65HHLX4W" hidden="1">#REF!</definedName>
    <definedName name="BExBCLMEPAN3XXX174TU8SS0627Q" hidden="1">#REF!</definedName>
    <definedName name="BExBCRBEYR2KZ8FAQFZ2NHY13WIY" hidden="1">#REF!</definedName>
    <definedName name="BExBD4I559NXSV6J07Q343TKYMVJ" hidden="1">#REF!</definedName>
    <definedName name="BExBDBZQLTX3OGFYGULQFK5WEZU5" hidden="1">#REF!</definedName>
    <definedName name="BExBDJS9TUEU8Z84IV59E5V4T8K6" hidden="1">#REF!</definedName>
    <definedName name="BExBDKOMSVH4XMH52CFJ3F028I9R" hidden="1">#REF!</definedName>
    <definedName name="BExBDSRXVZQ0W5WXQMP5XD00GRRL" hidden="1">#REF!</definedName>
    <definedName name="BExBDUVGK3E1J4JY9ZYTS7V14BLY" hidden="1">#REF!</definedName>
    <definedName name="BExBE162OSBKD30I7T1DKKPT3I9I" hidden="1">#REF!</definedName>
    <definedName name="BExBE5YPUY1T7N7DHMMIGGXK8TMP" hidden="1">#REF!</definedName>
    <definedName name="BExBEC9ATLQZF86W1M3APSM4HEOH" hidden="1">#REF!</definedName>
    <definedName name="BExBEYFQJE9YK12A6JBMRFKEC7RN" hidden="1">#REF!</definedName>
    <definedName name="BExBG1ED81J2O4A2S5F5Y3BPHMCR" hidden="1">#REF!</definedName>
    <definedName name="BExCRLIHS7466WFJ3RPIUGGXYESZ" hidden="1">#REF!</definedName>
    <definedName name="BExCS1EDDUEAEWHVYXHIP9I1WCJH" hidden="1">#REF!</definedName>
    <definedName name="BExCS6SLRCBH006GNRE27HFRHP40" hidden="1">#REF!</definedName>
    <definedName name="BExCS7ZPMHFJ4UJDAL8CQOLSZ13B" hidden="1">#REF!</definedName>
    <definedName name="BExCS8W4NJUZH9S1CYB6XSDLEPBW" hidden="1">#REF!</definedName>
    <definedName name="BExCSAE1M6G20R41J0Y24YNN0YC1" hidden="1">#REF!</definedName>
    <definedName name="BExCSAOUZOYKHN7HV511TO8VDJ02" hidden="1">#REF!</definedName>
    <definedName name="BExCSGDVA047YBDBTI9ZX66UQ7XN" hidden="1">#REF!</definedName>
    <definedName name="BExCSMOFTXSUEC1T46LR1UPYRCX5" hidden="1">#REF!</definedName>
    <definedName name="BExCSNA06RK0A2286L6P4HZHM8DW" hidden="1">#REF!</definedName>
    <definedName name="BExCSSDG3TM6TPKS19E9QYJEELZ6" hidden="1">#REF!</definedName>
    <definedName name="BExCSZ9LWDK80JB2XCZE8SAIYG7Y" hidden="1">#REF!</definedName>
    <definedName name="BExCSZV7U67UWXL2HKJNM5W1E4OO" hidden="1">#REF!</definedName>
    <definedName name="BExCT4NSDT61OCH04Y2QIFIOP75H" hidden="1">#REF!</definedName>
    <definedName name="BExCTW8G3VCZ55S09HTUGXKB1P2M" hidden="1">#REF!</definedName>
    <definedName name="BExCTYS2KX0QANOLT8LGZ9WV3S3T" hidden="1">#REF!</definedName>
    <definedName name="BExCTZZ9JNES4EDHW97NP0EGQALX" hidden="1">#REF!</definedName>
    <definedName name="BExCU0A1V6NMZQ9ASYJ8QIVQ5UR2" hidden="1">#REF!</definedName>
    <definedName name="BExCU2834920JBHSPCRC4UF80OLL" hidden="1">#REF!</definedName>
    <definedName name="BExCU8O54I3P3WRYWY1CRP3S78QY" hidden="1">#REF!</definedName>
    <definedName name="BExCUDRJO23YOKT8GPWOVQ4XEHF5" hidden="1">#REF!</definedName>
    <definedName name="BExCUPAXFR16YMWL30ME3F3BSRDZ" hidden="1">#REF!</definedName>
    <definedName name="BExCUR94DHCE47PUUWEMT5QZOYR2" hidden="1">#REF!</definedName>
    <definedName name="BExCV634L7SVHGB0UDDTRRQ2Q72H" hidden="1">#REF!</definedName>
    <definedName name="BExCVBXGSXT9FWJRG62PX9S1RK83" hidden="1">#REF!</definedName>
    <definedName name="BExCVHBNLOHNFS0JAV3I1XGPNH9W" hidden="1">#REF!</definedName>
    <definedName name="BExCVI86R31A2IOZIEBY1FJLVILD" hidden="1">#REF!</definedName>
    <definedName name="BExCVKGZXE0I9EIXKBZVSGSEY2RR" hidden="1">#REF!</definedName>
    <definedName name="BExCVV44WY5807WGMTGKPW0GT256" hidden="1">#REF!</definedName>
    <definedName name="BExCVZ5PN4V6MRBZ04PZJW3GEF8S" hidden="1">#REF!</definedName>
    <definedName name="BExCW13R0GWJYGXZBNCPAHQN4NR2" hidden="1">#REF!</definedName>
    <definedName name="BExCW9Y5HWU4RJTNX74O6L24VGCK" hidden="1">#REF!</definedName>
    <definedName name="BExCWPDPESGZS07QGBLSBWDNVJLZ" hidden="1">#REF!</definedName>
    <definedName name="BExCWTVKHIVCRHF8GC39KI58YM5K" hidden="1">#REF!</definedName>
    <definedName name="BExCX2KGRZBRVLZNM8SUSIE6A0RL" hidden="1">#REF!</definedName>
    <definedName name="BExCX3X451T70LZ1VF95L7W4Y4TM" hidden="1">#REF!</definedName>
    <definedName name="BExCX4NZ2N1OUGXM7EV0U7VULJMM" hidden="1">#REF!</definedName>
    <definedName name="BExCXILMURGYMAH6N5LF5DV6K3GM" hidden="1">#REF!</definedName>
    <definedName name="BExCXQUFBMXQ1650735H48B1AZT3" hidden="1">#REF!</definedName>
    <definedName name="BExCY2DQO9VLA77Q7EG3T0XNXX4F" hidden="1">#REF!</definedName>
    <definedName name="BExCY6VMJ68MX3C981R5Q0BX5791" hidden="1">#REF!</definedName>
    <definedName name="BExCYAH2SAZCPW6XCB7V7PMMCAWO" hidden="1">#REF!</definedName>
    <definedName name="BExCYJBB52X8B3AREHCC1L5QNPX7" hidden="1">#REF!</definedName>
    <definedName name="BExCYPRC5HJE6N2XQTHCT6NXGP8N" hidden="1">#REF!</definedName>
    <definedName name="BExCYUK0I3UEXZNFDW71G6Z6D8XR" hidden="1">#REF!</definedName>
    <definedName name="BExCZFZCXMLY5DWESYJ9NGTJYQ8M" hidden="1">#REF!</definedName>
    <definedName name="BExCZJ4P8WS0BDT31WDXI0ROE7D6" hidden="1">#REF!</definedName>
    <definedName name="BExCZKH6NI0EE02L995IFVBD1J59" hidden="1">#REF!</definedName>
    <definedName name="BExCZUD9FEOJBKDJ51Z3JON9LKJ8" hidden="1">#REF!</definedName>
    <definedName name="BExD0508DAALLU00PHFPBC8SRRKT" hidden="1">#REF!</definedName>
    <definedName name="BExD0HALIN0JR4JTPGDEVAEE5EX5" hidden="1">#REF!</definedName>
    <definedName name="BExD0LCCDPG16YLY5WQSZF1XI5DA" hidden="1">#REF!</definedName>
    <definedName name="BExD0RMWSB4TRECEHTH6NN4K9DFZ" hidden="1">#REF!</definedName>
    <definedName name="BExD0U6KG10QGVDI1XSHK0J10A2V" hidden="1">#REF!</definedName>
    <definedName name="BExD13RUIBGRXDL4QDZ305UKUR12" hidden="1">#REF!</definedName>
    <definedName name="BExD14DETV5R4OOTMAXD5NAKWRO3" hidden="1">#REF!</definedName>
    <definedName name="BExD1OAU9OXQAZA4D70HP72CU6GB" hidden="1">#REF!</definedName>
    <definedName name="BExD1Y1JV61416YA1XRQHKWPZIE7" hidden="1">#REF!</definedName>
    <definedName name="BExD26VS2LXCKUN8UXFMY3PDMN8L" hidden="1">#REF!</definedName>
    <definedName name="BExD2CFHIRMBKN5KXE5QP4XXEWFS" hidden="1">#REF!</definedName>
    <definedName name="BExD2DMHH1HWXQ9W0YYMDP8AAX8Q" hidden="1">#REF!</definedName>
    <definedName name="BExD2HTPC7IWBAU6OSQ67MQA8BYZ" hidden="1">#REF!</definedName>
    <definedName name="BExD34R1V0LY6GPWJ6ZODBBLT8EP" hidden="1">#REF!</definedName>
    <definedName name="BExD363H2VGFIQUCE6LS4AC5J0ZT" hidden="1">#REF!</definedName>
    <definedName name="BExD3A588E939V61P1XEW0FI5Q0S" hidden="1">#REF!</definedName>
    <definedName name="BExD3CJJDKVR9M18XI3WDZH80WL6" hidden="1">#REF!</definedName>
    <definedName name="BExD3ESD9WYJIB3TRDPJ1CKXRAVL" hidden="1">#REF!</definedName>
    <definedName name="BExD3F368X5S25MWSUNIV57RDB57" hidden="1">#REF!</definedName>
    <definedName name="BExD3IJ5IT335SOSNV9L85WKAOSI" hidden="1">#REF!</definedName>
    <definedName name="BExD3KBVUY57GMMQTOFEU6S6G1AY" hidden="1">#REF!</definedName>
    <definedName name="BExD3NMR7AW2Z6V8SC79VQR37NA6" hidden="1">#REF!</definedName>
    <definedName name="BExD3QXA2UQ2W4N7NYLUEOG40BZB" hidden="1">#REF!</definedName>
    <definedName name="BExD3U2N041TEJ7GCN005UTPHNXY" hidden="1">#REF!</definedName>
    <definedName name="BExD40O0CFTNJFOFMMM1KH0P7BUI" hidden="1">#REF!</definedName>
    <definedName name="BExD4BR9HJ3MWWZ5KLVZWX9FJAUS" hidden="1">#REF!</definedName>
    <definedName name="BExD4F1WTKT3H0N9MF4H1LX7MBSY" hidden="1">#REF!</definedName>
    <definedName name="BExD4H5GQWXBS6LUL3TSP36DVO38" hidden="1">#REF!</definedName>
    <definedName name="BExD4JJSS3QDBLABCJCHD45SRNPI" hidden="1">#REF!</definedName>
    <definedName name="BExD4R1I0MKF033I5LPUYIMTZ6E8" hidden="1">#REF!</definedName>
    <definedName name="BExD50MT3M6XZLNUP9JL93EG6D9R" hidden="1">#REF!</definedName>
    <definedName name="BExD5EV7KDSVF1CJT38M4IBPFLPY" hidden="1">#REF!</definedName>
    <definedName name="BExD5FRK547OESJRYAW574DZEZ7J" hidden="1">#REF!</definedName>
    <definedName name="BExD5I5X2YA2YNCTCDSMEL4CWF4N" hidden="1">#REF!</definedName>
    <definedName name="BExD5QUSRFJWRQ1ZM50WYLCF74DF" hidden="1">#REF!</definedName>
    <definedName name="BExD5SSUIF6AJQHBHK8PNMFBPRYB" hidden="1">#REF!</definedName>
    <definedName name="BExD623C9LRX18BE0W2V6SZLQUXX" hidden="1">#REF!</definedName>
    <definedName name="BExD6CQA7UMJBXV7AIFAIHUF2ICX" hidden="1">#REF!</definedName>
    <definedName name="BExD6FKVK8WJWNYPVENR7Q8Q30PK" hidden="1">#REF!</definedName>
    <definedName name="BExD6GMP0LK8WKVWMIT1NNH8CHLF" hidden="1">#REF!</definedName>
    <definedName name="BExD6H2TE0WWAUIWVSSCLPZ6B88N" hidden="1">#REF!</definedName>
    <definedName name="BExD71LTOE015TV5RSAHM8NT8GVW" hidden="1">#REF!</definedName>
    <definedName name="BExD73USXVADC7EHGHVTQNCT06ZA" hidden="1">#REF!</definedName>
    <definedName name="BExD7AW9RM6LQ9O3ZXYMZTHATUYY" hidden="1">#REF!</definedName>
    <definedName name="BExD7GAIGULTB3YHM1OS9RBQOTEC" hidden="1">#REF!</definedName>
    <definedName name="BExD7IE1DHIS52UFDCTSKPJQNRD5" hidden="1">#REF!</definedName>
    <definedName name="BExD7IUBGUWHYC9UNZ1IY5XFYKQN" hidden="1">#REF!</definedName>
    <definedName name="BExD7JQOJ35HGL8U2OCEI2P2JT7I" hidden="1">#REF!</definedName>
    <definedName name="BExD7KSDKNDNH95NDT3S7GM3MUU2" hidden="1">#REF!</definedName>
    <definedName name="BExD8H5O087KQVWIVPUUID5VMGMS" hidden="1">#REF!</definedName>
    <definedName name="BExD8OCLZMFN5K3VZYI4Q4ITVKUA" hidden="1">#REF!</definedName>
    <definedName name="BExD93C1R6LC0631ECHVFYH0R0PD" hidden="1">#REF!</definedName>
    <definedName name="BExD97TXIO0COVNN4OH3DEJ33YLM" hidden="1">#REF!</definedName>
    <definedName name="BExD99RZ1RFIMK6O1ZHSPJ68X9Y5" hidden="1">#REF!</definedName>
    <definedName name="BExD9L0ID3VSOU609GKWYTA5BFMA" hidden="1">#REF!</definedName>
    <definedName name="BExD9M7SEMG0JK2FUTTZXWIEBTKB" hidden="1">#REF!</definedName>
    <definedName name="BExD9MNYBYB1AICQL5165G472IE2" hidden="1">#REF!</definedName>
    <definedName name="BExD9PNSYT7GASEGUVL48MUQ02WO" hidden="1">#REF!</definedName>
    <definedName name="BExD9TK2MIWFH5SKUYU9ZKF4NPHQ" hidden="1">#REF!</definedName>
    <definedName name="BExD9VNMWNVNL27OGMBPUANIP18W" hidden="1">#REF!</definedName>
    <definedName name="BExDA6LD9061UULVKUUI4QP8SK13" hidden="1">#REF!</definedName>
    <definedName name="BExDAGMVMNLQ6QXASB9R6D8DIT12" hidden="1">#REF!</definedName>
    <definedName name="BExDAYBHU9ADLXI8VRC7F608RVGM" hidden="1">#REF!</definedName>
    <definedName name="BExDB1GOQ1T3KL2TSZRORBII9FF8" hidden="1">#REF!</definedName>
    <definedName name="BExDBDR1XR0FV0CYUCB2OJ7CJCZU" hidden="1">#REF!</definedName>
    <definedName name="BExDC7F818VN0S18ID7XRCRVYPJ4" hidden="1">#REF!</definedName>
    <definedName name="BExDCL7K96PC9VZYB70ZW3QPVIJE" hidden="1">#REF!</definedName>
    <definedName name="BExDCP3UZ3C2O4C1F7KMU0Z9U32N" hidden="1">#REF!</definedName>
    <definedName name="BExENP52KBXIG13SRKNDBOK70R91" hidden="1">#REF!</definedName>
    <definedName name="BExEOBX3WECDMYCV9RLN49APTXMM" hidden="1">#REF!</definedName>
    <definedName name="BExEP4E4F36662JDI0TOD85OP7X9" hidden="1">#REF!</definedName>
    <definedName name="BExEPN9VIYI0FVL0HLZQXJFO6TT0" hidden="1">#REF!</definedName>
    <definedName name="BExEPYT6VDSMR8MU2341Q5GM2Y9V" hidden="1">#REF!</definedName>
    <definedName name="BExEQ2ENYLMY8K1796XBB31CJHNN" hidden="1">#REF!</definedName>
    <definedName name="BExEQ2PFE4N40LEPGDPS90WDL6BN" hidden="1">#REF!</definedName>
    <definedName name="BExEQ2PFURT24NQYGYVE8NKX1EGA" hidden="1">#REF!</definedName>
    <definedName name="BExEQB8ZWXO6IIGOEPWTLOJGE2NR" hidden="1">#REF!</definedName>
    <definedName name="BExEQBZX0EL6LIKPY01197ACK65H" hidden="1">#REF!</definedName>
    <definedName name="BExEQDXZALJLD4OBF74IKZBR13SR" hidden="1">#REF!</definedName>
    <definedName name="BExEQFLE2RPWGMWQAI4JMKUEFRPT" hidden="1">#REF!</definedName>
    <definedName name="BExEQTZAP8R69U31W4LKGTKKGKQE" hidden="1">#REF!</definedName>
    <definedName name="BExER2O72H1F9WV6S1J04C15PXX7" hidden="1">#REF!</definedName>
    <definedName name="BExERRUIKIOATPZ9U4HQ0V52RJAU" hidden="1">#REF!</definedName>
    <definedName name="BExERSANFNM1O7T65PC5MJ301YET" hidden="1">#REF!</definedName>
    <definedName name="BExERUJN12YRKNWGYLV2ZCICZPQ1" hidden="1">#REF!</definedName>
    <definedName name="BExERWCEBKQRYWRQLYJ4UCMMKTHG" hidden="1">#REF!</definedName>
    <definedName name="BExES44RHHDL3V7FLV6M20834WF1" hidden="1">#REF!</definedName>
    <definedName name="BExES4A7VE2X3RYYTVRLKZD4I7WU" hidden="1">#REF!</definedName>
    <definedName name="BExES6ZC8R7PHJ21OVJFLIR7DY30" hidden="1">#REF!</definedName>
    <definedName name="BExESMKD95A649M0WRSG6CXXP326" hidden="1">#REF!</definedName>
    <definedName name="BExESR27ZXJG5VMY4PR9D940VS7T" hidden="1">#REF!</definedName>
    <definedName name="BExESZ03KXL8DQ2591HLR56ZML94" hidden="1">#REF!</definedName>
    <definedName name="BExESZAW5N443NRTKIP59OEI1CR6" hidden="1">#REF!</definedName>
    <definedName name="BExET3HXQ60A4O2OLKX8QNXRI6LQ" hidden="1">#REF!</definedName>
    <definedName name="BExETA3B1FCIOA80H94K90FWXQKE" hidden="1">#REF!</definedName>
    <definedName name="BExETAZOYT4CJIT8RRKC9F2HJG1D" hidden="1">#REF!</definedName>
    <definedName name="BExETF6QD5A9GEINE1KZRRC2LXWM" hidden="1">#REF!</definedName>
    <definedName name="BExETQ9XRXLUACN82805SPSPNKHI" hidden="1">#REF!</definedName>
    <definedName name="BExETR0YRMOR63E6DHLEHV9QVVON" hidden="1">#REF!</definedName>
    <definedName name="BExETVTGY38YXYYF7N73OYN6FYY3" hidden="1">#REF!</definedName>
    <definedName name="BExEUNE4T242Y59C6MS28MXEUGCP" hidden="1">#REF!</definedName>
    <definedName name="BExEV2TP7NA3ZR6RJGH5ER370OUM" hidden="1">#REF!</definedName>
    <definedName name="BExEV69USLNYO2QRJRC0J92XUF00" hidden="1">#REF!</definedName>
    <definedName name="BExEV6KNTQOCFD7GV726XQEVQ7R6" hidden="1">#REF!</definedName>
    <definedName name="BExEV6VGM4POO9QT9KH3QA3VYCWM" hidden="1">#REF!</definedName>
    <definedName name="BExEVET98G3FU6QBF9LHYWSAMV0O" hidden="1">#REF!</definedName>
    <definedName name="BExEVNCUT0PDUYNJH7G6BSEWZOT2" hidden="1">#REF!</definedName>
    <definedName name="BExEVPGF4V5J0WQRZKUM8F9TTKZJ" hidden="1">#REF!</definedName>
    <definedName name="BExEVPWH8S9GER9M14SPIT6XZ8SG" hidden="1">#REF!</definedName>
    <definedName name="BExEVVLIEVWYRF2UUC1H0H5QU1CP" hidden="1">#REF!</definedName>
    <definedName name="BExEVWCKO8T84GW9Z3X47915XKSH" hidden="1">#REF!</definedName>
    <definedName name="BExEVZSJWMZ5L2ZE7AZC57CXKW6T" hidden="1">#REF!</definedName>
    <definedName name="BExEW0JL1GFFCXMDGW54CI7Y8FZN" hidden="1">#REF!</definedName>
    <definedName name="BExEW56RRKMMNDBCTHJPHSNFQGHA" hidden="1">#REF!</definedName>
    <definedName name="BExEW68M9WL8214QH9C7VCK7BN08" hidden="1">#REF!</definedName>
    <definedName name="BExEW8HFKH6F47KIHYBDRUEFZ2ZZ" hidden="1">#REF!</definedName>
    <definedName name="BExEWLO75K95C6IRKHXSP7VP81T4" hidden="1">#REF!</definedName>
    <definedName name="BExEWNBGQS1U2LW3W84T4LSJ9K00" hidden="1">#REF!</definedName>
    <definedName name="BExEWO7STL7HNZSTY8VQBPTX1WK6" hidden="1">#REF!</definedName>
    <definedName name="BExEWQ0M1N3KMKTDJ73H10QSG4W1" hidden="1">#REF!</definedName>
    <definedName name="BExEX85F3OSW8NSCYGYPS9372Z1Q" hidden="1">#REF!</definedName>
    <definedName name="BExEX9HWY2G6928ZVVVQF77QCM2C" hidden="1">#REF!</definedName>
    <definedName name="BExEXBQWAYKMVBRJRHB8PFCSYFVN" hidden="1">#REF!</definedName>
    <definedName name="BExEXRBZ0DI9E2UFLLKYWGN66B61" hidden="1">#REF!</definedName>
    <definedName name="BExEYLG9FL9V1JPPNZ3FUDNSEJ4V" hidden="1">#REF!</definedName>
    <definedName name="BExEYOW8C1B3OUUCIGEC7L8OOW1Z" hidden="1">#REF!</definedName>
    <definedName name="BExEYUQJXZT6N5HJH8ACJF6SRWEE" hidden="1">#REF!</definedName>
    <definedName name="BExEZ1S6VZCG01ZPLBSS9Z1SBOJ2" hidden="1">#REF!</definedName>
    <definedName name="BExEZGBFNJR8DLPN0V11AU22L6WY" hidden="1">#REF!</definedName>
    <definedName name="BExEZYLLHB0MPYAXN2D47YR6WDUR" hidden="1">#REF!</definedName>
    <definedName name="BExF02Y3V3QEPO2XLDSK47APK9XJ" hidden="1">#REF!</definedName>
    <definedName name="BExF09OS91RT7N7IW8JLMZ121ZP3" hidden="1">#REF!</definedName>
    <definedName name="BExF0LOEHV42P2DV7QL8O7HOQ3N9" hidden="1">#REF!</definedName>
    <definedName name="BExF0WRM9VO25RLSO03ZOCE8H7K5" hidden="1">#REF!</definedName>
    <definedName name="BExF0ZRI7W4RSLIDLHTSM0AWXO3S" hidden="1">#REF!</definedName>
    <definedName name="BExF19CT3MMZZ2T5EWMDNG3UOJ01" hidden="1">#REF!</definedName>
    <definedName name="BExF1M38U6NX17YJA8YU359B5Z4M" hidden="1">#REF!</definedName>
    <definedName name="BExF1MU4W3NPEY0OHRDWP5IANCBB" hidden="1">#REF!</definedName>
    <definedName name="BExF1MZN8MWMOKOARHJ1QAF9HPGT" hidden="1">#REF!</definedName>
    <definedName name="BExF1US4ZIQYSU5LBFYNRA9N0K2O" hidden="1">#REF!</definedName>
    <definedName name="BExF2C5YEY208745U0KO9826O5LE" hidden="1">#REF!</definedName>
    <definedName name="BExF2CWZN6E87RGTBMD4YQI2QT7R" hidden="1">#REF!</definedName>
    <definedName name="BExF2DYO1WQ7GMXSTAQRDBW1NSFG" hidden="1">#REF!</definedName>
    <definedName name="BExF2MSWNUY9Z6BZJQZ538PPTION" hidden="1">#REF!</definedName>
    <definedName name="BExF2QZYWHTYGUTTXR15CKCV3LS7" hidden="1">#REF!</definedName>
    <definedName name="BExF2T8Y6TSJ74RMSZOA9CEH4OZ6" hidden="1">#REF!</definedName>
    <definedName name="BExF31N3YM4F37EOOY8M8VI1KXN8" hidden="1">#REF!</definedName>
    <definedName name="BExF37C1YKBT79Z9SOJAG5MXQGTU" hidden="1">#REF!</definedName>
    <definedName name="BExF3A6HPA6DGYALZNHHJPMCUYZR" hidden="1">#REF!</definedName>
    <definedName name="BExF3I9T44X7DV9HHV51DVDDPPZG" hidden="1">#REF!</definedName>
    <definedName name="BExF3JMFX5DILOIFUDIO1HZUK875" hidden="1">#REF!</definedName>
    <definedName name="BExF3NTC4BGZEM6B87TCFX277QCS" hidden="1">#REF!</definedName>
    <definedName name="BExF3Q7NI90WT31QHYSJDIG0LLLJ" hidden="1">#REF!</definedName>
    <definedName name="BExF3QD55TIY1MSBSRK9TUJKBEWO" hidden="1">#REF!</definedName>
    <definedName name="BExF3QT8J6RIF1L3R700MBSKIOKW" hidden="1">#REF!</definedName>
    <definedName name="BExF42SSBVPMLK2UB3B7FPEIY9TU" hidden="1">#REF!</definedName>
    <definedName name="BExF4HXSWB50BKYPWA0HTT8W56H6" hidden="1">#REF!</definedName>
    <definedName name="BExF4KHF04IWW4LQ95FHQPFE4Y9K" hidden="1">#REF!</definedName>
    <definedName name="BExF4LU2NV3A47BCWPM3EZXUEH37" hidden="1">#REF!</definedName>
    <definedName name="BExF4MVQM5Y0QRDLDFSKWWTF709C" hidden="1">#REF!</definedName>
    <definedName name="BExF4PVMZYV36E8HOYY06J81AMBI" hidden="1">#REF!</definedName>
    <definedName name="BExF4SF9NEX1FZE9N8EXT89PM54D" hidden="1">#REF!</definedName>
    <definedName name="BExF50YUE45B6D13NWWZZ22QIYDY" hidden="1">#REF!</definedName>
    <definedName name="BExF52GTGP8MHGII4KJ8TJGR8W8U" hidden="1">#REF!</definedName>
    <definedName name="BExF57K7L3UC1I2FSAWURR4SN0UN" hidden="1">#REF!</definedName>
    <definedName name="BExF5D96JEPDW6LV89G2REZJ1ES7" hidden="1">#REF!</definedName>
    <definedName name="BExF5HR2GFV7O8LKG9SJ4BY78LYA" hidden="1">#REF!</definedName>
    <definedName name="BExF5ZFO2A29GHWR5ES64Z9OS16J" hidden="1">#REF!</definedName>
    <definedName name="BExF63S045JO7H2ZJCBTBVH3SUIF" hidden="1">#REF!</definedName>
    <definedName name="BExF642TEGTXCI9A61ZOONJCB0U1" hidden="1">#REF!</definedName>
    <definedName name="BExF654HIYGTFZIBL6LYL16J8A6I" hidden="1">#REF!</definedName>
    <definedName name="BExF67O951CF8UJF3KBDNR0E83C1" hidden="1">#REF!</definedName>
    <definedName name="BExF6DTEFE2CUOX4ZSFF96NSQQGN" hidden="1">#REF!</definedName>
    <definedName name="BExF6EV7I35NVMIJGYTB6E24YVPA" hidden="1">#REF!</definedName>
    <definedName name="BExF6FGUF393KTMBT40S5BYAFG00" hidden="1">#REF!</definedName>
    <definedName name="BExF6GNYXWY8A0SY4PW1B6KJMMTM" hidden="1">#REF!</definedName>
    <definedName name="BExF6IB8K74Z0AFT05GPOKKZW7C9" hidden="1">#REF!</definedName>
    <definedName name="BExF6NUXJI11W2IAZNAM1QWC0459" hidden="1">#REF!</definedName>
    <definedName name="BExF6RR76KNVIXGJOVFO8GDILKGZ" hidden="1">#REF!</definedName>
    <definedName name="BExF6U06M8O2ZT1NNUAFQWTT2D7D" hidden="1">#REF!</definedName>
    <definedName name="BExF6ZE8D5CMPJPRWT6S4HM56LPF" hidden="1">#REF!</definedName>
    <definedName name="BExF76FV8SF7AJK7B35AL7VTZF6D" hidden="1">#REF!</definedName>
    <definedName name="BExF7EOIMC1OYL1N7835KGOI0FIZ" hidden="1">#REF!</definedName>
    <definedName name="BExF7K88K7ASGV6RAOAGH52G04VR" hidden="1">#REF!</definedName>
    <definedName name="BExF7OVDRP3LHNAF2CX4V84CKKIR" hidden="1">#REF!</definedName>
    <definedName name="BExF7QO41X2A2SL8UXDNP99GY7U9" hidden="1">#REF!</definedName>
    <definedName name="BExF81GI8B8WBHXFTET68A9358BR" hidden="1">#REF!</definedName>
    <definedName name="BExGL97US0Y3KXXASUTVR26XLT70" hidden="1">#REF!</definedName>
    <definedName name="BExGLC7R4C33RO0PID97ZPPVCW4M" hidden="1">#REF!</definedName>
    <definedName name="BExGLFIF7HCFSHNQHKEV6RY0WCO3" hidden="1">#REF!</definedName>
    <definedName name="BExGLTARRL0J772UD2TXEYAVPY6E" hidden="1">#REF!</definedName>
    <definedName name="BExGLVP1IU8K5A8J1340XFMYPR88" hidden="1">#REF!</definedName>
    <definedName name="BExGLYE6RZTAAWHJBG2QFJPTDS2Q" hidden="1">#REF!</definedName>
    <definedName name="BExGM4DZ65OAQP7MA4LN6QMYZOFF" hidden="1">#REF!</definedName>
    <definedName name="BExGMCXCWEC9XNUOEMZ61TMI6CUO" hidden="1">#REF!</definedName>
    <definedName name="BExGMJDGIH0MEPC2TUSFUCY2ROTB" hidden="1">#REF!</definedName>
    <definedName name="BExGMKPW2HPKN0M0XKF3AZ8YP0D6" hidden="1">#REF!</definedName>
    <definedName name="BExGMP2F175LGL6QVSJGP6GKYHHA" hidden="1">#REF!</definedName>
    <definedName name="BExGMPIIP8GKML2VVA8OEFL43NCS" hidden="1">#REF!</definedName>
    <definedName name="BExGMZ3SRIXLXMWBVOXXV3M4U4YL" hidden="1">#REF!</definedName>
    <definedName name="BExGMZ3UBN48IXU1ZEFYECEMZ1IM" hidden="1">#REF!</definedName>
    <definedName name="BExGN4I0QATXNZCLZJM1KH1OIJQH" hidden="1">#REF!</definedName>
    <definedName name="BExGN9FZ2RWCMSY1YOBJKZMNIM9R" hidden="1">#REF!</definedName>
    <definedName name="BExGNDSIMTHOCXXG6QOGR6DA8SGG" hidden="1">#REF!</definedName>
    <definedName name="BExGNN2YQ9BDAZXT2GLCSAPXKIM7" hidden="1">#REF!</definedName>
    <definedName name="BExGNSS0CKRPKHO25R3TDBEL2NHX" hidden="1">#REF!</definedName>
    <definedName name="BExGNYH0MO8NOVS85L15G0RWX4GW" hidden="1">#REF!</definedName>
    <definedName name="BExGNZO44DEG8CGIDYSEGDUQ531R" hidden="1">#REF!</definedName>
    <definedName name="BExGO2O0V6UYDY26AX8OSN72F77N" hidden="1">#REF!</definedName>
    <definedName name="BExGO2YUBOVLYHY1QSIHRE1KLAFV" hidden="1">#REF!</definedName>
    <definedName name="BExGO70E2O70LF46V8T26YFPL4V8" hidden="1">#REF!</definedName>
    <definedName name="BExGO9K6JOVU5EG174Z2WB8F2GUT" hidden="1">#REF!</definedName>
    <definedName name="BExGOB25QJMQCQE76MRW9X58OIOO" hidden="1">#REF!</definedName>
    <definedName name="BExGODAZKJ9EXMQZNQR5YDBSS525" hidden="1">#REF!</definedName>
    <definedName name="BExGODR8ZSMUC11I56QHSZ686XV5" hidden="1">#REF!</definedName>
    <definedName name="BExGOT6UXUX5FVTAYL9SOBZ1D0II" hidden="1">#REF!</definedName>
    <definedName name="BExGOXJDHUDPDT8I8IVGVW9J0R5Q" hidden="1">#REF!</definedName>
    <definedName name="BExGPHGT5KDOCMV2EFS4OVKTWBRD" hidden="1">#REF!</definedName>
    <definedName name="BExGPID72Y4Y619LWASUQZKZHJNC" hidden="1">#REF!</definedName>
    <definedName name="BExGPPENQIANVGLVQJ77DK5JPRTB" hidden="1">#REF!</definedName>
    <definedName name="BExGQ1ZU4967P72AHF4V1D0FOL5C" hidden="1">#REF!</definedName>
    <definedName name="BExGQ36ZOMR9GV8T05M605MMOY3Y" hidden="1">#REF!</definedName>
    <definedName name="BExGQ61DTJ0SBFMDFBAK3XZ9O0ZO" hidden="1">#REF!</definedName>
    <definedName name="BExGQ6SG9XEOD0VMBAR22YPZWSTA" hidden="1">#REF!</definedName>
    <definedName name="BExGQGJ1A7LNZUS8QSMOG8UNGLMK" hidden="1">#REF!</definedName>
    <definedName name="BExGQPO7ENFEQC0NC6MC9OZR2LHY" hidden="1">#REF!</definedName>
    <definedName name="BExGQX0H4EZMXBJTKJJE4ICJWN5O" hidden="1">#REF!</definedName>
    <definedName name="BExGR4CW3WRIID17GGX4MI9ZDHFE" hidden="1">#REF!</definedName>
    <definedName name="BExGR65GJX27MU2OL6NI5PB8XVB4" hidden="1">#REF!</definedName>
    <definedName name="BExGR6LQ97HETGS3CT96L4IK0JSH" hidden="1">#REF!</definedName>
    <definedName name="BExGR9ATP2LVT7B9OCPSLJ11H9SX" hidden="1">#REF!</definedName>
    <definedName name="BExGRUKVVKDL8483WI70VN2QZDGD" hidden="1">#REF!</definedName>
    <definedName name="BExGS2IWR5DUNJ1U9PAKIV8CMBNI" hidden="1">#REF!</definedName>
    <definedName name="BExGS69P9FFTEOPDS0MWFKF45G47" hidden="1">#REF!</definedName>
    <definedName name="BExGS6F1JFHM5MUJ1RFO50WP6D05" hidden="1">#REF!</definedName>
    <definedName name="BExGSA5YB5ZGE4NHDVCZ55TQAJTL" hidden="1">#REF!</definedName>
    <definedName name="BExGSCEUCQQVDEEKWJ677QTGUVTE" hidden="1">#REF!</definedName>
    <definedName name="BExGSQY65LH1PCKKM5WHDW83F35O" hidden="1">#REF!</definedName>
    <definedName name="BExGSYW1GKISF0PMUAK3XJK9PEW9" hidden="1">#REF!</definedName>
    <definedName name="BExGT0DZJB6LSF6L693UUB9EY1VQ" hidden="1">#REF!</definedName>
    <definedName name="BExGTGVFIF8HOQXR54SK065A8M4K" hidden="1">#REF!</definedName>
    <definedName name="BExGTIYX3OWPIINOGY1E4QQYSKHP" hidden="1">#REF!</definedName>
    <definedName name="BExGTKGUN0KUU3C0RL2LK98D8MEK" hidden="1">#REF!</definedName>
    <definedName name="BExGTZ046J7VMUG4YPKFN2K8TWB7" hidden="1">#REF!</definedName>
    <definedName name="BExGU2G9OPRZRIU9YGF6NX9FUW0J" hidden="1">#REF!</definedName>
    <definedName name="BExGU6HTKLRZO8UOI3DTAM5RFDBA" hidden="1">#REF!</definedName>
    <definedName name="BExGUDDZXFFQHAF4UZF8ZB1HO7H6" hidden="1">#REF!</definedName>
    <definedName name="BExGUIBXBRHGM97ZX6GBA4ZDQ79C" hidden="1">#REF!</definedName>
    <definedName name="BExGUM8D91UNPCOO4TKP9FGX85TF" hidden="1">#REF!</definedName>
    <definedName name="BExGUQF9N9FKI7S0H30WUAEB5LPD" hidden="1">#REF!</definedName>
    <definedName name="BExGUR6BA03XPBK60SQUW197GJ5X" hidden="1">#REF!</definedName>
    <definedName name="BExGUVIP60TA4B7X2PFGMBFUSKGX" hidden="1">#REF!</definedName>
    <definedName name="BExGUZKF06F209XL1IZWVJEQ82EE" hidden="1">#REF!</definedName>
    <definedName name="BExGV2EVT380QHD4AP2RL9MR8L5L" hidden="1">#REF!</definedName>
    <definedName name="BExGVV6OOLDQ3TXZK51TTF3YX0WN" hidden="1">#REF!</definedName>
    <definedName name="BExGW0KVS7U0C87XFZ78QW991IEV" hidden="1">#REF!</definedName>
    <definedName name="BExGW2Z77FHCGY2US73BBD9ISLA4" hidden="1">#REF!</definedName>
    <definedName name="BExGW2Z7AMPG6H9EXA9ML6EZVGGA" hidden="1">#REF!</definedName>
    <definedName name="BExGWABG5VT5XO1A196RK61AXA8C" hidden="1">#REF!</definedName>
    <definedName name="BExGWEO0JDG84NYLEAV5NSOAGMJZ" hidden="1">#REF!</definedName>
    <definedName name="BExGWLEOC70Z8QAJTPT2PDHTNM4L" hidden="1">#REF!</definedName>
    <definedName name="BExGWNCXLCRTLBVMTXYJ5PHQI6SS" hidden="1">#REF!</definedName>
    <definedName name="BExGX6U988MCFIGDA1282F92U9AA" hidden="1">#REF!</definedName>
    <definedName name="BExGX7FTB1CKAT5HUW6H531FIY6I" hidden="1">#REF!</definedName>
    <definedName name="BExGX9DVACJQIZ4GH6YAD2A7F70O" hidden="1">#REF!</definedName>
    <definedName name="BExGXDVP2S2Y8Z8Q43I78RCIK3DD" hidden="1">#REF!</definedName>
    <definedName name="BExGXJ9W5JU7TT9S0BKL5Y6VVB39" hidden="1">#REF!</definedName>
    <definedName name="BExGXWB73RJ4BASBQTQ8EY0EC1EB" hidden="1">#REF!</definedName>
    <definedName name="BExGXZ0ABB43C7SMRKZHWOSU9EQX" hidden="1">#REF!</definedName>
    <definedName name="BExGY6SU3SYVCJ3AG2ITY59SAZ5A" hidden="1">#REF!</definedName>
    <definedName name="BExGY6YA4P5KMY2VHT0DYK3YTFAX" hidden="1">#REF!</definedName>
    <definedName name="BExGY8G88PVVRYHPHRPJZFSX6HSC" hidden="1">#REF!</definedName>
    <definedName name="BExGYC718HTZ80PNKYPVIYGRJVF6" hidden="1">#REF!</definedName>
    <definedName name="BExGYCNATXZY2FID93B17YWIPPRD" hidden="1">#REF!</definedName>
    <definedName name="BExGYGJJJ3BBCQAOA51WHP01HN73" hidden="1">#REF!</definedName>
    <definedName name="BExGYOS6TV2C72PLRFU8RP1I58GY" hidden="1">#REF!</definedName>
    <definedName name="BExGZ7NXZ0IBS44C2NZ9VMD6T6K2" hidden="1">#REF!</definedName>
    <definedName name="BExGZJ78ZWZCVHZ3BKEKFJZ6MAEO" hidden="1">#REF!</definedName>
    <definedName name="BExGZOLH2QV73J3M9IWDDPA62TP4" hidden="1">#REF!</definedName>
    <definedName name="BExGZP1PWGFKVVVN4YDIS22DZPCR" hidden="1">#REF!</definedName>
    <definedName name="BExH00L21GZX5YJJGVMOAWBERLP5" hidden="1">#REF!</definedName>
    <definedName name="BExH02ZD6VAY1KQLAQYBBI6WWIZB" hidden="1">#REF!</definedName>
    <definedName name="BExH08Z6LQCGGSGSAILMHX4X7JMD" hidden="1">#REF!</definedName>
    <definedName name="BExH0KT9Z8HEVRRQRGQ8YHXRLIJA" hidden="1">#REF!</definedName>
    <definedName name="BExH0M0FDN12YBOCKL3XL2Z7T7Y8" hidden="1">#REF!</definedName>
    <definedName name="BExH0O9G06YPZ5TN9RYT326I1CP2" hidden="1">#REF!</definedName>
    <definedName name="BExH0WNJAKTJRCKMTX8O4KNMIIJM" hidden="1">#REF!</definedName>
    <definedName name="BExH12Y4WX542WI3ZEM15AK4UM9J" hidden="1">#REF!</definedName>
    <definedName name="BExH1FDTQXR9QQ31WDB7OPXU7MPT" hidden="1">#REF!</definedName>
    <definedName name="BExH1FOMEUIJNIDJAUY0ZQFBJSY9" hidden="1">#REF!</definedName>
    <definedName name="BExH1JFFHEBFX9BWJMNIA3N66R3Z" hidden="1">#REF!</definedName>
    <definedName name="BExH1XYT8G9AB9D9YCHP5JXVUSRG" hidden="1">#REF!</definedName>
    <definedName name="BExH1Z0GIUSVTF2H1G1I3PDGBNK2" hidden="1">#REF!</definedName>
    <definedName name="BExH225UTM6S9FW4MUDZS7F1PQSH" hidden="1">#REF!</definedName>
    <definedName name="BExH23271RF7AYZ542KHQTH68GQ7" hidden="1">#REF!</definedName>
    <definedName name="BExH2GJQR4JALNB314RY0LDI49VH" hidden="1">#REF!</definedName>
    <definedName name="BExH2J8UFB7PCX6YL7ELE5G8MCF9" hidden="1">#REF!</definedName>
    <definedName name="BExH2JZR49T7644JFVE7B3N7RZM9" hidden="1">#REF!</definedName>
    <definedName name="BExH2UHF0QTJG107MULYB16WBJM9" hidden="1">#REF!</definedName>
    <definedName name="BExH2WKXV8X5S2GSBBTWGI0NLNAH" hidden="1">#REF!</definedName>
    <definedName name="BExH2XS1UFYFGU0S0EBXX90W2WE8" hidden="1">#REF!</definedName>
    <definedName name="BExH2XS2TND9SB0GC295R4FP6K5Y" hidden="1">#REF!</definedName>
    <definedName name="BExH2ZA0SZ4SSITL50NA8LZ3OEX6" hidden="1">#REF!</definedName>
    <definedName name="BExH3012ZZJMN86DXPGYVHX2142Z" hidden="1">#REF!</definedName>
    <definedName name="BExH31Z3JNVJPESWKXHILGXZHP2M" hidden="1">#REF!</definedName>
    <definedName name="BExH3E9HZ3QJCDZW7WI7YACFQCHE" hidden="1">#REF!</definedName>
    <definedName name="BExH3IRB6764RQ5HBYRLH6XCT29X" hidden="1">#REF!</definedName>
    <definedName name="BExIG2U8V6RSB47SXLCQG3Q68YRO" hidden="1">#REF!</definedName>
    <definedName name="BExIGJBO8R13LV7CZ7C1YCP974NN" hidden="1">#REF!</definedName>
    <definedName name="BExIGWT86FPOEYTI8GXCGU5Y3KGK" hidden="1">#REF!</definedName>
    <definedName name="BExIHBHXA7E7VUTBVHXXXCH3A5CL" hidden="1">#REF!</definedName>
    <definedName name="BExIHPQCQTGEW8QOJVIQ4VX0P6DX" hidden="1">#REF!</definedName>
    <definedName name="BExII1KN91Q7DLW0UB7W2TJ5ACT9" hidden="1">#REF!</definedName>
    <definedName name="BExII50LI8I0CDOOZEMIVHVA2V95" hidden="1">#REF!</definedName>
    <definedName name="BExIIXMY38TQD12CVV4S57L3I809" hidden="1">#REF!</definedName>
    <definedName name="BExIIY37NEVU2LGS1JE4VR9AN6W4" hidden="1">#REF!</definedName>
    <definedName name="BExIIYJAGXR8TPZ1KCYM7EGJ79UW" hidden="1">#REF!</definedName>
    <definedName name="BExIJ3160YCWGAVEU0208ZGXXG3P" hidden="1">#REF!</definedName>
    <definedName name="BExIJFGZJ5ED9D6KAY4PGQYLELAX" hidden="1">#REF!</definedName>
    <definedName name="BExIJQK80ZEKSTV62E59AYJYUNLI" hidden="1">#REF!</definedName>
    <definedName name="BExIJRLX3M0YQLU1D5Y9V7HM5QNM" hidden="1">#REF!</definedName>
    <definedName name="BExIJV22J0QA7286KNPMHO1ZUCB3" hidden="1">#REF!</definedName>
    <definedName name="BExIJVI6OC7B6ZE9V4PAOYZXKNER" hidden="1">#REF!</definedName>
    <definedName name="BExIJWK0NGTGQ4X7D5VIVXD14JHI" hidden="1">#REF!</definedName>
    <definedName name="BExIJWPCIYINEJUTXU74VK7WG031" hidden="1">#REF!</definedName>
    <definedName name="BExIKHTXPZR5A8OHB6HDP6QWDHAD" hidden="1">#REF!</definedName>
    <definedName name="BExIKMMJOETSAXJYY1SIKM58LMA2" hidden="1">#REF!</definedName>
    <definedName name="BExIKRF6AQ6VOO9KCIWSM6FY8M7D" hidden="1">#REF!</definedName>
    <definedName name="BExIKTYZESFT3LC0ASFMFKSE0D1X" hidden="1">#REF!</definedName>
    <definedName name="BExIKXVA6M8K0PTRYAGXS666L335" hidden="1">#REF!</definedName>
    <definedName name="BExIL0PMZ2SXK9R6MLP43KBU1J2P" hidden="1">#REF!</definedName>
    <definedName name="BExILAAXRTRAD18K74M6MGUEEPUM" hidden="1">#REF!</definedName>
    <definedName name="BExILFJPDZ1ODBI6C8PTR4RZGFCV" hidden="1">#REF!</definedName>
    <definedName name="BExILG5F338C0FFLMVOKMKF8X5ZP" hidden="1">#REF!</definedName>
    <definedName name="BExILGQTQM0HOD0BJI90YO7GOIN3" hidden="1">#REF!</definedName>
    <definedName name="BExIM9DBUB7ZGF4B20FVUO9QGOX2" hidden="1">#REF!</definedName>
    <definedName name="BExIMGK9Z94TFPWWZFMD10HV0IF6" hidden="1">#REF!</definedName>
    <definedName name="BExIMPEGKG18TELVC33T4OQTNBWC" hidden="1">#REF!</definedName>
    <definedName name="BExIN4OR435DL1US13JQPOQK8GD5" hidden="1">#REF!</definedName>
    <definedName name="BExINI6A7H3KSFRFA6UBBDPKW37F" hidden="1">#REF!</definedName>
    <definedName name="BExINIMK8XC3JOBT2EXYFHHH52H0" hidden="1">#REF!</definedName>
    <definedName name="BExINLX401ZKEGWU168DS4JUM2J6" hidden="1">#REF!</definedName>
    <definedName name="BExINMYYJO1FTV1CZF6O5XCFAMQX" hidden="1">#REF!</definedName>
    <definedName name="BExINP2H4KI05FRFV5PKZFE00HKO" hidden="1">#REF!</definedName>
    <definedName name="BExINZELVWYGU876QUUZCIMXPBQC" hidden="1">#REF!</definedName>
    <definedName name="BExIOCQUQHKUU1KONGSDOLQTQEIC" hidden="1">#REF!</definedName>
    <definedName name="BExIOFL8Y5O61VLKTB4H20IJNWS1" hidden="1">#REF!</definedName>
    <definedName name="BExIOMBXRW5NS4ZPYX9G5QREZ5J6" hidden="1">#REF!</definedName>
    <definedName name="BExIORA3GK78T7C7SNBJJUONJ0LS" hidden="1">#REF!</definedName>
    <definedName name="BExIORFDXP4AVIEBLSTZ8ETSXMNM" hidden="1">#REF!</definedName>
    <definedName name="BExIOTZ5EFZ2NASVQ05RH15HRSW6" hidden="1">#REF!</definedName>
    <definedName name="BExIP8YNN6UUE1GZ223SWH7DLGKO" hidden="1">#REF!</definedName>
    <definedName name="BExIPAB4AOL592OJCC1CFAXTLF1A" hidden="1">#REF!</definedName>
    <definedName name="BExIPB25DKX4S2ZCKQN7KWSC3JBF" hidden="1">#REF!</definedName>
    <definedName name="BExIPD5KF9Q4U0X6JGD7P4Z6D2N6" hidden="1">#REF!</definedName>
    <definedName name="BExIPDLT8JYAMGE5HTN4D1YHZF3V" hidden="1">#REF!</definedName>
    <definedName name="BExIPG040Q08EWIWL6CAVR3GRI43" hidden="1">#REF!</definedName>
    <definedName name="BExIPIUPON2C4UB3BTDNX6F7U0CF" hidden="1">#REF!</definedName>
    <definedName name="BExIPKNFUDPDKOSH5GHDVNA8D66S" hidden="1">#REF!</definedName>
    <definedName name="BExIQ1VS9A2FHVD9TUHKG9K8EVVP" hidden="1">#REF!</definedName>
    <definedName name="BExIQ3J19L30PSQ2CXNT6IHW0I7V" hidden="1">#REF!</definedName>
    <definedName name="BExIQ3OJ7M04XCY276IO0LJA5XUK" hidden="1">#REF!</definedName>
    <definedName name="BExIQ5S19ITB0NDRUN4XV7B905ED" hidden="1">#REF!</definedName>
    <definedName name="BExIQ9TMQT2EIXSVQW7GVSOAW2VJ" hidden="1">#REF!</definedName>
    <definedName name="BExIQBMDE1L6J4H27K1FMSHQKDSE" hidden="1">#REF!</definedName>
    <definedName name="BExIQE65LVXUOF3UZFO7SDHFJH22" hidden="1">#REF!</definedName>
    <definedName name="BExIQG9OO2KKBOWTMD1OXY36TEGA" hidden="1">#REF!</definedName>
    <definedName name="BExIQX1XBB31HZTYEEVOBSE3C5A6" hidden="1">#REF!</definedName>
    <definedName name="BExIQYP5T1TPAQYW7QU1Q98BKX7W" hidden="1">#REF!</definedName>
    <definedName name="BExIR2ALYRP9FW99DK2084J7IIDC" hidden="1">#REF!</definedName>
    <definedName name="BExIR8FQETPTQYW37DBVDWG3J4JW" hidden="1">#REF!</definedName>
    <definedName name="BExIRRBGTY01OQOI3U5SW59RFDFI" hidden="1">#REF!</definedName>
    <definedName name="BExIS4T0DRF57HYO7OGG72KBOFOI" hidden="1">#REF!</definedName>
    <definedName name="BExIS77BJDDK18PGI9DSEYZPIL7P" hidden="1">#REF!</definedName>
    <definedName name="BExIS8USL1T3Z97CZ30HJ98E2GXQ" hidden="1">#REF!</definedName>
    <definedName name="BExISC5B700MZUBFTQ9K4IKTF7HR" hidden="1">#REF!</definedName>
    <definedName name="BExISDHXS49S1H56ENBPRF1NLD5C" hidden="1">#REF!</definedName>
    <definedName name="BExISM1JLV54A21A164IURMPGUMU" hidden="1">#REF!</definedName>
    <definedName name="BExISRFKJYUZ4AKW44IJF7RF9Y90" hidden="1">#REF!</definedName>
    <definedName name="BExIT0VIS1PGIZS8DG5CH9KINYFU" hidden="1">#REF!</definedName>
    <definedName name="BExIT1MK8TBAK3SNP36A8FKDQSOK" hidden="1">#REF!</definedName>
    <definedName name="BExITBNYANV2S8KD56GOGCKW393R" hidden="1">#REF!</definedName>
    <definedName name="BExIUD4OJGH65NFNQ4VMCE3R4J1X" hidden="1">#REF!</definedName>
    <definedName name="BExIUTB5OAAXYW0OFMP0PS40SPOB" hidden="1">#REF!</definedName>
    <definedName name="BExIUUT2MHIOV6R3WHA0DPM1KBKY" hidden="1">#REF!</definedName>
    <definedName name="BExIUYPDT1AM6MWGWQS646PIZIWC" hidden="1">#REF!</definedName>
    <definedName name="BExIV0I2O9F8D1UK1SI8AEYR6U0A" hidden="1">#REF!</definedName>
    <definedName name="BExIV2LM38XPLRTWT0R44TMQ59E5" hidden="1">#REF!</definedName>
    <definedName name="BExIV3HY4S0YRV1F7XEMF2YHAR2I" hidden="1">#REF!</definedName>
    <definedName name="BExIV6HUZFRIFLXW2SICKGTAH1PV" hidden="1">#REF!</definedName>
    <definedName name="BExIVC6WZMHRBRGIBUVX0CO2RK05" hidden="1">#REF!</definedName>
    <definedName name="BExIVCXWL6H5LD9DHDIA4F5U9TQL" hidden="1">#REF!</definedName>
    <definedName name="BExIVMOIPSEWSIHIDDLOXESQ28A0" hidden="1">#REF!</definedName>
    <definedName name="BExIVNVNJX9BYDLC88NG09YF5XQ6" hidden="1">#REF!</definedName>
    <definedName name="BExIVQVKLMGSRYT1LFZH0KUIA4OR" hidden="1">#REF!</definedName>
    <definedName name="BExIVYTFI35KNR2XSA6N8OJYUTUR" hidden="1">#REF!</definedName>
    <definedName name="BExIWB3SY3WRIVIOF988DNNODBOA" hidden="1">#REF!</definedName>
    <definedName name="BExIWB99CG0H52LRD6QWPN4L6DV2" hidden="1">#REF!</definedName>
    <definedName name="BExIWG1W7XP9DFYYSZAIOSHM0QLQ" hidden="1">#REF!</definedName>
    <definedName name="BExIWH3KUK94B7833DD4TB0Y6KP9" hidden="1">#REF!</definedName>
    <definedName name="BExIWKE9MGIDWORBI43AWTUNYFAN" hidden="1">#REF!</definedName>
    <definedName name="BExIX34PM5DBTRHRQWP6PL6WIX88" hidden="1">#REF!</definedName>
    <definedName name="BExIX5OAP9KSUE5SIZCW9P39Q4WE" hidden="1">#REF!</definedName>
    <definedName name="BExIXGRJPVJMUDGSG7IHPXPNO69B" hidden="1">#REF!</definedName>
    <definedName name="BExIXM5R87ZL3FHALWZXYCPHGX3E" hidden="1">#REF!</definedName>
    <definedName name="BExIXS036ZCKT2Z8XZKLZ8PFWQGL" hidden="1">#REF!</definedName>
    <definedName name="BExIXXZW0PYHTHT1W328IKWMP5YG" hidden="1">#REF!</definedName>
    <definedName name="BExIXY5CF9PFM0P40AZ4U51TMWV0" hidden="1">#REF!</definedName>
    <definedName name="BExIYEXJBK8JDWIRSVV4RJSKZVV1" hidden="1">#REF!</definedName>
    <definedName name="BExIYI2RH0K4225XO970K2IQ1E79" hidden="1">#REF!</definedName>
    <definedName name="BExIYMPZ0KS2KOJFQAUQJ77L7701" hidden="1">#REF!</definedName>
    <definedName name="BExIYP9Q6FV9T0R9G3UDKLS4TTYX" hidden="1">#REF!</definedName>
    <definedName name="BExIYZGLDQ1TN7BIIN4RLDP31GIM" hidden="1">#REF!</definedName>
    <definedName name="BExIZ4K0EZJK6PW3L8SVKTJFSWW9" hidden="1">#REF!</definedName>
    <definedName name="BExIZAECOEZGBAO29QMV14E6XDIV" hidden="1">#REF!</definedName>
    <definedName name="BExIZKVXYD5O2JBU81F2UFJZLLSI" hidden="1">#REF!</definedName>
    <definedName name="BExIZPZDHC8HGER83WHCZAHOX7LK" hidden="1">#REF!</definedName>
    <definedName name="BExIZY2PUZ0OF9YKK1B13IW0VS6G" hidden="1">#REF!</definedName>
    <definedName name="BExJ08KBRR2XMWW3VZMPSQKXHZUH" hidden="1">#REF!</definedName>
    <definedName name="BExJ0DYJWXGE7DA39PYL3WM05U9O" hidden="1">#REF!</definedName>
    <definedName name="BExJ0MY8SY5J5V50H3UKE78ODTVB" hidden="1">#REF!</definedName>
    <definedName name="BExJ0YC98G37ML4N8FLP8D95EFRF" hidden="1">#REF!</definedName>
    <definedName name="BExKCDYKAEV45AFXHVHZZ62E5BM3" hidden="1">#REF!</definedName>
    <definedName name="BExKDKO0W4AGQO1V7K6Q4VM750FT" hidden="1">#REF!</definedName>
    <definedName name="BExKDLF10G7W77J87QWH3ZGLUCLW" hidden="1">#REF!</definedName>
    <definedName name="BExKEFE0I3MT6ZLC4T1L9465HKTN" hidden="1">#REF!</definedName>
    <definedName name="BExKEK6O5BVJP4VY02FY7JNAZ6BT" hidden="1">#REF!</definedName>
    <definedName name="BExKEKXK6E6QX339ELPXDIRZSJE0" hidden="1">#REF!</definedName>
    <definedName name="BExKEOOIBMP7N8033EY2CJYCBX6H" hidden="1">#REF!</definedName>
    <definedName name="BExKEW0RR5LA3VC46A2BEOOMQE56" hidden="1">#REF!</definedName>
    <definedName name="BExKFA3VI1CZK21SM0N3LZWT9LA1" hidden="1">#REF!</definedName>
    <definedName name="BExKFINBFV5J2NFRCL4YUO3YF0ZE" hidden="1">#REF!</definedName>
    <definedName name="BExKFISRBFACTAMJSALEYMY66F6X" hidden="1">#REF!</definedName>
    <definedName name="BExKFOSK5DJ151C4E8544UWMYTOC" hidden="1">#REF!</definedName>
    <definedName name="BExKFPOX1MRKTMQSTWCYCCTFZGAQ" hidden="1">#REF!</definedName>
    <definedName name="BExKFYJC4EVEV54F82K6VKP7Q3OU" hidden="1">#REF!</definedName>
    <definedName name="BExKG4IYHBKQQ8J8FN10GB2IKO33" hidden="1">#REF!</definedName>
    <definedName name="BExKGF0L44S78D33WMQ1A75TRKB9" hidden="1">#REF!</definedName>
    <definedName name="BExKGFRN31B3G20LMQ4LRF879J68" hidden="1">#REF!</definedName>
    <definedName name="BExKGJD3U3ADZILP20U3EURP0UQP" hidden="1">#REF!</definedName>
    <definedName name="BExKGNK5YGKP0YHHTAAOV17Z9EIM" hidden="1">#REF!</definedName>
    <definedName name="BExKGV77YH9YXIQTRKK2331QGYKF" hidden="1">#REF!</definedName>
    <definedName name="BExKH3FTZ5VGTB86W9M4AB39R0G8" hidden="1">#REF!</definedName>
    <definedName name="BExKH3FV5U5O6XZM7STS3NZKQFGJ" hidden="1">#REF!</definedName>
    <definedName name="BExKHAMUH8NR3HRV0V6FHJE3ROLN" hidden="1">#REF!</definedName>
    <definedName name="BExKHCFKOWFHO2WW0N7Y5XDXEWAO" hidden="1">#REF!</definedName>
    <definedName name="BExKHIVLONZ46HLMR50DEXKEUNEP" hidden="1">#REF!</definedName>
    <definedName name="BExKHKDK2PRBCUJS8TEDP8K3VODQ" hidden="1">#REF!</definedName>
    <definedName name="BExKHPM9XA0ADDK7TUR0N38EXWEP" hidden="1">#REF!</definedName>
    <definedName name="BExKI4076KXCDE5KXL79KT36OKLO" hidden="1">#REF!</definedName>
    <definedName name="BExKI7LO70WYISR7Q0Y1ZDWO9M3B" hidden="1">#REF!</definedName>
    <definedName name="BExKIGQV6TXIZG039HBOJU62WP2U" hidden="1">#REF!</definedName>
    <definedName name="BExKILE008SF3KTAN8WML3XKI1NZ" hidden="1">#REF!</definedName>
    <definedName name="BExKINSBB6RS7I489QHMCOMU4Z2X" hidden="1">#REF!</definedName>
    <definedName name="BExKIS4OQKBSOTJBZ2K299DVIRTF" hidden="1">#REF!</definedName>
    <definedName name="BExKIU87ZKSOC2DYZWFK6SAK9I8E" hidden="1">#REF!</definedName>
    <definedName name="BExKJ449HLYX2DJ9UF0H9GTPSQ73" hidden="1">#REF!</definedName>
    <definedName name="BExKJ7PQWK9ICKH746K58F7HNQ0Z" hidden="1">#REF!</definedName>
    <definedName name="BExKJELX2RUC8UEC56IZPYYZXHA7" hidden="1">#REF!</definedName>
    <definedName name="BExKJINMXS61G2TZEXCJAWVV4F57" hidden="1">#REF!</definedName>
    <definedName name="BExKJK5ME8KB7HA0180L7OUZDDGV" hidden="1">#REF!</definedName>
    <definedName name="BExKJN5IF0VMDILJ5K8ZENF2QYV1" hidden="1">#REF!</definedName>
    <definedName name="BExKJUSJPFUIK20FTVAFJWR2OUYX" hidden="1">#REF!</definedName>
    <definedName name="BExKK8VP5RS3D0UXZVKA37C4SYBP" hidden="1">#REF!</definedName>
    <definedName name="BExKKIM9NPF6B3SPMPIQB27HQME4" hidden="1">#REF!</definedName>
    <definedName name="BExKKIX1BCBQ4R3K41QD8NTV0OV0" hidden="1">#REF!</definedName>
    <definedName name="BExKKQ3ZWADYV03YHMXDOAMU90EB" hidden="1">#REF!</definedName>
    <definedName name="BExKKUGD2HMJWQEYZ8H3X1BMXFS9" hidden="1">#REF!</definedName>
    <definedName name="BExKKX05KCZZZPKOR1NE5A8RGVT4" hidden="1">#REF!</definedName>
    <definedName name="BExKLD6S9L66QYREYHBE5J44OK7X" hidden="1">#REF!</definedName>
    <definedName name="BExKLEZK32L28GYJWVO63BZ5E1JD" hidden="1">#REF!</definedName>
    <definedName name="BExKLLKVVHT06LA55JB2FC871DC5" hidden="1">#REF!</definedName>
    <definedName name="BExKMWBX4EH3EYJ07UFEM08NB40Z" hidden="1">#REF!</definedName>
    <definedName name="BExKNBGV2IR3S7M0BX4810KZB4V3" hidden="1">#REF!</definedName>
    <definedName name="BExKNCTBZTSY3MO42VU5PLV6YUHZ" hidden="1">#REF!</definedName>
    <definedName name="BExKNGEUJYLNG9KZ50JFLBJ5JBAS" hidden="1">#REF!</definedName>
    <definedName name="BExKNGV2YY749C42AQ2T9QNIE5C3" hidden="1">#REF!</definedName>
    <definedName name="BExKNV8UOHVWEHDJWI2WMJ9X6QHZ" hidden="1">#REF!</definedName>
    <definedName name="BExKNZLD7UATC1MYRNJD8H2NH4KU" hidden="1">#REF!</definedName>
    <definedName name="BExKNZQUKQQG2Y97R74G4O4BJP1L" hidden="1">#REF!</definedName>
    <definedName name="BExKO06X0EAD3ABEG1E8PWLDWHBA" hidden="1">#REF!</definedName>
    <definedName name="BExKO2AHHSGNI1AZOIOW21KPXKPE" hidden="1">#REF!</definedName>
    <definedName name="BExKO2FXWJWC5IZLDN8JHYILQJ2N" hidden="1">#REF!</definedName>
    <definedName name="BExKO438WZ8FKOU00NURGFMOYXWN" hidden="1">#REF!</definedName>
    <definedName name="BExKODIZGWW2EQD0FEYW6WK6XLCM" hidden="1">#REF!</definedName>
    <definedName name="BExKOPO2HPWVQGAKW8LOZMPIDEFG" hidden="1">#REF!</definedName>
    <definedName name="BExKPEZP0QTKOTLIMMIFSVTHQEEK" hidden="1">#REF!</definedName>
    <definedName name="BExKPLQJX0HJ8OTXBXH9IC9J2V0W" hidden="1">#REF!</definedName>
    <definedName name="BExKPN8C7GN36ZJZHLOB74LU6KT0" hidden="1">#REF!</definedName>
    <definedName name="BExKPX9VZ1J5021Q98K60HMPJU58" hidden="1">#REF!</definedName>
    <definedName name="BExKQJGAAWNM3NT19E9I0CQDBTU0" hidden="1">#REF!</definedName>
    <definedName name="BExKQM5GJ1ZN5REKFE7YVBQ0KXWF" hidden="1">#REF!</definedName>
    <definedName name="BExKQOEA7HV9U5DH9C8JXFD62EKH" hidden="1">#REF!</definedName>
    <definedName name="BExKQQ71278061G7ZFYGPWOMOMY2" hidden="1">#REF!</definedName>
    <definedName name="BExKQTXRG3ECU8NT47UR7643LO5G" hidden="1">#REF!</definedName>
    <definedName name="BExKQVL7HPOIZ4FHANDFMVOJLEPR" hidden="1">#REF!</definedName>
    <definedName name="BExKR32XG1WY77WDT8KW9FJPGQTU" hidden="1">#REF!</definedName>
    <definedName name="BExKR8RZSEHW184G0Z56B4EGNU72" hidden="1">#REF!</definedName>
    <definedName name="BExKRVUSQ6PA7ZYQSTEQL3X7PB9P" hidden="1">#REF!</definedName>
    <definedName name="BExKRY3KZ7F7RB2KH8HXSQ85IEQO" hidden="1">#REF!</definedName>
    <definedName name="BExKSA37DZTCK6H13HPIKR0ZFVL8" hidden="1">#REF!</definedName>
    <definedName name="BExKSFMOMSZYDE0WNC94F40S6636" hidden="1">#REF!</definedName>
    <definedName name="BExKSHQ9K79S8KYUWIV5M5LAHHF1" hidden="1">#REF!</definedName>
    <definedName name="BExKSIS3VA1NCEFCZZSIK8B3YIBZ" hidden="1">#REF!</definedName>
    <definedName name="BExKSJTWG9L3FCX8FLK4EMUJMF27" hidden="1">#REF!</definedName>
    <definedName name="BExKSU0MKNAVZYYPKCYTZDWQX4R8" hidden="1">#REF!</definedName>
    <definedName name="BExKSX60G1MUS689FXIGYP2F7C62" hidden="1">#REF!</definedName>
    <definedName name="BExKT2UZ7Y2VWF5NQE18SJRLD2RN" hidden="1">#REF!</definedName>
    <definedName name="BExKT3GJFNGAM09H5F615E36A38C" hidden="1">#REF!</definedName>
    <definedName name="BExKTQZGN8GI3XGSEXMPCCA3S19H" hidden="1">#REF!</definedName>
    <definedName name="BExKTUKYYU0F6TUW1RXV24LRAZFE" hidden="1">#REF!</definedName>
    <definedName name="BExKU3FBLHQBIUTN6XEZW5GC9OG1" hidden="1">#REF!</definedName>
    <definedName name="BExKU82I99FEUIZLODXJDOJC96CQ" hidden="1">#REF!</definedName>
    <definedName name="BExKUDM0DFSCM3D91SH0XLXJSL18" hidden="1">#REF!</definedName>
    <definedName name="BExKULEKJLA77AUQPDUHSM94Y76Z" hidden="1">#REF!</definedName>
    <definedName name="BExKV08R85MKI3MAX9E2HERNQUNL" hidden="1">#REF!</definedName>
    <definedName name="BExKV4AAUNNJL5JWD7PX6BFKVS6O" hidden="1">#REF!</definedName>
    <definedName name="BExKVDVK6HN74GQPTXICP9BFC8CF" hidden="1">#REF!</definedName>
    <definedName name="BExKVFZ3ZZGIC1QI8XN6BYFWN0ZY" hidden="1">#REF!</definedName>
    <definedName name="BExKVG4KGO28KPGTAFL1R8TTZ10N" hidden="1">#REF!</definedName>
    <definedName name="BExKW0CSH7DA02YSNV64PSEIXB2P" hidden="1">#REF!</definedName>
    <definedName name="BExM9NUG3Q31X01AI9ZJCZIX25CS" hidden="1">#REF!</definedName>
    <definedName name="BExM9OG182RP30MY23PG49LVPZ1C" hidden="1">#REF!</definedName>
    <definedName name="BExMA64MW1S18NH8DCKPCCEI5KCB" hidden="1">#REF!</definedName>
    <definedName name="BExMALEWFUEM8Y686IT03ECURUBR" hidden="1">#REF!</definedName>
    <definedName name="BExMAR3XSK6RSFLHP7ZX1EWGHASI" hidden="1">#REF!</definedName>
    <definedName name="BExMAXJS82ZJ8RS22VLE0V0LDUII" hidden="1">#REF!</definedName>
    <definedName name="BExMB4QRS0R3MTB4CMUHFZ84LNZQ" hidden="1">#REF!</definedName>
    <definedName name="BExMBC35WKQY5CWQJLV4D05O6971" hidden="1">#REF!</definedName>
    <definedName name="BExMBFTZV4Q1A5KG25C1N9PHQNSW" hidden="1">#REF!</definedName>
    <definedName name="BExMBK6ISK3U7KHZKUJXIDKGF6VW" hidden="1">#REF!</definedName>
    <definedName name="BExMBYPQDG9AYDQ5E8IECVFREPO6" hidden="1">#REF!</definedName>
    <definedName name="BExMC8AZUTX8LG89K2JJR7ZG62XX" hidden="1">#REF!</definedName>
    <definedName name="BExMCA96YR10V72G2R0SCIKPZLIZ" hidden="1">#REF!</definedName>
    <definedName name="BExMCB5JU5I2VQDUBS4O42BTEVKI" hidden="1">#REF!</definedName>
    <definedName name="BExMCFSQFSEMPY5IXDIRKZDASDBR" hidden="1">#REF!</definedName>
    <definedName name="BExMCMZOEYWVOOJ98TBHTTCS7XB8" hidden="1">#REF!</definedName>
    <definedName name="BExMCS8EF2W3FS9QADNKREYSI8P0" hidden="1">#REF!</definedName>
    <definedName name="BExMCUS7GSOM96J0HJ7EH0FFM2AC" hidden="1">#REF!</definedName>
    <definedName name="BExMCYTT6TVDWMJXO1NZANRTVNAN" hidden="1">#REF!</definedName>
    <definedName name="BExMD5F6IAV108XYJLXUO9HD0IT6" hidden="1">#REF!</definedName>
    <definedName name="BExMDANV66W9T3XAXID40XFJ0J93" hidden="1">#REF!</definedName>
    <definedName name="BExMDGD1KQP7NNR78X2ZX4FCBQ1S" hidden="1">#REF!</definedName>
    <definedName name="BExMDIRDK0DI8P86HB7WPH8QWLSQ" hidden="1">#REF!</definedName>
    <definedName name="BExMDPI2FVMORSWDDCVAJ85WYAYO" hidden="1">#REF!</definedName>
    <definedName name="BExMDUWB7VWHFFR266QXO46BNV2S" hidden="1">#REF!</definedName>
    <definedName name="BExME2U47N8LZG0BPJ49ANY5QVV2" hidden="1">#REF!</definedName>
    <definedName name="BExME88DH5DUKMUFI9FNVECXFD2E" hidden="1">#REF!</definedName>
    <definedName name="BExME9A7MOGAK7YTTQYXP5DL6VYA" hidden="1">#REF!</definedName>
    <definedName name="BExMEOV9YFRY5C3GDLU60GIX10BY" hidden="1">#REF!</definedName>
    <definedName name="BExMEY09ESM4H2YGKEQQRYUD114R" hidden="1">#REF!</definedName>
    <definedName name="BExMF4G4IUPQY1Y5GEY5N3E04CL6" hidden="1">#REF!</definedName>
    <definedName name="BExMF9UIGYMOAQK0ELUWP0S0HZZY" hidden="1">#REF!</definedName>
    <definedName name="BExMFDLBSWFMRDYJ2DZETI3EXKN2" hidden="1">#REF!</definedName>
    <definedName name="BExMFLDTMRTCHKA37LQW67BG8D5C" hidden="1">#REF!</definedName>
    <definedName name="BExMG9NSK30KD01QX0UBN2VNRTG4" hidden="1">#REF!</definedName>
    <definedName name="BExMGG3PFIHPHX7NXB7HDFI3N12L" hidden="1">#REF!</definedName>
    <definedName name="BExMH3H9TW5TJCNU5Z1EWXP3BAEP" hidden="1">#REF!</definedName>
    <definedName name="BExMH8KQR80A2GJTLN4VOYUOC0ZW" hidden="1">#REF!</definedName>
    <definedName name="BExMHOWPB34KPZ76M2KIX2C9R2VB" hidden="1">#REF!</definedName>
    <definedName name="BExMHSSYC6KVHA3QDTSYPN92TWMI" hidden="1">#REF!</definedName>
    <definedName name="BExMHZ8UY0FH4VW9HVIJTNF7OAY6" hidden="1">#REF!</definedName>
    <definedName name="BExMI0WA793SF41LQ40A28U8OXQY" hidden="1">#REF!</definedName>
    <definedName name="BExMI3AJ9477KDL4T9DHET4LJJTW" hidden="1">#REF!</definedName>
    <definedName name="BExMI6L8TLT3HE32C9T2SBUSKCJS" hidden="1">#REF!</definedName>
    <definedName name="BExMI6L9KX05GAK523JFKICJMTA5" hidden="1">#REF!</definedName>
    <definedName name="BExMI6QQ20XHD0NWJUN741B37182" hidden="1">#REF!</definedName>
    <definedName name="BExMI8JB94SBD9EMNJEK7Y2T6GYU" hidden="1">#REF!</definedName>
    <definedName name="BExMI8JBFQWOU3T0YYIPK6Z9G7UG" hidden="1">#REF!</definedName>
    <definedName name="BExMI8OS85YTW3KYVE4YD0R7Z6UV" hidden="1">#REF!</definedName>
    <definedName name="BExMIBOOZU40JS3F89OMPSRCE9MM" hidden="1">#REF!</definedName>
    <definedName name="BExMIIQ5MBWSIHTFWAQADXMZC22Q" hidden="1">#REF!</definedName>
    <definedName name="BExMIL4I2GE866I25CR5JBLJWJ6A" hidden="1">#REF!</definedName>
    <definedName name="BExMIRKIPF27SNO82SPFSB3T5U17" hidden="1">#REF!</definedName>
    <definedName name="BExMIV0KC8555D5E42ZGWG15Y0MO" hidden="1">#REF!</definedName>
    <definedName name="BExMIZT6AN7E6YMW2S87CTCN2UXH" hidden="1">#REF!</definedName>
    <definedName name="BExMJ15T9F3475M0896SG60TN0SR" hidden="1">#REF!</definedName>
    <definedName name="BExMJNC8ZFB9DRFOJ961ZAJ8U3A8" hidden="1">#REF!</definedName>
    <definedName name="BExMJTBV8A3D31W2IQHP9RDFPPHQ" hidden="1">#REF!</definedName>
    <definedName name="BExMK2RTXN4QJWEUNX002XK8VQP8" hidden="1">#REF!</definedName>
    <definedName name="BExMKBGQDUZ8AWXYHA3QVMSDVZ3D" hidden="1">#REF!</definedName>
    <definedName name="BExMKBM1467553LDFZRRKVSHN374" hidden="1">#REF!</definedName>
    <definedName name="BExMKGK5FJUC0AU8MABRGDC5ZM70" hidden="1">#REF!</definedName>
    <definedName name="BExMKTW7R5SOV4PHAFGHU3W73DYE" hidden="1">#REF!</definedName>
    <definedName name="BExMKU7051J2W1RQXGZGE62NBRUZ" hidden="1">#REF!</definedName>
    <definedName name="BExMKUN3WPECJR2XRID2R7GZRGNX" hidden="1">#REF!</definedName>
    <definedName name="BExMKZ535P011X4TNV16GCOH4H21" hidden="1">#REF!</definedName>
    <definedName name="BExML3XQNDIMX55ZCHHXKUV3D6E6" hidden="1">#REF!</definedName>
    <definedName name="BExML5QGSWHLI18BGY4CGOTD3UWH" hidden="1">#REF!</definedName>
    <definedName name="BExMLO5Z61RE85X8HHX2G4IU3AZW" hidden="1">#REF!</definedName>
    <definedName name="BExMLVI7UORSHM9FMO8S2EI0TMTS" hidden="1">#REF!</definedName>
    <definedName name="BExMLWK1X8B2X46UQMAFINPPK4EO" hidden="1">#REF!</definedName>
    <definedName name="BExMM5UCOT2HSSN0ZIPZW55GSOVO" hidden="1">#REF!</definedName>
    <definedName name="BExMM8ZRS5RQ8H1H55RVPVTDL5NL" hidden="1">#REF!</definedName>
    <definedName name="BExMMH8EAZB09XXQ5X4LR0P4NHG9" hidden="1">#REF!</definedName>
    <definedName name="BExMMIQH5BABNZVCIQ7TBCQ10AY5" hidden="1">#REF!</definedName>
    <definedName name="BExMMNIZ2T7M22WECMUQXEF4NJ71" hidden="1">#REF!</definedName>
    <definedName name="BExMMPMIOU7BURTV0L1K6ACW9X73" hidden="1">#REF!</definedName>
    <definedName name="BExMMQ835AJDHS4B419SS645P67Q" hidden="1">#REF!</definedName>
    <definedName name="BExMMQIUVPCOBISTEJJYNCCLUCPY" hidden="1">#REF!</definedName>
    <definedName name="BExMMTIXETA5VAKBSOFDD5SRU887" hidden="1">#REF!</definedName>
    <definedName name="BExMMV0P6P5YS3C35G0JYYHI7992" hidden="1">#REF!</definedName>
    <definedName name="BExMNDR4V2VG5RFZDGTAGD3Q9PPG" hidden="1">#REF!</definedName>
    <definedName name="BExMNJLFWZBRN9PZF1IO9CYWV1B2" hidden="1">#REF!</definedName>
    <definedName name="BExMNKCJ0FA57YEUUAJE43U1QN5P" hidden="1">#REF!</definedName>
    <definedName name="BExMNKN5D1WEF2OOJVP6LZ6DLU3Y" hidden="1">#REF!</definedName>
    <definedName name="BExMNR38HMPLWAJRQ9MMS3ZAZ9IU" hidden="1">#REF!</definedName>
    <definedName name="BExMNRDZULKJMVY2VKIIRM2M5A1M" hidden="1">#REF!</definedName>
    <definedName name="BExMO9IOWKTWHO8LQJJQI5P3INWY" hidden="1">#REF!</definedName>
    <definedName name="BExMOI29DOEK5R1A5QZPUDKF7N6T" hidden="1">#REF!</definedName>
    <definedName name="BExMOSUP21Y1AZOL1GVUV5AF4CTP" hidden="1">#REF!</definedName>
    <definedName name="BExMPAJ5AJAXGKGK3F6H3ODS6RF4" hidden="1">#REF!</definedName>
    <definedName name="BExMPD2X55FFBVJ6CBUKNPROIOEU" hidden="1">#REF!</definedName>
    <definedName name="BExMPGZ848E38FUH1JBQN97DGWAT" hidden="1">#REF!</definedName>
    <definedName name="BExMPMO6VA2UVXFDZEA6FT3RESSC" hidden="1">#REF!</definedName>
    <definedName name="BExMPMTICOSMQENOFKQ18K0ZT4S8" hidden="1">#REF!</definedName>
    <definedName name="BExMPMZ07II0R4KGWQQ7PGS3RZS4" hidden="1">#REF!</definedName>
    <definedName name="BExMPOBH04JMDO6Z8DMSEJZM4ANN" hidden="1">#REF!</definedName>
    <definedName name="BExMPSD77XQ3HA6A4FZOJK8G2JP3" hidden="1">#REF!</definedName>
    <definedName name="BExMQ4I3Q7F0BMPHSFMFW9TZ87UD" hidden="1">#REF!</definedName>
    <definedName name="BExMQ4SWDWI4N16AZ0T5CJ6HH8WC" hidden="1">#REF!</definedName>
    <definedName name="BExMQ4SX57PDG0GBORV9Y3C2VF2O" hidden="1">#REF!</definedName>
    <definedName name="BExMQ71WHW50GVX45JU951AGPLFQ" hidden="1">#REF!</definedName>
    <definedName name="BExMQGXSLPT4A6N47LE6FBVHWBOF" hidden="1">#REF!</definedName>
    <definedName name="BExMQSBR7PL4KLB1Q4961QO45Y4G" hidden="1">#REF!</definedName>
    <definedName name="BExMR1MA4I1X77714ZEPUVC8W398" hidden="1">#REF!</definedName>
    <definedName name="BExMR8YQHA7N77HGHY4Y6R30I3XT" hidden="1">#REF!</definedName>
    <definedName name="BExMRENOIARWRYOIVPDIEBVNRDO7" hidden="1">#REF!</definedName>
    <definedName name="BExMRQHUEHGF2FS4LCB0THFELGDI" hidden="1">#REF!</definedName>
    <definedName name="BExMRRJNUMGRSDD5GGKKGEIZ6FTS" hidden="1">#REF!</definedName>
    <definedName name="BExMRU3ACIU0RD2BNWO55LH5U2BR" hidden="1">#REF!</definedName>
    <definedName name="BExMSQRCC40AP8BDUPL2I2DNC210" hidden="1">#REF!</definedName>
    <definedName name="BExO4J9LR712G00TVA82VNTG8O7H" hidden="1">#REF!</definedName>
    <definedName name="BExO55G2KVZ7MIJ30N827CLH0I2A" hidden="1">#REF!</definedName>
    <definedName name="BExO5A8PZD9EUHC5CMPU6N3SQ15L" hidden="1">#REF!</definedName>
    <definedName name="BExO5XMAHL7CY3X0B1OPKZ28DCJ5" hidden="1">#REF!</definedName>
    <definedName name="BExO66LZJKY4PTQVREELI6POS4AY" hidden="1">#REF!</definedName>
    <definedName name="BExO6LLHCYTF7CIVHKAO0NMET14Q" hidden="1">#REF!</definedName>
    <definedName name="BExO7OUQS3XTUQ2LDKGQ8AAQ3OJJ" hidden="1">#REF!</definedName>
    <definedName name="BExO7RUSODZC2NQZMT2AFSMV2ONF" hidden="1">#REF!</definedName>
    <definedName name="BExO856VOQYI920F77EBU9HX4MN0" hidden="1">#REF!</definedName>
    <definedName name="BExO85HMYXZJ7SONWBKKIAXMCI3C" hidden="1">#REF!</definedName>
    <definedName name="BExO863922O4PBGQMUNEQKGN3K96" hidden="1">#REF!</definedName>
    <definedName name="BExO89ZIOXN0HOKHY24F7HDZ87UT" hidden="1">#REF!</definedName>
    <definedName name="BExO8CDTBCABLEUD6PE2UM2EZ6C4" hidden="1">#REF!</definedName>
    <definedName name="BExO8IZ05ZG0XVOL3W41KBQE176A" hidden="1">#REF!</definedName>
    <definedName name="BExO8UTAGQWDBQZEEF4HUNMLQCVU" hidden="1">#REF!</definedName>
    <definedName name="BExO937E20IHMGQOZMECL3VZC7OX" hidden="1">#REF!</definedName>
    <definedName name="BExO94UTJKQQ7TJTTJRTSR70YVJC" hidden="1">#REF!</definedName>
    <definedName name="BExO9J3A438976RXIUX5U9SU5T55" hidden="1">#REF!</definedName>
    <definedName name="BExO9RS5RXFJ1911HL3CCK6M74EP" hidden="1">#REF!</definedName>
    <definedName name="BExO9SDRI1M6KMHXSG3AE5L0F2U3" hidden="1">#REF!</definedName>
    <definedName name="BExO9V2U2YXAY904GYYGU6TD8Y7M" hidden="1">#REF!</definedName>
    <definedName name="BExOAQ3GKCT7YZW1EMVU3EILSZL2" hidden="1">#REF!</definedName>
    <definedName name="BExOB9KT2THGV4SPLDVFTFXS4B14" hidden="1">#REF!</definedName>
    <definedName name="BExOBEZ0IE2WBEYY3D3CMRI72N1K" hidden="1">#REF!</definedName>
    <definedName name="BExOBIPU8760ITY0C8N27XZ3KWEF" hidden="1">#REF!</definedName>
    <definedName name="BExOBM0I5L0MZ1G4H9MGMD87SBMZ" hidden="1">#REF!</definedName>
    <definedName name="BExOBOUXMP88KJY2BX2JLUJH5N0K" hidden="1">#REF!</definedName>
    <definedName name="BExOBP0FKQ4SVR59FB48UNLKCOR6" hidden="1">#REF!</definedName>
    <definedName name="BExOBYAVUCQ0IGM0Y6A75QHP0Q1A" hidden="1">#REF!</definedName>
    <definedName name="BExOC3UEHB1CZNINSQHZANWJYKR8" hidden="1">#REF!</definedName>
    <definedName name="BExOCBSF3XGO9YJ23LX2H78VOUR7" hidden="1">#REF!</definedName>
    <definedName name="BExOCKXFMOW6WPFEVX1I7R7FNDSS" hidden="1">#REF!</definedName>
    <definedName name="BExOCYEXOB95DH5NOB0M5NOYX398" hidden="1">#REF!</definedName>
    <definedName name="BExOD4ERMDMFD8X1016N4EXOUR0S" hidden="1">#REF!</definedName>
    <definedName name="BExOD55RS7BQUHRQ6H3USVGKR0P7" hidden="1">#REF!</definedName>
    <definedName name="BExODEWDDEABM4ZY3XREJIBZ8IVP" hidden="1">#REF!</definedName>
    <definedName name="BExODNLAA1L7WQ9ZQX6A1ZOXK9VR" hidden="1">#REF!</definedName>
    <definedName name="BExODZFEIWV26E8RFU7XQYX1J458" hidden="1">#REF!</definedName>
    <definedName name="BExOEBKG55EROA2VL360A06LKASE" hidden="1">#REF!</definedName>
    <definedName name="BExOERG5LWXYYEN1DY1H2FWRJS9T" hidden="1">#REF!</definedName>
    <definedName name="BExOEV1S6JJVO5PP4BZ20SNGZR7D" hidden="1">#REF!</definedName>
    <definedName name="BExOFEDNCYI2TPTMQ8SJN3AW4YMF" hidden="1">#REF!</definedName>
    <definedName name="BExOFVLXVD6RVHSQO8KZOOACSV24" hidden="1">#REF!</definedName>
    <definedName name="BExOG2SW3XOGP9VAPQ3THV3VWV12" hidden="1">#REF!</definedName>
    <definedName name="BExOG45J81K4OPA40KW5VQU54KY3" hidden="1">#REF!</definedName>
    <definedName name="BExOGFE2SCL8HHT4DFAXKLUTJZOG" hidden="1">#REF!</definedName>
    <definedName name="BExOGT6D0LJ3C22RDW8COECKB1J5" hidden="1">#REF!</definedName>
    <definedName name="BExOGTMI1HT31M1RGWVRAVHAK7DE" hidden="1">#REF!</definedName>
    <definedName name="BExOGUIVY8J7XE4ZJ5SET9WS1IK3" hidden="1">#REF!</definedName>
    <definedName name="BExOGXO9JE5XSE9GC3I6O21UEKAO" hidden="1">#REF!</definedName>
    <definedName name="BExOH9ICZ13C1LAW8OTYTR9S7ZP3" hidden="1">#REF!</definedName>
    <definedName name="BExOHL75H3OT4WAKKPUXIVXWFVDS" hidden="1">#REF!</definedName>
    <definedName name="BExOHLHXXJL6363CC082M9M5VVXQ" hidden="1">#REF!</definedName>
    <definedName name="BExOHNAO5UDXSO73BK2ARHWKS90Y" hidden="1">#REF!</definedName>
    <definedName name="BExOHR1G1I9A9CI1HG94EWBLWNM2" hidden="1">#REF!</definedName>
    <definedName name="BExOHTQPP8LQ98L6PYUI6QW08YID" hidden="1">#REF!</definedName>
    <definedName name="BExOHX6Q6NJI793PGX59O5EKTP4G" hidden="1">#REF!</definedName>
    <definedName name="BExOI5VMTHH7Y8MQQ1N635CHYI0P" hidden="1">#REF!</definedName>
    <definedName name="BExOIEVCP4Y6VDS23AK84MCYYHRT" hidden="1">#REF!</definedName>
    <definedName name="BExOIHPQIXR0NDR5WD01BZKPKEO3" hidden="1">#REF!</definedName>
    <definedName name="BExOIM7L0Z3LSII9P7ZTV4KJ8RMA" hidden="1">#REF!</definedName>
    <definedName name="BExOIWJVMJ6MG6JC4SPD1L00OHU1" hidden="1">#REF!</definedName>
    <definedName name="BExOIYCN8Z4JK3OOG86KYUCV0ME8" hidden="1">#REF!</definedName>
    <definedName name="BExOJ3AKZ9BCBZT3KD8WMSLK6MN2" hidden="1">#REF!</definedName>
    <definedName name="BExOJ7XQK71I4YZDD29AKOOWZ47E" hidden="1">#REF!</definedName>
    <definedName name="BExOJM0W6XGSW5MXPTTX0GNF6SFT" hidden="1">#REF!</definedName>
    <definedName name="BExOJXEUJJ9SYRJXKYYV2NCCDT2R" hidden="1">#REF!</definedName>
    <definedName name="BExOK0EQYM9JUMAGWOUN7QDH7VMZ" hidden="1">#REF!</definedName>
    <definedName name="BExOK4WM9O7QNG6O57FOASI5QSN1" hidden="1">#REF!</definedName>
    <definedName name="BExOK6UU66L6RCLWN8ZS263TS1N1" hidden="1">#REF!</definedName>
    <definedName name="BExOKKHOPWUVRJGQJ5ONR2U40JX8" hidden="1">#REF!</definedName>
    <definedName name="BExOKTXMJP351VXKH8VT6SXUNIMF" hidden="1">#REF!</definedName>
    <definedName name="BExOKU8GMLOCNVORDE329819XN67" hidden="1">#REF!</definedName>
    <definedName name="BExOL0Z3Z7IAMHPB91EO2MF49U57" hidden="1">#REF!</definedName>
    <definedName name="BExOL26AG0OE1FGQ4FBLYFDVVXV8" hidden="1">#REF!</definedName>
    <definedName name="BExOL7KH12VAR0LG741SIOJTLWFD" hidden="1">#REF!</definedName>
    <definedName name="BExOLICXFHJLILCJVFMJE5MGGWKR" hidden="1">#REF!</definedName>
    <definedName name="BExOLOI0WJS3QC12I3ISL0D9AWOF" hidden="1">#REF!</definedName>
    <definedName name="BExOLYZNG5RBD0BTS1OEZJNU92Q5" hidden="1">#REF!</definedName>
    <definedName name="BExOM3HIJ3UZPOKJI68KPBJAHPDC" hidden="1">#REF!</definedName>
    <definedName name="BExOMKPURE33YQ3K1JG9NVQD4W49" hidden="1">#REF!</definedName>
    <definedName name="BExOMP7NGCLUNFK50QD2LPKRG078" hidden="1">#REF!</definedName>
    <definedName name="BExOMU0A6XMY48SZRYL4WQZD13BI" hidden="1">#REF!</definedName>
    <definedName name="BExOMVT0HSNC59DJP4CLISASGHKL" hidden="1">#REF!</definedName>
    <definedName name="BExON0AX35F2SI0UCVMGWGVIUNI3" hidden="1">#REF!</definedName>
    <definedName name="BExON41U4296DV3DPG6I5EF3OEYF" hidden="1">#REF!</definedName>
    <definedName name="BExONB3A7CO4YD8RB41PHC93BQ9M" hidden="1">#REF!</definedName>
    <definedName name="BExONFQH6UUXF8V0GI4BRIST9RFO" hidden="1">#REF!</definedName>
    <definedName name="BExONIL31DZWU7IFVN3VV0XTXJA1" hidden="1">#REF!</definedName>
    <definedName name="BExONJ1BU17R0F5A2UP1UGJBOGKS" hidden="1">#REF!</definedName>
    <definedName name="BExONNZ9VMHVX3J6NLNJY7KZA61O" hidden="1">#REF!</definedName>
    <definedName name="BExONRQ1BAA4F3TXP2MYQ4YCZ09S" hidden="1">#REF!</definedName>
    <definedName name="BExOO1WWIZSGB0YTGKESB45TSVMZ" hidden="1">#REF!</definedName>
    <definedName name="BExOO4B8FPAFYPHCTYTX37P1TQM5" hidden="1">#REF!</definedName>
    <definedName name="BExOOIULUDOJRMYABWV5CCL906X6" hidden="1">#REF!</definedName>
    <definedName name="BExOOTN0KTXJCL7E476XBN1CJ553" hidden="1">#REF!</definedName>
    <definedName name="BExOP9DEBV5W5P4Q25J3XCJBP5S9" hidden="1">#REF!</definedName>
    <definedName name="BExOPFNYRBL0BFM23LZBJTADNOE4" hidden="1">#REF!</definedName>
    <definedName name="BExOPINVFSIZMCVT9YGT2AODVCX3" hidden="1">#REF!</definedName>
    <definedName name="BExOQ1JN4SAC44RTMZIGHSW023WA" hidden="1">#REF!</definedName>
    <definedName name="BExOQ256YMF115DJL3KBPNKABJ90" hidden="1">#REF!</definedName>
    <definedName name="BExQ19DEUOLC11IW32E2AMVZLFF1" hidden="1">#REF!</definedName>
    <definedName name="BExQ1FD6KISGYU1JWEQ4G243ZPVD" hidden="1">#REF!</definedName>
    <definedName name="BExQ29C73XR33S3668YYSYZAIHTG" hidden="1">#REF!</definedName>
    <definedName name="BExQ2FS228IUDUP2023RA1D4AO4C" hidden="1">#REF!</definedName>
    <definedName name="BExQ2L0XYWLY9VPZWXYYFRIRQRJ1" hidden="1">#REF!</definedName>
    <definedName name="BExQ2M841F5Z1BQYR8DG5FKK0LIU" hidden="1">#REF!</definedName>
    <definedName name="BExQ300G8I8TK45A0MVHV15422EU" hidden="1">#REF!</definedName>
    <definedName name="BExQ39R28MXSG2SEV956F0KZ20AN" hidden="1">#REF!</definedName>
    <definedName name="BExQ3D1P3M5Z3HLMEZ17E0BLEE4U" hidden="1">#REF!</definedName>
    <definedName name="BExQ3GHWFAUIQRK1Y4RXJR0XNM0D" hidden="1">#REF!</definedName>
    <definedName name="BExQ3JHR8K79KORSZKMNFQA8IIYT" hidden="1">#REF!</definedName>
    <definedName name="BExQ3O4W7QF8BOXTUT4IOGF6YKUD" hidden="1">#REF!</definedName>
    <definedName name="BExQ3PXOWSN8561ZR8IEY8ZASI3B" hidden="1">#REF!</definedName>
    <definedName name="BExQ3TZF04IPY0B0UG9CQQ5736UA" hidden="1">#REF!</definedName>
    <definedName name="BExQ42IU9MNDYLODP41DL6YTZMAR" hidden="1">#REF!</definedName>
    <definedName name="BExQ452HF7N1HYPXJXQ8WD6SOWUV" hidden="1">#REF!</definedName>
    <definedName name="BExQ46KLGN8CRSVNINM883EVBQ5R" hidden="1">#REF!</definedName>
    <definedName name="BExQ499KBJ5W7A1G293A0K14EVQB" hidden="1">#REF!</definedName>
    <definedName name="BExQ4BTBSHPHVEDRCXC2ROW8PLFC" hidden="1">#REF!</definedName>
    <definedName name="BExQ4DGKF54SRKQUTUT4B1CZSS62" hidden="1">#REF!</definedName>
    <definedName name="BExQ4T74LQ5PYTV1MUQUW75A4BDY" hidden="1">#REF!</definedName>
    <definedName name="BExQ4XJHD7EJCNH7S1MJDZJ2MNWG" hidden="1">#REF!</definedName>
    <definedName name="BExQ5039ZCEWBUJHU682G4S89J03" hidden="1">#REF!</definedName>
    <definedName name="BExQ56Z9W6YHZHRXOFFI8EFA7CDI" hidden="1">#REF!</definedName>
    <definedName name="BExQ5KX3Z668H1KUCKZ9J24HUQ1F" hidden="1">#REF!</definedName>
    <definedName name="BExQ5NM6R507VZELG13Y429GS5SL" hidden="1">#REF!</definedName>
    <definedName name="BExQ5PPQOH3EDIKJWXS51IOL734X" hidden="1">#REF!</definedName>
    <definedName name="BExQ5SPMSOCJYLAY20NB5A6O32RE" hidden="1">#REF!</definedName>
    <definedName name="BExQ5UICMGTMK790KTLK49MAGXRC" hidden="1">#REF!</definedName>
    <definedName name="BExQ5VEQEIJO7YY80OJTA3XRQYJ9" hidden="1">#REF!</definedName>
    <definedName name="BExQ5YUUK9FD0QGTY4WD0W90O7OL" hidden="1">#REF!</definedName>
    <definedName name="BExQ63793YQ9BH7JLCNRIATIGTRG" hidden="1">#REF!</definedName>
    <definedName name="BExQ6CN1EF2UPZ57ZYMGK8TUJQSS" hidden="1">#REF!</definedName>
    <definedName name="BExQ6M2YXJ8AMRJF3QGHC40ADAHZ" hidden="1">#REF!</definedName>
    <definedName name="BExQ6M8B0X44N9TV56ATUVHGDI00" hidden="1">#REF!</definedName>
    <definedName name="BExQ6POH065GV0I74XXVD0VUPBJW" hidden="1">#REF!</definedName>
    <definedName name="BExQ6WV9KPSMXPPLGZ3KK4WNYTHU" hidden="1">#REF!</definedName>
    <definedName name="BExQ783XTMM2A9I3UKCFWJH1PP2N" hidden="1">#REF!</definedName>
    <definedName name="BExQ79LX01ZPQB8EGD1ZHR2VK2H3" hidden="1">#REF!</definedName>
    <definedName name="BExQ7B3V9MGDK2OIJ61XXFBFLJFZ" hidden="1">#REF!</definedName>
    <definedName name="BExQ7CB046NVPF9ZXDGA7OXOLSLX" hidden="1">#REF!</definedName>
    <definedName name="BExQ7IWDCGGOO1HTJ97YGO1CK3R9" hidden="1">#REF!</definedName>
    <definedName name="BExQ7JNFIEGS2HKNBALH3Q2N5G7Z" hidden="1">#REF!</definedName>
    <definedName name="BExQ7MY3U2Z1IZ71U5LJUD00VVB4" hidden="1">#REF!</definedName>
    <definedName name="BExQ7XL2Q1GVUFL1F9KK0K0EXMWG" hidden="1">#REF!</definedName>
    <definedName name="BExQ8469L3ZRZ3KYZPYMSJIDL7Y5" hidden="1">#REF!</definedName>
    <definedName name="BExQ84MJB94HL3BWRN50M4NCB6Z0" hidden="1">#REF!</definedName>
    <definedName name="BExQ8583ZE00NW7T9OF11OT9IA14" hidden="1">#REF!</definedName>
    <definedName name="BExQ8A0RPE3IMIFIZLUE7KD2N21W" hidden="1">#REF!</definedName>
    <definedName name="BExQ8ABK6H1ADV2R2OYT8NFFYG2N" hidden="1">#REF!</definedName>
    <definedName name="BExQ8DM90XJ6GCJIK9LC5O82I2TJ" hidden="1">#REF!</definedName>
    <definedName name="BExQ8G0K46ZORA0QVQTDI7Z8LXGF" hidden="1">#REF!</definedName>
    <definedName name="BExQ8O3WEU8HNTTGKTW5T0QSKCLP" hidden="1">#REF!</definedName>
    <definedName name="BExQ8ZCEDBOBJA3D9LDP5TU2WYGR" hidden="1">#REF!</definedName>
    <definedName name="BExQ94LAW6MAQBWY25WTBFV5PPZJ" hidden="1">#REF!</definedName>
    <definedName name="BExQ97QIPOSSRK978N8P234Y1XA4" hidden="1">#REF!</definedName>
    <definedName name="BExQ9E6FBAXTHGF3RXANFIA77GXP" hidden="1">#REF!</definedName>
    <definedName name="BExQ9F2YH4UUCCMQITJ475B3S3NP" hidden="1">#REF!</definedName>
    <definedName name="BExQ9KX9734KIAK7IMRLHCPYDHO2" hidden="1">#REF!</definedName>
    <definedName name="BExQ9L81FF4I7816VTPFBDWVU4CW" hidden="1">#REF!</definedName>
    <definedName name="BExQ9M4E2ACZOWWWP1JJIQO8AHUM" hidden="1">#REF!</definedName>
    <definedName name="BExQ9UTANMJCK7LJ4OQMD6F2Q01L" hidden="1">#REF!</definedName>
    <definedName name="BExQ9ZLYHWABXAA9NJDW8ZS0UQ9P" hidden="1">#REF!</definedName>
    <definedName name="BExQA324HSCK40ENJUT9CS9EC71B" hidden="1">#REF!</definedName>
    <definedName name="BExQA55GY0STSNBWQCWN8E31ZXCS" hidden="1">#REF!</definedName>
    <definedName name="BExQA9HZIN9XEMHEEVHT99UU9Z82" hidden="1">#REF!</definedName>
    <definedName name="BExQAELFYH92K8CJL155181UDORO" hidden="1">#REF!</definedName>
    <definedName name="BExQAG8PP8R5NJKNQD1U4QOSD6X5" hidden="1">#REF!</definedName>
    <definedName name="BExQBDICMZTSA1X73TMHNO4JSFLN" hidden="1">#REF!</definedName>
    <definedName name="BExQBEER6CRCRPSSL61S0OMH57ZA" hidden="1">#REF!</definedName>
    <definedName name="BExQBIGGY5TXI2FJVVZSLZ0LTZYH" hidden="1">#REF!</definedName>
    <definedName name="BExQBM1RUSIQ85LLMM2159BYDPIP" hidden="1">#REF!</definedName>
    <definedName name="BExQBPSOZ47V81YAEURP0NQJNTJH" hidden="1">#REF!</definedName>
    <definedName name="BExQC5TWT21CGBKD0IHAXTIN2QB8" hidden="1">#REF!</definedName>
    <definedName name="BExQC6Q9SQ5IYHWJIFAGAW9FY4ZF" hidden="1">#REF!</definedName>
    <definedName name="BExQC94JL9F5GW4S8DQCAF4WB2DA" hidden="1">#REF!</definedName>
    <definedName name="BExQCKTD8AT0824LGWREXM1B5D1X" hidden="1">#REF!</definedName>
    <definedName name="BExQD571YWOXKR2SX85K5MKQ0AO2" hidden="1">#REF!</definedName>
    <definedName name="BExQDB6VCHN8PNX8EA6JNIEQ2JC2" hidden="1">#REF!</definedName>
    <definedName name="BExQDE1B6U2Q9B73KBENABP71YM1" hidden="1">#REF!</definedName>
    <definedName name="BExQDGQCN7ZW41QDUHOBJUGQAX40" hidden="1">#REF!</definedName>
    <definedName name="BExQEC7BRIJ30PTU3UPFOIP2HPE3" hidden="1">#REF!</definedName>
    <definedName name="BExQEMUA4HEFM4OVO8M8MA8PIAW1" hidden="1">#REF!</definedName>
    <definedName name="BExQEQ4XZQFIKUXNU9H7WE7AMZ1U" hidden="1">#REF!</definedName>
    <definedName name="BExQF1OEB07CRAP6ALNNMJNJ3P2D" hidden="1">#REF!</definedName>
    <definedName name="BExQF9X2AQPFJZTCHTU5PTTR0JAH" hidden="1">#REF!</definedName>
    <definedName name="BExQFC0M9KKFMQKPLPEO2RQDB7MM" hidden="1">#REF!</definedName>
    <definedName name="BExQFEEV7627R8TYZCM28C6V6WHE" hidden="1">#REF!</definedName>
    <definedName name="BExQFEK8NUD04X2OBRA275ADPSDL" hidden="1">#REF!</definedName>
    <definedName name="BExQFGYIWDR4W0YF7XR6E4EWWJ02" hidden="1">#REF!</definedName>
    <definedName name="BExQFPNFKA36IAPS22LAUMBDI4KE" hidden="1">#REF!</definedName>
    <definedName name="BExQFPSWEMA8WBUZ4WK20LR13VSU" hidden="1">#REF!</definedName>
    <definedName name="BExQFVSPOSCCPF1TLJPIWYWYB8A9" hidden="1">#REF!</definedName>
    <definedName name="BExQFWJQXNQAW6LUMOEDS6KMJMYL" hidden="1">#REF!</definedName>
    <definedName name="BExQG8TYRD2G42UA5ZPCRLNKUDMX" hidden="1">#REF!</definedName>
    <definedName name="BExQGO48J9MPCDQ96RBB9UN9AIGT" hidden="1">#REF!</definedName>
    <definedName name="BExQGSBB6MJWDW7AYWA0MSFTXKRR" hidden="1">#REF!</definedName>
    <definedName name="BExQH0UURAJ13AVO5UI04HSRGVYW" hidden="1">#REF!</definedName>
    <definedName name="BExQH6ZZY0NR8SE48PSI9D0CU1TC" hidden="1">#REF!</definedName>
    <definedName name="BExQH9P2MCXAJOVEO4GFQT6MNW22" hidden="1">#REF!</definedName>
    <definedName name="BExQHCZSBYUY8OKKJXFYWKBBM6AH" hidden="1">#REF!</definedName>
    <definedName name="BExQHNS8G4TFKTM0RPSS08EJ9911" hidden="1">#REF!</definedName>
    <definedName name="BExQHPKXZ1K33V2F90NZIQRZYIAW" hidden="1">#REF!</definedName>
    <definedName name="BExQHVF9KD06AG2RXUQJ9X4PVGX4" hidden="1">#REF!</definedName>
    <definedName name="BExQHZBHVN2L4HC7ACTR73T5OCV0" hidden="1">#REF!</definedName>
    <definedName name="BExQI85V9TNLDJT5LTRZS10Y26SG" hidden="1">#REF!</definedName>
    <definedName name="BExQIAPKHVEV8CU1L3TTHJW67FJ5" hidden="1">#REF!</definedName>
    <definedName name="BExQIBB4I3Z6AUU0HYV1DHRS13M4" hidden="1">#REF!</definedName>
    <definedName name="BExQIBWPAXU7HJZLKGJZY3EB7MIS" hidden="1">#REF!</definedName>
    <definedName name="BExQIS8O6R36CI01XRY9ISM99TW9" hidden="1">#REF!</definedName>
    <definedName name="BExQIVJB9MJ25NDUHTCVMSODJY2C" hidden="1">#REF!</definedName>
    <definedName name="BExQJBF7LAX128WR7VTMJC88ZLPG" hidden="1">#REF!</definedName>
    <definedName name="BExQJEVCKX6KZHNCLYXY7D0MX5KN" hidden="1">#REF!</definedName>
    <definedName name="BExQJJYSDX8B0J1QGF2HL071KKA3" hidden="1">#REF!</definedName>
    <definedName name="BExQK1HV6SQQ7CP8H8IUKI9TYXTD" hidden="1">#REF!</definedName>
    <definedName name="BExQK3LE5CSBW1E4H4KHW548FL2R" hidden="1">#REF!</definedName>
    <definedName name="BExQKG6LD6PLNDGNGO9DJXY865BR" hidden="1">#REF!</definedName>
    <definedName name="BExQLE1TOW3A287TQB0AVWENT8O1" hidden="1">#REF!</definedName>
    <definedName name="BExRYOYB4A3E5F6MTROY69LR0PMG" hidden="1">#REF!</definedName>
    <definedName name="BExRYZLA9EW71H4SXQR525S72LLP" hidden="1">#REF!</definedName>
    <definedName name="BExRZ66M8G9FQ0VFP077QSZBSOA5" hidden="1">#REF!</definedName>
    <definedName name="BExRZ8FMQQL46I8AQWU17LRNZD5T" hidden="1">#REF!</definedName>
    <definedName name="BExRZIRRIXRUMZ5GOO95S7460BMP" hidden="1">#REF!</definedName>
    <definedName name="BExRZK9RAHMM0ZLTNSK7A4LDC42D" hidden="1">#REF!</definedName>
    <definedName name="BExRZOGSR69INI6GAEPHDWSNK5Q4" hidden="1">#REF!</definedName>
    <definedName name="BExS0ASQBKRTPDWFK0KUDFOS9LE5" hidden="1">#REF!</definedName>
    <definedName name="BExS0GHQUF6YT0RU3TKDEO8CSJYB" hidden="1">#REF!</definedName>
    <definedName name="BExS0K8IHC45I78DMZBOJ1P13KQA" hidden="1">#REF!</definedName>
    <definedName name="BExS152B2LFCRAUHSLI5T6QRNII0" hidden="1">#REF!</definedName>
    <definedName name="BExS15IJV0WW662NXQUVT3FGP4ST" hidden="1">#REF!</definedName>
    <definedName name="BExS194110MR25BYJI3CJ2EGZ8XT" hidden="1">#REF!</definedName>
    <definedName name="BExS1BNVGNSGD4EP90QL8WXYWZ66" hidden="1">#REF!</definedName>
    <definedName name="BExS1QSGZONUHRK2Y7ET67TLSHJH" hidden="1">#REF!</definedName>
    <definedName name="BExS1UE39N6NCND7MAARSBWXS6HU" hidden="1">#REF!</definedName>
    <definedName name="BExS226HTWL5WVC76MP5A1IBI8WD" hidden="1">#REF!</definedName>
    <definedName name="BExS26OI2QNNAH2WMDD95Z400048" hidden="1">#REF!</definedName>
    <definedName name="BExS2DF6B4ZUF3VZLI4G6LJ3BF38" hidden="1">#REF!</definedName>
    <definedName name="BExS2QB5FS5LYTFYO4BROTWG3OV5" hidden="1">#REF!</definedName>
    <definedName name="BExS2TLU1HONYV6S3ZD9T12D7CIG" hidden="1">#REF!</definedName>
    <definedName name="BExS318UV9I2FXPQQWUKKX00QLPJ" hidden="1">#REF!</definedName>
    <definedName name="BExS3LBS0SMTHALVM4NRI1BAV1NP" hidden="1">#REF!</definedName>
    <definedName name="BExS3MTQ75VBXDGEBURP6YT8RROE" hidden="1">#REF!</definedName>
    <definedName name="BExS3OMGYO0DFN5186UFKEXZ2RX3" hidden="1">#REF!</definedName>
    <definedName name="BExS3SDERJ27OER67TIGOVZU13A2" hidden="1">#REF!</definedName>
    <definedName name="BExS46R5WDNU5KL04FKY5LHJUCB8" hidden="1">#REF!</definedName>
    <definedName name="BExS4ASWKM93XA275AXHYP8AG6SU" hidden="1">#REF!</definedName>
    <definedName name="BExS4JN3Y6SVBKILQK0R9HS45Y52" hidden="1">#REF!</definedName>
    <definedName name="BExS4P6S41O6Z6BED77U3GD9PNH1" hidden="1">#REF!</definedName>
    <definedName name="BExS51H0N51UT0FZOPZRCF1GU063" hidden="1">#REF!</definedName>
    <definedName name="BExS54X72TJFC41FJK72MLRR2OO7" hidden="1">#REF!</definedName>
    <definedName name="BExS59F0PA1V2ZC7S5TN6IT41SXP" hidden="1">#REF!</definedName>
    <definedName name="BExS5DRER9US6NXY9ATYT41KZII3" hidden="1">#REF!</definedName>
    <definedName name="BExS5L3TGB8JVW9ROYWTKYTUPW27" hidden="1">#REF!</definedName>
    <definedName name="BExS6GKQ96EHVLYWNJDWXZXUZW90" hidden="1">#REF!</definedName>
    <definedName name="BExS6ITKSZFRR01YD5B0F676SYN7" hidden="1">#REF!</definedName>
    <definedName name="BExS6N0LI574IAC89EFW6CLTCQ33" hidden="1">#REF!</definedName>
    <definedName name="BExS6WRDBF3ST86ZOBBUL3GTCR11" hidden="1">#REF!</definedName>
    <definedName name="BExS6XNRKR0C3MTA0LV5B60UB908" hidden="1">#REF!</definedName>
    <definedName name="BExS7TKQYLRZGM93UY3ZJZJBQNFJ" hidden="1">#REF!</definedName>
    <definedName name="BExS7Y2LNGVHSIBKC7C3R6X4LDR6" hidden="1">#REF!</definedName>
    <definedName name="BExS81TE0EY44Y3W2M4Z4MGNP5OM" hidden="1">#REF!</definedName>
    <definedName name="BExS81YPDZDVJJVS15HV2HDXAC3Y" hidden="1">#REF!</definedName>
    <definedName name="BExS82PRVNUTEKQZS56YT2DVF6C2" hidden="1">#REF!</definedName>
    <definedName name="BExS8BPG5A0GR5AO1U951NDGGR0L" hidden="1">#REF!</definedName>
    <definedName name="BExS8GSUS17UY50TEM2AWF36BR9Z" hidden="1">#REF!</definedName>
    <definedName name="BExS8HJRBVG0XI6PWA9KTMJZMQXK" hidden="1">#REF!</definedName>
    <definedName name="BExS8R51C8RM2FS6V6IRTYO9GA4A" hidden="1">#REF!</definedName>
    <definedName name="BExS8WDX408F60MH1X9B9UZ2H4R7" hidden="1">#REF!</definedName>
    <definedName name="BExS8Z2W2QEC3MH0BZIYLDFQNUIP" hidden="1">#REF!</definedName>
    <definedName name="BExS92DKGRFFCIA9C0IXDOLO57EP" hidden="1">#REF!</definedName>
    <definedName name="BExS98OB4321YCHLCQ022PXKTT2W" hidden="1">#REF!</definedName>
    <definedName name="BExS9C9N8GFISC6HUERJ0EI06GB2" hidden="1">#REF!</definedName>
    <definedName name="BExS9DX13CACP3J8JDREK30JB1SQ" hidden="1">#REF!</definedName>
    <definedName name="BExS9FPRS2KRRCS33SE6WFNF5GYL" hidden="1">#REF!</definedName>
    <definedName name="BExS9WI0A6PSEB8N9GPXF2Z7MWHM" hidden="1">#REF!</definedName>
    <definedName name="BExSA5HP306TN9XJS0TU619DLRR7" hidden="1">#REF!</definedName>
    <definedName name="BExSAAVWQOOIA6B3JHQVGP08HFEM" hidden="1">#REF!</definedName>
    <definedName name="BExSAFJ3IICU2M7QPVE4ARYMXZKX" hidden="1">#REF!</definedName>
    <definedName name="BExSAH6ID8OHX379UXVNGFO8J6KQ" hidden="1">#REF!</definedName>
    <definedName name="BExSAQBHIXGQRNIRGCJMBXUPCZQA" hidden="1">#REF!</definedName>
    <definedName name="BExSAUTCT4P7JP57NOR9MTX33QJZ" hidden="1">#REF!</definedName>
    <definedName name="BExSAY9CA9TFXQ9M9FBJRGJO9T9E" hidden="1">#REF!</definedName>
    <definedName name="BExSB4JYKQ3MINI7RAYK5M8BLJDC" hidden="1">#REF!</definedName>
    <definedName name="BExSBMOS41ZRLWYLOU29V6Y7YORR" hidden="1">#REF!</definedName>
    <definedName name="BExSBRBXXQMBU1TYDW1BXTEVEPRU" hidden="1">#REF!</definedName>
    <definedName name="BExSC3BJ4SDG83RYI9RE33Q5A79C" hidden="1">#REF!</definedName>
    <definedName name="BExSC54998WTZ21DSL0R8UN0Y9JH" hidden="1">#REF!</definedName>
    <definedName name="BExSC60N7WR9PJSNC9B7ORCX9NGY" hidden="1">#REF!</definedName>
    <definedName name="BExSCE99EZTILTTCE4NJJF96OYYM" hidden="1">#REF!</definedName>
    <definedName name="BExSCHUQZ2HFEWS54X67DIS8OSXZ" hidden="1">#REF!</definedName>
    <definedName name="BExSCOG41SKKG4GYU76WRWW1CTE6" hidden="1">#REF!</definedName>
    <definedName name="BExSCVC9P86YVFMRKKUVRV29MZXZ" hidden="1">#REF!</definedName>
    <definedName name="BExSD233CH4MU9ZMGNRF97ZV7KWU" hidden="1">#REF!</definedName>
    <definedName name="BExSD2U0F3BN6IN9N4R2DTTJG15H" hidden="1">#REF!</definedName>
    <definedName name="BExSD6A6NY15YSMFH51ST6XJY429" hidden="1">#REF!</definedName>
    <definedName name="BExSD9VH6PF6RQ135VOEE08YXPAW" hidden="1">#REF!</definedName>
    <definedName name="BExSDP5Y04WWMX2WWRITWOX8R5I9" hidden="1">#REF!</definedName>
    <definedName name="BExSDSGM203BJTNS9MKCBX453HMD" hidden="1">#REF!</definedName>
    <definedName name="BExSDT20XUFXTDM37M148AXAP7HN" hidden="1">#REF!</definedName>
    <definedName name="BExSEEHK1VLWD7JBV9SVVVIKQZ3I" hidden="1">#REF!</definedName>
    <definedName name="BExSEJKZLX37P3V33TRTFJ30BFRK" hidden="1">#REF!</definedName>
    <definedName name="BExSEP9UVOAI6TMXKNK587PQ3328" hidden="1">#REF!</definedName>
    <definedName name="BExSERZ34ETZF8OI93MYIVZX4RDV" hidden="1">#REF!</definedName>
    <definedName name="BExSF07QFLZCO4P6K6QF05XG7PH1" hidden="1">#REF!</definedName>
    <definedName name="BExSF6T3KOK285HOGMIPIG0235KM" hidden="1">#REF!</definedName>
    <definedName name="BExSFELNPJYUZX393PKWKNNZYV1N" hidden="1">#REF!</definedName>
    <definedName name="BExSFJ8ZAGQ63A4MVMZRQWLVRGQ5" hidden="1">#REF!</definedName>
    <definedName name="BExSFKQRST2S9KXWWLCXYLKSF4G1" hidden="1">#REF!</definedName>
    <definedName name="BExSFYDRRTAZVPXRWUF5PDQ97WFF" hidden="1">#REF!</definedName>
    <definedName name="BExSFZVPFTXA3F0IJ2NGH1GXX9R7" hidden="1">#REF!</definedName>
    <definedName name="BExSG90Q4ZUU2IPGDYOM169NJV9S" hidden="1">#REF!</definedName>
    <definedName name="BExSG9X3DU845PNXYJGGLBQY2UHG" hidden="1">#REF!</definedName>
    <definedName name="BExSGE45J27MDUUNXW7Z8Q33UAON" hidden="1">#REF!</definedName>
    <definedName name="BExSGE9LY91Q0URHB4YAMX0UAMYI" hidden="1">#REF!</definedName>
    <definedName name="BExSGLB2URTLBCKBB4Y885W925F2" hidden="1">#REF!</definedName>
    <definedName name="BExSGOAYG73SFWOPAQV80P710GID" hidden="1">#REF!</definedName>
    <definedName name="BExSGOWJHRW7FWKLO2EHUOOGHNAF" hidden="1">#REF!</definedName>
    <definedName name="BExSGOWJTAP41ZV5Q23H7MI9C76W" hidden="1">#REF!</definedName>
    <definedName name="BExSGR5JQVX2HQ0PKCGZNSSUM1RV" hidden="1">#REF!</definedName>
    <definedName name="BExSGVHX69GJZHD99DKE4RZ042B1" hidden="1">#REF!</definedName>
    <definedName name="BExSGZJO4J4ZO04E2N2ECVYS9DEZ" hidden="1">#REF!</definedName>
    <definedName name="BExSHAHFHS7MMNJR8JPVABRGBVIT" hidden="1">#REF!</definedName>
    <definedName name="BExSHGH88QZWW4RNAX4YKAZ5JEBL" hidden="1">#REF!</definedName>
    <definedName name="BExSHOKK1OO3CX9Z28C58E5J1D9W" hidden="1">#REF!</definedName>
    <definedName name="BExSHQD8KYLTQGDXIRKCHQQ7MKIH" hidden="1">#REF!</definedName>
    <definedName name="BExSHVGPIAHXI97UBLI9G4I4M29F" hidden="1">#REF!</definedName>
    <definedName name="BExSI0K2YL3HTCQAD8A7TR4QCUR6" hidden="1">#REF!</definedName>
    <definedName name="BExSIFUDNRWXWIWNGCCFOOD8WIAZ" hidden="1">#REF!</definedName>
    <definedName name="BExTTWD2PGX3Y9FR5F2MRNLY1DIY" hidden="1">#REF!</definedName>
    <definedName name="BExTTZNS2PBCR93C9IUW49UZ4I6T" hidden="1">#REF!</definedName>
    <definedName name="BExTU2YFQ25JQ6MEMRHHN66VLTPJ" hidden="1">#REF!</definedName>
    <definedName name="BExTU75IOII1V5O0C9X2VAYYVJUG" hidden="1">#REF!</definedName>
    <definedName name="BExTUA5F7V4LUIIAM17J3A8XF3JE" hidden="1">#REF!</definedName>
    <definedName name="BExTUH1JXSR42ND29PHUDF5MDQ9O" hidden="1">#REF!</definedName>
    <definedName name="BExTUJ53ANGZ3H1KDK4CR4Q0OD6P" hidden="1">#REF!</definedName>
    <definedName name="BExTUKXSZBM7C57G6NGLWGU4WOHY" hidden="1">#REF!</definedName>
    <definedName name="BExTUSQCFFYZCDNHWHADBC2E1ZP1" hidden="1">#REF!</definedName>
    <definedName name="BExTUVFGOJEYS28JURA5KHQFDU5J" hidden="1">#REF!</definedName>
    <definedName name="BExTUW10U40QCYGHM5NJ3YR1O5SP" hidden="1">#REF!</definedName>
    <definedName name="BExTUWXFQHINU66YG82BI20ATMB5" hidden="1">#REF!</definedName>
    <definedName name="BExTUY9WNSJ91GV8CP0SKJTEIV82" hidden="1">#REF!</definedName>
    <definedName name="BExTV67VIM8PV6KO253M4DUBJQLC" hidden="1">#REF!</definedName>
    <definedName name="BExTVELZCF2YA5L6F23BYZZR6WHF" hidden="1">#REF!</definedName>
    <definedName name="BExTVGPIQZ99YFXUC8OONUX5BD42" hidden="1">#REF!</definedName>
    <definedName name="BExTVZQLP9VFLEYQ9280W13X7E8K" hidden="1">#REF!</definedName>
    <definedName name="BExTWB4LA1PODQOH4LDTHQKBN16K" hidden="1">#REF!</definedName>
    <definedName name="BExTWI0Q8AWXUA3ZN7I5V3QK2KM1" hidden="1">#REF!</definedName>
    <definedName name="BExTWJTIA3WUW1PUWXAOP9O8NKLZ" hidden="1">#REF!</definedName>
    <definedName name="BExTWW95OX07FNA01WF5MSSSFQLX" hidden="1">#REF!</definedName>
    <definedName name="BExTX476KI0RNB71XI5TYMANSGBG" hidden="1">#REF!</definedName>
    <definedName name="BExTXJ6HBAIXMMWKZTJNFDYVZCAY" hidden="1">#REF!</definedName>
    <definedName name="BExTXT812NQT8GAEGH738U29BI0D" hidden="1">#REF!</definedName>
    <definedName name="BExTXWIP2TFPTQ76NHFOB72NICRZ" hidden="1">#REF!</definedName>
    <definedName name="BExTY5T62H651VC86QM4X7E28JVA" hidden="1">#REF!</definedName>
    <definedName name="BExTYHCJJ2NWRM1RV59FYR41534U" hidden="1">#REF!</definedName>
    <definedName name="BExTYKCEFJ83LZM95M1V7CSFQVEA" hidden="1">#REF!</definedName>
    <definedName name="BExTYPLA9N640MFRJJQPKXT7P88M" hidden="1">#REF!</definedName>
    <definedName name="BExTZ7F71SNTOX4LLZCK5R9VUMIJ" hidden="1">#REF!</definedName>
    <definedName name="BExTZ8X5G9S3PA4FPSNK7T69W7QT" hidden="1">#REF!</definedName>
    <definedName name="BExTZ97Y0RMR8V5BI9F2H4MFB77O" hidden="1">#REF!</definedName>
    <definedName name="BExTZK5PMCAXJL4DUIGL6H9Y8U4C" hidden="1">#REF!</definedName>
    <definedName name="BExTZKB6L5SXV5UN71YVTCBEIGWY" hidden="1">#REF!</definedName>
    <definedName name="BExTZLICVKK4NBJFEGL270GJ2VQO" hidden="1">#REF!</definedName>
    <definedName name="BExTZO2596CBZKPI7YNA1QQNPAIJ" hidden="1">#REF!</definedName>
    <definedName name="BExTZXHXSSXCZ2U1S7LR5UXZOWBQ" hidden="1">#REF!</definedName>
    <definedName name="BExTZY8TDV4U7FQL7O10G6VKWKPJ" hidden="1">#REF!</definedName>
    <definedName name="BExU02QNT4LT7H9JPUC4FXTLVGZT" hidden="1">#REF!</definedName>
    <definedName name="BExU0BFJJQO1HJZKI14QGOQ6JROO" hidden="1">#REF!</definedName>
    <definedName name="BExU0FH5WTGW8MRFUFMDDSMJ6YQ5" hidden="1">#REF!</definedName>
    <definedName name="BExU0GDOIL9U33QGU9ZU3YX3V1I4" hidden="1">#REF!</definedName>
    <definedName name="BExU0HKTO8WJDQDWRTUK5TETM3HS" hidden="1">#REF!</definedName>
    <definedName name="BExU0MTJQPE041ZN7H8UKGV6MZT7" hidden="1">#REF!</definedName>
    <definedName name="BExU0XB6XCXI4SZ92YEUFMW4TAXF" hidden="1">#REF!</definedName>
    <definedName name="BExU0ZUUFYHLUK4M4E8GLGIBBNT0" hidden="1">#REF!</definedName>
    <definedName name="BExU147D6RPG6ZVTSXRKFSVRHSBG" hidden="1">#REF!</definedName>
    <definedName name="BExU16R10W1SOAPNG4CDJ01T7JRE" hidden="1">#REF!</definedName>
    <definedName name="BExU17CKOR3GNIHDNVLH9L1IOJS9" hidden="1">#REF!</definedName>
    <definedName name="BExU1GXUTLRPJN4MRINLAPHSZQFG" hidden="1">#REF!</definedName>
    <definedName name="BExU1IL9AOHFO85BZB6S60DK3N8H" hidden="1">#REF!</definedName>
    <definedName name="BExU1NOPS09CLFZL1O31RAF9BQNQ" hidden="1">#REF!</definedName>
    <definedName name="BExU1PH9MOEX1JZVZ3D5M9DXB191" hidden="1">#REF!</definedName>
    <definedName name="BExU1QZEEKJA35IMEOLOJ3ODX0ZA" hidden="1">#REF!</definedName>
    <definedName name="BExU1VRURIWWVJ95O40WA23LMTJD" hidden="1">#REF!</definedName>
    <definedName name="BExU2M5CK6XK55UIHDVYRXJJJRI4" hidden="1">#REF!</definedName>
    <definedName name="BExU2TXVT25ZTOFQAF6CM53Z1RLF" hidden="1">#REF!</definedName>
    <definedName name="BExU2XZLYIU19G7358W5T9E87AFR" hidden="1">#REF!</definedName>
    <definedName name="BExU3B66MCKJFSKT3HL8B5EJGVX0" hidden="1">#REF!</definedName>
    <definedName name="BExU3CIT6TRML5KUFMRTGIIPSYY3" hidden="1">#REF!</definedName>
    <definedName name="BExU3UNI9NR1RNZR07NSLSZMDOQQ" hidden="1">#REF!</definedName>
    <definedName name="BExU3ZWG0WEWQOH1QULJ9ZMJ0QD5" hidden="1">#REF!</definedName>
    <definedName name="BExU401R18N6XKZKL7CNFOZQCM14" hidden="1">#REF!</definedName>
    <definedName name="BExU42QVGY7TK39W1BIN6CDRG2OE" hidden="1">#REF!</definedName>
    <definedName name="BExU44P2AEX6PD8VC4ISCROUCQSP" hidden="1">#REF!</definedName>
    <definedName name="BExU47OZMS6TCWMEHHF0UCSFLLPI" hidden="1">#REF!</definedName>
    <definedName name="BExU4D36E8TXN0M8KSNGEAFYP4DQ" hidden="1">#REF!</definedName>
    <definedName name="BExU4G31RRVLJ3AC6E1FNEFMXM3O" hidden="1">#REF!</definedName>
    <definedName name="BExU4GDVLPUEWBA4MRYRTQAUNO7B" hidden="1">#REF!</definedName>
    <definedName name="BExU4I148DA7PRCCISLWQ6ABXFK6" hidden="1">#REF!</definedName>
    <definedName name="BExU4L101H2KQHVKCKQ4PBAWZV6K" hidden="1">#REF!</definedName>
    <definedName name="BExU4NA00RRRBGRT6TOB0MXZRCRZ" hidden="1">#REF!</definedName>
    <definedName name="BExU51IFNZXPBDES28457LR8X60M" hidden="1">#REF!</definedName>
    <definedName name="BExU529I6YHVOG83TJHWSILIQU1S" hidden="1">#REF!</definedName>
    <definedName name="BExU57YCIKPRD8QWL6EU0YR3NG3J" hidden="1">#REF!</definedName>
    <definedName name="BExU5906X2EFOC2LL3INGB99DW2J" hidden="1">#REF!</definedName>
    <definedName name="BExU5DSTBWXLN6E59B757KRWRI6E" hidden="1">#REF!</definedName>
    <definedName name="BExU5TDWM8NNDHYPQ7OQODTQ368A" hidden="1">#REF!</definedName>
    <definedName name="BExU5X4OX1V1XHS6WSSORVQPP6Z3" hidden="1">#REF!</definedName>
    <definedName name="BExU5XVPARTFMRYHNUTBKDIL4UJN" hidden="1">#REF!</definedName>
    <definedName name="BExU66KMFBAP8JCVG9VM1RD1TNFF" hidden="1">#REF!</definedName>
    <definedName name="BExU68IOM3CB3TACNAE9565TW7SH" hidden="1">#REF!</definedName>
    <definedName name="BExU6AM82KN21E82HMWVP3LWP9IL" hidden="1">#REF!</definedName>
    <definedName name="BExU6CV7HDWYOB5SF69CI1P3VNMV" hidden="1">#REF!</definedName>
    <definedName name="BExU6FEU1MRHU98R9YOJC5OKUJ6L" hidden="1">#REF!</definedName>
    <definedName name="BExU6KIAJ663Y8W8QMU4HCF183DF" hidden="1">#REF!</definedName>
    <definedName name="BExU6KT19B4PG6SHXFBGBPLM66KT" hidden="1">#REF!</definedName>
    <definedName name="BExU6PAVKIOAIMQ9XQIHHF1SUAGO" hidden="1">#REF!</definedName>
    <definedName name="BExU6WXXC7SSQDMHSLUN5C2V4IYX" hidden="1">#REF!</definedName>
    <definedName name="BExU73387E74XE8A9UKZLZNJYY65" hidden="1">#REF!</definedName>
    <definedName name="BExU76ZHCJM8I7VSICCMSTC33O6U" hidden="1">#REF!</definedName>
    <definedName name="BExU7BBTUF8BQ42DSGM94X5TG5GF" hidden="1">#REF!</definedName>
    <definedName name="BExU7HH4EAHFQHT4AXKGWAWZP3I0" hidden="1">#REF!</definedName>
    <definedName name="BExU7MF1ZVPDHOSMCAXOSYICHZ4I" hidden="1">#REF!</definedName>
    <definedName name="BExU7O2BJ6D5YCKEL6FD2EFCWYRX" hidden="1">#REF!</definedName>
    <definedName name="BExU7Q0JS9YIUKUPNSSAIDK2KJAV" hidden="1">#REF!</definedName>
    <definedName name="BExU80I6AE5OU7P7F5V7HWIZBJ4P" hidden="1">#REF!</definedName>
    <definedName name="BExU86NB26MCPYIISZ36HADONGT2" hidden="1">#REF!</definedName>
    <definedName name="BExU885EZZNSZV3GP298UJ8LB7OL" hidden="1">#REF!</definedName>
    <definedName name="BExU8FSAUP9TUZ1NO9WXK80QPHWV" hidden="1">#REF!</definedName>
    <definedName name="BExU8KFLAN778MBN93NYZB0FV30G" hidden="1">#REF!</definedName>
    <definedName name="BExU8UX9JX3XLB47YZ8GFXE0V7R2" hidden="1">#REF!</definedName>
    <definedName name="BExU91DC3DGKPZD6LTER2IRTF89C" hidden="1">#REF!</definedName>
    <definedName name="BExU96M1J7P9DZQ3S9H0C12KGYTW" hidden="1">#REF!</definedName>
    <definedName name="BExU9F05OR1GZ3057R6UL3WPEIYI" hidden="1">#REF!</definedName>
    <definedName name="BExU9GCSO5YILIKG6VAHN13DL75K" hidden="1">#REF!</definedName>
    <definedName name="BExU9KJOZLO15N11MJVN782NFGJ0" hidden="1">#REF!</definedName>
    <definedName name="BExU9LG29XU2K1GNKRO4438JYQZE" hidden="1">#REF!</definedName>
    <definedName name="BExU9RW36I5Z6JIXUIUB3PJH86LT" hidden="1">#REF!</definedName>
    <definedName name="BExUA28AO7OWDG3H23Q0CL4B7BHW" hidden="1">#REF!</definedName>
    <definedName name="BExUA5O923FFNEBY8BPO1TU3QGBM" hidden="1">#REF!</definedName>
    <definedName name="BExUA6Q4K25VH452AQ3ZIRBCMS61" hidden="1">#REF!</definedName>
    <definedName name="BExUAFV4JMBSM2SKBQL9NHL0NIBS" hidden="1">#REF!</definedName>
    <definedName name="BExUAMWQODKBXMRH1QCMJLJBF8M7" hidden="1">#REF!</definedName>
    <definedName name="BExUAX8WS5OPVLCDXRGKTU2QMTFO" hidden="1">#REF!</definedName>
    <definedName name="BExUB8HLEXSBVPZ5AXNQEK96F1N4" hidden="1">#REF!</definedName>
    <definedName name="BExUBCDVZIEA7YT0LPSMHL5ZSERQ" hidden="1">#REF!</definedName>
    <definedName name="BExUBKXBUCN760QYU7Q8GESBWOQH" hidden="1">#REF!</definedName>
    <definedName name="BExUBL83ED0P076RN9RJ8P1MZ299" hidden="1">#REF!</definedName>
    <definedName name="BExUC623BDYEODBN0N4DO6PJQ7NU" hidden="1">#REF!</definedName>
    <definedName name="BExUC8WH8TCKBB5313JGYYQ1WFLT" hidden="1">#REF!</definedName>
    <definedName name="BExUCFCDK6SPH86I6STXX8X3WMC4" hidden="1">#REF!</definedName>
    <definedName name="BExUCLC6AQ5KR6LXSAXV4QQ8ASVG" hidden="1">#REF!</definedName>
    <definedName name="BExUD4IOJ12X3PJG5WXNNGDRCKAP" hidden="1">#REF!</definedName>
    <definedName name="BExUD9WX9BWK72UWVSLYZJLAY5VY" hidden="1">#REF!</definedName>
    <definedName name="BExUDBEUJH9IACZDBL1VAUWPG0QW" hidden="1">#REF!</definedName>
    <definedName name="BExUDEV0CYVO7Y5IQQBEJ6FUY9S6" hidden="1">#REF!</definedName>
    <definedName name="BExUDWOXQGIZW0EAIIYLQUPXF8YV" hidden="1">#REF!</definedName>
    <definedName name="BExUDXAIC17W1FUU8Z10XUAVB7CS" hidden="1">#REF!</definedName>
    <definedName name="BExUE5OMY7OAJQ9WR8C8HG311ORP" hidden="1">#REF!</definedName>
    <definedName name="BExUEFKOQWXXGRNLAOJV2BJ66UB8" hidden="1">#REF!</definedName>
    <definedName name="BExUEJGX3OQQP5KFRJSRCZ70EI9V" hidden="1">#REF!</definedName>
    <definedName name="BExUEYR71COFS2X8PDNU21IPMQEU" hidden="1">#REF!</definedName>
    <definedName name="BExVPRLJ9I6RX45EDVFSQGCPJSOK" hidden="1">#REF!</definedName>
    <definedName name="BExVRNMS04LBKKFHWTZJVCNXWBQK" hidden="1">#REF!</definedName>
    <definedName name="BExVSL787C8E4HFQZ2NVLT35I2XV" hidden="1">#REF!</definedName>
    <definedName name="BExVSTFTVV14SFGHQUOJL5SQ5TX9" hidden="1">#REF!</definedName>
    <definedName name="BExVT3MPE8LQ5JFN3HQIFKSQ80U4" hidden="1">#REF!</definedName>
    <definedName name="BExVT7TRK3NZHPME2TFBXOF1WBR9" hidden="1">#REF!</definedName>
    <definedName name="BExVT9H0R0T7WGQAAC0HABMG54YM" hidden="1">#REF!</definedName>
    <definedName name="BExVTCMDDEDGLUIMUU6BSFHEWTOP" hidden="1">#REF!</definedName>
    <definedName name="BExVTCMDQMLKRA2NQR72XU6Y54IK" hidden="1">#REF!</definedName>
    <definedName name="BExVTCRV8FQ5U9OYWWL44N6KFNHU" hidden="1">#REF!</definedName>
    <definedName name="BExVTNESHPVG0A0KZ7BRX26MS0PF" hidden="1">#REF!</definedName>
    <definedName name="BExVTTJVTNRSBHBTUZ78WG2JM5MK" hidden="1">#REF!</definedName>
    <definedName name="BExVTXLMYR87BC04D1ERALPUFVPG" hidden="1">#REF!</definedName>
    <definedName name="BExVUL9V3H8ZF6Y72LQBBN639YAA" hidden="1">#REF!</definedName>
    <definedName name="BExVV5T14N2HZIK7HQ4P2KG09U0J" hidden="1">#REF!</definedName>
    <definedName name="BExVV7R410VYLADLX9LNG63ID6H1" hidden="1">#REF!</definedName>
    <definedName name="BExVV93Q3SJRRBETYXNAGBL2GATC" hidden="1">#REF!</definedName>
    <definedName name="BExVVCEED4JEKF59OV0G3T4XFMFO" hidden="1">#REF!</definedName>
    <definedName name="BExVVPFO2J7FMSRPD36909HN4BZJ" hidden="1">#REF!</definedName>
    <definedName name="BExVVQ19AQ3VCARJOC38SF7OYE9Y" hidden="1">#REF!</definedName>
    <definedName name="BExVVQ19TAECID45CS4HXT1RD3AQ" hidden="1">#REF!</definedName>
    <definedName name="BExVW3YV5XGIVJ97UUPDJGJ2P15B" hidden="1">#REF!</definedName>
    <definedName name="BExVW5X571GEYR5SCU1Z2DHKWM79" hidden="1">#REF!</definedName>
    <definedName name="BExVW6YTKA098AF57M4PHNQ54XMH" hidden="1">#REF!</definedName>
    <definedName name="BExVWINKCH0V0NUWH363SMXAZE62" hidden="1">#REF!</definedName>
    <definedName name="BExVWYU8EK669NP172GEIGCTVPPA" hidden="1">#REF!</definedName>
    <definedName name="BExVX3MVJ0GHWPP1EL59ZQNKMX0B" hidden="1">#REF!</definedName>
    <definedName name="BExVX3XN2DRJKL8EDBIG58RYQ36R" hidden="1">#REF!</definedName>
    <definedName name="BExVXDZ63PUART77BBR5SI63TPC6" hidden="1">#REF!</definedName>
    <definedName name="BExVXHKI6LFYMGWISMPACMO247HL" hidden="1">#REF!</definedName>
    <definedName name="BExVXLX2BZ5EF2X6R41BTKRJR1NM" hidden="1">#REF!</definedName>
    <definedName name="BExVY11V7U1SAY4QKYE0PBSPD7LW" hidden="1">#REF!</definedName>
    <definedName name="BExVY1SV37DL5YU59HS4IG3VBCP4" hidden="1">#REF!</definedName>
    <definedName name="BExVY3WFGJKSQA08UF9NCMST928Y" hidden="1">#REF!</definedName>
    <definedName name="BExVY954UOEVQEIC5OFO4NEWVKAQ" hidden="1">#REF!</definedName>
    <definedName name="BExVYHDYIV5397LC02V4FEP8VD6W" hidden="1">#REF!</definedName>
    <definedName name="BExVYOVIZDA18YIQ0A30Q052PCAK" hidden="1">#REF!</definedName>
    <definedName name="BExVYQIXPEM6J4JVP78BRHIC05PV" hidden="1">#REF!</definedName>
    <definedName name="BExVYVGWN7SONLVDH9WJ2F1JS264" hidden="1">#REF!</definedName>
    <definedName name="BExVZ9EO732IK6MNMG17Y1EFTJQC" hidden="1">#REF!</definedName>
    <definedName name="BExVZB1Y5J4UL2LKK0363EU7GIJ1" hidden="1">#REF!</definedName>
    <definedName name="BExVZJQVO5LQ0BJH5JEN5NOBIAF6" hidden="1">#REF!</definedName>
    <definedName name="BExVZNXWS91RD7NXV5NE2R3C8WW7" hidden="1">#REF!</definedName>
    <definedName name="BExW0386REQRCQCVT9BCX80UPTRY" hidden="1">#REF!</definedName>
    <definedName name="BExW04FCJW9DJP3XTXXKGYM4EF7F" hidden="1">#REF!</definedName>
    <definedName name="BExW0FYP4WXY71CYUG40SUBG9UWU" hidden="1">#REF!</definedName>
    <definedName name="BExW0RI61B4VV0ARXTFVBAWRA1C5" hidden="1">#REF!</definedName>
    <definedName name="BExW1BVUYQTKMOR56MW7RVRX4L1L" hidden="1">#REF!</definedName>
    <definedName name="BExW1F1220628FOMTW5UAATHRJHK" hidden="1">#REF!</definedName>
    <definedName name="BExW1TKA0Z9OP2DTG50GZR5EG8C7" hidden="1">#REF!</definedName>
    <definedName name="BExW1U0JLKQ094DW5MMOI8UHO09V" hidden="1">#REF!</definedName>
    <definedName name="BExW1XGJO9MSSBTBT1DNO5PPS0YD" hidden="1">#REF!</definedName>
    <definedName name="BExW283NP9D366XFPXLGSCI5UB0L" hidden="1">#REF!</definedName>
    <definedName name="BExW2H3C8WJSBW5FGTFKVDVJC4CL" hidden="1">#REF!</definedName>
    <definedName name="BExW2MSCKPGF5K3I7TL4KF5ISUOL" hidden="1">#REF!</definedName>
    <definedName name="BExW2SMO90FU9W8DVVES6Q4E6BZR" hidden="1">#REF!</definedName>
    <definedName name="BExW33KL5LGHVRY2G920JLJZ3VCL" hidden="1">#REF!</definedName>
    <definedName name="BExW36V9N91OHCUMGWJQL3I5P4JK" hidden="1">#REF!</definedName>
    <definedName name="BExW3EIBA1J9Q9NA9VCGZGRS8WV7" hidden="1">#REF!</definedName>
    <definedName name="BExW3FEO8FI8N6AGQKYEG4SQVJWB" hidden="1">#REF!</definedName>
    <definedName name="BExW3GB28STOMJUSZEIA7YKYNS4Y" hidden="1">#REF!</definedName>
    <definedName name="BExW3T1K638HT5E0Y8MMK108P5JT" hidden="1">#REF!</definedName>
    <definedName name="BExW4217ZHL9VO39POSTJOD090WU" hidden="1">#REF!</definedName>
    <definedName name="BExW4GPW71EBF8XPS2QGVQHBCDX3" hidden="1">#REF!</definedName>
    <definedName name="BExW4JKC5837JBPCOJV337ZVYYY3" hidden="1">#REF!</definedName>
    <definedName name="BExW4L2ETSP95HOOD8F39U9N2B81" hidden="1">#REF!</definedName>
    <definedName name="BExW4QR9FV9MP5K610THBSM51RYO" hidden="1">#REF!</definedName>
    <definedName name="BExW4Z029R9E19ZENN3WEA3VDAD1" hidden="1">#REF!</definedName>
    <definedName name="BExW5AZNT6IAZGNF2C879ODHY1B8" hidden="1">#REF!</definedName>
    <definedName name="BExW5WPU27WD4NWZOT0ZEJIDLX5J" hidden="1">#REF!</definedName>
    <definedName name="BExW660AV1TUV2XNUPD65RZR3QOO" hidden="1">#REF!</definedName>
    <definedName name="BExW66LVVZK656PQY1257QMHP2AY" hidden="1">#REF!</definedName>
    <definedName name="BExW6EJPHAP1TWT380AZLXNHR22P" hidden="1">#REF!</definedName>
    <definedName name="BExW6G1PJ38H10DVLL8WPQ736OEB" hidden="1">#REF!</definedName>
    <definedName name="BExW794A74Z5F2K8LVQLD6VSKXUE" hidden="1">#REF!</definedName>
    <definedName name="BExW8K0SSIPSKBVP06IJ71600HJZ" hidden="1">#REF!</definedName>
    <definedName name="BExW8NM8DJJESE7GF7VGTO2XO6P1" hidden="1">#REF!</definedName>
    <definedName name="BExW8SPO6RAEYW59858YZY0FOURO" hidden="1">#REF!</definedName>
    <definedName name="BExW8T0GVY3ZYO4ACSBLHS8SH895" hidden="1">#REF!</definedName>
    <definedName name="BExW8YEP73JMMU9HZ08PM4WHJQZ4" hidden="1">#REF!</definedName>
    <definedName name="BExW937AT53OZQRHNWQZ5BVH24IE" hidden="1">#REF!</definedName>
    <definedName name="BExW95LN5N0LYFFVP7GJEGDVDLF0" hidden="1">#REF!</definedName>
    <definedName name="BExW967733Q8RAJOHR2GJ3HO8JIW" hidden="1">#REF!</definedName>
    <definedName name="BExW9POK1KIOI0ALS5MZIKTDIYMA" hidden="1">#REF!</definedName>
    <definedName name="BExW9TVLB7OIHTG98I7I4EXBL61S" hidden="1">#REF!</definedName>
    <definedName name="BExXLDE6PN4ESWT3LXJNQCY94NE4" hidden="1">#REF!</definedName>
    <definedName name="BExXLQVPK2H3IF0NDDA5CT612EUK" hidden="1">#REF!</definedName>
    <definedName name="BExXLR6IO70TYTACKQH9M5PGV24J" hidden="1">#REF!</definedName>
    <definedName name="BExXM065WOLYRYHGHOJE0OOFXA4M" hidden="1">#REF!</definedName>
    <definedName name="BExXM3GUNXVDM82KUR17NNUMQCNI" hidden="1">#REF!</definedName>
    <definedName name="BExXMA28M8SH7MKIGETSDA72WUIZ" hidden="1">#REF!</definedName>
    <definedName name="BExXMOLHIAHDLFSA31PUB36SC3I9" hidden="1">#REF!</definedName>
    <definedName name="BExXMT8T5Z3M2JBQN65X2LKH0YQI" hidden="1">#REF!</definedName>
    <definedName name="BExXN1XNO7H60M9X1E7EVWFJDM5N" hidden="1">#REF!</definedName>
    <definedName name="BExXN22ZOTIW49GPLWFYKVM90FNZ" hidden="1">#REF!</definedName>
    <definedName name="BExXN4C031W9DK73MJHKL8YT1QA8" hidden="1">#REF!</definedName>
    <definedName name="BExXN6QAP8UJQVN4R4BQKPP4QK35" hidden="1">#REF!</definedName>
    <definedName name="BExXNBOA39T2X6Y5Y5GZ5DDNA1AX" hidden="1">#REF!</definedName>
    <definedName name="BExXND6872VJ3M2PGT056WQMWBHD" hidden="1">#REF!</definedName>
    <definedName name="BExXNPM24UN2PGVL9D1TUBFRIKR4" hidden="1">#REF!</definedName>
    <definedName name="BExXNWYB165VO9MHARCL5WLCHWS0" hidden="1">#REF!</definedName>
    <definedName name="BExXO278QHQN8JDK5425EJ615ECC" hidden="1">#REF!</definedName>
    <definedName name="BExXO5HWIR8S8LOZPDSU0P65WXU3" hidden="1">#REF!</definedName>
    <definedName name="BExXOBHOP0WGFHI2Y9AO4L440UVQ" hidden="1">#REF!</definedName>
    <definedName name="BExXOHSAD2NSHOLLMZ2JWA4I3I1R" hidden="1">#REF!</definedName>
    <definedName name="BExXOROCZ7Y92E6BR1W6ZMLKCF7Y" hidden="1">#REF!</definedName>
    <definedName name="BExXP80B5FGA00JCM7UXKPI3PB7Y" hidden="1">#REF!</definedName>
    <definedName name="BExXP85M4WXYVN1UVHUTOEKEG5XS" hidden="1">#REF!</definedName>
    <definedName name="BExXPELOTHOAG0OWILLAH94OZV5J" hidden="1">#REF!</definedName>
    <definedName name="BExXPS31W1VD2NMIE4E37LHVDF0L" hidden="1">#REF!</definedName>
    <definedName name="BExXPZKYEMVF5JOC14HYOOYQK6JK" hidden="1">#REF!</definedName>
    <definedName name="BExXQ89PA10X79WBWOEP1AJX1OQM" hidden="1">#REF!</definedName>
    <definedName name="BExXQCGQGGYSI0LTRVR73MUO50AW" hidden="1">#REF!</definedName>
    <definedName name="BExXQEEXFHDQ8DSRAJSB5ET6J004" hidden="1">#REF!</definedName>
    <definedName name="BExXQH41O5HZAH8BO6HCFY8YC3TU" hidden="1">#REF!</definedName>
    <definedName name="BExXQIRBLQSLAJTFL7224FCFUTKH" hidden="1">#REF!</definedName>
    <definedName name="BExXQJIEF5R3QQ6D8HO3NGPU0IQC" hidden="1">#REF!</definedName>
    <definedName name="BExXQU00K9ER4I1WM7T9J0W1E7ZC" hidden="1">#REF!</definedName>
    <definedName name="BExXQU00KOR7XLM8B13DGJ1MIQDY" hidden="1">#REF!</definedName>
    <definedName name="BExXQXG18PS8HGBOS03OSTQ0KEYC" hidden="1">#REF!</definedName>
    <definedName name="BExXQXQT4OAFQT5B0YB3USDJOJOB" hidden="1">#REF!</definedName>
    <definedName name="BExXR3FSEXAHSXEQNJORWFCPX86N" hidden="1">#REF!</definedName>
    <definedName name="BExXR3W3FKYQBLR299HO9RZ70C43" hidden="1">#REF!</definedName>
    <definedName name="BExXR46U23CRRBV6IZT982MAEQKI" hidden="1">#REF!</definedName>
    <definedName name="BExXR8OKAVX7O70V5IYG2PRKXSTI" hidden="1">#REF!</definedName>
    <definedName name="BExXRA6N6XCLQM6XDV724ZIH6G93" hidden="1">#REF!</definedName>
    <definedName name="BExXRABZ1CNKCG6K1MR6OUFHF7J9" hidden="1">#REF!</definedName>
    <definedName name="BExXRBOFETC0OTJ6WY3VPMFH03VB" hidden="1">#REF!</definedName>
    <definedName name="BExXRD13K1S9Y3JGR7CXSONT7RJZ" hidden="1">#REF!</definedName>
    <definedName name="BExXRIFB4QQ87QIGA9AG0NXP577K" hidden="1">#REF!</definedName>
    <definedName name="BExXRIQ2JF2CVTRDQX2D9SPH7FTN" hidden="1">#REF!</definedName>
    <definedName name="BExXRO4A6VUH1F4XV8N1BRJ4896W" hidden="1">#REF!</definedName>
    <definedName name="BExXRO9N1SNJZGKD90P4K7FU1J0P" hidden="1">#REF!</definedName>
    <definedName name="BExXRV5QP3Z0KAQ1EQT9JYT2FV0L" hidden="1">#REF!</definedName>
    <definedName name="BExXRZ20LZZCW8LVGDK0XETOTSAI" hidden="1">#REF!</definedName>
    <definedName name="BExXRZNM651EJ5HJPGKGTVYLAZQ1" hidden="1">#REF!</definedName>
    <definedName name="BExXS63O4OMWMNXXAODZQFSDG33N" hidden="1">#REF!</definedName>
    <definedName name="BExXSBSP1TOY051HSPEPM0AEIO2M" hidden="1">#REF!</definedName>
    <definedName name="BExXSC8RFK5D68FJD2HI4K66SA6I" hidden="1">#REF!</definedName>
    <definedName name="BExXSNHC88W4UMXEOIOOATJAIKZO" hidden="1">#REF!</definedName>
    <definedName name="BExXSTBS08WIA9TLALV3UQ2Z3MRG" hidden="1">#REF!</definedName>
    <definedName name="BExXSVQ2WOJJ73YEO8Q2FK60V4G8" hidden="1">#REF!</definedName>
    <definedName name="BExXTHLRNL82GN7KZY3TOLO508N7" hidden="1">#REF!</definedName>
    <definedName name="BExXTL72MKEQSQH9L2OTFLU8DM2B" hidden="1">#REF!</definedName>
    <definedName name="BExXTM3M4RTCRSX7VGAXGQNPP668" hidden="1">#REF!</definedName>
    <definedName name="BExXTOCF78J7WY6FOVBRY1N2RBBR" hidden="1">#REF!</definedName>
    <definedName name="BExXTP3GYO6Z9RTKKT10XA0UTV3T" hidden="1">#REF!</definedName>
    <definedName name="BExXTZKZ4CG92ZQLIRKEXXH9BFIR" hidden="1">#REF!</definedName>
    <definedName name="BExXU18EGD05LI4JLOPCWT7IVFWP" hidden="1">#REF!</definedName>
    <definedName name="BExXU4J2BM2964GD5UZHM752Q4NS" hidden="1">#REF!</definedName>
    <definedName name="BExXU6XDTT7RM93KILIDEYPA9XKF" hidden="1">#REF!</definedName>
    <definedName name="BExXU8VLZA7WLPZ3RAQZGNERUD26" hidden="1">#REF!</definedName>
    <definedName name="BExXUB9RSLSCNN5ETLXY72DAPZZM" hidden="1">#REF!</definedName>
    <definedName name="BExXUFRM82XQIN2T8KGLDQL1IBQW" hidden="1">#REF!</definedName>
    <definedName name="BExXUQEQBF6FI240ZGIF9YXZSRAU" hidden="1">#REF!</definedName>
    <definedName name="BExXUYND6EJO7CJ5KRICV4O1JNWK" hidden="1">#REF!</definedName>
    <definedName name="BExXV6FWG4H3S2QEUJZYIXILNGJ7" hidden="1">#REF!</definedName>
    <definedName name="BExXVK87BMMO6LHKV0CFDNIQVIBS" hidden="1">#REF!</definedName>
    <definedName name="BExXVKZ9WXPGL6IVY6T61IDD771I" hidden="1">#REF!</definedName>
    <definedName name="BExXW0K72T1Y8K1I4VZT87UY9S2G" hidden="1">#REF!</definedName>
    <definedName name="BExXW27MMXHXUXX78SDTBE1JYTHT" hidden="1">#REF!</definedName>
    <definedName name="BExXW2YIM2MYBSHRIX0RP9D4PRMN" hidden="1">#REF!</definedName>
    <definedName name="BExXW33YX7I8UBQNNUR9LH4HAFZP" hidden="1">#REF!</definedName>
    <definedName name="BExXW8I0MMESFPKIT2MYOSKNFEWP" hidden="1">#REF!</definedName>
    <definedName name="BExXWBNE4KTFSXKVSRF6WX039WPB" hidden="1">#REF!</definedName>
    <definedName name="BExXWFP5AYE7EHYTJWBZSQ8PQ0YX" hidden="1">#REF!</definedName>
    <definedName name="BExXWQSDKW5ZT4UR8GSV0RY5Y9DD" hidden="1">#REF!</definedName>
    <definedName name="BExXWVFIBQT8OY1O41FRFPFGXQHK" hidden="1">#REF!</definedName>
    <definedName name="BExXWWXHBZHA9J3N8K47F84X0M0L" hidden="1">#REF!</definedName>
    <definedName name="BExXXBM521DL8R4ZX7NZ3DBCUOR5" hidden="1">#REF!</definedName>
    <definedName name="BExXXC7OZI33XZ03NRMEP7VRLQK4" hidden="1">#REF!</definedName>
    <definedName name="BExXXH5N3NKBQ7BCJPJTBF8CYM2Q" hidden="1">#REF!</definedName>
    <definedName name="BExXXKWLM4D541BH6O8GOJMHFHMW" hidden="1">#REF!</definedName>
    <definedName name="BExXXPPA1Q87XPI97X0OXCPBPDON" hidden="1">#REF!</definedName>
    <definedName name="BExXXVUDA98IZTQ6MANKU4MTTDVR" hidden="1">#REF!</definedName>
    <definedName name="BExXXZQNZY6IZI45DJXJK0MQZWA7" hidden="1">#REF!</definedName>
    <definedName name="BExXY5QFG6QP94SFT3935OBM8Y4K" hidden="1">#REF!</definedName>
    <definedName name="BExXY7TYEBFXRYUYIFHTN65RJ8EW" hidden="1">#REF!</definedName>
    <definedName name="BExXYLBHANUXC5FCTDDTGOVD3GQS" hidden="1">#REF!</definedName>
    <definedName name="BExXYMNYAYH3WA2ZCFAYKZID9ZCI" hidden="1">#REF!</definedName>
    <definedName name="BExXYYT12SVN2VDMLVNV4P3ISD8T" hidden="1">#REF!</definedName>
    <definedName name="BExXZEDWUYH25UZMW2QU2RXFILJE" hidden="1">#REF!</definedName>
    <definedName name="BExXZFVV4YB42AZ3H1I40YG3JAPU" hidden="1">#REF!</definedName>
    <definedName name="BExXZHJ9T2JELF12CHHGD54J1B0C" hidden="1">#REF!</definedName>
    <definedName name="BExXZNJ2X1TK2LRK5ZY3MX49H5T7" hidden="1">#REF!</definedName>
    <definedName name="BExXZOVPCEP495TQSON6PSRQ8XCY" hidden="1">#REF!</definedName>
    <definedName name="BExXZXKH7NBARQQAZM69Z57IH1MM" hidden="1">#REF!</definedName>
    <definedName name="BExY07WSDH5QEVM7BJXJK2ZRAI1O" hidden="1">#REF!</definedName>
    <definedName name="BExY0C3UBVC4M59JIRXVQ8OWAJC1" hidden="1">#REF!</definedName>
    <definedName name="BExY0OE8GFHMLLTEAFIOQTOPEVPB" hidden="1">#REF!</definedName>
    <definedName name="BExY0OJHW85S0VKBA8T4HTYPYBOS" hidden="1">#REF!</definedName>
    <definedName name="BExY0T1E034D7XAXNC6F7540LLIE" hidden="1">#REF!</definedName>
    <definedName name="BExY0XTZLHN49J2JH94BYTKBJLT3" hidden="1">#REF!</definedName>
    <definedName name="BExY11FH9TXHERUYGG8FE50U7H7J" hidden="1">#REF!</definedName>
    <definedName name="BExY180UKNW5NIAWD6ZUYTFEH8QS" hidden="1">#REF!</definedName>
    <definedName name="BExY1DPTV4LSY9MEOUGXF8X052NA" hidden="1">#REF!</definedName>
    <definedName name="BExY1GK9ELBEKDD7O6HR6DUO8YGO" hidden="1">#REF!</definedName>
    <definedName name="BExY1NWOXXFV9GGZ3PX444LZ8TVX" hidden="1">#REF!</definedName>
    <definedName name="BExY1UCL0RND63LLSM9X5SFRG117" hidden="1">#REF!</definedName>
    <definedName name="BExY1WAT3937L08HLHIRQHMP2A3H" hidden="1">#REF!</definedName>
    <definedName name="BExY1YEBOSLMID7LURP8QB46AI91" hidden="1">#REF!</definedName>
    <definedName name="BExY2FS4LFX9OHOTQT7SJ2PXAC25" hidden="1">#REF!</definedName>
    <definedName name="BExY2GDPCZPVU0IQ6IJIB1YQQRQ6" hidden="1">#REF!</definedName>
    <definedName name="BExY2GTSZ3VA9TXLY7KW1LIAKJ61" hidden="1">#REF!</definedName>
    <definedName name="BExY2IXBR1SGYZH08T7QHKEFS8HA" hidden="1">#REF!</definedName>
    <definedName name="BExY2Q4B5FUDA5VU4VRUHX327QN0" hidden="1">#REF!</definedName>
    <definedName name="BExY3HOSK7YI364K15OX70AVR6F1" hidden="1">#REF!</definedName>
    <definedName name="BExY3T89AUR83SOAZZ3OMDEJDQ39" hidden="1">#REF!</definedName>
    <definedName name="BExY4MG771JQ84EMIVB6HQGGHZY7" hidden="1">#REF!</definedName>
    <definedName name="BExY4PWCSFB8P3J3TBQB2MD67263" hidden="1">#REF!</definedName>
    <definedName name="BExY4RZW3KK11JLYBA4DWZ92M6LQ" hidden="1">#REF!</definedName>
    <definedName name="BExY4XOVTTNVZ577RLIEC7NZQFIX" hidden="1">#REF!</definedName>
    <definedName name="BExY50JAF5CG01GTHAUS7I4ZLUDC" hidden="1">#REF!</definedName>
    <definedName name="BExY53J7EXFEOFTRNAHLK7IH3ACB" hidden="1">#REF!</definedName>
    <definedName name="BExY5515SJTJS3VM80M3YYR0WF37" hidden="1">#REF!</definedName>
    <definedName name="BExY5515WE39FQ3EG5QHG67V9C0O" hidden="1">#REF!</definedName>
    <definedName name="BExY5986WNAD8NFCPXC9TVLBU4FG" hidden="1">#REF!</definedName>
    <definedName name="BExY5DF9MS25IFNWGJ1YAS5MDN8R" hidden="1">#REF!</definedName>
    <definedName name="BExY5ERVGL3UM2MGT8LJ0XPKTZEK" hidden="1">#REF!</definedName>
    <definedName name="BExY5EX6NJFK8W754ZVZDN5DS04K" hidden="1">#REF!</definedName>
    <definedName name="BExY5S3XD1NJT109CV54IFOHVLQ6" hidden="1">#REF!</definedName>
    <definedName name="BExY5TB2VAI3GHKCPXMCVIOM8B8W" hidden="1">#REF!</definedName>
    <definedName name="BExY6KVS1MMZ2R34PGEFR2BMTU9W" hidden="1">#REF!</definedName>
    <definedName name="BExY6Q9YY7LW745GP7CYOGGSPHGE" hidden="1">#REF!</definedName>
    <definedName name="BExZIA3C8LKJTEH3MKQ57KJH5TA2" hidden="1">#REF!</definedName>
    <definedName name="BExZIIHH3QNQE3GFMHEE4UMHY6WQ" hidden="1">#REF!</definedName>
    <definedName name="BExZIYO22G5UXOB42GDLYGVRJ6U7" hidden="1">#REF!</definedName>
    <definedName name="BExZJ7I9T8XU4MZRKJ1VVU76V2LZ" hidden="1">#REF!</definedName>
    <definedName name="BExZJMY170JCUU1RWASNZ1HJPRTA" hidden="1">#REF!</definedName>
    <definedName name="BExZJOQR77H0P4SUKVYACDCFBBXO" hidden="1">#REF!</definedName>
    <definedName name="BExZJS6RG34ODDY9HMZ0O34MEMSB" hidden="1">#REF!</definedName>
    <definedName name="BExZK34NR4BAD7HJAP7SQ926UQP3" hidden="1">#REF!</definedName>
    <definedName name="BExZK3FGPHH5H771U7D5XY7XBS6E" hidden="1">#REF!</definedName>
    <definedName name="BExZK7RUIIMRTV84HHMO9480D642" hidden="1">#REF!</definedName>
    <definedName name="BExZKHYORG3O8C772XPFHM1N8T80" hidden="1">#REF!</definedName>
    <definedName name="BExZKJRF2IRR57DG9CLC7MSHWNNN" hidden="1">#REF!</definedName>
    <definedName name="BExZKV5GYXO0X760SBD9TWTIQHGI" hidden="1">#REF!</definedName>
    <definedName name="BExZL6E4YVXRUN7ZGF2BIGIXFR8K" hidden="1">#REF!</definedName>
    <definedName name="BExZLGVLMKTPFXG42QYT0PO81G7F" hidden="1">#REF!</definedName>
    <definedName name="BExZLKMK7LRK14S09WLMH7MXSQXM" hidden="1">#REF!</definedName>
    <definedName name="BExZM7JVLG0W8EG5RBU915U3SKBY" hidden="1">#REF!</definedName>
    <definedName name="BExZM85FOVUFF110XMQ9O2ODSJUK" hidden="1">#REF!</definedName>
    <definedName name="BExZMF1MMTZ1TA14PZ8ASSU2CBSP" hidden="1">#REF!</definedName>
    <definedName name="BExZMKL5YQZD7F0FUCSVFGLPFK52" hidden="1">#REF!</definedName>
    <definedName name="BExZMOC3VNZALJM71X2T6FV91GTB" hidden="1">#REF!</definedName>
    <definedName name="BExZMXH39OB0I43XEL3K11U3G9PM" hidden="1">#REF!</definedName>
    <definedName name="BExZMZQ3RBKDHT5GLFNLS52OSJA0" hidden="1">#REF!</definedName>
    <definedName name="BExZN2F7Y2J2L2LN5WZRG949MS4A" hidden="1">#REF!</definedName>
    <definedName name="BExZN59MANAYGTY7X2AY1KNVPO0G" hidden="1">#REF!</definedName>
    <definedName name="BExZN847WUWKRYTZWG9TCQZJS3OL" hidden="1">#REF!</definedName>
    <definedName name="BExZNH3VISFF4NQI11BZDP5IQ7VG" hidden="1">#REF!</definedName>
    <definedName name="BExZNJYCFYVMAOI62GB2BABK1ELE" hidden="1">#REF!</definedName>
    <definedName name="BExZNV707LIU6Z5H6QI6H67LHTI1" hidden="1">#REF!</definedName>
    <definedName name="BExZNVCBKB930QQ9QW7KSGOZ0V1M" hidden="1">#REF!</definedName>
    <definedName name="BExZNW8QJ18X0RSGFDWAE9ZSDX39" hidden="1">#REF!</definedName>
    <definedName name="BExZNZDWRS6Q40L8OCWFEIVI0A1O" hidden="1">#REF!</definedName>
    <definedName name="BExZOBO9NYLGVJQ31LVQ9XS2ZT4N" hidden="1">#REF!</definedName>
    <definedName name="BExZOBOAO0PSV1JH0Q8H8LFCVNH9" hidden="1">#REF!</definedName>
    <definedName name="BExZOETNB1CJ3Y2RKLI1ZK0S8Z6H" hidden="1">#REF!</definedName>
    <definedName name="BExZOL9K1RUXBTLZ6FJ65BIE9G5R" hidden="1">#REF!</definedName>
    <definedName name="BExZOREMVSK4E5VSWM838KHUB8AI" hidden="1">#REF!</definedName>
    <definedName name="BExZOVR745T5P1KS9NV2PXZPZVRG" hidden="1">#REF!</definedName>
    <definedName name="BExZOZSWGLSY2XYVRIS6VSNJDSGD" hidden="1">#REF!</definedName>
    <definedName name="BExZP7AIJKLM6C6CSUIIFAHFBNX2" hidden="1">#REF!</definedName>
    <definedName name="BExZPQ0XY507N8FJMVPKCTK8HC9H" hidden="1">#REF!</definedName>
    <definedName name="BExZQ37OVBR25U32CO2YYVPZOMR5" hidden="1">#REF!</definedName>
    <definedName name="BExZQ3IHNAFF2HI20IH754T349LH" hidden="1">#REF!</definedName>
    <definedName name="BExZQ3NT7H06VO0AR48WHZULZB93" hidden="1">#REF!</definedName>
    <definedName name="BExZQ7PJU07SEJMDX18U9YVDC2GU" hidden="1">#REF!</definedName>
    <definedName name="BExZQIHTGHK7OOI2Y2PN3JYBY82I" hidden="1">#REF!</definedName>
    <definedName name="BExZQJJMGU5MHQOILGXGJPAQI5XI" hidden="1">#REF!</definedName>
    <definedName name="BExZQT4X667L4LR7BMPQAFS147OI" hidden="1">#REF!</definedName>
    <definedName name="BExZQXBYEBN28QUH1KOVW6KKA5UM" hidden="1">#REF!</definedName>
    <definedName name="BExZQZKT146WEN8FTVZ7Y5TSB8L5" hidden="1">#REF!</definedName>
    <definedName name="BExZR485AKBH93YZ08CMUC3WROED" hidden="1">#REF!</definedName>
    <definedName name="BExZR7TL98P2PPUVGIZYR5873DWW" hidden="1">#REF!</definedName>
    <definedName name="BExZRGD1603X5ACFALUUDKCD7X48" hidden="1">#REF!</definedName>
    <definedName name="BExZRP1X6UVLN1UOLHH5VF4STP1O" hidden="1">#REF!</definedName>
    <definedName name="BExZRQ930U6OCYNV00CH5I0Q4LPE" hidden="1">#REF!</definedName>
    <definedName name="BExZRW8W514W8OZ72YBONYJ64GXF" hidden="1">#REF!</definedName>
    <definedName name="BExZRWJP2BUVFJPO8U8ATQEP0LZU" hidden="1">#REF!</definedName>
    <definedName name="BExZS2OY9JTSSP01ZQ6V2T2LO5R9" hidden="1">#REF!</definedName>
    <definedName name="BExZS76SFN05U0LGEPNPS4V1IMOM" hidden="1">#REF!</definedName>
    <definedName name="BExZSI9USDLZAN8LI8M4YYQL24GZ" hidden="1">#REF!</definedName>
    <definedName name="BExZSS0LA2JY4ZLJ1Z5YCMLJJZCH" hidden="1">#REF!</definedName>
    <definedName name="BExZTAQV2QVSZY5Y3VCCWUBSBW9P" hidden="1">#REF!</definedName>
    <definedName name="BExZTHSI2FX56PWRSNX9H5EWTZFO" hidden="1">#REF!</definedName>
    <definedName name="BExZTJL3HVBFY139H6CJHEQCT1EL" hidden="1">#REF!</definedName>
    <definedName name="BExZTLOL8OPABZI453E0KVNA1GJS" hidden="1">#REF!</definedName>
    <definedName name="BExZTT6J3X0TOX0ZY6YPLUVMCW9X" hidden="1">#REF!</definedName>
    <definedName name="BExZTW6ECBRA0BBITWBQ8R93RMCL" hidden="1">#REF!</definedName>
    <definedName name="BExZU2BHYAOKSCBM3C5014ZF6IXS" hidden="1">#REF!</definedName>
    <definedName name="BExZU2RMJTXOCS0ROPMYPE6WTD87" hidden="1">#REF!</definedName>
    <definedName name="BExZUF7G8FENTJKH9R1XUWXM6CWD" hidden="1">#REF!</definedName>
    <definedName name="BExZUNARUJBIZ08VCAV3GEVBIR3D" hidden="1">#REF!</definedName>
    <definedName name="BExZUSZT5496UMBP4LFSLTR1GVEW" hidden="1">#REF!</definedName>
    <definedName name="BExZUT54340I38GVCV79EL116WR0" hidden="1">#REF!</definedName>
    <definedName name="BExZUV3ACAZABSMZYGVC7ZNEVMZM" hidden="1">#REF!</definedName>
    <definedName name="BExZUYDULCX65H9OZ9JHPBNKF3MI" hidden="1">#REF!</definedName>
    <definedName name="BExZV2QD5ZDK3AGDRULLA7JB46C3" hidden="1">#REF!</definedName>
    <definedName name="BExZVBQ29OM0V8XAL3HL0JIM0MMU" hidden="1">#REF!</definedName>
    <definedName name="BExZVEPYS6HYXG8RN9GMWZTHDEMK" hidden="1">#REF!</definedName>
    <definedName name="BExZVLM4T9ORS4ZWHME46U4Q103C" hidden="1">#REF!</definedName>
    <definedName name="BExZVM7OZWPPRH5YQW50EYMMIW1A" hidden="1">#REF!</definedName>
    <definedName name="BExZVPYGX2C5OSHMZ6F0KBKZ6B1S" hidden="1">#REF!</definedName>
    <definedName name="BExZW5UARC8W9AQNLJX2I5WQWS5F" hidden="1">#REF!</definedName>
    <definedName name="BExZW7HRGN6A9YS41KI2B2UUMJ7X" hidden="1">#REF!</definedName>
    <definedName name="BExZW8ZPNV43UXGOT98FDNIBQHZY" hidden="1">#REF!</definedName>
    <definedName name="BExZWKZ5N3RDXU8MZ8HQVYYD8O0F" hidden="1">#REF!</definedName>
    <definedName name="BExZWSMC9T48W74GFGQCIUJ8ZPP3" hidden="1">#REF!</definedName>
    <definedName name="BExZWTO72LGNUTF5DW85MQKXFW11" hidden="1">#REF!</definedName>
    <definedName name="BExZWUF2V4HY3HI8JN9ZVPRWK1H3" hidden="1">#REF!</definedName>
    <definedName name="BExZWX45URTK9KYDJHEXL1OTZ833" hidden="1">#REF!</definedName>
    <definedName name="BExZX0EWQEZO86WDAD9A4EAEZ012" hidden="1">#REF!</definedName>
    <definedName name="BExZX2T6ZT2DZLYSDJJBPVIT5OK2" hidden="1">#REF!</definedName>
    <definedName name="BExZXOJDELULNLEH7WG0OYJT0NJ4" hidden="1">#REF!</definedName>
    <definedName name="BExZXOOTRNUK8LGEAZ8ZCFW9KXQ1" hidden="1">#REF!</definedName>
    <definedName name="BExZXT6JOXNKEDU23DKL8XZAJZIH" hidden="1">#REF!</definedName>
    <definedName name="BExZXUTYW1HWEEZ1LIX4OQWC7HL1" hidden="1">#REF!</definedName>
    <definedName name="BExZXY4NKQL9QD76YMQJ15U1C2G8" hidden="1">#REF!</definedName>
    <definedName name="BExZXYQ7U5G08FQGUIGYT14QCBOF" hidden="1">#REF!</definedName>
    <definedName name="BExZY02V77YJBMODJSWZOYCMPS5X" hidden="1">#REF!</definedName>
    <definedName name="BExZY49QRZIR6CA41LFA9LM6EULU" hidden="1">#REF!</definedName>
    <definedName name="BExZZ2FQA9A8C7CJKMEFQ9VPSLCE" hidden="1">#REF!</definedName>
    <definedName name="BExZZCHAVHW8C2H649KRGVQ0WVRT" hidden="1">#REF!</definedName>
    <definedName name="BExZZTK54OTLF2YB68BHGOS27GEN" hidden="1">#REF!</definedName>
    <definedName name="BExZZXB3JQQG4SIZS4MRU6NNW7HI" hidden="1">#REF!</definedName>
    <definedName name="BExZZZEMIIFKMLLV4DJKX5TB9R5V" hidden="1">#REF!</definedName>
    <definedName name="BG_Del" hidden="1">15</definedName>
    <definedName name="BG_Ins" hidden="1">4</definedName>
    <definedName name="BG_Mod" hidden="1">6</definedName>
    <definedName name="BLPH4" hidden="1">#REF!</definedName>
    <definedName name="BNE_MESSAGES_HIDDEN" hidden="1">#REF!</definedName>
    <definedName name="budget" hidden="1">{#N/A,#N/A,FALSE,"COVER1.XLS ";#N/A,#N/A,FALSE,"RACT1.XLS";#N/A,#N/A,FALSE,"RACT2.XLS";#N/A,#N/A,FALSE,"ECCMP";#N/A,#N/A,FALSE,"WELDER.XLS"}</definedName>
    <definedName name="budget_1" hidden="1">{#N/A,#N/A,FALSE,"COVER1.XLS ";#N/A,#N/A,FALSE,"RACT1.XLS";#N/A,#N/A,FALSE,"RACT2.XLS";#N/A,#N/A,FALSE,"ECCMP";#N/A,#N/A,FALSE,"WELDER.XLS"}</definedName>
    <definedName name="budget_2" hidden="1">{#N/A,#N/A,FALSE,"COVER1.XLS ";#N/A,#N/A,FALSE,"RACT1.XLS";#N/A,#N/A,FALSE,"RACT2.XLS";#N/A,#N/A,FALSE,"ECCMP";#N/A,#N/A,FALSE,"WELDER.XLS"}</definedName>
    <definedName name="budget_3" hidden="1">{#N/A,#N/A,FALSE,"COVER1.XLS ";#N/A,#N/A,FALSE,"RACT1.XLS";#N/A,#N/A,FALSE,"RACT2.XLS";#N/A,#N/A,FALSE,"ECCMP";#N/A,#N/A,FALSE,"WELDER.XLS"}</definedName>
    <definedName name="budget_4" hidden="1">{#N/A,#N/A,FALSE,"COVER1.XLS ";#N/A,#N/A,FALSE,"RACT1.XLS";#N/A,#N/A,FALSE,"RACT2.XLS";#N/A,#N/A,FALSE,"ECCMP";#N/A,#N/A,FALSE,"WELDER.XLS"}</definedName>
    <definedName name="budget_5" hidden="1">{#N/A,#N/A,FALSE,"COVER1.XLS ";#N/A,#N/A,FALSE,"RACT1.XLS";#N/A,#N/A,FALSE,"RACT2.XLS";#N/A,#N/A,FALSE,"ECCMP";#N/A,#N/A,FALSE,"WELDER.XLS"}</definedName>
    <definedName name="capex_budget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_1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_2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_3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_4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_5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1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1_1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1_2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1_3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1_4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pex_budget1_5" hidden="1">{#N/A,#N/A,FALSE,"Title";#N/A,#N/A,FALSE,"Corp b sheet";#N/A,#N/A,FALSE,"MODIFIED Pl";#N/A,#N/A,FALSE,"Balance Sheet";#N/A,#N/A,FALSE,"Profit and Loss";#N/A,#N/A,FALSE,"Supplement info";#N/A,#N/A,FALSE,"Cashflow";#N/A,#N/A,FALSE,"Asspc Co - Inv Schedule";#N/A,#N/A,FALSE,"kpi"}</definedName>
    <definedName name="CASF" hidden="1">[6]COMPLEXALL!#REF!</definedName>
    <definedName name="CashflowRO_Codes" hidden="1">#REF!</definedName>
    <definedName name="CashflowRO_Details" hidden="1">#REF!</definedName>
    <definedName name="cbu" hidden="1">{#N/A,#N/A,FALSE,"COVER.XLS";#N/A,#N/A,FALSE,"RACT1.XLS";#N/A,#N/A,FALSE,"RACT2.XLS";#N/A,#N/A,FALSE,"ECCMP";#N/A,#N/A,FALSE,"WELDER.XLS"}</definedName>
    <definedName name="cbu_1" hidden="1">{#N/A,#N/A,FALSE,"COVER.XLS";#N/A,#N/A,FALSE,"RACT1.XLS";#N/A,#N/A,FALSE,"RACT2.XLS";#N/A,#N/A,FALSE,"ECCMP";#N/A,#N/A,FALSE,"WELDER.XLS"}</definedName>
    <definedName name="cbu_1_1" hidden="1">{#N/A,#N/A,FALSE,"COVER.XLS";#N/A,#N/A,FALSE,"RACT1.XLS";#N/A,#N/A,FALSE,"RACT2.XLS";#N/A,#N/A,FALSE,"ECCMP";#N/A,#N/A,FALSE,"WELDER.XLS"}</definedName>
    <definedName name="cbu_1_2" hidden="1">{#N/A,#N/A,FALSE,"COVER.XLS";#N/A,#N/A,FALSE,"RACT1.XLS";#N/A,#N/A,FALSE,"RACT2.XLS";#N/A,#N/A,FALSE,"ECCMP";#N/A,#N/A,FALSE,"WELDER.XLS"}</definedName>
    <definedName name="cbu_1_3" hidden="1">{#N/A,#N/A,FALSE,"COVER.XLS";#N/A,#N/A,FALSE,"RACT1.XLS";#N/A,#N/A,FALSE,"RACT2.XLS";#N/A,#N/A,FALSE,"ECCMP";#N/A,#N/A,FALSE,"WELDER.XLS"}</definedName>
    <definedName name="cbu_1_4" hidden="1">{#N/A,#N/A,FALSE,"COVER.XLS";#N/A,#N/A,FALSE,"RACT1.XLS";#N/A,#N/A,FALSE,"RACT2.XLS";#N/A,#N/A,FALSE,"ECCMP";#N/A,#N/A,FALSE,"WELDER.XLS"}</definedName>
    <definedName name="cbu_1_5" hidden="1">{#N/A,#N/A,FALSE,"COVER.XLS";#N/A,#N/A,FALSE,"RACT1.XLS";#N/A,#N/A,FALSE,"RACT2.XLS";#N/A,#N/A,FALSE,"ECCMP";#N/A,#N/A,FALSE,"WELDER.XLS"}</definedName>
    <definedName name="cbu_2" hidden="1">{#N/A,#N/A,FALSE,"COVER.XLS";#N/A,#N/A,FALSE,"RACT1.XLS";#N/A,#N/A,FALSE,"RACT2.XLS";#N/A,#N/A,FALSE,"ECCMP";#N/A,#N/A,FALSE,"WELDER.XLS"}</definedName>
    <definedName name="cbu_2_1" hidden="1">{#N/A,#N/A,FALSE,"COVER.XLS";#N/A,#N/A,FALSE,"RACT1.XLS";#N/A,#N/A,FALSE,"RACT2.XLS";#N/A,#N/A,FALSE,"ECCMP";#N/A,#N/A,FALSE,"WELDER.XLS"}</definedName>
    <definedName name="cbu_2_2" hidden="1">{#N/A,#N/A,FALSE,"COVER.XLS";#N/A,#N/A,FALSE,"RACT1.XLS";#N/A,#N/A,FALSE,"RACT2.XLS";#N/A,#N/A,FALSE,"ECCMP";#N/A,#N/A,FALSE,"WELDER.XLS"}</definedName>
    <definedName name="cbu_2_3" hidden="1">{#N/A,#N/A,FALSE,"COVER.XLS";#N/A,#N/A,FALSE,"RACT1.XLS";#N/A,#N/A,FALSE,"RACT2.XLS";#N/A,#N/A,FALSE,"ECCMP";#N/A,#N/A,FALSE,"WELDER.XLS"}</definedName>
    <definedName name="cbu_2_4" hidden="1">{#N/A,#N/A,FALSE,"COVER.XLS";#N/A,#N/A,FALSE,"RACT1.XLS";#N/A,#N/A,FALSE,"RACT2.XLS";#N/A,#N/A,FALSE,"ECCMP";#N/A,#N/A,FALSE,"WELDER.XLS"}</definedName>
    <definedName name="cbu_2_5" hidden="1">{#N/A,#N/A,FALSE,"COVER.XLS";#N/A,#N/A,FALSE,"RACT1.XLS";#N/A,#N/A,FALSE,"RACT2.XLS";#N/A,#N/A,FALSE,"ECCMP";#N/A,#N/A,FALSE,"WELDER.XLS"}</definedName>
    <definedName name="cbu_3" hidden="1">{#N/A,#N/A,FALSE,"COVER.XLS";#N/A,#N/A,FALSE,"RACT1.XLS";#N/A,#N/A,FALSE,"RACT2.XLS";#N/A,#N/A,FALSE,"ECCMP";#N/A,#N/A,FALSE,"WELDER.XLS"}</definedName>
    <definedName name="cbu_4" hidden="1">{#N/A,#N/A,FALSE,"COVER.XLS";#N/A,#N/A,FALSE,"RACT1.XLS";#N/A,#N/A,FALSE,"RACT2.XLS";#N/A,#N/A,FALSE,"ECCMP";#N/A,#N/A,FALSE,"WELDER.XLS"}</definedName>
    <definedName name="cbu_5" hidden="1">{#N/A,#N/A,FALSE,"COVER.XLS";#N/A,#N/A,FALSE,"RACT1.XLS";#N/A,#N/A,FALSE,"RACT2.XLS";#N/A,#N/A,FALSE,"ECCMP";#N/A,#N/A,FALSE,"WELDER.XLS"}</definedName>
    <definedName name="cc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c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c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c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c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c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cd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du" hidden="1">{#N/A,#N/A,FALSE,"COVER.XLS";#N/A,#N/A,FALSE,"RACT1.XLS";#N/A,#N/A,FALSE,"RACT2.XLS";#N/A,#N/A,FALSE,"ECCMP";#N/A,#N/A,FALSE,"WELDER.XLS"}</definedName>
    <definedName name="cdu_1" hidden="1">{#N/A,#N/A,FALSE,"COVER.XLS";#N/A,#N/A,FALSE,"RACT1.XLS";#N/A,#N/A,FALSE,"RACT2.XLS";#N/A,#N/A,FALSE,"ECCMP";#N/A,#N/A,FALSE,"WELDER.XLS"}</definedName>
    <definedName name="cdu_1_1" hidden="1">{#N/A,#N/A,FALSE,"COVER.XLS";#N/A,#N/A,FALSE,"RACT1.XLS";#N/A,#N/A,FALSE,"RACT2.XLS";#N/A,#N/A,FALSE,"ECCMP";#N/A,#N/A,FALSE,"WELDER.XLS"}</definedName>
    <definedName name="cdu_1_2" hidden="1">{#N/A,#N/A,FALSE,"COVER.XLS";#N/A,#N/A,FALSE,"RACT1.XLS";#N/A,#N/A,FALSE,"RACT2.XLS";#N/A,#N/A,FALSE,"ECCMP";#N/A,#N/A,FALSE,"WELDER.XLS"}</definedName>
    <definedName name="cdu_1_3" hidden="1">{#N/A,#N/A,FALSE,"COVER.XLS";#N/A,#N/A,FALSE,"RACT1.XLS";#N/A,#N/A,FALSE,"RACT2.XLS";#N/A,#N/A,FALSE,"ECCMP";#N/A,#N/A,FALSE,"WELDER.XLS"}</definedName>
    <definedName name="cdu_1_4" hidden="1">{#N/A,#N/A,FALSE,"COVER.XLS";#N/A,#N/A,FALSE,"RACT1.XLS";#N/A,#N/A,FALSE,"RACT2.XLS";#N/A,#N/A,FALSE,"ECCMP";#N/A,#N/A,FALSE,"WELDER.XLS"}</definedName>
    <definedName name="cdu_1_5" hidden="1">{#N/A,#N/A,FALSE,"COVER.XLS";#N/A,#N/A,FALSE,"RACT1.XLS";#N/A,#N/A,FALSE,"RACT2.XLS";#N/A,#N/A,FALSE,"ECCMP";#N/A,#N/A,FALSE,"WELDER.XLS"}</definedName>
    <definedName name="cdu_2" hidden="1">{#N/A,#N/A,FALSE,"COVER.XLS";#N/A,#N/A,FALSE,"RACT1.XLS";#N/A,#N/A,FALSE,"RACT2.XLS";#N/A,#N/A,FALSE,"ECCMP";#N/A,#N/A,FALSE,"WELDER.XLS"}</definedName>
    <definedName name="cdu_2_1" hidden="1">{#N/A,#N/A,FALSE,"COVER.XLS";#N/A,#N/A,FALSE,"RACT1.XLS";#N/A,#N/A,FALSE,"RACT2.XLS";#N/A,#N/A,FALSE,"ECCMP";#N/A,#N/A,FALSE,"WELDER.XLS"}</definedName>
    <definedName name="cdu_2_2" hidden="1">{#N/A,#N/A,FALSE,"COVER.XLS";#N/A,#N/A,FALSE,"RACT1.XLS";#N/A,#N/A,FALSE,"RACT2.XLS";#N/A,#N/A,FALSE,"ECCMP";#N/A,#N/A,FALSE,"WELDER.XLS"}</definedName>
    <definedName name="cdu_2_3" hidden="1">{#N/A,#N/A,FALSE,"COVER.XLS";#N/A,#N/A,FALSE,"RACT1.XLS";#N/A,#N/A,FALSE,"RACT2.XLS";#N/A,#N/A,FALSE,"ECCMP";#N/A,#N/A,FALSE,"WELDER.XLS"}</definedName>
    <definedName name="cdu_2_4" hidden="1">{#N/A,#N/A,FALSE,"COVER.XLS";#N/A,#N/A,FALSE,"RACT1.XLS";#N/A,#N/A,FALSE,"RACT2.XLS";#N/A,#N/A,FALSE,"ECCMP";#N/A,#N/A,FALSE,"WELDER.XLS"}</definedName>
    <definedName name="cdu_2_5" hidden="1">{#N/A,#N/A,FALSE,"COVER.XLS";#N/A,#N/A,FALSE,"RACT1.XLS";#N/A,#N/A,FALSE,"RACT2.XLS";#N/A,#N/A,FALSE,"ECCMP";#N/A,#N/A,FALSE,"WELDER.XLS"}</definedName>
    <definedName name="cdu_3" hidden="1">{#N/A,#N/A,FALSE,"COVER.XLS";#N/A,#N/A,FALSE,"RACT1.XLS";#N/A,#N/A,FALSE,"RACT2.XLS";#N/A,#N/A,FALSE,"ECCMP";#N/A,#N/A,FALSE,"WELDER.XLS"}</definedName>
    <definedName name="cdu_4" hidden="1">{#N/A,#N/A,FALSE,"COVER.XLS";#N/A,#N/A,FALSE,"RACT1.XLS";#N/A,#N/A,FALSE,"RACT2.XLS";#N/A,#N/A,FALSE,"ECCMP";#N/A,#N/A,FALSE,"WELDER.XLS"}</definedName>
    <definedName name="cdu_5" hidden="1">{#N/A,#N/A,FALSE,"COVER.XLS";#N/A,#N/A,FALSE,"RACT1.XLS";#N/A,#N/A,FALSE,"RACT2.XLS";#N/A,#N/A,FALSE,"ECCMP";#N/A,#N/A,FALSE,"WELDER.XLS"}</definedName>
    <definedName name="CHHANELS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CIQWBGuid" hidden="1">"b846bccc-5f00-4e50-ac74-6ab111abd827"</definedName>
    <definedName name="crador" hidden="1">{"'kpi2-1'!$E$4"}</definedName>
    <definedName name="CR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s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s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s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s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riticals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CURVE" hidden="1">{#N/A,#N/A,FALSE,"COVER1.XLS ";#N/A,#N/A,FALSE,"RACT1.XLS";#N/A,#N/A,FALSE,"RACT2.XLS";#N/A,#N/A,FALSE,"ECCMP";#N/A,#N/A,FALSE,"WELDER.XLS"}</definedName>
    <definedName name="CURVE_1" hidden="1">{#N/A,#N/A,FALSE,"COVER1.XLS ";#N/A,#N/A,FALSE,"RACT1.XLS";#N/A,#N/A,FALSE,"RACT2.XLS";#N/A,#N/A,FALSE,"ECCMP";#N/A,#N/A,FALSE,"WELDER.XLS"}</definedName>
    <definedName name="CURVE_1_1" hidden="1">{#N/A,#N/A,FALSE,"COVER1.XLS ";#N/A,#N/A,FALSE,"RACT1.XLS";#N/A,#N/A,FALSE,"RACT2.XLS";#N/A,#N/A,FALSE,"ECCMP";#N/A,#N/A,FALSE,"WELDER.XLS"}</definedName>
    <definedName name="CURVE_1_2" hidden="1">{#N/A,#N/A,FALSE,"COVER1.XLS ";#N/A,#N/A,FALSE,"RACT1.XLS";#N/A,#N/A,FALSE,"RACT2.XLS";#N/A,#N/A,FALSE,"ECCMP";#N/A,#N/A,FALSE,"WELDER.XLS"}</definedName>
    <definedName name="CURVE_1_3" hidden="1">{#N/A,#N/A,FALSE,"COVER1.XLS ";#N/A,#N/A,FALSE,"RACT1.XLS";#N/A,#N/A,FALSE,"RACT2.XLS";#N/A,#N/A,FALSE,"ECCMP";#N/A,#N/A,FALSE,"WELDER.XLS"}</definedName>
    <definedName name="CURVE_1_4" hidden="1">{#N/A,#N/A,FALSE,"COVER1.XLS ";#N/A,#N/A,FALSE,"RACT1.XLS";#N/A,#N/A,FALSE,"RACT2.XLS";#N/A,#N/A,FALSE,"ECCMP";#N/A,#N/A,FALSE,"WELDER.XLS"}</definedName>
    <definedName name="CURVE_1_5" hidden="1">{#N/A,#N/A,FALSE,"COVER1.XLS ";#N/A,#N/A,FALSE,"RACT1.XLS";#N/A,#N/A,FALSE,"RACT2.XLS";#N/A,#N/A,FALSE,"ECCMP";#N/A,#N/A,FALSE,"WELDER.XLS"}</definedName>
    <definedName name="CURVE_2" hidden="1">{#N/A,#N/A,FALSE,"COVER1.XLS ";#N/A,#N/A,FALSE,"RACT1.XLS";#N/A,#N/A,FALSE,"RACT2.XLS";#N/A,#N/A,FALSE,"ECCMP";#N/A,#N/A,FALSE,"WELDER.XLS"}</definedName>
    <definedName name="CURVE_2_1" hidden="1">{#N/A,#N/A,FALSE,"COVER1.XLS ";#N/A,#N/A,FALSE,"RACT1.XLS";#N/A,#N/A,FALSE,"RACT2.XLS";#N/A,#N/A,FALSE,"ECCMP";#N/A,#N/A,FALSE,"WELDER.XLS"}</definedName>
    <definedName name="CURVE_2_2" hidden="1">{#N/A,#N/A,FALSE,"COVER1.XLS ";#N/A,#N/A,FALSE,"RACT1.XLS";#N/A,#N/A,FALSE,"RACT2.XLS";#N/A,#N/A,FALSE,"ECCMP";#N/A,#N/A,FALSE,"WELDER.XLS"}</definedName>
    <definedName name="CURVE_2_3" hidden="1">{#N/A,#N/A,FALSE,"COVER1.XLS ";#N/A,#N/A,FALSE,"RACT1.XLS";#N/A,#N/A,FALSE,"RACT2.XLS";#N/A,#N/A,FALSE,"ECCMP";#N/A,#N/A,FALSE,"WELDER.XLS"}</definedName>
    <definedName name="CURVE_2_4" hidden="1">{#N/A,#N/A,FALSE,"COVER1.XLS ";#N/A,#N/A,FALSE,"RACT1.XLS";#N/A,#N/A,FALSE,"RACT2.XLS";#N/A,#N/A,FALSE,"ECCMP";#N/A,#N/A,FALSE,"WELDER.XLS"}</definedName>
    <definedName name="CURVE_2_5" hidden="1">{#N/A,#N/A,FALSE,"COVER1.XLS ";#N/A,#N/A,FALSE,"RACT1.XLS";#N/A,#N/A,FALSE,"RACT2.XLS";#N/A,#N/A,FALSE,"ECCMP";#N/A,#N/A,FALSE,"WELDER.XLS"}</definedName>
    <definedName name="CURVE_3" hidden="1">{#N/A,#N/A,FALSE,"COVER1.XLS ";#N/A,#N/A,FALSE,"RACT1.XLS";#N/A,#N/A,FALSE,"RACT2.XLS";#N/A,#N/A,FALSE,"ECCMP";#N/A,#N/A,FALSE,"WELDER.XLS"}</definedName>
    <definedName name="CURVE_4" hidden="1">{#N/A,#N/A,FALSE,"COVER1.XLS ";#N/A,#N/A,FALSE,"RACT1.XLS";#N/A,#N/A,FALSE,"RACT2.XLS";#N/A,#N/A,FALSE,"ECCMP";#N/A,#N/A,FALSE,"WELDER.XLS"}</definedName>
    <definedName name="CURVE_5" hidden="1">{#N/A,#N/A,FALSE,"COVER1.XLS ";#N/A,#N/A,FALSE,"RACT1.XLS";#N/A,#N/A,FALSE,"RACT2.XLS";#N/A,#N/A,FALSE,"ECCMP";#N/A,#N/A,FALSE,"WELDER.XLS"}</definedName>
    <definedName name="Cwvu.Overhead._.Detail." hidden="1">#REF!,#REF!,#REF!,#REF!,#REF!,#REF!,#REF!,#REF!,#REF!,#REF!</definedName>
    <definedName name="Cwvu.Profit._.report._.detailed." hidden="1">#REF!,#REF!,#REF!,#REF!,#REF!,#REF!,#REF!,#REF!,#REF!</definedName>
    <definedName name="da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rk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rk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rk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rk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ark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b" hidden="1">{#N/A,#N/A,FALSE,"COVER.XLS";#N/A,#N/A,FALSE,"RACT1.XLS";#N/A,#N/A,FALSE,"RACT2.XLS";#N/A,#N/A,FALSE,"ECCMP";#N/A,#N/A,FALSE,"WELDER.XLS"}</definedName>
    <definedName name="dd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ddffffdfd" hidden="1">{#N/A,#N/A,FALSE,"COVER1.XLS ";#N/A,#N/A,FALSE,"RACT1.XLS";#N/A,#N/A,FALSE,"RACT2.XLS";#N/A,#N/A,FALSE,"ECCMP";#N/A,#N/A,FALSE,"WELDER.XLS"}</definedName>
    <definedName name="DefExpNewBusDetails" hidden="1">#REF!</definedName>
    <definedName name="DefExpTendDetails" hidden="1">#REF!</definedName>
    <definedName name="DF" hidden="1">#REF!</definedName>
    <definedName name="DFGH" hidden="1">#REF!</definedName>
    <definedName name="dg" hidden="1">{#N/A,#N/A,FALSE,"COVER.XLS";#N/A,#N/A,FALSE,"RACT1.XLS";#N/A,#N/A,FALSE,"RACT2.XLS";#N/A,#N/A,FALSE,"ECCMP";#N/A,#N/A,FALSE,"WELDER.XLS"}</definedName>
    <definedName name="dg_1" hidden="1">{#N/A,#N/A,FALSE,"COVER.XLS";#N/A,#N/A,FALSE,"RACT1.XLS";#N/A,#N/A,FALSE,"RACT2.XLS";#N/A,#N/A,FALSE,"ECCMP";#N/A,#N/A,FALSE,"WELDER.XLS"}</definedName>
    <definedName name="dg_1_1" hidden="1">{#N/A,#N/A,FALSE,"COVER.XLS";#N/A,#N/A,FALSE,"RACT1.XLS";#N/A,#N/A,FALSE,"RACT2.XLS";#N/A,#N/A,FALSE,"ECCMP";#N/A,#N/A,FALSE,"WELDER.XLS"}</definedName>
    <definedName name="dg_1_2" hidden="1">{#N/A,#N/A,FALSE,"COVER.XLS";#N/A,#N/A,FALSE,"RACT1.XLS";#N/A,#N/A,FALSE,"RACT2.XLS";#N/A,#N/A,FALSE,"ECCMP";#N/A,#N/A,FALSE,"WELDER.XLS"}</definedName>
    <definedName name="dg_1_3" hidden="1">{#N/A,#N/A,FALSE,"COVER.XLS";#N/A,#N/A,FALSE,"RACT1.XLS";#N/A,#N/A,FALSE,"RACT2.XLS";#N/A,#N/A,FALSE,"ECCMP";#N/A,#N/A,FALSE,"WELDER.XLS"}</definedName>
    <definedName name="dg_1_4" hidden="1">{#N/A,#N/A,FALSE,"COVER.XLS";#N/A,#N/A,FALSE,"RACT1.XLS";#N/A,#N/A,FALSE,"RACT2.XLS";#N/A,#N/A,FALSE,"ECCMP";#N/A,#N/A,FALSE,"WELDER.XLS"}</definedName>
    <definedName name="dg_1_5" hidden="1">{#N/A,#N/A,FALSE,"COVER.XLS";#N/A,#N/A,FALSE,"RACT1.XLS";#N/A,#N/A,FALSE,"RACT2.XLS";#N/A,#N/A,FALSE,"ECCMP";#N/A,#N/A,FALSE,"WELDER.XLS"}</definedName>
    <definedName name="dg_2" hidden="1">{#N/A,#N/A,FALSE,"COVER.XLS";#N/A,#N/A,FALSE,"RACT1.XLS";#N/A,#N/A,FALSE,"RACT2.XLS";#N/A,#N/A,FALSE,"ECCMP";#N/A,#N/A,FALSE,"WELDER.XLS"}</definedName>
    <definedName name="dg_2_1" hidden="1">{#N/A,#N/A,FALSE,"COVER.XLS";#N/A,#N/A,FALSE,"RACT1.XLS";#N/A,#N/A,FALSE,"RACT2.XLS";#N/A,#N/A,FALSE,"ECCMP";#N/A,#N/A,FALSE,"WELDER.XLS"}</definedName>
    <definedName name="dg_2_2" hidden="1">{#N/A,#N/A,FALSE,"COVER.XLS";#N/A,#N/A,FALSE,"RACT1.XLS";#N/A,#N/A,FALSE,"RACT2.XLS";#N/A,#N/A,FALSE,"ECCMP";#N/A,#N/A,FALSE,"WELDER.XLS"}</definedName>
    <definedName name="dg_2_3" hidden="1">{#N/A,#N/A,FALSE,"COVER.XLS";#N/A,#N/A,FALSE,"RACT1.XLS";#N/A,#N/A,FALSE,"RACT2.XLS";#N/A,#N/A,FALSE,"ECCMP";#N/A,#N/A,FALSE,"WELDER.XLS"}</definedName>
    <definedName name="dg_2_4" hidden="1">{#N/A,#N/A,FALSE,"COVER.XLS";#N/A,#N/A,FALSE,"RACT1.XLS";#N/A,#N/A,FALSE,"RACT2.XLS";#N/A,#N/A,FALSE,"ECCMP";#N/A,#N/A,FALSE,"WELDER.XLS"}</definedName>
    <definedName name="dg_2_5" hidden="1">{#N/A,#N/A,FALSE,"COVER.XLS";#N/A,#N/A,FALSE,"RACT1.XLS";#N/A,#N/A,FALSE,"RACT2.XLS";#N/A,#N/A,FALSE,"ECCMP";#N/A,#N/A,FALSE,"WELDER.XLS"}</definedName>
    <definedName name="dg_3" hidden="1">{#N/A,#N/A,FALSE,"COVER.XLS";#N/A,#N/A,FALSE,"RACT1.XLS";#N/A,#N/A,FALSE,"RACT2.XLS";#N/A,#N/A,FALSE,"ECCMP";#N/A,#N/A,FALSE,"WELDER.XLS"}</definedName>
    <definedName name="dg_4" hidden="1">{#N/A,#N/A,FALSE,"COVER.XLS";#N/A,#N/A,FALSE,"RACT1.XLS";#N/A,#N/A,FALSE,"RACT2.XLS";#N/A,#N/A,FALSE,"ECCMP";#N/A,#N/A,FALSE,"WELDER.XLS"}</definedName>
    <definedName name="dg_5" hidden="1">{#N/A,#N/A,FALSE,"COVER.XLS";#N/A,#N/A,FALSE,"RACT1.XLS";#N/A,#N/A,FALSE,"RACT2.XLS";#N/A,#N/A,FALSE,"ECCMP";#N/A,#N/A,FALSE,"WELDER.XLS"}</definedName>
    <definedName name="dgfgfd" hidden="1">{#N/A,#N/A,FALSE,"COVER.XLS";#N/A,#N/A,FALSE,"RACT1.XLS";#N/A,#N/A,FALSE,"RACT2.XLS";#N/A,#N/A,FALSE,"ECCMP";#N/A,#N/A,FALSE,"WELDER.XLS"}</definedName>
    <definedName name="dgfgfd_1" hidden="1">{#N/A,#N/A,FALSE,"COVER.XLS";#N/A,#N/A,FALSE,"RACT1.XLS";#N/A,#N/A,FALSE,"RACT2.XLS";#N/A,#N/A,FALSE,"ECCMP";#N/A,#N/A,FALSE,"WELDER.XLS"}</definedName>
    <definedName name="dgfgfd_1_1" hidden="1">{#N/A,#N/A,FALSE,"COVER.XLS";#N/A,#N/A,FALSE,"RACT1.XLS";#N/A,#N/A,FALSE,"RACT2.XLS";#N/A,#N/A,FALSE,"ECCMP";#N/A,#N/A,FALSE,"WELDER.XLS"}</definedName>
    <definedName name="dgfgfd_1_2" hidden="1">{#N/A,#N/A,FALSE,"COVER.XLS";#N/A,#N/A,FALSE,"RACT1.XLS";#N/A,#N/A,FALSE,"RACT2.XLS";#N/A,#N/A,FALSE,"ECCMP";#N/A,#N/A,FALSE,"WELDER.XLS"}</definedName>
    <definedName name="dgfgfd_1_3" hidden="1">{#N/A,#N/A,FALSE,"COVER.XLS";#N/A,#N/A,FALSE,"RACT1.XLS";#N/A,#N/A,FALSE,"RACT2.XLS";#N/A,#N/A,FALSE,"ECCMP";#N/A,#N/A,FALSE,"WELDER.XLS"}</definedName>
    <definedName name="dgfgfd_1_4" hidden="1">{#N/A,#N/A,FALSE,"COVER.XLS";#N/A,#N/A,FALSE,"RACT1.XLS";#N/A,#N/A,FALSE,"RACT2.XLS";#N/A,#N/A,FALSE,"ECCMP";#N/A,#N/A,FALSE,"WELDER.XLS"}</definedName>
    <definedName name="dgfgfd_1_5" hidden="1">{#N/A,#N/A,FALSE,"COVER.XLS";#N/A,#N/A,FALSE,"RACT1.XLS";#N/A,#N/A,FALSE,"RACT2.XLS";#N/A,#N/A,FALSE,"ECCMP";#N/A,#N/A,FALSE,"WELDER.XLS"}</definedName>
    <definedName name="dgfgfd_2" hidden="1">{#N/A,#N/A,FALSE,"COVER.XLS";#N/A,#N/A,FALSE,"RACT1.XLS";#N/A,#N/A,FALSE,"RACT2.XLS";#N/A,#N/A,FALSE,"ECCMP";#N/A,#N/A,FALSE,"WELDER.XLS"}</definedName>
    <definedName name="dgfgfd_2_1" hidden="1">{#N/A,#N/A,FALSE,"COVER.XLS";#N/A,#N/A,FALSE,"RACT1.XLS";#N/A,#N/A,FALSE,"RACT2.XLS";#N/A,#N/A,FALSE,"ECCMP";#N/A,#N/A,FALSE,"WELDER.XLS"}</definedName>
    <definedName name="dgfgfd_2_2" hidden="1">{#N/A,#N/A,FALSE,"COVER.XLS";#N/A,#N/A,FALSE,"RACT1.XLS";#N/A,#N/A,FALSE,"RACT2.XLS";#N/A,#N/A,FALSE,"ECCMP";#N/A,#N/A,FALSE,"WELDER.XLS"}</definedName>
    <definedName name="dgfgfd_2_3" hidden="1">{#N/A,#N/A,FALSE,"COVER.XLS";#N/A,#N/A,FALSE,"RACT1.XLS";#N/A,#N/A,FALSE,"RACT2.XLS";#N/A,#N/A,FALSE,"ECCMP";#N/A,#N/A,FALSE,"WELDER.XLS"}</definedName>
    <definedName name="dgfgfd_2_4" hidden="1">{#N/A,#N/A,FALSE,"COVER.XLS";#N/A,#N/A,FALSE,"RACT1.XLS";#N/A,#N/A,FALSE,"RACT2.XLS";#N/A,#N/A,FALSE,"ECCMP";#N/A,#N/A,FALSE,"WELDER.XLS"}</definedName>
    <definedName name="dgfgfd_2_5" hidden="1">{#N/A,#N/A,FALSE,"COVER.XLS";#N/A,#N/A,FALSE,"RACT1.XLS";#N/A,#N/A,FALSE,"RACT2.XLS";#N/A,#N/A,FALSE,"ECCMP";#N/A,#N/A,FALSE,"WELDER.XLS"}</definedName>
    <definedName name="dgfgfd_3" hidden="1">{#N/A,#N/A,FALSE,"COVER.XLS";#N/A,#N/A,FALSE,"RACT1.XLS";#N/A,#N/A,FALSE,"RACT2.XLS";#N/A,#N/A,FALSE,"ECCMP";#N/A,#N/A,FALSE,"WELDER.XLS"}</definedName>
    <definedName name="dgfgfd_4" hidden="1">{#N/A,#N/A,FALSE,"COVER.XLS";#N/A,#N/A,FALSE,"RACT1.XLS";#N/A,#N/A,FALSE,"RACT2.XLS";#N/A,#N/A,FALSE,"ECCMP";#N/A,#N/A,FALSE,"WELDER.XLS"}</definedName>
    <definedName name="dgfgfd_5" hidden="1">{#N/A,#N/A,FALSE,"COVER.XLS";#N/A,#N/A,FALSE,"RACT1.XLS";#N/A,#N/A,FALSE,"RACT2.XLS";#N/A,#N/A,FALSE,"ECCMP";#N/A,#N/A,FALSE,"WELDER.XLS"}</definedName>
    <definedName name="distrib" hidden="1">{#N/A,#N/A,FALSE,"Sheet10"}</definedName>
    <definedName name="dividend" hidden="1">{#N/A,#N/A,FALSE,"Sheet5";#N/A,#N/A,FALSE,"Sheet5";#N/A,#N/A,FALSE,"Sheet5"}</definedName>
    <definedName name="dkfjal" hidden="1">#REF!</definedName>
    <definedName name="DME_Dirty" hidden="1">"False"</definedName>
    <definedName name="DME_LocalFile" hidden="1">"True"</definedName>
    <definedName name="dn" hidden="1">{#N/A,#N/A,FALSE,"COVER1.XLS ";#N/A,#N/A,FALSE,"RACT1.XLS";#N/A,#N/A,FALSE,"RACT2.XLS";#N/A,#N/A,FALSE,"ECCMP";#N/A,#N/A,FALSE,"WELDER.XLS"}</definedName>
    <definedName name="dn_1" hidden="1">{#N/A,#N/A,FALSE,"COVER1.XLS ";#N/A,#N/A,FALSE,"RACT1.XLS";#N/A,#N/A,FALSE,"RACT2.XLS";#N/A,#N/A,FALSE,"ECCMP";#N/A,#N/A,FALSE,"WELDER.XLS"}</definedName>
    <definedName name="dn_1_1" hidden="1">{#N/A,#N/A,FALSE,"COVER1.XLS ";#N/A,#N/A,FALSE,"RACT1.XLS";#N/A,#N/A,FALSE,"RACT2.XLS";#N/A,#N/A,FALSE,"ECCMP";#N/A,#N/A,FALSE,"WELDER.XLS"}</definedName>
    <definedName name="dn_1_2" hidden="1">{#N/A,#N/A,FALSE,"COVER1.XLS ";#N/A,#N/A,FALSE,"RACT1.XLS";#N/A,#N/A,FALSE,"RACT2.XLS";#N/A,#N/A,FALSE,"ECCMP";#N/A,#N/A,FALSE,"WELDER.XLS"}</definedName>
    <definedName name="dn_1_3" hidden="1">{#N/A,#N/A,FALSE,"COVER1.XLS ";#N/A,#N/A,FALSE,"RACT1.XLS";#N/A,#N/A,FALSE,"RACT2.XLS";#N/A,#N/A,FALSE,"ECCMP";#N/A,#N/A,FALSE,"WELDER.XLS"}</definedName>
    <definedName name="dn_1_4" hidden="1">{#N/A,#N/A,FALSE,"COVER1.XLS ";#N/A,#N/A,FALSE,"RACT1.XLS";#N/A,#N/A,FALSE,"RACT2.XLS";#N/A,#N/A,FALSE,"ECCMP";#N/A,#N/A,FALSE,"WELDER.XLS"}</definedName>
    <definedName name="dn_1_5" hidden="1">{#N/A,#N/A,FALSE,"COVER1.XLS ";#N/A,#N/A,FALSE,"RACT1.XLS";#N/A,#N/A,FALSE,"RACT2.XLS";#N/A,#N/A,FALSE,"ECCMP";#N/A,#N/A,FALSE,"WELDER.XLS"}</definedName>
    <definedName name="dn_2" hidden="1">{#N/A,#N/A,FALSE,"COVER1.XLS ";#N/A,#N/A,FALSE,"RACT1.XLS";#N/A,#N/A,FALSE,"RACT2.XLS";#N/A,#N/A,FALSE,"ECCMP";#N/A,#N/A,FALSE,"WELDER.XLS"}</definedName>
    <definedName name="dn_2_1" hidden="1">{#N/A,#N/A,FALSE,"COVER1.XLS ";#N/A,#N/A,FALSE,"RACT1.XLS";#N/A,#N/A,FALSE,"RACT2.XLS";#N/A,#N/A,FALSE,"ECCMP";#N/A,#N/A,FALSE,"WELDER.XLS"}</definedName>
    <definedName name="dn_2_2" hidden="1">{#N/A,#N/A,FALSE,"COVER1.XLS ";#N/A,#N/A,FALSE,"RACT1.XLS";#N/A,#N/A,FALSE,"RACT2.XLS";#N/A,#N/A,FALSE,"ECCMP";#N/A,#N/A,FALSE,"WELDER.XLS"}</definedName>
    <definedName name="dn_2_3" hidden="1">{#N/A,#N/A,FALSE,"COVER1.XLS ";#N/A,#N/A,FALSE,"RACT1.XLS";#N/A,#N/A,FALSE,"RACT2.XLS";#N/A,#N/A,FALSE,"ECCMP";#N/A,#N/A,FALSE,"WELDER.XLS"}</definedName>
    <definedName name="dn_2_4" hidden="1">{#N/A,#N/A,FALSE,"COVER1.XLS ";#N/A,#N/A,FALSE,"RACT1.XLS";#N/A,#N/A,FALSE,"RACT2.XLS";#N/A,#N/A,FALSE,"ECCMP";#N/A,#N/A,FALSE,"WELDER.XLS"}</definedName>
    <definedName name="dn_2_5" hidden="1">{#N/A,#N/A,FALSE,"COVER1.XLS ";#N/A,#N/A,FALSE,"RACT1.XLS";#N/A,#N/A,FALSE,"RACT2.XLS";#N/A,#N/A,FALSE,"ECCMP";#N/A,#N/A,FALSE,"WELDER.XLS"}</definedName>
    <definedName name="dn_3" hidden="1">{#N/A,#N/A,FALSE,"COVER1.XLS ";#N/A,#N/A,FALSE,"RACT1.XLS";#N/A,#N/A,FALSE,"RACT2.XLS";#N/A,#N/A,FALSE,"ECCMP";#N/A,#N/A,FALSE,"WELDER.XLS"}</definedName>
    <definedName name="dn_4" hidden="1">{#N/A,#N/A,FALSE,"COVER1.XLS ";#N/A,#N/A,FALSE,"RACT1.XLS";#N/A,#N/A,FALSE,"RACT2.XLS";#N/A,#N/A,FALSE,"ECCMP";#N/A,#N/A,FALSE,"WELDER.XLS"}</definedName>
    <definedName name="dn_5" hidden="1">{#N/A,#N/A,FALSE,"COVER1.XLS ";#N/A,#N/A,FALSE,"RACT1.XLS";#N/A,#N/A,FALSE,"RACT2.XLS";#N/A,#N/A,FALSE,"ECCMP";#N/A,#N/A,FALSE,"WELDER.XLS"}</definedName>
    <definedName name="DRE_P_Flor" hidden="1">#REF!</definedName>
    <definedName name="DRE_P_Trad" hidden="1">#REF!</definedName>
    <definedName name="ds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dsadaD" hidden="1">{#N/A,#N/A,FALSE,"COVER1.XLS ";#N/A,#N/A,FALSE,"RACT1.XLS";#N/A,#N/A,FALSE,"RACT2.XLS";#N/A,#N/A,FALSE,"ECCMP";#N/A,#N/A,FALSE,"WELDER.XLS"}</definedName>
    <definedName name="dsadaD_1" hidden="1">{#N/A,#N/A,FALSE,"COVER1.XLS ";#N/A,#N/A,FALSE,"RACT1.XLS";#N/A,#N/A,FALSE,"RACT2.XLS";#N/A,#N/A,FALSE,"ECCMP";#N/A,#N/A,FALSE,"WELDER.XLS"}</definedName>
    <definedName name="dsadaD_1_1" hidden="1">{#N/A,#N/A,FALSE,"COVER1.XLS ";#N/A,#N/A,FALSE,"RACT1.XLS";#N/A,#N/A,FALSE,"RACT2.XLS";#N/A,#N/A,FALSE,"ECCMP";#N/A,#N/A,FALSE,"WELDER.XLS"}</definedName>
    <definedName name="dsadaD_1_2" hidden="1">{#N/A,#N/A,FALSE,"COVER1.XLS ";#N/A,#N/A,FALSE,"RACT1.XLS";#N/A,#N/A,FALSE,"RACT2.XLS";#N/A,#N/A,FALSE,"ECCMP";#N/A,#N/A,FALSE,"WELDER.XLS"}</definedName>
    <definedName name="dsadaD_1_3" hidden="1">{#N/A,#N/A,FALSE,"COVER1.XLS ";#N/A,#N/A,FALSE,"RACT1.XLS";#N/A,#N/A,FALSE,"RACT2.XLS";#N/A,#N/A,FALSE,"ECCMP";#N/A,#N/A,FALSE,"WELDER.XLS"}</definedName>
    <definedName name="dsadaD_1_4" hidden="1">{#N/A,#N/A,FALSE,"COVER1.XLS ";#N/A,#N/A,FALSE,"RACT1.XLS";#N/A,#N/A,FALSE,"RACT2.XLS";#N/A,#N/A,FALSE,"ECCMP";#N/A,#N/A,FALSE,"WELDER.XLS"}</definedName>
    <definedName name="dsadaD_1_5" hidden="1">{#N/A,#N/A,FALSE,"COVER1.XLS ";#N/A,#N/A,FALSE,"RACT1.XLS";#N/A,#N/A,FALSE,"RACT2.XLS";#N/A,#N/A,FALSE,"ECCMP";#N/A,#N/A,FALSE,"WELDER.XLS"}</definedName>
    <definedName name="dsadaD_2" hidden="1">{#N/A,#N/A,FALSE,"COVER1.XLS ";#N/A,#N/A,FALSE,"RACT1.XLS";#N/A,#N/A,FALSE,"RACT2.XLS";#N/A,#N/A,FALSE,"ECCMP";#N/A,#N/A,FALSE,"WELDER.XLS"}</definedName>
    <definedName name="dsadaD_2_1" hidden="1">{#N/A,#N/A,FALSE,"COVER1.XLS ";#N/A,#N/A,FALSE,"RACT1.XLS";#N/A,#N/A,FALSE,"RACT2.XLS";#N/A,#N/A,FALSE,"ECCMP";#N/A,#N/A,FALSE,"WELDER.XLS"}</definedName>
    <definedName name="dsadaD_2_2" hidden="1">{#N/A,#N/A,FALSE,"COVER1.XLS ";#N/A,#N/A,FALSE,"RACT1.XLS";#N/A,#N/A,FALSE,"RACT2.XLS";#N/A,#N/A,FALSE,"ECCMP";#N/A,#N/A,FALSE,"WELDER.XLS"}</definedName>
    <definedName name="dsadaD_2_3" hidden="1">{#N/A,#N/A,FALSE,"COVER1.XLS ";#N/A,#N/A,FALSE,"RACT1.XLS";#N/A,#N/A,FALSE,"RACT2.XLS";#N/A,#N/A,FALSE,"ECCMP";#N/A,#N/A,FALSE,"WELDER.XLS"}</definedName>
    <definedName name="dsadaD_2_4" hidden="1">{#N/A,#N/A,FALSE,"COVER1.XLS ";#N/A,#N/A,FALSE,"RACT1.XLS";#N/A,#N/A,FALSE,"RACT2.XLS";#N/A,#N/A,FALSE,"ECCMP";#N/A,#N/A,FALSE,"WELDER.XLS"}</definedName>
    <definedName name="dsadaD_2_5" hidden="1">{#N/A,#N/A,FALSE,"COVER1.XLS ";#N/A,#N/A,FALSE,"RACT1.XLS";#N/A,#N/A,FALSE,"RACT2.XLS";#N/A,#N/A,FALSE,"ECCMP";#N/A,#N/A,FALSE,"WELDER.XLS"}</definedName>
    <definedName name="dsadaD_3" hidden="1">{#N/A,#N/A,FALSE,"COVER1.XLS ";#N/A,#N/A,FALSE,"RACT1.XLS";#N/A,#N/A,FALSE,"RACT2.XLS";#N/A,#N/A,FALSE,"ECCMP";#N/A,#N/A,FALSE,"WELDER.XLS"}</definedName>
    <definedName name="dsadaD_4" hidden="1">{#N/A,#N/A,FALSE,"COVER1.XLS ";#N/A,#N/A,FALSE,"RACT1.XLS";#N/A,#N/A,FALSE,"RACT2.XLS";#N/A,#N/A,FALSE,"ECCMP";#N/A,#N/A,FALSE,"WELDER.XLS"}</definedName>
    <definedName name="dsadaD_5" hidden="1">{#N/A,#N/A,FALSE,"COVER1.XLS ";#N/A,#N/A,FALSE,"RACT1.XLS";#N/A,#N/A,FALSE,"RACT2.XLS";#N/A,#N/A,FALSE,"ECCMP";#N/A,#N/A,FALSE,"WELDER.XLS"}</definedName>
    <definedName name="DSHiddenYear1" hidden="1">'[12]Kingston 1st Amort Table'!$F$1</definedName>
    <definedName name="DSHiddenYear2" hidden="1">'[12]Kingston 1st Amort Table'!$G$1</definedName>
    <definedName name="DSHiddenYear3" hidden="1">'[12]Kingston 1st Amort Table'!$H$1</definedName>
    <definedName name="DSHiddenYear4" hidden="1">'[12]Kingston 1st Amort Table'!$I$1</definedName>
    <definedName name="DSIndHiddenYear1" hidden="1">'[12]Kingston 1st Amort Table'!$F$1</definedName>
    <definedName name="DSIndHiddenYear2" hidden="1">'[12]Kingston 1st Amort Table'!$G$1</definedName>
    <definedName name="DSIndHiddenYear3" hidden="1">'[12]Kingston 1st Amort Table'!$H$1</definedName>
    <definedName name="DSIndHiddenYear4" hidden="1">'[12]Kingston 1st Amort Table'!$I$1</definedName>
    <definedName name="DSIndHistHiddenYear1" hidden="1">'[12]Kingston 1st Amort Table'!#REF!</definedName>
    <definedName name="DSIndHistHiddenYear2" hidden="1">'[12]Kingston 1st Amort Table'!$B$1</definedName>
    <definedName name="DSIndHistHiddenYear3" hidden="1">'[12]Kingston 1st Amort Table'!$C$1</definedName>
    <definedName name="DSIndHistHiddenYear4" hidden="1">'[12]Kingston 1st Amort Table'!$D$1</definedName>
    <definedName name="DSIndHistHiddenYear5" hidden="1">'[12]Kingston 1st Amort Table'!$E$1</definedName>
    <definedName name="dsrjan08" hidden="1">{#N/A,#N/A,FALSE,"COVER1.XLS ";#N/A,#N/A,FALSE,"RACT1.XLS";#N/A,#N/A,FALSE,"RACT2.XLS";#N/A,#N/A,FALSE,"ECCMP";#N/A,#N/A,FALSE,"WELDER.XLS"}</definedName>
    <definedName name="dsrjan08_1" hidden="1">{#N/A,#N/A,FALSE,"COVER1.XLS ";#N/A,#N/A,FALSE,"RACT1.XLS";#N/A,#N/A,FALSE,"RACT2.XLS";#N/A,#N/A,FALSE,"ECCMP";#N/A,#N/A,FALSE,"WELDER.XLS"}</definedName>
    <definedName name="dsrjan08_2" hidden="1">{#N/A,#N/A,FALSE,"COVER1.XLS ";#N/A,#N/A,FALSE,"RACT1.XLS";#N/A,#N/A,FALSE,"RACT2.XLS";#N/A,#N/A,FALSE,"ECCMP";#N/A,#N/A,FALSE,"WELDER.XLS"}</definedName>
    <definedName name="dsrjan08_3" hidden="1">{#N/A,#N/A,FALSE,"COVER1.XLS ";#N/A,#N/A,FALSE,"RACT1.XLS";#N/A,#N/A,FALSE,"RACT2.XLS";#N/A,#N/A,FALSE,"ECCMP";#N/A,#N/A,FALSE,"WELDER.XLS"}</definedName>
    <definedName name="dsrjan08_4" hidden="1">{#N/A,#N/A,FALSE,"COVER1.XLS ";#N/A,#N/A,FALSE,"RACT1.XLS";#N/A,#N/A,FALSE,"RACT2.XLS";#N/A,#N/A,FALSE,"ECCMP";#N/A,#N/A,FALSE,"WELDER.XLS"}</definedName>
    <definedName name="dsrjan08_5" hidden="1">{#N/A,#N/A,FALSE,"COVER1.XLS ";#N/A,#N/A,FALSE,"RACT1.XLS";#N/A,#N/A,FALSE,"RACT2.XLS";#N/A,#N/A,FALSE,"ECCMP";#N/A,#N/A,FALSE,"WELDER.XLS"}</definedName>
    <definedName name="ebe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be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be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be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be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be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ec" hidden="1">{#N/A,#N/A,FALSE,"Aging Summary";#N/A,#N/A,FALSE,"Ratio Analysis";#N/A,#N/A,FALSE,"Test 120 Day Accts";#N/A,#N/A,FALSE,"Tickmarks"}</definedName>
    <definedName name="ee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1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1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1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1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1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2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2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2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2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2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e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Ext_EP" hidden="1">{"'kpi2-1'!$E$4"}</definedName>
    <definedName name="fdfd" hidden="1">{#N/A,#N/A,FALSE,"COVER.XLS";#N/A,#N/A,FALSE,"RACT1.XLS";#N/A,#N/A,FALSE,"RACT2.XLS";#N/A,#N/A,FALSE,"ECCMP";#N/A,#N/A,FALSE,"WELDER.XLS"}</definedName>
    <definedName name="fdfd_1" hidden="1">{#N/A,#N/A,FALSE,"COVER.XLS";#N/A,#N/A,FALSE,"RACT1.XLS";#N/A,#N/A,FALSE,"RACT2.XLS";#N/A,#N/A,FALSE,"ECCMP";#N/A,#N/A,FALSE,"WELDER.XLS"}</definedName>
    <definedName name="fdfd_1_1" hidden="1">{#N/A,#N/A,FALSE,"COVER.XLS";#N/A,#N/A,FALSE,"RACT1.XLS";#N/A,#N/A,FALSE,"RACT2.XLS";#N/A,#N/A,FALSE,"ECCMP";#N/A,#N/A,FALSE,"WELDER.XLS"}</definedName>
    <definedName name="fdfd_1_2" hidden="1">{#N/A,#N/A,FALSE,"COVER.XLS";#N/A,#N/A,FALSE,"RACT1.XLS";#N/A,#N/A,FALSE,"RACT2.XLS";#N/A,#N/A,FALSE,"ECCMP";#N/A,#N/A,FALSE,"WELDER.XLS"}</definedName>
    <definedName name="fdfd_1_3" hidden="1">{#N/A,#N/A,FALSE,"COVER.XLS";#N/A,#N/A,FALSE,"RACT1.XLS";#N/A,#N/A,FALSE,"RACT2.XLS";#N/A,#N/A,FALSE,"ECCMP";#N/A,#N/A,FALSE,"WELDER.XLS"}</definedName>
    <definedName name="fdfd_1_4" hidden="1">{#N/A,#N/A,FALSE,"COVER.XLS";#N/A,#N/A,FALSE,"RACT1.XLS";#N/A,#N/A,FALSE,"RACT2.XLS";#N/A,#N/A,FALSE,"ECCMP";#N/A,#N/A,FALSE,"WELDER.XLS"}</definedName>
    <definedName name="fdfd_1_5" hidden="1">{#N/A,#N/A,FALSE,"COVER.XLS";#N/A,#N/A,FALSE,"RACT1.XLS";#N/A,#N/A,FALSE,"RACT2.XLS";#N/A,#N/A,FALSE,"ECCMP";#N/A,#N/A,FALSE,"WELDER.XLS"}</definedName>
    <definedName name="fdfd_2" hidden="1">{#N/A,#N/A,FALSE,"COVER.XLS";#N/A,#N/A,FALSE,"RACT1.XLS";#N/A,#N/A,FALSE,"RACT2.XLS";#N/A,#N/A,FALSE,"ECCMP";#N/A,#N/A,FALSE,"WELDER.XLS"}</definedName>
    <definedName name="fdfd_2_1" hidden="1">{#N/A,#N/A,FALSE,"COVER.XLS";#N/A,#N/A,FALSE,"RACT1.XLS";#N/A,#N/A,FALSE,"RACT2.XLS";#N/A,#N/A,FALSE,"ECCMP";#N/A,#N/A,FALSE,"WELDER.XLS"}</definedName>
    <definedName name="fdfd_2_2" hidden="1">{#N/A,#N/A,FALSE,"COVER.XLS";#N/A,#N/A,FALSE,"RACT1.XLS";#N/A,#N/A,FALSE,"RACT2.XLS";#N/A,#N/A,FALSE,"ECCMP";#N/A,#N/A,FALSE,"WELDER.XLS"}</definedName>
    <definedName name="fdfd_2_3" hidden="1">{#N/A,#N/A,FALSE,"COVER.XLS";#N/A,#N/A,FALSE,"RACT1.XLS";#N/A,#N/A,FALSE,"RACT2.XLS";#N/A,#N/A,FALSE,"ECCMP";#N/A,#N/A,FALSE,"WELDER.XLS"}</definedName>
    <definedName name="fdfd_2_4" hidden="1">{#N/A,#N/A,FALSE,"COVER.XLS";#N/A,#N/A,FALSE,"RACT1.XLS";#N/A,#N/A,FALSE,"RACT2.XLS";#N/A,#N/A,FALSE,"ECCMP";#N/A,#N/A,FALSE,"WELDER.XLS"}</definedName>
    <definedName name="fdfd_2_5" hidden="1">{#N/A,#N/A,FALSE,"COVER.XLS";#N/A,#N/A,FALSE,"RACT1.XLS";#N/A,#N/A,FALSE,"RACT2.XLS";#N/A,#N/A,FALSE,"ECCMP";#N/A,#N/A,FALSE,"WELDER.XLS"}</definedName>
    <definedName name="fdfd_3" hidden="1">{#N/A,#N/A,FALSE,"COVER.XLS";#N/A,#N/A,FALSE,"RACT1.XLS";#N/A,#N/A,FALSE,"RACT2.XLS";#N/A,#N/A,FALSE,"ECCMP";#N/A,#N/A,FALSE,"WELDER.XLS"}</definedName>
    <definedName name="fdfd_4" hidden="1">{#N/A,#N/A,FALSE,"COVER.XLS";#N/A,#N/A,FALSE,"RACT1.XLS";#N/A,#N/A,FALSE,"RACT2.XLS";#N/A,#N/A,FALSE,"ECCMP";#N/A,#N/A,FALSE,"WELDER.XLS"}</definedName>
    <definedName name="fdfd_5" hidden="1">{#N/A,#N/A,FALSE,"COVER.XLS";#N/A,#N/A,FALSE,"RACT1.XLS";#N/A,#N/A,FALSE,"RACT2.XLS";#N/A,#N/A,FALSE,"ECCMP";#N/A,#N/A,FALSE,"WELDER.XLS"}</definedName>
    <definedName name="fgdfg" hidden="1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hhh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ill" hidden="1">#REF!</definedName>
    <definedName name="Flx_Flor" hidden="1">#REF!</definedName>
    <definedName name="Flx_Trad" hidden="1">#REF!</definedName>
    <definedName name="FSDFFF" hidden="1">{#N/A,#N/A,FALSE,"COVER1.XLS ";#N/A,#N/A,FALSE,"RACT1.XLS";#N/A,#N/A,FALSE,"RACT2.XLS";#N/A,#N/A,FALSE,"ECCMP";#N/A,#N/A,FALSE,"WELDER.XLS"}</definedName>
    <definedName name="FSDFFF_1" hidden="1">{#N/A,#N/A,FALSE,"COVER1.XLS ";#N/A,#N/A,FALSE,"RACT1.XLS";#N/A,#N/A,FALSE,"RACT2.XLS";#N/A,#N/A,FALSE,"ECCMP";#N/A,#N/A,FALSE,"WELDER.XLS"}</definedName>
    <definedName name="FSDFFF_2" hidden="1">{#N/A,#N/A,FALSE,"COVER1.XLS ";#N/A,#N/A,FALSE,"RACT1.XLS";#N/A,#N/A,FALSE,"RACT2.XLS";#N/A,#N/A,FALSE,"ECCMP";#N/A,#N/A,FALSE,"WELDER.XLS"}</definedName>
    <definedName name="FSDFFF_3" hidden="1">{#N/A,#N/A,FALSE,"COVER1.XLS ";#N/A,#N/A,FALSE,"RACT1.XLS";#N/A,#N/A,FALSE,"RACT2.XLS";#N/A,#N/A,FALSE,"ECCMP";#N/A,#N/A,FALSE,"WELDER.XLS"}</definedName>
    <definedName name="FSDFFF_4" hidden="1">{#N/A,#N/A,FALSE,"COVER1.XLS ";#N/A,#N/A,FALSE,"RACT1.XLS";#N/A,#N/A,FALSE,"RACT2.XLS";#N/A,#N/A,FALSE,"ECCMP";#N/A,#N/A,FALSE,"WELDER.XLS"}</definedName>
    <definedName name="FSDFFF_5" hidden="1">{#N/A,#N/A,FALSE,"COVER1.XLS ";#N/A,#N/A,FALSE,"RACT1.XLS";#N/A,#N/A,FALSE,"RACT2.XLS";#N/A,#N/A,FALSE,"ECCMP";#N/A,#N/A,FALSE,"WELDER.XLS"}</definedName>
    <definedName name="fwfsa" hidden="1">{#N/A,#N/A,FALSE,"Aging Summary";#N/A,#N/A,FALSE,"Ratio Analysis";#N/A,#N/A,FALSE,"Test 120 Day Accts";#N/A,#N/A,FALSE,"Tickmarks"}</definedName>
    <definedName name="g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3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3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3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3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3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gg" hidden="1">{#N/A,#N/A,FALSE,"COVER1.XLS ";#N/A,#N/A,FALSE,"RACT1.XLS";#N/A,#N/A,FALSE,"RACT2.XLS";#N/A,#N/A,FALSE,"ECCMP";#N/A,#N/A,FALSE,"WELDER.XLS"}</definedName>
    <definedName name="gg_1" hidden="1">{#N/A,#N/A,FALSE,"COVER1.XLS ";#N/A,#N/A,FALSE,"RACT1.XLS";#N/A,#N/A,FALSE,"RACT2.XLS";#N/A,#N/A,FALSE,"ECCMP";#N/A,#N/A,FALSE,"WELDER.XLS"}</definedName>
    <definedName name="gg_1_1" hidden="1">{#N/A,#N/A,FALSE,"COVER1.XLS ";#N/A,#N/A,FALSE,"RACT1.XLS";#N/A,#N/A,FALSE,"RACT2.XLS";#N/A,#N/A,FALSE,"ECCMP";#N/A,#N/A,FALSE,"WELDER.XLS"}</definedName>
    <definedName name="gg_1_2" hidden="1">{#N/A,#N/A,FALSE,"COVER1.XLS ";#N/A,#N/A,FALSE,"RACT1.XLS";#N/A,#N/A,FALSE,"RACT2.XLS";#N/A,#N/A,FALSE,"ECCMP";#N/A,#N/A,FALSE,"WELDER.XLS"}</definedName>
    <definedName name="gg_1_3" hidden="1">{#N/A,#N/A,FALSE,"COVER1.XLS ";#N/A,#N/A,FALSE,"RACT1.XLS";#N/A,#N/A,FALSE,"RACT2.XLS";#N/A,#N/A,FALSE,"ECCMP";#N/A,#N/A,FALSE,"WELDER.XLS"}</definedName>
    <definedName name="gg_1_4" hidden="1">{#N/A,#N/A,FALSE,"COVER1.XLS ";#N/A,#N/A,FALSE,"RACT1.XLS";#N/A,#N/A,FALSE,"RACT2.XLS";#N/A,#N/A,FALSE,"ECCMP";#N/A,#N/A,FALSE,"WELDER.XLS"}</definedName>
    <definedName name="gg_1_5" hidden="1">{#N/A,#N/A,FALSE,"COVER1.XLS ";#N/A,#N/A,FALSE,"RACT1.XLS";#N/A,#N/A,FALSE,"RACT2.XLS";#N/A,#N/A,FALSE,"ECCMP";#N/A,#N/A,FALSE,"WELDER.XLS"}</definedName>
    <definedName name="gg_2" hidden="1">{#N/A,#N/A,FALSE,"COVER1.XLS ";#N/A,#N/A,FALSE,"RACT1.XLS";#N/A,#N/A,FALSE,"RACT2.XLS";#N/A,#N/A,FALSE,"ECCMP";#N/A,#N/A,FALSE,"WELDER.XLS"}</definedName>
    <definedName name="gg_2_1" hidden="1">{#N/A,#N/A,FALSE,"COVER1.XLS ";#N/A,#N/A,FALSE,"RACT1.XLS";#N/A,#N/A,FALSE,"RACT2.XLS";#N/A,#N/A,FALSE,"ECCMP";#N/A,#N/A,FALSE,"WELDER.XLS"}</definedName>
    <definedName name="gg_2_2" hidden="1">{#N/A,#N/A,FALSE,"COVER1.XLS ";#N/A,#N/A,FALSE,"RACT1.XLS";#N/A,#N/A,FALSE,"RACT2.XLS";#N/A,#N/A,FALSE,"ECCMP";#N/A,#N/A,FALSE,"WELDER.XLS"}</definedName>
    <definedName name="gg_2_3" hidden="1">{#N/A,#N/A,FALSE,"COVER1.XLS ";#N/A,#N/A,FALSE,"RACT1.XLS";#N/A,#N/A,FALSE,"RACT2.XLS";#N/A,#N/A,FALSE,"ECCMP";#N/A,#N/A,FALSE,"WELDER.XLS"}</definedName>
    <definedName name="gg_2_4" hidden="1">{#N/A,#N/A,FALSE,"COVER1.XLS ";#N/A,#N/A,FALSE,"RACT1.XLS";#N/A,#N/A,FALSE,"RACT2.XLS";#N/A,#N/A,FALSE,"ECCMP";#N/A,#N/A,FALSE,"WELDER.XLS"}</definedName>
    <definedName name="gg_2_5" hidden="1">{#N/A,#N/A,FALSE,"COVER1.XLS ";#N/A,#N/A,FALSE,"RACT1.XLS";#N/A,#N/A,FALSE,"RACT2.XLS";#N/A,#N/A,FALSE,"ECCMP";#N/A,#N/A,FALSE,"WELDER.XLS"}</definedName>
    <definedName name="gg_3" hidden="1">{#N/A,#N/A,FALSE,"COVER1.XLS ";#N/A,#N/A,FALSE,"RACT1.XLS";#N/A,#N/A,FALSE,"RACT2.XLS";#N/A,#N/A,FALSE,"ECCMP";#N/A,#N/A,FALSE,"WELDER.XLS"}</definedName>
    <definedName name="gg_4" hidden="1">{#N/A,#N/A,FALSE,"COVER1.XLS ";#N/A,#N/A,FALSE,"RACT1.XLS";#N/A,#N/A,FALSE,"RACT2.XLS";#N/A,#N/A,FALSE,"ECCMP";#N/A,#N/A,FALSE,"WELDER.XLS"}</definedName>
    <definedName name="gg_5" hidden="1">{#N/A,#N/A,FALSE,"COVER1.XLS ";#N/A,#N/A,FALSE,"RACT1.XLS";#N/A,#N/A,FALSE,"RACT2.XLS";#N/A,#N/A,FALSE,"ECCMP";#N/A,#N/A,FALSE,"WELDER.XLS"}</definedName>
    <definedName name="GGG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GG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gopi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opi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gr" hidden="1">{#N/A,#N/A,FALSE,"COVER.XLS";#N/A,#N/A,FALSE,"RACT1.XLS";#N/A,#N/A,FALSE,"RACT2.XLS";#N/A,#N/A,FALSE,"ECCMP";#N/A,#N/A,FALSE,"WELDER.XLS"}</definedName>
    <definedName name="gr_1" hidden="1">{#N/A,#N/A,FALSE,"COVER.XLS";#N/A,#N/A,FALSE,"RACT1.XLS";#N/A,#N/A,FALSE,"RACT2.XLS";#N/A,#N/A,FALSE,"ECCMP";#N/A,#N/A,FALSE,"WELDER.XLS"}</definedName>
    <definedName name="gr_1_1" hidden="1">{#N/A,#N/A,FALSE,"COVER.XLS";#N/A,#N/A,FALSE,"RACT1.XLS";#N/A,#N/A,FALSE,"RACT2.XLS";#N/A,#N/A,FALSE,"ECCMP";#N/A,#N/A,FALSE,"WELDER.XLS"}</definedName>
    <definedName name="gr_1_2" hidden="1">{#N/A,#N/A,FALSE,"COVER.XLS";#N/A,#N/A,FALSE,"RACT1.XLS";#N/A,#N/A,FALSE,"RACT2.XLS";#N/A,#N/A,FALSE,"ECCMP";#N/A,#N/A,FALSE,"WELDER.XLS"}</definedName>
    <definedName name="gr_1_3" hidden="1">{#N/A,#N/A,FALSE,"COVER.XLS";#N/A,#N/A,FALSE,"RACT1.XLS";#N/A,#N/A,FALSE,"RACT2.XLS";#N/A,#N/A,FALSE,"ECCMP";#N/A,#N/A,FALSE,"WELDER.XLS"}</definedName>
    <definedName name="gr_1_4" hidden="1">{#N/A,#N/A,FALSE,"COVER.XLS";#N/A,#N/A,FALSE,"RACT1.XLS";#N/A,#N/A,FALSE,"RACT2.XLS";#N/A,#N/A,FALSE,"ECCMP";#N/A,#N/A,FALSE,"WELDER.XLS"}</definedName>
    <definedName name="gr_1_5" hidden="1">{#N/A,#N/A,FALSE,"COVER.XLS";#N/A,#N/A,FALSE,"RACT1.XLS";#N/A,#N/A,FALSE,"RACT2.XLS";#N/A,#N/A,FALSE,"ECCMP";#N/A,#N/A,FALSE,"WELDER.XLS"}</definedName>
    <definedName name="gr_2" hidden="1">{#N/A,#N/A,FALSE,"COVER.XLS";#N/A,#N/A,FALSE,"RACT1.XLS";#N/A,#N/A,FALSE,"RACT2.XLS";#N/A,#N/A,FALSE,"ECCMP";#N/A,#N/A,FALSE,"WELDER.XLS"}</definedName>
    <definedName name="gr_2_1" hidden="1">{#N/A,#N/A,FALSE,"COVER.XLS";#N/A,#N/A,FALSE,"RACT1.XLS";#N/A,#N/A,FALSE,"RACT2.XLS";#N/A,#N/A,FALSE,"ECCMP";#N/A,#N/A,FALSE,"WELDER.XLS"}</definedName>
    <definedName name="gr_2_2" hidden="1">{#N/A,#N/A,FALSE,"COVER.XLS";#N/A,#N/A,FALSE,"RACT1.XLS";#N/A,#N/A,FALSE,"RACT2.XLS";#N/A,#N/A,FALSE,"ECCMP";#N/A,#N/A,FALSE,"WELDER.XLS"}</definedName>
    <definedName name="gr_2_3" hidden="1">{#N/A,#N/A,FALSE,"COVER.XLS";#N/A,#N/A,FALSE,"RACT1.XLS";#N/A,#N/A,FALSE,"RACT2.XLS";#N/A,#N/A,FALSE,"ECCMP";#N/A,#N/A,FALSE,"WELDER.XLS"}</definedName>
    <definedName name="gr_2_4" hidden="1">{#N/A,#N/A,FALSE,"COVER.XLS";#N/A,#N/A,FALSE,"RACT1.XLS";#N/A,#N/A,FALSE,"RACT2.XLS";#N/A,#N/A,FALSE,"ECCMP";#N/A,#N/A,FALSE,"WELDER.XLS"}</definedName>
    <definedName name="gr_2_5" hidden="1">{#N/A,#N/A,FALSE,"COVER.XLS";#N/A,#N/A,FALSE,"RACT1.XLS";#N/A,#N/A,FALSE,"RACT2.XLS";#N/A,#N/A,FALSE,"ECCMP";#N/A,#N/A,FALSE,"WELDER.XLS"}</definedName>
    <definedName name="gr_3" hidden="1">{#N/A,#N/A,FALSE,"COVER.XLS";#N/A,#N/A,FALSE,"RACT1.XLS";#N/A,#N/A,FALSE,"RACT2.XLS";#N/A,#N/A,FALSE,"ECCMP";#N/A,#N/A,FALSE,"WELDER.XLS"}</definedName>
    <definedName name="gr_4" hidden="1">{#N/A,#N/A,FALSE,"COVER.XLS";#N/A,#N/A,FALSE,"RACT1.XLS";#N/A,#N/A,FALSE,"RACT2.XLS";#N/A,#N/A,FALSE,"ECCMP";#N/A,#N/A,FALSE,"WELDER.XLS"}</definedName>
    <definedName name="gr_5" hidden="1">{#N/A,#N/A,FALSE,"COVER.XLS";#N/A,#N/A,FALSE,"RACT1.XLS";#N/A,#N/A,FALSE,"RACT2.XLS";#N/A,#N/A,FALSE,"ECCMP";#N/A,#N/A,FALSE,"WELDER.XLS"}</definedName>
    <definedName name="gt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t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gvdged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hap" hidden="1">{#N/A,#N/A,FALSE,"COVER1.XLS ";#N/A,#N/A,FALSE,"RACT1.XLS";#N/A,#N/A,FALSE,"RACT2.XLS";#N/A,#N/A,FALSE,"ECCMP";#N/A,#N/A,FALSE,"WELDER.XLS"}</definedName>
    <definedName name="hap_1" hidden="1">{#N/A,#N/A,FALSE,"COVER1.XLS ";#N/A,#N/A,FALSE,"RACT1.XLS";#N/A,#N/A,FALSE,"RACT2.XLS";#N/A,#N/A,FALSE,"ECCMP";#N/A,#N/A,FALSE,"WELDER.XLS"}</definedName>
    <definedName name="hap_1_1" hidden="1">{#N/A,#N/A,FALSE,"COVER1.XLS ";#N/A,#N/A,FALSE,"RACT1.XLS";#N/A,#N/A,FALSE,"RACT2.XLS";#N/A,#N/A,FALSE,"ECCMP";#N/A,#N/A,FALSE,"WELDER.XLS"}</definedName>
    <definedName name="hap_1_2" hidden="1">{#N/A,#N/A,FALSE,"COVER1.XLS ";#N/A,#N/A,FALSE,"RACT1.XLS";#N/A,#N/A,FALSE,"RACT2.XLS";#N/A,#N/A,FALSE,"ECCMP";#N/A,#N/A,FALSE,"WELDER.XLS"}</definedName>
    <definedName name="hap_1_3" hidden="1">{#N/A,#N/A,FALSE,"COVER1.XLS ";#N/A,#N/A,FALSE,"RACT1.XLS";#N/A,#N/A,FALSE,"RACT2.XLS";#N/A,#N/A,FALSE,"ECCMP";#N/A,#N/A,FALSE,"WELDER.XLS"}</definedName>
    <definedName name="hap_1_4" hidden="1">{#N/A,#N/A,FALSE,"COVER1.XLS ";#N/A,#N/A,FALSE,"RACT1.XLS";#N/A,#N/A,FALSE,"RACT2.XLS";#N/A,#N/A,FALSE,"ECCMP";#N/A,#N/A,FALSE,"WELDER.XLS"}</definedName>
    <definedName name="hap_1_5" hidden="1">{#N/A,#N/A,FALSE,"COVER1.XLS ";#N/A,#N/A,FALSE,"RACT1.XLS";#N/A,#N/A,FALSE,"RACT2.XLS";#N/A,#N/A,FALSE,"ECCMP";#N/A,#N/A,FALSE,"WELDER.XLS"}</definedName>
    <definedName name="hap_2" hidden="1">{#N/A,#N/A,FALSE,"COVER1.XLS ";#N/A,#N/A,FALSE,"RACT1.XLS";#N/A,#N/A,FALSE,"RACT2.XLS";#N/A,#N/A,FALSE,"ECCMP";#N/A,#N/A,FALSE,"WELDER.XLS"}</definedName>
    <definedName name="hap_2_1" hidden="1">{#N/A,#N/A,FALSE,"COVER1.XLS ";#N/A,#N/A,FALSE,"RACT1.XLS";#N/A,#N/A,FALSE,"RACT2.XLS";#N/A,#N/A,FALSE,"ECCMP";#N/A,#N/A,FALSE,"WELDER.XLS"}</definedName>
    <definedName name="hap_2_2" hidden="1">{#N/A,#N/A,FALSE,"COVER1.XLS ";#N/A,#N/A,FALSE,"RACT1.XLS";#N/A,#N/A,FALSE,"RACT2.XLS";#N/A,#N/A,FALSE,"ECCMP";#N/A,#N/A,FALSE,"WELDER.XLS"}</definedName>
    <definedName name="hap_2_3" hidden="1">{#N/A,#N/A,FALSE,"COVER1.XLS ";#N/A,#N/A,FALSE,"RACT1.XLS";#N/A,#N/A,FALSE,"RACT2.XLS";#N/A,#N/A,FALSE,"ECCMP";#N/A,#N/A,FALSE,"WELDER.XLS"}</definedName>
    <definedName name="hap_2_4" hidden="1">{#N/A,#N/A,FALSE,"COVER1.XLS ";#N/A,#N/A,FALSE,"RACT1.XLS";#N/A,#N/A,FALSE,"RACT2.XLS";#N/A,#N/A,FALSE,"ECCMP";#N/A,#N/A,FALSE,"WELDER.XLS"}</definedName>
    <definedName name="hap_2_5" hidden="1">{#N/A,#N/A,FALSE,"COVER1.XLS ";#N/A,#N/A,FALSE,"RACT1.XLS";#N/A,#N/A,FALSE,"RACT2.XLS";#N/A,#N/A,FALSE,"ECCMP";#N/A,#N/A,FALSE,"WELDER.XLS"}</definedName>
    <definedName name="hap_3" hidden="1">{#N/A,#N/A,FALSE,"COVER1.XLS ";#N/A,#N/A,FALSE,"RACT1.XLS";#N/A,#N/A,FALSE,"RACT2.XLS";#N/A,#N/A,FALSE,"ECCMP";#N/A,#N/A,FALSE,"WELDER.XLS"}</definedName>
    <definedName name="hap_4" hidden="1">{#N/A,#N/A,FALSE,"COVER1.XLS ";#N/A,#N/A,FALSE,"RACT1.XLS";#N/A,#N/A,FALSE,"RACT2.XLS";#N/A,#N/A,FALSE,"ECCMP";#N/A,#N/A,FALSE,"WELDER.XLS"}</definedName>
    <definedName name="hap_5" hidden="1">{#N/A,#N/A,FALSE,"COVER1.XLS ";#N/A,#N/A,FALSE,"RACT1.XLS";#N/A,#N/A,FALSE,"RACT2.XLS";#N/A,#N/A,FALSE,"ECCMP";#N/A,#N/A,FALSE,"WELDER.XLS"}</definedName>
    <definedName name="hashdhasdh" hidden="1">{#N/A,#N/A,FALSE,"17MAY";#N/A,#N/A,FALSE,"24MAY"}</definedName>
    <definedName name="hashdhasdh_1" hidden="1">{#N/A,#N/A,FALSE,"17MAY";#N/A,#N/A,FALSE,"24MAY"}</definedName>
    <definedName name="hashdhasdh_2" hidden="1">{#N/A,#N/A,FALSE,"17MAY";#N/A,#N/A,FALSE,"24MAY"}</definedName>
    <definedName name="hashdhasdh_3" hidden="1">{#N/A,#N/A,FALSE,"17MAY";#N/A,#N/A,FALSE,"24MAY"}</definedName>
    <definedName name="hashdhasdh_4" hidden="1">{#N/A,#N/A,FALSE,"17MAY";#N/A,#N/A,FALSE,"24MAY"}</definedName>
    <definedName name="hashdhasdh_5" hidden="1">{#N/A,#N/A,FALSE,"17MAY";#N/A,#N/A,FALSE,"24MAY"}</definedName>
    <definedName name="hh" hidden="1">#REF!</definedName>
    <definedName name="html" hidden="1">{"'kpi2-1'!$E$4"}</definedName>
    <definedName name="HTML_CodePage" hidden="1">950</definedName>
    <definedName name="HTML_Control" hidden="1">{"'Sheet1'!$L$16"}</definedName>
    <definedName name="HTML_Control_1" hidden="1">{"'Sheet1'!$L$16"}</definedName>
    <definedName name="HTML_Control_2" hidden="1">{"'Sheet1'!$L$16"}</definedName>
    <definedName name="HTML_Control_3" hidden="1">{"'Sheet1'!$L$16"}</definedName>
    <definedName name="HTML_Control_4" hidden="1">{"'Sheet1'!$L$16"}</definedName>
    <definedName name="HTML_Control_5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huy_1" hidden="1">{"'Sheet1'!$L$16"}</definedName>
    <definedName name="huy_2" hidden="1">{"'Sheet1'!$L$16"}</definedName>
    <definedName name="huy_3" hidden="1">{"'Sheet1'!$L$16"}</definedName>
    <definedName name="huy_4" hidden="1">{"'Sheet1'!$L$16"}</definedName>
    <definedName name="huy_5" hidden="1">{"'Sheet1'!$L$16"}</definedName>
    <definedName name="ii" hidden="1">{"PMTBUDSM",#N/A,FALSE,"Sheet 1";"PMTBUDSMD",#N/A,FALSE,"Sheet 1"}</definedName>
    <definedName name="ii_1" hidden="1">{"PMTBUDSM",#N/A,FALSE,"Sheet 1";"PMTBUDSMD",#N/A,FALSE,"Sheet 1"}</definedName>
    <definedName name="ii_2" hidden="1">{"PMTBUDSM",#N/A,FALSE,"Sheet 1";"PMTBUDSMD",#N/A,FALSE,"Sheet 1"}</definedName>
    <definedName name="ii_3" hidden="1">{"PMTBUDSM",#N/A,FALSE,"Sheet 1";"PMTBUDSMD",#N/A,FALSE,"Sheet 1"}</definedName>
    <definedName name="ii_4" hidden="1">{"PMTBUDSM",#N/A,FALSE,"Sheet 1";"PMTBUDSMD",#N/A,FALSE,"Sheet 1"}</definedName>
    <definedName name="ii_5" hidden="1">{"PMTBUDSM",#N/A,FALSE,"Sheet 1";"PMTBUDSMD",#N/A,FALSE,"Sheet 1"}</definedName>
    <definedName name="Inf.G_Flor" hidden="1">#REF!</definedName>
    <definedName name="Inf.G_Trad" hidden="1">#REF!</definedName>
    <definedName name="io" hidden="1">{"PMTBUDSM",#N/A,FALSE,"Sheet 1";"PMTBUDSMD",#N/A,FALSE,"Sheet 1"}</definedName>
    <definedName name="io_1" hidden="1">{"PMTBUDSM",#N/A,FALSE,"Sheet 1";"PMTBUDSMD",#N/A,FALSE,"Sheet 1"}</definedName>
    <definedName name="io_2" hidden="1">{"PMTBUDSM",#N/A,FALSE,"Sheet 1";"PMTBUDSMD",#N/A,FALSE,"Sheet 1"}</definedName>
    <definedName name="io_3" hidden="1">{"PMTBUDSM",#N/A,FALSE,"Sheet 1";"PMTBUDSMD",#N/A,FALSE,"Sheet 1"}</definedName>
    <definedName name="io_4" hidden="1">{"PMTBUDSM",#N/A,FALSE,"Sheet 1";"PMTBUDSMD",#N/A,FALSE,"Sheet 1"}</definedName>
    <definedName name="io_5" hidden="1">{"PMTBUDSM",#N/A,FALSE,"Sheet 1";"PMTBUDSMD",#N/A,FALSE,"Sheet 1"}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30YR_FIXED_MORTGAGE" hidden="1">"c6811"</definedName>
    <definedName name="IQ_30YR_FIXED_MORTGAGE_FC" hidden="1">"c7691"</definedName>
    <definedName name="IQ_30YR_FIXED_MORTGAGE_POP" hidden="1">"c7031"</definedName>
    <definedName name="IQ_30YR_FIXED_MORTGAGE_POP_FC" hidden="1">"c7911"</definedName>
    <definedName name="IQ_30YR_FIXED_MORTGAGE_YOY" hidden="1">"c7251"</definedName>
    <definedName name="IQ_30YR_FIXED_MORTGAGE_YOY_FC" hidden="1">"c8131"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RE_ASSETS" hidden="1">"c1628"</definedName>
    <definedName name="IQ_ACTUAL_PRODUCTION_ALUM" hidden="1">"c9247"</definedName>
    <definedName name="IQ_ACTUAL_PRODUCTION_CATHODE_COP" hidden="1">"c9192"</definedName>
    <definedName name="IQ_ACTUAL_PRODUCTION_COAL" hidden="1">"c9821"</definedName>
    <definedName name="IQ_ACTUAL_PRODUCTION_COP" hidden="1">"c9191"</definedName>
    <definedName name="IQ_ACTUAL_PRODUCTION_DIAM" hidden="1">"c9671"</definedName>
    <definedName name="IQ_ACTUAL_PRODUCTION_GOLD" hidden="1">"c9032"</definedName>
    <definedName name="IQ_ACTUAL_PRODUCTION_IRON" hidden="1">"c9406"</definedName>
    <definedName name="IQ_ACTUAL_PRODUCTION_LEAD" hidden="1">"c9459"</definedName>
    <definedName name="IQ_ACTUAL_PRODUCTION_MANG" hidden="1">"c9512"</definedName>
    <definedName name="IQ_ACTUAL_PRODUCTION_MET_COAL" hidden="1">"c9761"</definedName>
    <definedName name="IQ_ACTUAL_PRODUCTION_MOLYB" hidden="1">"c9724"</definedName>
    <definedName name="IQ_ACTUAL_PRODUCTION_NICK" hidden="1">"c9300"</definedName>
    <definedName name="IQ_ACTUAL_PRODUCTION_PLAT" hidden="1">"c9138"</definedName>
    <definedName name="IQ_ACTUAL_PRODUCTION_SILVER" hidden="1">"c9085"</definedName>
    <definedName name="IQ_ACTUAL_PRODUCTION_STEAM" hidden="1">"c9791"</definedName>
    <definedName name="IQ_ACTUAL_PRODUCTION_TITAN" hidden="1">"c9565"</definedName>
    <definedName name="IQ_ACTUAL_PRODUCTION_URAN" hidden="1">"c9618"</definedName>
    <definedName name="IQ_ACTUAL_PRODUCTION_ZINC" hidden="1">"c9353"</definedName>
    <definedName name="IQ_AD" hidden="1">"c7"</definedName>
    <definedName name="IQ_ADD_PAID_IN" hidden="1">"c1344"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JUSTED_NAV_COVERED" hidden="1">"c9963"</definedName>
    <definedName name="IQ_ADJUSTED_NAV_GROUP" hidden="1">"c9949"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FFO" hidden="1">"c8756"</definedName>
    <definedName name="IQ_AFFO_PER_SHARE_BASIC" hidden="1">"c8869"</definedName>
    <definedName name="IQ_AFFO_PER_SHARE_DILUTED" hidden="1">"c8870"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AVG_PSGR_FARE" hidden="1">"c10029"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NUMBER_HRS_FLOWN" hidden="1">"c10037"</definedName>
    <definedName name="IQ_AIR_NUMBER_OPERATING_AIRCRAFT_AVG" hidden="1">"c10035"</definedName>
    <definedName name="IQ_AIR_NUMBER_TRIPS_FLOWN" hidden="1">"c10030"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EX_PER_ASK_EXCL_FUEL" hidden="1">"c10034"</definedName>
    <definedName name="IQ_AIR_OPEX_PER_ASM_EXCL_FUEL" hidden="1">"c10033"</definedName>
    <definedName name="IQ_AIR_OPTIONS" hidden="1">"c2837"</definedName>
    <definedName name="IQ_AIR_ORDERS" hidden="1">"c2836"</definedName>
    <definedName name="IQ_AIR_OWNED" hidden="1">"c2832"</definedName>
    <definedName name="IQ_AIR_PERCENTAGE_SALES_VIA_INTERNET" hidden="1">"c10036"</definedName>
    <definedName name="IQ_AIR_PSGR_HAUL_AVG_LENGTH_KM" hidden="1">"c10032"</definedName>
    <definedName name="IQ_AIR_PSGR_HAUL_AVG_LENGTH_MILES" hidden="1">"c10031"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NNU_DISTRIBUTION_UNIT" hidden="1">"c3004"</definedName>
    <definedName name="IQ_ANNUAL_PREMIUM_EQUIVALENT_NEW_BUSINESS" hidden="1">"c9972"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AP" hidden="1">"c8883"</definedName>
    <definedName name="IQ_ASSETS_AP_ABS" hidden="1">"c8902"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NAME_AP" hidden="1">"c8921"</definedName>
    <definedName name="IQ_ASSETS_NAME_AP_ABS" hidden="1">"c8940"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M" hidden="1">"c10043"</definedName>
    <definedName name="IQ_AUM_EQUITY_FUNDS" hidden="1">"c10039"</definedName>
    <definedName name="IQ_AUM_FIXED_INCOME_FUNDS" hidden="1">"c10040"</definedName>
    <definedName name="IQ_AUM_MONEY_MARKET_FUNDS" hidden="1">"c10041"</definedName>
    <definedName name="IQ_AUM_OTHER" hidden="1">"c10042"</definedName>
    <definedName name="IQ_AUTO_REGIST_NEW" hidden="1">"c6923"</definedName>
    <definedName name="IQ_AUTO_REGIST_NEW_APR" hidden="1">"c7583"</definedName>
    <definedName name="IQ_AUTO_REGIST_NEW_APR_FC" hidden="1">"c8463"</definedName>
    <definedName name="IQ_AUTO_REGIST_NEW_FC" hidden="1">"c7803"</definedName>
    <definedName name="IQ_AUTO_REGIST_NEW_POP" hidden="1">"c7143"</definedName>
    <definedName name="IQ_AUTO_REGIST_NEW_POP_FC" hidden="1">"c8023"</definedName>
    <definedName name="IQ_AUTO_REGIST_NEW_YOY" hidden="1">"c7363"</definedName>
    <definedName name="IQ_AUTO_REGIST_NEW_YOY_FC" hidden="1">"c8243"</definedName>
    <definedName name="IQ_AUTO_SALES_DOM" hidden="1">"c6852"</definedName>
    <definedName name="IQ_AUTO_SALES_DOM_APR" hidden="1">"c7512"</definedName>
    <definedName name="IQ_AUTO_SALES_DOM_APR_FC" hidden="1">"c8392"</definedName>
    <definedName name="IQ_AUTO_SALES_DOM_FC" hidden="1">"c7732"</definedName>
    <definedName name="IQ_AUTO_SALES_DOM_POP" hidden="1">"c7072"</definedName>
    <definedName name="IQ_AUTO_SALES_DOM_POP_FC" hidden="1">"c7952"</definedName>
    <definedName name="IQ_AUTO_SALES_DOM_YOY" hidden="1">"c7292"</definedName>
    <definedName name="IQ_AUTO_SALES_DOM_YOY_FC" hidden="1">"c8172"</definedName>
    <definedName name="IQ_AUTO_SALES_FOREIGN" hidden="1">"c6873"</definedName>
    <definedName name="IQ_AUTO_SALES_FOREIGN_APR" hidden="1">"c7533"</definedName>
    <definedName name="IQ_AUTO_SALES_FOREIGN_APR_FC" hidden="1">"c8413"</definedName>
    <definedName name="IQ_AUTO_SALES_FOREIGN_FC" hidden="1">"c7753"</definedName>
    <definedName name="IQ_AUTO_SALES_FOREIGN_POP" hidden="1">"c7093"</definedName>
    <definedName name="IQ_AUTO_SALES_FOREIGN_POP_FC" hidden="1">"c7973"</definedName>
    <definedName name="IQ_AUTO_SALES_FOREIGN_YOY" hidden="1">"c7313"</definedName>
    <definedName name="IQ_AUTO_SALES_FOREIGN_YOY_FC" hidden="1">"c8193"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CIQ" hidden="1">"c3612"</definedName>
    <definedName name="IQ_AVG_BROKER_REC_NO" hidden="1">"c64"</definedName>
    <definedName name="IQ_AVG_BROKER_REC_NO_CIQ" hidden="1">"c4657"</definedName>
    <definedName name="IQ_AVG_BROKER_REC_NO_REUT" hidden="1">"c5315"</definedName>
    <definedName name="IQ_AVG_BROKER_REC_REUT" hidden="1">"c3630"</definedName>
    <definedName name="IQ_AVG_CALORIFIC_VALUE_COAL" hidden="1">"c9828"</definedName>
    <definedName name="IQ_AVG_CALORIFIC_VALUE_MET_COAL" hidden="1">"c9764"</definedName>
    <definedName name="IQ_AVG_CALORIFIC_VALUE_STEAM" hidden="1">"c9794"</definedName>
    <definedName name="IQ_AVG_DAILY_VOL" hidden="1">"c65"</definedName>
    <definedName name="IQ_AVG_EMPLOYEES" hidden="1">"c6019"</definedName>
    <definedName name="IQ_AVG_GRADE_ALUM" hidden="1">"c9254"</definedName>
    <definedName name="IQ_AVG_GRADE_COP" hidden="1">"c9201"</definedName>
    <definedName name="IQ_AVG_GRADE_DIAM" hidden="1">"c9678"</definedName>
    <definedName name="IQ_AVG_GRADE_GOLD" hidden="1">"c9039"</definedName>
    <definedName name="IQ_AVG_GRADE_IRON" hidden="1">"c9413"</definedName>
    <definedName name="IQ_AVG_GRADE_LEAD" hidden="1">"c9466"</definedName>
    <definedName name="IQ_AVG_GRADE_MANG" hidden="1">"c9519"</definedName>
    <definedName name="IQ_AVG_GRADE_MOLYB" hidden="1">"c9731"</definedName>
    <definedName name="IQ_AVG_GRADE_NICK" hidden="1">"c9307"</definedName>
    <definedName name="IQ_AVG_GRADE_PLAT" hidden="1">"c9145"</definedName>
    <definedName name="IQ_AVG_GRADE_SILVER" hidden="1">"c9092"</definedName>
    <definedName name="IQ_AVG_GRADE_TITAN" hidden="1">"c9572"</definedName>
    <definedName name="IQ_AVG_GRADE_URAN" hidden="1">"c9625"</definedName>
    <definedName name="IQ_AVG_GRADE_ZINC" hidden="1">"c9360"</definedName>
    <definedName name="IQ_AVG_INDUSTRY_REC_CIQ" hidden="1">"c4984"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PRODUCTION_PER_MINE_ALUM" hidden="1">"c9249"</definedName>
    <definedName name="IQ_AVG_PRODUCTION_PER_MINE_COAL" hidden="1">"c9823"</definedName>
    <definedName name="IQ_AVG_PRODUCTION_PER_MINE_COP" hidden="1">"c9194"</definedName>
    <definedName name="IQ_AVG_PRODUCTION_PER_MINE_DIAM" hidden="1">"c9673"</definedName>
    <definedName name="IQ_AVG_PRODUCTION_PER_MINE_GOLD" hidden="1">"c9034"</definedName>
    <definedName name="IQ_AVG_PRODUCTION_PER_MINE_IRON" hidden="1">"c9408"</definedName>
    <definedName name="IQ_AVG_PRODUCTION_PER_MINE_LEAD" hidden="1">"c9461"</definedName>
    <definedName name="IQ_AVG_PRODUCTION_PER_MINE_MANG" hidden="1">"c9514"</definedName>
    <definedName name="IQ_AVG_PRODUCTION_PER_MINE_MOLYB" hidden="1">"c9726"</definedName>
    <definedName name="IQ_AVG_PRODUCTION_PER_MINE_NICK" hidden="1">"c9302"</definedName>
    <definedName name="IQ_AVG_PRODUCTION_PER_MINE_PLAT" hidden="1">"c9140"</definedName>
    <definedName name="IQ_AVG_PRODUCTION_PER_MINE_SILVER" hidden="1">"c9087"</definedName>
    <definedName name="IQ_AVG_PRODUCTION_PER_MINE_TITAN" hidden="1">"c9567"</definedName>
    <definedName name="IQ_AVG_PRODUCTION_PER_MINE_URAN" hidden="1">"c9620"</definedName>
    <definedName name="IQ_AVG_PRODUCTION_PER_MINE_ZINC" hidden="1">"c9355"</definedName>
    <definedName name="IQ_AVG_REAL_PRICE_POST_TREAT_REFINING_ALUM" hidden="1">"c9259"</definedName>
    <definedName name="IQ_AVG_REAL_PRICE_POST_TREAT_REFINING_COP" hidden="1">"c9206"</definedName>
    <definedName name="IQ_AVG_REAL_PRICE_POST_TREAT_REFINING_DIAM" hidden="1">"c9683"</definedName>
    <definedName name="IQ_AVG_REAL_PRICE_POST_TREAT_REFINING_GOLD" hidden="1">"c9044"</definedName>
    <definedName name="IQ_AVG_REAL_PRICE_POST_TREAT_REFINING_IRON" hidden="1">"c9418"</definedName>
    <definedName name="IQ_AVG_REAL_PRICE_POST_TREAT_REFINING_LEAD" hidden="1">"c9471"</definedName>
    <definedName name="IQ_AVG_REAL_PRICE_POST_TREAT_REFINING_MANG" hidden="1">"c9524"</definedName>
    <definedName name="IQ_AVG_REAL_PRICE_POST_TREAT_REFINING_MOLYB" hidden="1">"c9736"</definedName>
    <definedName name="IQ_AVG_REAL_PRICE_POST_TREAT_REFINING_NICK" hidden="1">"c9311"</definedName>
    <definedName name="IQ_AVG_REAL_PRICE_POST_TREAT_REFINING_PLAT" hidden="1">"c9150"</definedName>
    <definedName name="IQ_AVG_REAL_PRICE_POST_TREAT_REFINING_SILVER" hidden="1">"c9097"</definedName>
    <definedName name="IQ_AVG_REAL_PRICE_POST_TREAT_REFINING_TITAN" hidden="1">"c9577"</definedName>
    <definedName name="IQ_AVG_REAL_PRICE_POST_TREAT_REFINING_URAN" hidden="1">"c9630"</definedName>
    <definedName name="IQ_AVG_REAL_PRICE_POST_TREAT_REFINING_ZINC" hidden="1">"c9365"</definedName>
    <definedName name="IQ_AVG_REAL_PRICE_PRE_TREAT_REFINING_ALUM" hidden="1">"c9258"</definedName>
    <definedName name="IQ_AVG_REAL_PRICE_PRE_TREAT_REFINING_COP" hidden="1">"c9205"</definedName>
    <definedName name="IQ_AVG_REAL_PRICE_PRE_TREAT_REFINING_DIAM" hidden="1">"c9682"</definedName>
    <definedName name="IQ_AVG_REAL_PRICE_PRE_TREAT_REFINING_GOLD" hidden="1">"c9043"</definedName>
    <definedName name="IQ_AVG_REAL_PRICE_PRE_TREAT_REFINING_IRON" hidden="1">"c9417"</definedName>
    <definedName name="IQ_AVG_REAL_PRICE_PRE_TREAT_REFINING_LEAD" hidden="1">"c9470"</definedName>
    <definedName name="IQ_AVG_REAL_PRICE_PRE_TREAT_REFINING_MANG" hidden="1">"c9523"</definedName>
    <definedName name="IQ_AVG_REAL_PRICE_PRE_TREAT_REFINING_MOLYB" hidden="1">"c9735"</definedName>
    <definedName name="IQ_AVG_REAL_PRICE_PRE_TREAT_REFINING_NICK" hidden="1">"c9312"</definedName>
    <definedName name="IQ_AVG_REAL_PRICE_PRE_TREAT_REFINING_PLAT" hidden="1">"c9149"</definedName>
    <definedName name="IQ_AVG_REAL_PRICE_PRE_TREAT_REFINING_SILVER" hidden="1">"c9096"</definedName>
    <definedName name="IQ_AVG_REAL_PRICE_PRE_TREAT_REFINING_TITAN" hidden="1">"c9576"</definedName>
    <definedName name="IQ_AVG_REAL_PRICE_PRE_TREAT_REFINING_URAN" hidden="1">"c9629"</definedName>
    <definedName name="IQ_AVG_REAL_PRICE_PRE_TREAT_REFINING_ZINC" hidden="1">"c9364"</definedName>
    <definedName name="IQ_AVG_REALIZED_PRICE_AFTER_HEDGING_ALUM" hidden="1">"c9257"</definedName>
    <definedName name="IQ_AVG_REALIZED_PRICE_AFTER_HEDGING_COAL" hidden="1">"c9830"</definedName>
    <definedName name="IQ_AVG_REALIZED_PRICE_AFTER_HEDGING_COP" hidden="1">"c9204"</definedName>
    <definedName name="IQ_AVG_REALIZED_PRICE_AFTER_HEDGING_DIAM" hidden="1">"c9681"</definedName>
    <definedName name="IQ_AVG_REALIZED_PRICE_AFTER_HEDGING_GOLD" hidden="1">"c9042"</definedName>
    <definedName name="IQ_AVG_REALIZED_PRICE_AFTER_HEDGING_IRON" hidden="1">"c9416"</definedName>
    <definedName name="IQ_AVG_REALIZED_PRICE_AFTER_HEDGING_LEAD" hidden="1">"c9469"</definedName>
    <definedName name="IQ_AVG_REALIZED_PRICE_AFTER_HEDGING_MANG" hidden="1">"c9522"</definedName>
    <definedName name="IQ_AVG_REALIZED_PRICE_AFTER_HEDGING_MET_COAL" hidden="1">"c9766"</definedName>
    <definedName name="IQ_AVG_REALIZED_PRICE_AFTER_HEDGING_MOLYB" hidden="1">"c9734"</definedName>
    <definedName name="IQ_AVG_REALIZED_PRICE_AFTER_HEDGING_NICK" hidden="1">"c9310"</definedName>
    <definedName name="IQ_AVG_REALIZED_PRICE_AFTER_HEDGING_PLAT" hidden="1">"c9148"</definedName>
    <definedName name="IQ_AVG_REALIZED_PRICE_AFTER_HEDGING_SILVER" hidden="1">"c9095"</definedName>
    <definedName name="IQ_AVG_REALIZED_PRICE_AFTER_HEDGING_STEAM" hidden="1">"c9796"</definedName>
    <definedName name="IQ_AVG_REALIZED_PRICE_AFTER_HEDGING_TITAN" hidden="1">"c9575"</definedName>
    <definedName name="IQ_AVG_REALIZED_PRICE_AFTER_HEDGING_URAN" hidden="1">"c9628"</definedName>
    <definedName name="IQ_AVG_REALIZED_PRICE_AFTER_HEDGING_ZINC" hidden="1">"c9363"</definedName>
    <definedName name="IQ_AVG_REALIZED_PRICE_BEFORE_HEDGING_ALUM" hidden="1">"c9256"</definedName>
    <definedName name="IQ_AVG_REALIZED_PRICE_BEFORE_HEDGING_COAL" hidden="1">"c9829"</definedName>
    <definedName name="IQ_AVG_REALIZED_PRICE_BEFORE_HEDGING_COP" hidden="1">"c9203"</definedName>
    <definedName name="IQ_AVG_REALIZED_PRICE_BEFORE_HEDGING_DIAM" hidden="1">"c9680"</definedName>
    <definedName name="IQ_AVG_REALIZED_PRICE_BEFORE_HEDGING_GOLD" hidden="1">"c9041"</definedName>
    <definedName name="IQ_AVG_REALIZED_PRICE_BEFORE_HEDGING_IRON" hidden="1">"c9415"</definedName>
    <definedName name="IQ_AVG_REALIZED_PRICE_BEFORE_HEDGING_LEAD" hidden="1">"c9468"</definedName>
    <definedName name="IQ_AVG_REALIZED_PRICE_BEFORE_HEDGING_MANG" hidden="1">"c9521"</definedName>
    <definedName name="IQ_AVG_REALIZED_PRICE_BEFORE_HEDGING_MET_COAL" hidden="1">"c9765"</definedName>
    <definedName name="IQ_AVG_REALIZED_PRICE_BEFORE_HEDGING_MOLYB" hidden="1">"c9733"</definedName>
    <definedName name="IQ_AVG_REALIZED_PRICE_BEFORE_HEDGING_NICK" hidden="1">"c9309"</definedName>
    <definedName name="IQ_AVG_REALIZED_PRICE_BEFORE_HEDGING_PLAT" hidden="1">"c9147"</definedName>
    <definedName name="IQ_AVG_REALIZED_PRICE_BEFORE_HEDGING_SILVER" hidden="1">"c9094"</definedName>
    <definedName name="IQ_AVG_REALIZED_PRICE_BEFORE_HEDGING_STEAM" hidden="1">"c9795"</definedName>
    <definedName name="IQ_AVG_REALIZED_PRICE_BEFORE_HEDGING_TITAN" hidden="1">"c9574"</definedName>
    <definedName name="IQ_AVG_REALIZED_PRICE_BEFORE_HEDGING_URAN" hidden="1">"c9627"</definedName>
    <definedName name="IQ_AVG_REALIZED_PRICE_BEFORE_HEDGING_ZINC" hidden="1">"c9362"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AVG_WAGES" hidden="1">"c6812"</definedName>
    <definedName name="IQ_AVG_WAGES_APR" hidden="1">"c7472"</definedName>
    <definedName name="IQ_AVG_WAGES_APR_FC" hidden="1">"c8352"</definedName>
    <definedName name="IQ_AVG_WAGES_FC" hidden="1">"c7692"</definedName>
    <definedName name="IQ_AVG_WAGES_POP" hidden="1">"c7032"</definedName>
    <definedName name="IQ_AVG_WAGES_POP_FC" hidden="1">"c7912"</definedName>
    <definedName name="IQ_AVG_WAGES_YOY" hidden="1">"c7252"</definedName>
    <definedName name="IQ_AVG_WAGES_YOY_FC" hidden="1">"c8132"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REAL" hidden="1">"c6952"</definedName>
    <definedName name="IQ_BALANCE_GOODS_REAL_APR" hidden="1">"c7612"</definedName>
    <definedName name="IQ_BALANCE_GOODS_REAL_APR_FC" hidden="1">"c8492"</definedName>
    <definedName name="IQ_BALANCE_GOODS_REAL_FC" hidden="1">"c7832"</definedName>
    <definedName name="IQ_BALANCE_GOODS_REAL_POP" hidden="1">"c7172"</definedName>
    <definedName name="IQ_BALANCE_GOODS_REAL_POP_FC" hidden="1">"c8052"</definedName>
    <definedName name="IQ_BALANCE_GOODS_REAL_SAAR" hidden="1">"c6953"</definedName>
    <definedName name="IQ_BALANCE_GOODS_REAL_SAAR_APR" hidden="1">"c7613"</definedName>
    <definedName name="IQ_BALANCE_GOODS_REAL_SAAR_APR_FC" hidden="1">"c8493"</definedName>
    <definedName name="IQ_BALANCE_GOODS_REAL_SAAR_FC" hidden="1">"c7833"</definedName>
    <definedName name="IQ_BALANCE_GOODS_REAL_SAAR_POP" hidden="1">"c7173"</definedName>
    <definedName name="IQ_BALANCE_GOODS_REAL_SAAR_POP_FC" hidden="1">"c8053"</definedName>
    <definedName name="IQ_BALANCE_GOODS_REAL_SAAR_USD_APR_FC" hidden="1">"c11893"</definedName>
    <definedName name="IQ_BALANCE_GOODS_REAL_SAAR_USD_FC" hidden="1">"c11890"</definedName>
    <definedName name="IQ_BALANCE_GOODS_REAL_SAAR_USD_POP_FC" hidden="1">"c11891"</definedName>
    <definedName name="IQ_BALANCE_GOODS_REAL_SAAR_USD_YOY_FC" hidden="1">"c11892"</definedName>
    <definedName name="IQ_BALANCE_GOODS_REAL_SAAR_YOY" hidden="1">"c7393"</definedName>
    <definedName name="IQ_BALANCE_GOODS_REAL_SAAR_YOY_FC" hidden="1">"c8273"</definedName>
    <definedName name="IQ_BALANCE_GOODS_REAL_USD_APR_FC" hidden="1">"c11889"</definedName>
    <definedName name="IQ_BALANCE_GOODS_REAL_USD_FC" hidden="1">"c11886"</definedName>
    <definedName name="IQ_BALANCE_GOODS_REAL_USD_POP_FC" hidden="1">"c11887"</definedName>
    <definedName name="IQ_BALANCE_GOODS_REAL_USD_YOY_FC" hidden="1">"c11888"</definedName>
    <definedName name="IQ_BALANCE_GOODS_REAL_YOY" hidden="1">"c7392"</definedName>
    <definedName name="IQ_BALANCE_GOODS_REAL_YOY_FC" hidden="1">"c8272"</definedName>
    <definedName name="IQ_BALANCE_GOODS_SAAR" hidden="1">"c6814"</definedName>
    <definedName name="IQ_BALANCE_GOODS_SAAR_APR" hidden="1">"c7474"</definedName>
    <definedName name="IQ_BALANCE_GOODS_SAAR_APR_FC" hidden="1">"c8354"</definedName>
    <definedName name="IQ_BALANCE_GOODS_SAAR_FC" hidden="1">"c7694"</definedName>
    <definedName name="IQ_BALANCE_GOODS_SAAR_POP" hidden="1">"c7034"</definedName>
    <definedName name="IQ_BALANCE_GOODS_SAAR_POP_FC" hidden="1">"c7914"</definedName>
    <definedName name="IQ_BALANCE_GOODS_SAAR_USD_APR_FC" hidden="1">"c11762"</definedName>
    <definedName name="IQ_BALANCE_GOODS_SAAR_USD_FC" hidden="1">"c11759"</definedName>
    <definedName name="IQ_BALANCE_GOODS_SAAR_USD_POP_FC" hidden="1">"c11760"</definedName>
    <definedName name="IQ_BALANCE_GOODS_SAAR_USD_YOY_FC" hidden="1">"c11761"</definedName>
    <definedName name="IQ_BALANCE_GOODS_SAAR_YOY" hidden="1">"c7254"</definedName>
    <definedName name="IQ_BALANCE_GOODS_SAAR_YOY_FC" hidden="1">"c8134"</definedName>
    <definedName name="IQ_BALANCE_GOODS_UNUSED_UNUSED_UNUSED" hidden="1">"c6813"</definedName>
    <definedName name="IQ_BALANCE_GOODS_USD_APR_FC" hidden="1">"c11758"</definedName>
    <definedName name="IQ_BALANCE_GOODS_USD_FC" hidden="1">"c11755"</definedName>
    <definedName name="IQ_BALANCE_GOODS_USD_POP_FC" hidden="1">"c11756"</definedName>
    <definedName name="IQ_BALANCE_GOODS_USD_YOY_FC" hidden="1">"c11757"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SAAR" hidden="1">"c6816"</definedName>
    <definedName name="IQ_BALANCE_SERV_SAAR_APR" hidden="1">"c7476"</definedName>
    <definedName name="IQ_BALANCE_SERV_SAAR_APR_FC" hidden="1">"c8356"</definedName>
    <definedName name="IQ_BALANCE_SERV_SAAR_FC" hidden="1">"c7696"</definedName>
    <definedName name="IQ_BALANCE_SERV_SAAR_POP" hidden="1">"c7036"</definedName>
    <definedName name="IQ_BALANCE_SERV_SAAR_POP_FC" hidden="1">"c7916"</definedName>
    <definedName name="IQ_BALANCE_SERV_SAAR_YOY" hidden="1">"c7256"</definedName>
    <definedName name="IQ_BALANCE_SERV_SAAR_YOY_FC" hidden="1">"c8136"</definedName>
    <definedName name="IQ_BALANCE_SERV_UNUSED_UNUSED_UNUSED" hidden="1">"c6815"</definedName>
    <definedName name="IQ_BALANCE_SERV_USD_APR_FC" hidden="1">"c11766"</definedName>
    <definedName name="IQ_BALANCE_SERV_USD_FC" hidden="1">"c11763"</definedName>
    <definedName name="IQ_BALANCE_SERV_USD_POP_FC" hidden="1">"c11764"</definedName>
    <definedName name="IQ_BALANCE_SERV_USD_YOY_FC" hidden="1">"c11765"</definedName>
    <definedName name="IQ_BALANCE_SERV_YOY_FC_UNUSED_UNUSED_UNUSED" hidden="1">"c8135"</definedName>
    <definedName name="IQ_BALANCE_SERV_YOY_UNUSED_UNUSED_UNUSED" hidden="1">"c7255"</definedName>
    <definedName name="IQ_BALANCE_SERVICES_REAL" hidden="1">"c6954"</definedName>
    <definedName name="IQ_BALANCE_SERVICES_REAL_APR" hidden="1">"c7614"</definedName>
    <definedName name="IQ_BALANCE_SERVICES_REAL_APR_FC" hidden="1">"c8494"</definedName>
    <definedName name="IQ_BALANCE_SERVICES_REAL_FC" hidden="1">"c7834"</definedName>
    <definedName name="IQ_BALANCE_SERVICES_REAL_POP" hidden="1">"c7174"</definedName>
    <definedName name="IQ_BALANCE_SERVICES_REAL_POP_FC" hidden="1">"c8054"</definedName>
    <definedName name="IQ_BALANCE_SERVICES_REAL_SAAR" hidden="1">"c6955"</definedName>
    <definedName name="IQ_BALANCE_SERVICES_REAL_SAAR_APR" hidden="1">"c7615"</definedName>
    <definedName name="IQ_BALANCE_SERVICES_REAL_SAAR_APR_FC" hidden="1">"c8495"</definedName>
    <definedName name="IQ_BALANCE_SERVICES_REAL_SAAR_FC" hidden="1">"c7835"</definedName>
    <definedName name="IQ_BALANCE_SERVICES_REAL_SAAR_POP" hidden="1">"c7175"</definedName>
    <definedName name="IQ_BALANCE_SERVICES_REAL_SAAR_POP_FC" hidden="1">"c8055"</definedName>
    <definedName name="IQ_BALANCE_SERVICES_REAL_SAAR_YOY" hidden="1">"c7395"</definedName>
    <definedName name="IQ_BALANCE_SERVICES_REAL_SAAR_YOY_FC" hidden="1">"c8275"</definedName>
    <definedName name="IQ_BALANCE_SERVICES_REAL_USD_APR_FC" hidden="1">"c11897"</definedName>
    <definedName name="IQ_BALANCE_SERVICES_REAL_USD_FC" hidden="1">"c11894"</definedName>
    <definedName name="IQ_BALANCE_SERVICES_REAL_USD_POP_FC" hidden="1">"c11895"</definedName>
    <definedName name="IQ_BALANCE_SERVICES_REAL_USD_YOY_FC" hidden="1">"c11896"</definedName>
    <definedName name="IQ_BALANCE_SERVICES_REAL_YOY" hidden="1">"c7394"</definedName>
    <definedName name="IQ_BALANCE_SERVICES_REAL_YOY_FC" hidden="1">"c8274"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REAL" hidden="1">"c6956"</definedName>
    <definedName name="IQ_BALANCE_TRADE_REAL_APR" hidden="1">"c7616"</definedName>
    <definedName name="IQ_BALANCE_TRADE_REAL_APR_FC" hidden="1">"c8496"</definedName>
    <definedName name="IQ_BALANCE_TRADE_REAL_FC" hidden="1">"c7836"</definedName>
    <definedName name="IQ_BALANCE_TRADE_REAL_POP" hidden="1">"c7176"</definedName>
    <definedName name="IQ_BALANCE_TRADE_REAL_POP_FC" hidden="1">"c8056"</definedName>
    <definedName name="IQ_BALANCE_TRADE_REAL_SAAR" hidden="1">"c6957"</definedName>
    <definedName name="IQ_BALANCE_TRADE_REAL_SAAR_APR" hidden="1">"c7617"</definedName>
    <definedName name="IQ_BALANCE_TRADE_REAL_SAAR_APR_FC" hidden="1">"c8497"</definedName>
    <definedName name="IQ_BALANCE_TRADE_REAL_SAAR_FC" hidden="1">"c7837"</definedName>
    <definedName name="IQ_BALANCE_TRADE_REAL_SAAR_POP" hidden="1">"c7177"</definedName>
    <definedName name="IQ_BALANCE_TRADE_REAL_SAAR_POP_FC" hidden="1">"c8057"</definedName>
    <definedName name="IQ_BALANCE_TRADE_REAL_SAAR_USD_APR_FC" hidden="1">"c11905"</definedName>
    <definedName name="IQ_BALANCE_TRADE_REAL_SAAR_USD_FC" hidden="1">"c11902"</definedName>
    <definedName name="IQ_BALANCE_TRADE_REAL_SAAR_USD_POP_FC" hidden="1">"c11903"</definedName>
    <definedName name="IQ_BALANCE_TRADE_REAL_SAAR_USD_YOY_FC" hidden="1">"c11904"</definedName>
    <definedName name="IQ_BALANCE_TRADE_REAL_SAAR_YOY" hidden="1">"c7397"</definedName>
    <definedName name="IQ_BALANCE_TRADE_REAL_SAAR_YOY_FC" hidden="1">"c8277"</definedName>
    <definedName name="IQ_BALANCE_TRADE_REAL_USD_APR_FC" hidden="1">"c11901"</definedName>
    <definedName name="IQ_BALANCE_TRADE_REAL_USD_FC" hidden="1">"c11898"</definedName>
    <definedName name="IQ_BALANCE_TRADE_REAL_USD_POP_FC" hidden="1">"c11899"</definedName>
    <definedName name="IQ_BALANCE_TRADE_REAL_USD_YOY_FC" hidden="1">"c11900"</definedName>
    <definedName name="IQ_BALANCE_TRADE_REAL_YOY" hidden="1">"c7396"</definedName>
    <definedName name="IQ_BALANCE_TRADE_REAL_YOY_FC" hidden="1">"c8276"</definedName>
    <definedName name="IQ_BALANCE_TRADE_SAAR" hidden="1">"c6818"</definedName>
    <definedName name="IQ_BALANCE_TRADE_SAAR_APR" hidden="1">"c7478"</definedName>
    <definedName name="IQ_BALANCE_TRADE_SAAR_APR_FC" hidden="1">"c8358"</definedName>
    <definedName name="IQ_BALANCE_TRADE_SAAR_FC" hidden="1">"c7698"</definedName>
    <definedName name="IQ_BALANCE_TRADE_SAAR_POP" hidden="1">"c7038"</definedName>
    <definedName name="IQ_BALANCE_TRADE_SAAR_POP_FC" hidden="1">"c7918"</definedName>
    <definedName name="IQ_BALANCE_TRADE_SAAR_USD_APR_FC" hidden="1">"c11774"</definedName>
    <definedName name="IQ_BALANCE_TRADE_SAAR_USD_FC" hidden="1">"c11771"</definedName>
    <definedName name="IQ_BALANCE_TRADE_SAAR_USD_POP_FC" hidden="1">"c11772"</definedName>
    <definedName name="IQ_BALANCE_TRADE_SAAR_USD_YOY_FC" hidden="1">"c11773"</definedName>
    <definedName name="IQ_BALANCE_TRADE_SAAR_YOY" hidden="1">"c7258"</definedName>
    <definedName name="IQ_BALANCE_TRADE_SAAR_YOY_FC" hidden="1">"c8138"</definedName>
    <definedName name="IQ_BALANCE_TRADE_UNUSED_UNUSED_UNUSED" hidden="1">"c6817"</definedName>
    <definedName name="IQ_BALANCE_TRADE_USD_APR_FC" hidden="1">"c11770"</definedName>
    <definedName name="IQ_BALANCE_TRADE_USD_FC" hidden="1">"c11767"</definedName>
    <definedName name="IQ_BALANCE_TRADE_USD_POP_FC" hidden="1">"c11768"</definedName>
    <definedName name="IQ_BALANCE_TRADE_USD_YOY_FC" hidden="1">"c11769"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"c11749"</definedName>
    <definedName name="IQ_BOARD_MEMBER" hidden="1">"c96"</definedName>
    <definedName name="IQ_BOARD_MEMBER_BACKGROUND" hidden="1">"c2101"</definedName>
    <definedName name="IQ_BOARD_MEMBER_TITLE" hidden="1">"c97"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SAAR" hidden="1">"c6820"</definedName>
    <definedName name="IQ_BUDGET_BALANCE_SAAR_APR" hidden="1">"c7480"</definedName>
    <definedName name="IQ_BUDGET_BALANCE_SAAR_APR_FC" hidden="1">"c8360"</definedName>
    <definedName name="IQ_BUDGET_BALANCE_SAAR_FC" hidden="1">"c7700"</definedName>
    <definedName name="IQ_BUDGET_BALANCE_SAAR_POP" hidden="1">"c7040"</definedName>
    <definedName name="IQ_BUDGET_BALANCE_SAAR_POP_FC" hidden="1">"c7920"</definedName>
    <definedName name="IQ_BUDGET_BALANCE_SAAR_YOY" hidden="1">"c7260"</definedName>
    <definedName name="IQ_BUDGET_BALANCE_SAAR_YOY_FC" hidden="1">"c8140"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DGET_SPENDING" hidden="1">"c6822"</definedName>
    <definedName name="IQ_BUDGET_SPENDING_APR" hidden="1">"c7482"</definedName>
    <definedName name="IQ_BUDGET_SPENDING_APR_FC" hidden="1">"c8362"</definedName>
    <definedName name="IQ_BUDGET_SPENDING_FC" hidden="1">"c7702"</definedName>
    <definedName name="IQ_BUDGET_SPENDING_POP" hidden="1">"c7042"</definedName>
    <definedName name="IQ_BUDGET_SPENDING_POP_FC" hidden="1">"c7922"</definedName>
    <definedName name="IQ_BUDGET_SPENDING_REAL" hidden="1">"c6958"</definedName>
    <definedName name="IQ_BUDGET_SPENDING_REAL_APR" hidden="1">"c7618"</definedName>
    <definedName name="IQ_BUDGET_SPENDING_REAL_APR_FC" hidden="1">"c8498"</definedName>
    <definedName name="IQ_BUDGET_SPENDING_REAL_FC" hidden="1">"c7838"</definedName>
    <definedName name="IQ_BUDGET_SPENDING_REAL_POP" hidden="1">"c7178"</definedName>
    <definedName name="IQ_BUDGET_SPENDING_REAL_POP_FC" hidden="1">"c8058"</definedName>
    <definedName name="IQ_BUDGET_SPENDING_REAL_SAAR" hidden="1">"c6959"</definedName>
    <definedName name="IQ_BUDGET_SPENDING_REAL_SAAR_APR" hidden="1">"c7619"</definedName>
    <definedName name="IQ_BUDGET_SPENDING_REAL_SAAR_APR_FC" hidden="1">"c8499"</definedName>
    <definedName name="IQ_BUDGET_SPENDING_REAL_SAAR_FC" hidden="1">"c7839"</definedName>
    <definedName name="IQ_BUDGET_SPENDING_REAL_SAAR_POP" hidden="1">"c7179"</definedName>
    <definedName name="IQ_BUDGET_SPENDING_REAL_SAAR_POP_FC" hidden="1">"c8059"</definedName>
    <definedName name="IQ_BUDGET_SPENDING_REAL_SAAR_USD" hidden="1">"c11906"</definedName>
    <definedName name="IQ_BUDGET_SPENDING_REAL_SAAR_USD_APR" hidden="1">"c11909"</definedName>
    <definedName name="IQ_BUDGET_SPENDING_REAL_SAAR_USD_POP" hidden="1">"c11907"</definedName>
    <definedName name="IQ_BUDGET_SPENDING_REAL_SAAR_USD_YOY" hidden="1">"c11908"</definedName>
    <definedName name="IQ_BUDGET_SPENDING_REAL_SAAR_YOY" hidden="1">"c7399"</definedName>
    <definedName name="IQ_BUDGET_SPENDING_REAL_SAAR_YOY_FC" hidden="1">"c8279"</definedName>
    <definedName name="IQ_BUDGET_SPENDING_REAL_YOY" hidden="1">"c7398"</definedName>
    <definedName name="IQ_BUDGET_SPENDING_REAL_YOY_FC" hidden="1">"c8278"</definedName>
    <definedName name="IQ_BUDGET_SPENDING_SAAR" hidden="1">"c6823"</definedName>
    <definedName name="IQ_BUDGET_SPENDING_SAAR_APR" hidden="1">"c7483"</definedName>
    <definedName name="IQ_BUDGET_SPENDING_SAAR_APR_FC" hidden="1">"c8363"</definedName>
    <definedName name="IQ_BUDGET_SPENDING_SAAR_FC" hidden="1">"c7703"</definedName>
    <definedName name="IQ_BUDGET_SPENDING_SAAR_POP" hidden="1">"c7043"</definedName>
    <definedName name="IQ_BUDGET_SPENDING_SAAR_POP_FC" hidden="1">"c7923"</definedName>
    <definedName name="IQ_BUDGET_SPENDING_SAAR_USD_APR_FC" hidden="1">"c11782"</definedName>
    <definedName name="IQ_BUDGET_SPENDING_SAAR_USD_FC" hidden="1">"c11779"</definedName>
    <definedName name="IQ_BUDGET_SPENDING_SAAR_USD_POP_FC" hidden="1">"c11780"</definedName>
    <definedName name="IQ_BUDGET_SPENDING_SAAR_USD_YOY_FC" hidden="1">"c11781"</definedName>
    <definedName name="IQ_BUDGET_SPENDING_SAAR_YOY" hidden="1">"c7263"</definedName>
    <definedName name="IQ_BUDGET_SPENDING_SAAR_YOY_FC" hidden="1">"c8143"</definedName>
    <definedName name="IQ_BUDGET_SPENDING_USD_APR_FC" hidden="1">"c11778"</definedName>
    <definedName name="IQ_BUDGET_SPENDING_USD_FC" hidden="1">"c11775"</definedName>
    <definedName name="IQ_BUDGET_SPENDING_USD_POP_FC" hidden="1">"c11776"</definedName>
    <definedName name="IQ_BUDGET_SPENDING_USD_YOY_FC" hidden="1">"c11777"</definedName>
    <definedName name="IQ_BUDGET_SPENDING_YOY" hidden="1">"c7262"</definedName>
    <definedName name="IQ_BUDGET_SPENDING_YOY_FC" hidden="1">"c8142"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ACT_OR_EST_CIQ" hidden="1">"c5068"</definedName>
    <definedName name="IQ_BV_OVER_SHARES" hidden="1">"c1349"</definedName>
    <definedName name="IQ_BV_SHARE" hidden="1">"c100"</definedName>
    <definedName name="IQ_CA_AP" hidden="1">"c8881"</definedName>
    <definedName name="IQ_CA_AP_ABS" hidden="1">"c8900"</definedName>
    <definedName name="IQ_CA_NAME_AP" hidden="1">"c8919"</definedName>
    <definedName name="IQ_CA_NAME_AP_ABS" hidden="1">"c8938"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Q_EST" hidden="1">"c6796"</definedName>
    <definedName name="IQ_CAL_Q_EST_CIQ" hidden="1">"c6808"</definedName>
    <definedName name="IQ_CAL_Y" hidden="1">"c102"</definedName>
    <definedName name="IQ_CAL_Y_EST" hidden="1">"c6797"</definedName>
    <definedName name="IQ_CAL_Y_EST_CIQ" hidden="1">"c6809"</definedName>
    <definedName name="IQ_CALC_TYPE_BS" hidden="1">"c3086"</definedName>
    <definedName name="IQ_CALC_TYPE_CF" hidden="1">"c3085"</definedName>
    <definedName name="IQ_CALC_TYPE_IS" hidden="1">"c3084"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_UTIL_RATE" hidden="1">"c6824"</definedName>
    <definedName name="IQ_CAP_UTIL_RATE_POP" hidden="1">"c7044"</definedName>
    <definedName name="IQ_CAP_UTIL_RATE_YOY" hidden="1">"c7264"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BNK" hidden="1">"c110"</definedName>
    <definedName name="IQ_CAPEX_BR" hidden="1">"c111"</definedName>
    <definedName name="IQ_CAPEX_FIN" hidden="1">"c112"</definedName>
    <definedName name="IQ_CAPEX_INS" hidden="1">"c113"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RAISED_PERIOD_COVERED" hidden="1">"c9959"</definedName>
    <definedName name="IQ_CAPITAL_RAISED_PERIOD_GROUP" hidden="1">"c9945"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ALUM" hidden="1">"c9252"</definedName>
    <definedName name="IQ_CASH_COST_COAL" hidden="1">"c9825"</definedName>
    <definedName name="IQ_CASH_COST_COP" hidden="1">"c9199"</definedName>
    <definedName name="IQ_CASH_COST_DIAM" hidden="1">"c9676"</definedName>
    <definedName name="IQ_CASH_COST_GOLD" hidden="1">"c9037"</definedName>
    <definedName name="IQ_CASH_COST_IRON" hidden="1">"c9411"</definedName>
    <definedName name="IQ_CASH_COST_LEAD" hidden="1">"c9464"</definedName>
    <definedName name="IQ_CASH_COST_MANG" hidden="1">"c9517"</definedName>
    <definedName name="IQ_CASH_COST_MET_COAL" hidden="1">"c9762"</definedName>
    <definedName name="IQ_CASH_COST_MOLYB" hidden="1">"c9729"</definedName>
    <definedName name="IQ_CASH_COST_NICK" hidden="1">"c9305"</definedName>
    <definedName name="IQ_CASH_COST_PLAT" hidden="1">"c9143"</definedName>
    <definedName name="IQ_CASH_COST_SILVER" hidden="1">"c9090"</definedName>
    <definedName name="IQ_CASH_COST_STEAM" hidden="1">"c9792"</definedName>
    <definedName name="IQ_CASH_COST_TITAN" hidden="1">"c9570"</definedName>
    <definedName name="IQ_CASH_COST_URAN" hidden="1">"c9623"</definedName>
    <definedName name="IQ_CASH_COST_ZINC" hidden="1">"c9358"</definedName>
    <definedName name="IQ_CASH_DIVIDENDS_NET_INCOME_FDIC" hidden="1">"c6738"</definedName>
    <definedName name="IQ_CASH_DUE_BANKS" hidden="1">"c1351"</definedName>
    <definedName name="IQ_CASH_EQUIV" hidden="1">"c118"</definedName>
    <definedName name="IQ_CASH_FINAN" hidden="1">"c119"</definedName>
    <definedName name="IQ_CASH_FINAN_AP" hidden="1">"c8890"</definedName>
    <definedName name="IQ_CASH_FINAN_AP_ABS" hidden="1">"c8909"</definedName>
    <definedName name="IQ_CASH_FINAN_NAME_AP" hidden="1">"c8928"</definedName>
    <definedName name="IQ_CASH_FINAN_NAME_AP_ABS" hidden="1">"c8947"</definedName>
    <definedName name="IQ_CASH_FINAN_SUBTOTAL_AP" hidden="1">"c10111"</definedName>
    <definedName name="IQ_CASH_FLOW_ACT_OR_EST_CIQ" hidden="1">"c4566"</definedName>
    <definedName name="IQ_CASH_IN_PROCESS_FDIC" hidden="1">"c6386"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INVEST_AP" hidden="1">"c8889"</definedName>
    <definedName name="IQ_CASH_INVEST_AP_ABS" hidden="1">"c8908"</definedName>
    <definedName name="IQ_CASH_INVEST_NAME_AP" hidden="1">"c8927"</definedName>
    <definedName name="IQ_CASH_INVEST_NAME_AP_ABS" hidden="1">"c8946"</definedName>
    <definedName name="IQ_CASH_INVEST_SUBTOTAL_AP" hidden="1">"c8991"</definedName>
    <definedName name="IQ_CASH_OPER" hidden="1">"c122"</definedName>
    <definedName name="IQ_CASH_OPER_ACT_OR_EST_CIQ" hidden="1">"c4576"</definedName>
    <definedName name="IQ_CASH_OPER_AP" hidden="1">"c8888"</definedName>
    <definedName name="IQ_CASH_OPER_AP_ABS" hidden="1">"c8907"</definedName>
    <definedName name="IQ_CASH_OPER_NAME_AP" hidden="1">"c8926"</definedName>
    <definedName name="IQ_CASH_OPER_NAME_AP_ABS" hidden="1">"c8945"</definedName>
    <definedName name="IQ_CASH_OPER_SUBTOTAL_AP" hidden="1">"c8990"</definedName>
    <definedName name="IQ_CASH_OTHER_ADJ_AP" hidden="1">"c8891"</definedName>
    <definedName name="IQ_CASH_OTHER_ADJ_AP_ABS" hidden="1">"c8910"</definedName>
    <definedName name="IQ_CASH_OTHER_ADJ_NAME_AP" hidden="1">"c8929"</definedName>
    <definedName name="IQ_CASH_OTHER_ADJ_NAME_AP_ABS" hidden="1">"c8948"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CE_FDIC" hidden="1">"c6296"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" hidden="1">"c6826"</definedName>
    <definedName name="IQ_CHANGE_INVENT_APR" hidden="1">"c7486"</definedName>
    <definedName name="IQ_CHANGE_INVENT_POP" hidden="1">"c7046"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SAAR" hidden="1">"c6962"</definedName>
    <definedName name="IQ_CHANGE_INVENT_REAL_SAAR_APR" hidden="1">"c7622"</definedName>
    <definedName name="IQ_CHANGE_INVENT_REAL_SAAR_APR_FC" hidden="1">"c8502"</definedName>
    <definedName name="IQ_CHANGE_INVENT_REAL_SAAR_FC" hidden="1">"c7842"</definedName>
    <definedName name="IQ_CHANGE_INVENT_REAL_SAAR_POP" hidden="1">"c7182"</definedName>
    <definedName name="IQ_CHANGE_INVENT_REAL_SAAR_POP_FC" hidden="1">"c8062"</definedName>
    <definedName name="IQ_CHANGE_INVENT_REAL_SAAR_USD_APR_FC" hidden="1">"c11917"</definedName>
    <definedName name="IQ_CHANGE_INVENT_REAL_SAAR_USD_FC" hidden="1">"c11914"</definedName>
    <definedName name="IQ_CHANGE_INVENT_REAL_SAAR_USD_POP_FC" hidden="1">"c11915"</definedName>
    <definedName name="IQ_CHANGE_INVENT_REAL_SAAR_USD_YOY_FC" hidden="1">"c11916"</definedName>
    <definedName name="IQ_CHANGE_INVENT_REAL_SAAR_YOY" hidden="1">"c7402"</definedName>
    <definedName name="IQ_CHANGE_INVENT_REAL_SAAR_YOY_FC" hidden="1">"c8282"</definedName>
    <definedName name="IQ_CHANGE_INVENT_REAL_UNUSED_UNUSED_UNUSED" hidden="1">"c6960"</definedName>
    <definedName name="IQ_CHANGE_INVENT_REAL_USD_APR_FC" hidden="1">"c11913"</definedName>
    <definedName name="IQ_CHANGE_INVENT_REAL_USD_FC" hidden="1">"c11910"</definedName>
    <definedName name="IQ_CHANGE_INVENT_REAL_USD_POP_FC" hidden="1">"c11911"</definedName>
    <definedName name="IQ_CHANGE_INVENT_REAL_USD_YOY_FC" hidden="1">"c11912"</definedName>
    <definedName name="IQ_CHANGE_INVENT_REAL_YOY_FC_UNUSED_UNUSED_UNUSED" hidden="1">"c8280"</definedName>
    <definedName name="IQ_CHANGE_INVENT_REAL_YOY_UNUSED_UNUSED_UNUSED" hidden="1">"c7400"</definedName>
    <definedName name="IQ_CHANGE_INVENT_SAAR" hidden="1">"c6827"</definedName>
    <definedName name="IQ_CHANGE_INVENT_SAAR_APR" hidden="1">"c7487"</definedName>
    <definedName name="IQ_CHANGE_INVENT_SAAR_APR_FC" hidden="1">"c8367"</definedName>
    <definedName name="IQ_CHANGE_INVENT_SAAR_FC" hidden="1">"c7707"</definedName>
    <definedName name="IQ_CHANGE_INVENT_SAAR_POP" hidden="1">"c7047"</definedName>
    <definedName name="IQ_CHANGE_INVENT_SAAR_POP_FC" hidden="1">"c7927"</definedName>
    <definedName name="IQ_CHANGE_INVENT_SAAR_YOY" hidden="1">"c7267"</definedName>
    <definedName name="IQ_CHANGE_INVENT_SAAR_YOY_FC" hidden="1">"c8147"</definedName>
    <definedName name="IQ_CHANGE_INVENT_YOY" hidden="1">"c7266"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PRIVATE_INVENT" hidden="1">"c6828"</definedName>
    <definedName name="IQ_CHANGE_PRIVATE_INVENT_APR" hidden="1">"c7488"</definedName>
    <definedName name="IQ_CHANGE_PRIVATE_INVENT_APR_FC" hidden="1">"c8368"</definedName>
    <definedName name="IQ_CHANGE_PRIVATE_INVENT_FC" hidden="1">"c7708"</definedName>
    <definedName name="IQ_CHANGE_PRIVATE_INVENT_POP" hidden="1">"c7048"</definedName>
    <definedName name="IQ_CHANGE_PRIVATE_INVENT_POP_FC" hidden="1">"c7928"</definedName>
    <definedName name="IQ_CHANGE_PRIVATE_INVENT_YOY" hidden="1">"c7268"</definedName>
    <definedName name="IQ_CHANGE_PRIVATE_INVENT_YOY_FC" hidden="1">"c8148"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ICAGO_PMI" hidden="1">"c6829"</definedName>
    <definedName name="IQ_CHICAGO_PMI_APR" hidden="1">"c7489"</definedName>
    <definedName name="IQ_CHICAGO_PMI_APR_FC" hidden="1">"c8369"</definedName>
    <definedName name="IQ_CHICAGO_PMI_FC" hidden="1">"c7709"</definedName>
    <definedName name="IQ_CHICAGO_PMI_POP" hidden="1">"c7049"</definedName>
    <definedName name="IQ_CHICAGO_PMI_POP_FC" hidden="1">"c7929"</definedName>
    <definedName name="IQ_CHICAGO_PMI_YOY" hidden="1">"c7269"</definedName>
    <definedName name="IQ_CHICAGO_PMI_YOY_FC" hidden="1">"c8149"</definedName>
    <definedName name="IQ_CITY" hidden="1">"c166"</definedName>
    <definedName name="IQ_CL_AP" hidden="1">"c8884"</definedName>
    <definedName name="IQ_CL_AP_ABS" hidden="1">"c8903"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NAME_AP" hidden="1">"c8922"</definedName>
    <definedName name="IQ_CL_NAME_AP_ABS" hidden="1">"c8941"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GS" hidden="1">"c175"</definedName>
    <definedName name="IQ_COLLECTION_DOMESTIC_FDIC" hidden="1">"c6387"</definedName>
    <definedName name="IQ_COMBINED_RATIO" hidden="1">"c176"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NOTE" hidden="1">"c6792"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MPOSITE_CYCLICAL_IND" hidden="1">"c6830"</definedName>
    <definedName name="IQ_COMPOSITE_CYCLICAL_IND_APR" hidden="1">"c7490"</definedName>
    <definedName name="IQ_COMPOSITE_CYCLICAL_IND_APR_FC" hidden="1">"c8370"</definedName>
    <definedName name="IQ_COMPOSITE_CYCLICAL_IND_FC" hidden="1">"c7710"</definedName>
    <definedName name="IQ_COMPOSITE_CYCLICAL_IND_POP" hidden="1">"c7050"</definedName>
    <definedName name="IQ_COMPOSITE_CYCLICAL_IND_POP_FC" hidden="1">"c7930"</definedName>
    <definedName name="IQ_COMPOSITE_CYCLICAL_IND_YOY" hidden="1">"c7270"</definedName>
    <definedName name="IQ_COMPOSITE_CYCLICAL_IND_YOY_FC" hidden="1">"c8150"</definedName>
    <definedName name="IQ_CONSOL_BEDS" hidden="1">"c8782"</definedName>
    <definedName name="IQ_CONSOL_PROP_OPERATIONAL" hidden="1">"c8758"</definedName>
    <definedName name="IQ_CONSOL_PROP_OTHER_OWNED" hidden="1">"c8760"</definedName>
    <definedName name="IQ_CONSOL_PROP_TOTAL" hidden="1">"c8761"</definedName>
    <definedName name="IQ_CONSOL_PROP_UNDEVELOPED" hidden="1">"c8759"</definedName>
    <definedName name="IQ_CONSOL_ROOMS" hidden="1">"c8786"</definedName>
    <definedName name="IQ_CONSOL_SQ_FT_OPERATIONAL" hidden="1">"c8774"</definedName>
    <definedName name="IQ_CONSOL_SQ_FT_OTHER_OWNED" hidden="1">"c8776"</definedName>
    <definedName name="IQ_CONSOL_SQ_FT_TOTAL" hidden="1">"c8777"</definedName>
    <definedName name="IQ_CONSOL_SQ_FT_UNDEVELOPED" hidden="1">"c8775"</definedName>
    <definedName name="IQ_CONSOL_UNITS_OPERATIONAL" hidden="1">"c8766"</definedName>
    <definedName name="IQ_CONSOL_UNITS_OTHER_OWNED" hidden="1">"c8768"</definedName>
    <definedName name="IQ_CONSOL_UNITS_TOTAL" hidden="1">"c8769"</definedName>
    <definedName name="IQ_CONSOL_UNITS_UNDEVELOPED" hidden="1">"c8767"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UMER_COMFORT" hidden="1">"c6831"</definedName>
    <definedName name="IQ_CONSUMER_COMFORT_APR" hidden="1">"c7491"</definedName>
    <definedName name="IQ_CONSUMER_COMFORT_APR_FC" hidden="1">"c8371"</definedName>
    <definedName name="IQ_CONSUMER_COMFORT_FC" hidden="1">"c7711"</definedName>
    <definedName name="IQ_CONSUMER_COMFORT_POP" hidden="1">"c7051"</definedName>
    <definedName name="IQ_CONSUMER_COMFORT_POP_FC" hidden="1">"c7931"</definedName>
    <definedName name="IQ_CONSUMER_CONFIDENCE" hidden="1">"c6832"</definedName>
    <definedName name="IQ_CONSUMER_CONFIDENCE_APR" hidden="1">"c7492"</definedName>
    <definedName name="IQ_CONSUMER_CONFIDENCE_APR_FC" hidden="1">"c8372"</definedName>
    <definedName name="IQ_CONSUMER_CONFIDENCE_FC" hidden="1">"c7712"</definedName>
    <definedName name="IQ_CONSUMER_CONFIDENCE_POP" hidden="1">"c7052"</definedName>
    <definedName name="IQ_CONSUMER_CONFIDENCE_POP_FC" hidden="1">"c7932"</definedName>
    <definedName name="IQ_CONSUMER_CONFIDENCE_YOY" hidden="1">"c7272"</definedName>
    <definedName name="IQ_CONSUMER_CONFIDENCE_YOY_FC" hidden="1">"c8152"</definedName>
    <definedName name="IQ_CONSUMER_LENDING" hidden="1">"c6833"</definedName>
    <definedName name="IQ_CONSUMER_LENDING_APR" hidden="1">"c7493"</definedName>
    <definedName name="IQ_CONSUMER_LENDING_APR_FC" hidden="1">"c8373"</definedName>
    <definedName name="IQ_CONSUMER_LENDING_FC" hidden="1">"c7713"</definedName>
    <definedName name="IQ_CONSUMER_LENDING_GROSS" hidden="1">"c6878"</definedName>
    <definedName name="IQ_CONSUMER_LENDING_GROSS_APR" hidden="1">"c7538"</definedName>
    <definedName name="IQ_CONSUMER_LENDING_GROSS_APR_FC" hidden="1">"c8418"</definedName>
    <definedName name="IQ_CONSUMER_LENDING_GROSS_FC" hidden="1">"c7758"</definedName>
    <definedName name="IQ_CONSUMER_LENDING_GROSS_POP" hidden="1">"c7098"</definedName>
    <definedName name="IQ_CONSUMER_LENDING_GROSS_POP_FC" hidden="1">"c7978"</definedName>
    <definedName name="IQ_CONSUMER_LENDING_GROSS_YOY" hidden="1">"c7318"</definedName>
    <definedName name="IQ_CONSUMER_LENDING_GROSS_YOY_FC" hidden="1">"c8198"</definedName>
    <definedName name="IQ_CONSUMER_LENDING_NET" hidden="1">"c6922"</definedName>
    <definedName name="IQ_CONSUMER_LENDING_NET_APR" hidden="1">"c7582"</definedName>
    <definedName name="IQ_CONSUMER_LENDING_NET_APR_FC" hidden="1">"c8462"</definedName>
    <definedName name="IQ_CONSUMER_LENDING_NET_FC" hidden="1">"c7802"</definedName>
    <definedName name="IQ_CONSUMER_LENDING_NET_POP" hidden="1">"c7142"</definedName>
    <definedName name="IQ_CONSUMER_LENDING_NET_POP_FC" hidden="1">"c8022"</definedName>
    <definedName name="IQ_CONSUMER_LENDING_NET_YOY" hidden="1">"c7362"</definedName>
    <definedName name="IQ_CONSUMER_LENDING_NET_YOY_FC" hidden="1">"c8242"</definedName>
    <definedName name="IQ_CONSUMER_LENDING_POP" hidden="1">"c7053"</definedName>
    <definedName name="IQ_CONSUMER_LENDING_POP_FC" hidden="1">"c7933"</definedName>
    <definedName name="IQ_CONSUMER_LENDING_TOTAL" hidden="1">"c7018"</definedName>
    <definedName name="IQ_CONSUMER_LENDING_TOTAL_APR" hidden="1">"c7678"</definedName>
    <definedName name="IQ_CONSUMER_LENDING_TOTAL_APR_FC" hidden="1">"c8558"</definedName>
    <definedName name="IQ_CONSUMER_LENDING_TOTAL_FC" hidden="1">"c7898"</definedName>
    <definedName name="IQ_CONSUMER_LENDING_TOTAL_POP" hidden="1">"c7238"</definedName>
    <definedName name="IQ_CONSUMER_LENDING_TOTAL_POP_FC" hidden="1">"c8118"</definedName>
    <definedName name="IQ_CONSUMER_LENDING_TOTAL_YOY" hidden="1">"c7458"</definedName>
    <definedName name="IQ_CONSUMER_LENDING_TOTAL_YOY_FC" hidden="1">"c8338"</definedName>
    <definedName name="IQ_CONSUMER_LENDING_YOY" hidden="1">"c7273"</definedName>
    <definedName name="IQ_CONSUMER_LENDING_YOY_FC" hidden="1">"c8153"</definedName>
    <definedName name="IQ_CONSUMER_LOANS" hidden="1">"c223"</definedName>
    <definedName name="IQ_CONSUMER_SPENDING" hidden="1">"c6834"</definedName>
    <definedName name="IQ_CONSUMER_SPENDING_APR" hidden="1">"c7494"</definedName>
    <definedName name="IQ_CONSUMER_SPENDING_APR_FC" hidden="1">"c8374"</definedName>
    <definedName name="IQ_CONSUMER_SPENDING_DURABLE" hidden="1">"c6835"</definedName>
    <definedName name="IQ_CONSUMER_SPENDING_DURABLE_APR" hidden="1">"c7495"</definedName>
    <definedName name="IQ_CONSUMER_SPENDING_DURABLE_APR_FC" hidden="1">"c8375"</definedName>
    <definedName name="IQ_CONSUMER_SPENDING_DURABLE_FC" hidden="1">"c7715"</definedName>
    <definedName name="IQ_CONSUMER_SPENDING_DURABLE_POP" hidden="1">"c7055"</definedName>
    <definedName name="IQ_CONSUMER_SPENDING_DURABLE_POP_FC" hidden="1">"c7935"</definedName>
    <definedName name="IQ_CONSUMER_SPENDING_DURABLE_REAL" hidden="1">"c6964"</definedName>
    <definedName name="IQ_CONSUMER_SPENDING_DURABLE_REAL_APR" hidden="1">"c7624"</definedName>
    <definedName name="IQ_CONSUMER_SPENDING_DURABLE_REAL_APR_FC" hidden="1">"c8504"</definedName>
    <definedName name="IQ_CONSUMER_SPENDING_DURABLE_REAL_FC" hidden="1">"c7844"</definedName>
    <definedName name="IQ_CONSUMER_SPENDING_DURABLE_REAL_POP" hidden="1">"c7184"</definedName>
    <definedName name="IQ_CONSUMER_SPENDING_DURABLE_REAL_POP_FC" hidden="1">"c8064"</definedName>
    <definedName name="IQ_CONSUMER_SPENDING_DURABLE_REAL_SAAR" hidden="1">"c6965"</definedName>
    <definedName name="IQ_CONSUMER_SPENDING_DURABLE_REAL_SAAR_APR" hidden="1">"c7625"</definedName>
    <definedName name="IQ_CONSUMER_SPENDING_DURABLE_REAL_SAAR_APR_FC" hidden="1">"c8505"</definedName>
    <definedName name="IQ_CONSUMER_SPENDING_DURABLE_REAL_SAAR_FC" hidden="1">"c7845"</definedName>
    <definedName name="IQ_CONSUMER_SPENDING_DURABLE_REAL_SAAR_POP" hidden="1">"c7185"</definedName>
    <definedName name="IQ_CONSUMER_SPENDING_DURABLE_REAL_SAAR_POP_FC" hidden="1">"c8065"</definedName>
    <definedName name="IQ_CONSUMER_SPENDING_DURABLE_REAL_SAAR_YOY" hidden="1">"c7405"</definedName>
    <definedName name="IQ_CONSUMER_SPENDING_DURABLE_REAL_SAAR_YOY_FC" hidden="1">"c8285"</definedName>
    <definedName name="IQ_CONSUMER_SPENDING_DURABLE_REAL_YOY" hidden="1">"c7404"</definedName>
    <definedName name="IQ_CONSUMER_SPENDING_DURABLE_REAL_YOY_FC" hidden="1">"c8284"</definedName>
    <definedName name="IQ_CONSUMER_SPENDING_DURABLE_YOY" hidden="1">"c7275"</definedName>
    <definedName name="IQ_CONSUMER_SPENDING_DURABLE_YOY_FC" hidden="1">"c8155"</definedName>
    <definedName name="IQ_CONSUMER_SPENDING_FC" hidden="1">"c7714"</definedName>
    <definedName name="IQ_CONSUMER_SPENDING_NONDURABLE" hidden="1">"c6836"</definedName>
    <definedName name="IQ_CONSUMER_SPENDING_NONDURABLE_APR" hidden="1">"c7496"</definedName>
    <definedName name="IQ_CONSUMER_SPENDING_NONDURABLE_APR_FC" hidden="1">"c8376"</definedName>
    <definedName name="IQ_CONSUMER_SPENDING_NONDURABLE_FC" hidden="1">"c7716"</definedName>
    <definedName name="IQ_CONSUMER_SPENDING_NONDURABLE_POP" hidden="1">"c7056"</definedName>
    <definedName name="IQ_CONSUMER_SPENDING_NONDURABLE_POP_FC" hidden="1">"c7936"</definedName>
    <definedName name="IQ_CONSUMER_SPENDING_NONDURABLE_REAL" hidden="1">"c6966"</definedName>
    <definedName name="IQ_CONSUMER_SPENDING_NONDURABLE_REAL_APR" hidden="1">"c7626"</definedName>
    <definedName name="IQ_CONSUMER_SPENDING_NONDURABLE_REAL_APR_FC" hidden="1">"c8506"</definedName>
    <definedName name="IQ_CONSUMER_SPENDING_NONDURABLE_REAL_FC" hidden="1">"c7846"</definedName>
    <definedName name="IQ_CONSUMER_SPENDING_NONDURABLE_REAL_POP" hidden="1">"c7186"</definedName>
    <definedName name="IQ_CONSUMER_SPENDING_NONDURABLE_REAL_POP_FC" hidden="1">"c8066"</definedName>
    <definedName name="IQ_CONSUMER_SPENDING_NONDURABLE_REAL_SAAR" hidden="1">"c6967"</definedName>
    <definedName name="IQ_CONSUMER_SPENDING_NONDURABLE_REAL_SAAR_APR" hidden="1">"c7627"</definedName>
    <definedName name="IQ_CONSUMER_SPENDING_NONDURABLE_REAL_SAAR_APR_FC" hidden="1">"c8507"</definedName>
    <definedName name="IQ_CONSUMER_SPENDING_NONDURABLE_REAL_SAAR_FC" hidden="1">"c7847"</definedName>
    <definedName name="IQ_CONSUMER_SPENDING_NONDURABLE_REAL_SAAR_POP" hidden="1">"c7187"</definedName>
    <definedName name="IQ_CONSUMER_SPENDING_NONDURABLE_REAL_SAAR_POP_FC" hidden="1">"c8067"</definedName>
    <definedName name="IQ_CONSUMER_SPENDING_NONDURABLE_REAL_SAAR_YOY" hidden="1">"c7407"</definedName>
    <definedName name="IQ_CONSUMER_SPENDING_NONDURABLE_REAL_SAAR_YOY_FC" hidden="1">"c8287"</definedName>
    <definedName name="IQ_CONSUMER_SPENDING_NONDURABLE_REAL_YOY" hidden="1">"c7406"</definedName>
    <definedName name="IQ_CONSUMER_SPENDING_NONDURABLE_REAL_YOY_FC" hidden="1">"c8286"</definedName>
    <definedName name="IQ_CONSUMER_SPENDING_NONDURABLE_YOY" hidden="1">"c7276"</definedName>
    <definedName name="IQ_CONSUMER_SPENDING_NONDURABLE_YOY_FC" hidden="1">"c8156"</definedName>
    <definedName name="IQ_CONSUMER_SPENDING_POP" hidden="1">"c7054"</definedName>
    <definedName name="IQ_CONSUMER_SPENDING_POP_FC" hidden="1">"c7934"</definedName>
    <definedName name="IQ_CONSUMER_SPENDING_REAL" hidden="1">"c6963"</definedName>
    <definedName name="IQ_CONSUMER_SPENDING_REAL_APR" hidden="1">"c7623"</definedName>
    <definedName name="IQ_CONSUMER_SPENDING_REAL_APR_FC" hidden="1">"c8503"</definedName>
    <definedName name="IQ_CONSUMER_SPENDING_REAL_FC" hidden="1">"c7843"</definedName>
    <definedName name="IQ_CONSUMER_SPENDING_REAL_POP" hidden="1">"c7183"</definedName>
    <definedName name="IQ_CONSUMER_SPENDING_REAL_POP_FC" hidden="1">"c8063"</definedName>
    <definedName name="IQ_CONSUMER_SPENDING_REAL_SAAR" hidden="1">"c6968"</definedName>
    <definedName name="IQ_CONSUMER_SPENDING_REAL_SAAR_APR" hidden="1">"c7628"</definedName>
    <definedName name="IQ_CONSUMER_SPENDING_REAL_SAAR_APR_FC" hidden="1">"c8508"</definedName>
    <definedName name="IQ_CONSUMER_SPENDING_REAL_SAAR_FC" hidden="1">"c7848"</definedName>
    <definedName name="IQ_CONSUMER_SPENDING_REAL_SAAR_POP" hidden="1">"c7188"</definedName>
    <definedName name="IQ_CONSUMER_SPENDING_REAL_SAAR_POP_FC" hidden="1">"c8068"</definedName>
    <definedName name="IQ_CONSUMER_SPENDING_REAL_SAAR_YOY" hidden="1">"c7408"</definedName>
    <definedName name="IQ_CONSUMER_SPENDING_REAL_SAAR_YOY_FC" hidden="1">"c8288"</definedName>
    <definedName name="IQ_CONSUMER_SPENDING_REAL_USD_APR_FC" hidden="1">"c11921"</definedName>
    <definedName name="IQ_CONSUMER_SPENDING_REAL_USD_FC" hidden="1">"c11918"</definedName>
    <definedName name="IQ_CONSUMER_SPENDING_REAL_USD_POP_FC" hidden="1">"c11919"</definedName>
    <definedName name="IQ_CONSUMER_SPENDING_REAL_USD_YOY_FC" hidden="1">"c11920"</definedName>
    <definedName name="IQ_CONSUMER_SPENDING_REAL_YOY" hidden="1">"c7403"</definedName>
    <definedName name="IQ_CONSUMER_SPENDING_REAL_YOY_FC" hidden="1">"c8283"</definedName>
    <definedName name="IQ_CONSUMER_SPENDING_SERVICES" hidden="1">"c6837"</definedName>
    <definedName name="IQ_CONSUMER_SPENDING_SERVICES_APR" hidden="1">"c7497"</definedName>
    <definedName name="IQ_CONSUMER_SPENDING_SERVICES_APR_FC" hidden="1">"c8377"</definedName>
    <definedName name="IQ_CONSUMER_SPENDING_SERVICES_FC" hidden="1">"c7717"</definedName>
    <definedName name="IQ_CONSUMER_SPENDING_SERVICES_POP" hidden="1">"c7057"</definedName>
    <definedName name="IQ_CONSUMER_SPENDING_SERVICES_POP_FC" hidden="1">"c7937"</definedName>
    <definedName name="IQ_CONSUMER_SPENDING_SERVICES_REAL" hidden="1">"c6969"</definedName>
    <definedName name="IQ_CONSUMER_SPENDING_SERVICES_REAL_APR" hidden="1">"c7629"</definedName>
    <definedName name="IQ_CONSUMER_SPENDING_SERVICES_REAL_APR_FC" hidden="1">"c8509"</definedName>
    <definedName name="IQ_CONSUMER_SPENDING_SERVICES_REAL_FC" hidden="1">"c7849"</definedName>
    <definedName name="IQ_CONSUMER_SPENDING_SERVICES_REAL_POP" hidden="1">"c7189"</definedName>
    <definedName name="IQ_CONSUMER_SPENDING_SERVICES_REAL_POP_FC" hidden="1">"c8069"</definedName>
    <definedName name="IQ_CONSUMER_SPENDING_SERVICES_REAL_SAAR" hidden="1">"c6970"</definedName>
    <definedName name="IQ_CONSUMER_SPENDING_SERVICES_REAL_SAAR_APR" hidden="1">"c7630"</definedName>
    <definedName name="IQ_CONSUMER_SPENDING_SERVICES_REAL_SAAR_APR_FC" hidden="1">"c8510"</definedName>
    <definedName name="IQ_CONSUMER_SPENDING_SERVICES_REAL_SAAR_FC" hidden="1">"c7850"</definedName>
    <definedName name="IQ_CONSUMER_SPENDING_SERVICES_REAL_SAAR_POP" hidden="1">"c7190"</definedName>
    <definedName name="IQ_CONSUMER_SPENDING_SERVICES_REAL_SAAR_POP_FC" hidden="1">"c8070"</definedName>
    <definedName name="IQ_CONSUMER_SPENDING_SERVICES_REAL_SAAR_YOY" hidden="1">"c7410"</definedName>
    <definedName name="IQ_CONSUMER_SPENDING_SERVICES_REAL_SAAR_YOY_FC" hidden="1">"c8290"</definedName>
    <definedName name="IQ_CONSUMER_SPENDING_SERVICES_REAL_YOY" hidden="1">"c7409"</definedName>
    <definedName name="IQ_CONSUMER_SPENDING_SERVICES_REAL_YOY_FC" hidden="1">"c8289"</definedName>
    <definedName name="IQ_CONSUMER_SPENDING_SERVICES_YOY" hidden="1">"c7277"</definedName>
    <definedName name="IQ_CONSUMER_SPENDING_SERVICES_YOY_FC" hidden="1">"c8157"</definedName>
    <definedName name="IQ_CONSUMER_SPENDING_YOY" hidden="1">"c7274"</definedName>
    <definedName name="IQ_CONSUMER_SPENDING_YOY_FC" hidden="1">"c8154"</definedName>
    <definedName name="IQ_CONTRACTS_OTHER_COMMODITIES_EQUITIES._FDIC" hidden="1">"c6522"</definedName>
    <definedName name="IQ_CONTRACTS_OTHER_COMMODITIES_EQUITIES_FDIC" hidden="1">"c6522"</definedName>
    <definedName name="IQ_CONVERT" hidden="1">"c2536"</definedName>
    <definedName name="IQ_CONVERT_PCT" hidden="1">"c2537"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RP_PROFITS" hidden="1">"c6843"</definedName>
    <definedName name="IQ_CORP_PROFITS_AFTER_TAX_SAAR" hidden="1">"c6842"</definedName>
    <definedName name="IQ_CORP_PROFITS_AFTER_TAX_SAAR_APR" hidden="1">"c7502"</definedName>
    <definedName name="IQ_CORP_PROFITS_AFTER_TAX_SAAR_APR_FC" hidden="1">"c8382"</definedName>
    <definedName name="IQ_CORP_PROFITS_AFTER_TAX_SAAR_FC" hidden="1">"c7722"</definedName>
    <definedName name="IQ_CORP_PROFITS_AFTER_TAX_SAAR_POP" hidden="1">"c7062"</definedName>
    <definedName name="IQ_CORP_PROFITS_AFTER_TAX_SAAR_POP_FC" hidden="1">"c7942"</definedName>
    <definedName name="IQ_CORP_PROFITS_AFTER_TAX_SAAR_YOY" hidden="1">"c7282"</definedName>
    <definedName name="IQ_CORP_PROFITS_AFTER_TAX_SAAR_YOY_FC" hidden="1">"c8162"</definedName>
    <definedName name="IQ_CORP_PROFITS_APR" hidden="1">"c7503"</definedName>
    <definedName name="IQ_CORP_PROFITS_APR_FC" hidden="1">"c8383"</definedName>
    <definedName name="IQ_CORP_PROFITS_FC" hidden="1">"c7723"</definedName>
    <definedName name="IQ_CORP_PROFITS_POP" hidden="1">"c7063"</definedName>
    <definedName name="IQ_CORP_PROFITS_POP_FC" hidden="1">"c7943"</definedName>
    <definedName name="IQ_CORP_PROFITS_SAAR" hidden="1">"c6844"</definedName>
    <definedName name="IQ_CORP_PROFITS_SAAR_APR" hidden="1">"c7504"</definedName>
    <definedName name="IQ_CORP_PROFITS_SAAR_APR_FC" hidden="1">"c8384"</definedName>
    <definedName name="IQ_CORP_PROFITS_SAAR_FC" hidden="1">"c7724"</definedName>
    <definedName name="IQ_CORP_PROFITS_SAAR_POP" hidden="1">"c7064"</definedName>
    <definedName name="IQ_CORP_PROFITS_SAAR_POP_FC" hidden="1">"c7944"</definedName>
    <definedName name="IQ_CORP_PROFITS_SAAR_YOY" hidden="1">"c7284"</definedName>
    <definedName name="IQ_CORP_PROFITS_SAAR_YOY_FC" hidden="1">"c8164"</definedName>
    <definedName name="IQ_CORP_PROFITS_YOY" hidden="1">"c7283"</definedName>
    <definedName name="IQ_CORP_PROFITS_YOY_FC" hidden="1">"c8163"</definedName>
    <definedName name="IQ_COST_BORROWING" hidden="1">"c2936"</definedName>
    <definedName name="IQ_COST_BORROWINGS" hidden="1">"c225"</definedName>
    <definedName name="IQ_COST_CAPITAL_NEW_BUSINESS" hidden="1">"c9968"</definedName>
    <definedName name="IQ_COST_OF_FUNDING_ASSETS_FDIC" hidden="1">"c6725"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SOLVENCY_CAPITAL_COVERED" hidden="1">"c9965"</definedName>
    <definedName name="IQ_COST_SOLVENCY_CAPITAL_GROUP" hidden="1">"c9951"</definedName>
    <definedName name="IQ_COST_TOTAL_BORROWINGS" hidden="1">"c229"</definedName>
    <definedName name="IQ_COUNTRY_NAME" hidden="1">"c230"</definedName>
    <definedName name="IQ_COUNTRY_NAME_ECON" hidden="1">"c11752"</definedName>
    <definedName name="IQ_COVERED_POPS" hidden="1">"c2124"</definedName>
    <definedName name="IQ_CP" hidden="1">"c2495"</definedName>
    <definedName name="IQ_CP_PCT" hidden="1">"c2496"</definedName>
    <definedName name="IQ_CPI" hidden="1">"c6845"</definedName>
    <definedName name="IQ_CPI_APR" hidden="1">"c7505"</definedName>
    <definedName name="IQ_CPI_APR_FC" hidden="1">"c8385"</definedName>
    <definedName name="IQ_CPI_CORE" hidden="1">"c6838"</definedName>
    <definedName name="IQ_CPI_CORE_APR" hidden="1">"c7498"</definedName>
    <definedName name="IQ_CPI_CORE_POP" hidden="1">"c7058"</definedName>
    <definedName name="IQ_CPI_CORE_YOY" hidden="1">"c7278"</definedName>
    <definedName name="IQ_CPI_FC" hidden="1">"c7725"</definedName>
    <definedName name="IQ_CPI_POP" hidden="1">"c7065"</definedName>
    <definedName name="IQ_CPI_POP_FC" hidden="1">"c7945"</definedName>
    <definedName name="IQ_CPI_YOY" hidden="1">"c7285"</definedName>
    <definedName name="IQ_CPI_YOY_FC" hidden="1">"c8165"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EXPOSURE" hidden="1">"c10038"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CT" hidden="1">"c6846"</definedName>
    <definedName name="IQ_CURR_ACCT_BALANCE_PCT_FC" hidden="1">"c7726"</definedName>
    <definedName name="IQ_CURR_ACCT_BALANCE_PCT_POP" hidden="1">"c7066"</definedName>
    <definedName name="IQ_CURR_ACCT_BALANCE_PCT_POP_FC" hidden="1">"c7946"</definedName>
    <definedName name="IQ_CURR_ACCT_BALANCE_PCT_YOY" hidden="1">"c7286"</definedName>
    <definedName name="IQ_CURR_ACCT_BALANCE_PCT_YOY_FC" hidden="1">"c8166"</definedName>
    <definedName name="IQ_CURR_ACCT_BALANCE_POP_FC_UNUSED_UNUSED_UNUSED" hidden="1">"c7947"</definedName>
    <definedName name="IQ_CURR_ACCT_BALANCE_POP_UNUSED_UNUSED_UNUSED" hidden="1">"c7067"</definedName>
    <definedName name="IQ_CURR_ACCT_BALANCE_SAAR" hidden="1">"c6848"</definedName>
    <definedName name="IQ_CURR_ACCT_BALANCE_SAAR_APR" hidden="1">"c7508"</definedName>
    <definedName name="IQ_CURR_ACCT_BALANCE_SAAR_APR_FC" hidden="1">"c8388"</definedName>
    <definedName name="IQ_CURR_ACCT_BALANCE_SAAR_FC" hidden="1">"c7728"</definedName>
    <definedName name="IQ_CURR_ACCT_BALANCE_SAAR_POP" hidden="1">"c7068"</definedName>
    <definedName name="IQ_CURR_ACCT_BALANCE_SAAR_POP_FC" hidden="1">"c7948"</definedName>
    <definedName name="IQ_CURR_ACCT_BALANCE_SAAR_USD_APR_FC" hidden="1">"c11797"</definedName>
    <definedName name="IQ_CURR_ACCT_BALANCE_SAAR_USD_FC" hidden="1">"c11794"</definedName>
    <definedName name="IQ_CURR_ACCT_BALANCE_SAAR_USD_POP_FC" hidden="1">"c11795"</definedName>
    <definedName name="IQ_CURR_ACCT_BALANCE_SAAR_USD_YOY_FC" hidden="1">"c11796"</definedName>
    <definedName name="IQ_CURR_ACCT_BALANCE_SAAR_YOY" hidden="1">"c7288"</definedName>
    <definedName name="IQ_CURR_ACCT_BALANCE_SAAR_YOY_FC" hidden="1">"c8168"</definedName>
    <definedName name="IQ_CURR_ACCT_BALANCE_UNUSED_UNUSED_UNUSED" hidden="1">"c6847"</definedName>
    <definedName name="IQ_CURR_ACCT_BALANCE_USD" hidden="1">"c11786"</definedName>
    <definedName name="IQ_CURR_ACCT_BALANCE_USD_APR" hidden="1">"c11789"</definedName>
    <definedName name="IQ_CURR_ACCT_BALANCE_USD_APR_FC" hidden="1">"c11793"</definedName>
    <definedName name="IQ_CURR_ACCT_BALANCE_USD_FC" hidden="1">"c11790"</definedName>
    <definedName name="IQ_CURR_ACCT_BALANCE_USD_POP" hidden="1">"c11787"</definedName>
    <definedName name="IQ_CURR_ACCT_BALANCE_USD_POP_FC" hidden="1">"c11791"</definedName>
    <definedName name="IQ_CURR_ACCT_BALANCE_USD_YOY" hidden="1">"c11788"</definedName>
    <definedName name="IQ_CURR_ACCT_BALANCE_USD_YOY_FC" hidden="1">"c11792"</definedName>
    <definedName name="IQ_CURR_ACCT_BALANCE_YOY_FC_UNUSED_UNUSED_UNUSED" hidden="1">"c8167"</definedName>
    <definedName name="IQ_CURR_ACCT_BALANCE_YOY_UNUSED_UNUSED_UNUSED" hidden="1">"c7287"</definedName>
    <definedName name="IQ_CURR_ACCT_INC_RECEIPTS" hidden="1">"c6849"</definedName>
    <definedName name="IQ_CURR_ACCT_INC_RECEIPTS_APR" hidden="1">"c7509"</definedName>
    <definedName name="IQ_CURR_ACCT_INC_RECEIPTS_APR_FC" hidden="1">"c8389"</definedName>
    <definedName name="IQ_CURR_ACCT_INC_RECEIPTS_FC" hidden="1">"c7729"</definedName>
    <definedName name="IQ_CURR_ACCT_INC_RECEIPTS_POP" hidden="1">"c7069"</definedName>
    <definedName name="IQ_CURR_ACCT_INC_RECEIPTS_POP_FC" hidden="1">"c7949"</definedName>
    <definedName name="IQ_CURR_ACCT_INC_RECEIPTS_YOY" hidden="1">"c7289"</definedName>
    <definedName name="IQ_CURR_ACCT_INC_RECEIPTS_YOY_FC" hidden="1">"c8169"</definedName>
    <definedName name="IQ_CURR_DOMESTIC_TAXES" hidden="1">"c2074"</definedName>
    <definedName name="IQ_CURR_FOREIGN_TAXES" hidden="1">"c2075"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SPENDING_REAL_SAAR" hidden="1">"c6971"</definedName>
    <definedName name="IQ_DEF_SPENDING_REAL_SAAR_APR" hidden="1">"c7631"</definedName>
    <definedName name="IQ_DEF_SPENDING_REAL_SAAR_APR_FC" hidden="1">"c8511"</definedName>
    <definedName name="IQ_DEF_SPENDING_REAL_SAAR_FC" hidden="1">"c7851"</definedName>
    <definedName name="IQ_DEF_SPENDING_REAL_SAAR_POP" hidden="1">"c7191"</definedName>
    <definedName name="IQ_DEF_SPENDING_REAL_SAAR_POP_FC" hidden="1">"c8071"</definedName>
    <definedName name="IQ_DEF_SPENDING_REAL_SAAR_YOY" hidden="1">"c7411"</definedName>
    <definedName name="IQ_DEF_SPENDING_REAL_SAAR_YOY_FC" hidden="1">"c8291"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POSABLE_PERSONAL_INC" hidden="1">"c6850"</definedName>
    <definedName name="IQ_DISPOSABLE_PERSONAL_INC_APR" hidden="1">"c7510"</definedName>
    <definedName name="IQ_DISPOSABLE_PERSONAL_INC_APR_FC" hidden="1">"c8390"</definedName>
    <definedName name="IQ_DISPOSABLE_PERSONAL_INC_FC" hidden="1">"c7730"</definedName>
    <definedName name="IQ_DISPOSABLE_PERSONAL_INC_POP" hidden="1">"c7070"</definedName>
    <definedName name="IQ_DISPOSABLE_PERSONAL_INC_POP_FC" hidden="1">"c7950"</definedName>
    <definedName name="IQ_DISPOSABLE_PERSONAL_INC_REAL" hidden="1">"c11922"</definedName>
    <definedName name="IQ_DISPOSABLE_PERSONAL_INC_REAL_APR" hidden="1">"c11925"</definedName>
    <definedName name="IQ_DISPOSABLE_PERSONAL_INC_REAL_POP" hidden="1">"c11923"</definedName>
    <definedName name="IQ_DISPOSABLE_PERSONAL_INC_REAL_YOY" hidden="1">"c11924"</definedName>
    <definedName name="IQ_DISPOSABLE_PERSONAL_INC_SAAR" hidden="1">"c6851"</definedName>
    <definedName name="IQ_DISPOSABLE_PERSONAL_INC_SAAR_APR" hidden="1">"c7511"</definedName>
    <definedName name="IQ_DISPOSABLE_PERSONAL_INC_SAAR_APR_FC" hidden="1">"c8391"</definedName>
    <definedName name="IQ_DISPOSABLE_PERSONAL_INC_SAAR_FC" hidden="1">"c7731"</definedName>
    <definedName name="IQ_DISPOSABLE_PERSONAL_INC_SAAR_POP" hidden="1">"c7071"</definedName>
    <definedName name="IQ_DISPOSABLE_PERSONAL_INC_SAAR_POP_FC" hidden="1">"c7951"</definedName>
    <definedName name="IQ_DISPOSABLE_PERSONAL_INC_SAAR_USD_APR_FC" hidden="1">"c11805"</definedName>
    <definedName name="IQ_DISPOSABLE_PERSONAL_INC_SAAR_USD_FC" hidden="1">"c11802"</definedName>
    <definedName name="IQ_DISPOSABLE_PERSONAL_INC_SAAR_USD_POP_FC" hidden="1">"c11803"</definedName>
    <definedName name="IQ_DISPOSABLE_PERSONAL_INC_SAAR_USD_YOY_FC" hidden="1">"c11804"</definedName>
    <definedName name="IQ_DISPOSABLE_PERSONAL_INC_SAAR_YOY" hidden="1">"c7291"</definedName>
    <definedName name="IQ_DISPOSABLE_PERSONAL_INC_SAAR_YOY_FC" hidden="1">"c8171"</definedName>
    <definedName name="IQ_DISPOSABLE_PERSONAL_INC_USD_APR_FC" hidden="1">"c11801"</definedName>
    <definedName name="IQ_DISPOSABLE_PERSONAL_INC_USD_FC" hidden="1">"c11798"</definedName>
    <definedName name="IQ_DISPOSABLE_PERSONAL_INC_USD_POP_FC" hidden="1">"c11799"</definedName>
    <definedName name="IQ_DISPOSABLE_PERSONAL_INC_USD_YOY_FC" hidden="1">"c11800"</definedName>
    <definedName name="IQ_DISPOSABLE_PERSONAL_INC_YOY" hidden="1">"c7290"</definedName>
    <definedName name="IQ_DISPOSABLE_PERSONAL_INC_YOY_FC" hidden="1">"c8170"</definedName>
    <definedName name="IQ_DISTR_EXCESS_EARN" hidden="1">"c329"</definedName>
    <definedName name="IQ_DISTRIBUTABLE_CASH" hidden="1">"c3002"</definedName>
    <definedName name="IQ_DISTRIBUTABLE_CASH_ACT_OR_EST_CIQ" hidden="1">"c4803"</definedName>
    <definedName name="IQ_DISTRIBUTABLE_CASH_PAYOUT" hidden="1">"c3005"</definedName>
    <definedName name="IQ_DISTRIBUTABLE_CASH_SHARE" hidden="1">"c3003"</definedName>
    <definedName name="IQ_DISTRIBUTABLE_CASH_SHARE_ACT_OR_EST_CIQ" hidden="1">"c4811"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IVIDENDS_PAID_DECLARED_PERIOD_COVERED" hidden="1">"c9960"</definedName>
    <definedName name="IQ_DIVIDENDS_PAID_DECLARED_PERIOD_GROUP" hidden="1">"c9946"</definedName>
    <definedName name="IQ_DNB_OTHER_EXP_INC_TAX_US" hidden="1">"c6787"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URABLE_INVENTORIES" hidden="1">"c6853"</definedName>
    <definedName name="IQ_DURABLE_INVENTORIES_APR" hidden="1">"c7513"</definedName>
    <definedName name="IQ_DURABLE_INVENTORIES_APR_FC" hidden="1">"c8393"</definedName>
    <definedName name="IQ_DURABLE_INVENTORIES_FC" hidden="1">"c7733"</definedName>
    <definedName name="IQ_DURABLE_INVENTORIES_POP" hidden="1">"c7073"</definedName>
    <definedName name="IQ_DURABLE_INVENTORIES_POP_FC" hidden="1">"c7953"</definedName>
    <definedName name="IQ_DURABLE_INVENTORIES_YOY" hidden="1">"c7293"</definedName>
    <definedName name="IQ_DURABLE_INVENTORIES_YOY_FC" hidden="1">"c8173"</definedName>
    <definedName name="IQ_DURABLE_ORDERS" hidden="1">"c6854"</definedName>
    <definedName name="IQ_DURABLE_ORDERS_APR" hidden="1">"c7514"</definedName>
    <definedName name="IQ_DURABLE_ORDERS_APR_FC" hidden="1">"c8394"</definedName>
    <definedName name="IQ_DURABLE_ORDERS_FC" hidden="1">"c7734"</definedName>
    <definedName name="IQ_DURABLE_ORDERS_POP" hidden="1">"c7074"</definedName>
    <definedName name="IQ_DURABLE_ORDERS_POP_FC" hidden="1">"c7954"</definedName>
    <definedName name="IQ_DURABLE_ORDERS_YOY" hidden="1">"c7294"</definedName>
    <definedName name="IQ_DURABLE_ORDERS_YOY_FC" hidden="1">"c8174"</definedName>
    <definedName name="IQ_DURABLE_SHIPMENTS" hidden="1">"c6855"</definedName>
    <definedName name="IQ_DURABLE_SHIPMENTS_APR" hidden="1">"c7515"</definedName>
    <definedName name="IQ_DURABLE_SHIPMENTS_APR_FC" hidden="1">"c8395"</definedName>
    <definedName name="IQ_DURABLE_SHIPMENTS_FC" hidden="1">"c7735"</definedName>
    <definedName name="IQ_DURABLE_SHIPMENTS_POP" hidden="1">"c7075"</definedName>
    <definedName name="IQ_DURABLE_SHIPMENTS_POP_FC" hidden="1">"c7955"</definedName>
    <definedName name="IQ_DURABLE_SHIPMENTS_YOY" hidden="1">"c7295"</definedName>
    <definedName name="IQ_DURABLE_SHIPMENTS_YOY_FC" hidden="1">"c8175"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CIQ" hidden="1">"c4656"</definedName>
    <definedName name="IQ_EARNINGS_ANNOUNCE_DATE_REUT" hidden="1">"c5314"</definedName>
    <definedName name="IQ_EARNINGS_COVERAGE_NET_CHARGE_OFFS_FDIC" hidden="1">"c6735"</definedName>
    <definedName name="IQ_EARNINGS_PERIOD_COVERED" hidden="1">"c9958"</definedName>
    <definedName name="IQ_EARNINGS_PERIOD_GROUP" hidden="1">"c9944"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EQ_INC" hidden="1">"c3498"</definedName>
    <definedName name="IQ_EBIT_EQ_INC_EXCL_SBC" hidden="1">"c3502"</definedName>
    <definedName name="IQ_EBIT_EXCL_SBC" hidden="1">"c3082"</definedName>
    <definedName name="IQ_EBIT_INT" hidden="1">"c360"</definedName>
    <definedName name="IQ_EBIT_MARGIN" hidden="1">"c359"</definedName>
    <definedName name="IQ_EBIT_OVER_IE" hidden="1">"c1369"</definedName>
    <definedName name="IQ_EBIT_SBC_ACT_OR_EST_CIQ" hidden="1">"c4841"</definedName>
    <definedName name="IQ_EBIT_SBC_GW_ACT_OR_EST_CIQ" hidden="1">"c4845"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_CIQ" hidden="1">"c5060"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CIQ" hidden="1">"c3622"</definedName>
    <definedName name="IQ_EBITDA_EST_REUT" hidden="1">"c3640"</definedName>
    <definedName name="IQ_EBITDA_EXCL_SBC" hidden="1">"c3081"</definedName>
    <definedName name="IQ_EBITDA_HIGH_EST" hidden="1">"c370"</definedName>
    <definedName name="IQ_EBITDA_HIGH_EST_CIQ" hidden="1">"c3624"</definedName>
    <definedName name="IQ_EBITDA_HIGH_EST_REUT" hidden="1">"c3642"</definedName>
    <definedName name="IQ_EBITDA_INT" hidden="1">"c373"</definedName>
    <definedName name="IQ_EBITDA_LOW_EST" hidden="1">"c371"</definedName>
    <definedName name="IQ_EBITDA_LOW_EST_CIQ" hidden="1">"c3625"</definedName>
    <definedName name="IQ_EBITDA_LOW_EST_REUT" hidden="1">"c3643"</definedName>
    <definedName name="IQ_EBITDA_MARGIN" hidden="1">"c372"</definedName>
    <definedName name="IQ_EBITDA_MEDIAN_EST" hidden="1">"c1663"</definedName>
    <definedName name="IQ_EBITDA_MEDIAN_EST_CIQ" hidden="1">"c3623"</definedName>
    <definedName name="IQ_EBITDA_MEDIAN_EST_REUT" hidden="1">"c3641"</definedName>
    <definedName name="IQ_EBITDA_NUM_EST" hidden="1">"c374"</definedName>
    <definedName name="IQ_EBITDA_NUM_EST_CIQ" hidden="1">"c3626"</definedName>
    <definedName name="IQ_EBITDA_NUM_EST_REUT" hidden="1">"c3644"</definedName>
    <definedName name="IQ_EBITDA_OVER_TOTAL_IE" hidden="1">"c1371"</definedName>
    <definedName name="IQ_EBITDA_SBC_ACT_OR_EST_CIQ" hidden="1">"c4862"</definedName>
    <definedName name="IQ_EBITDA_STDDEV_EST" hidden="1">"c375"</definedName>
    <definedName name="IQ_EBITDA_STDDEV_EST_CIQ" hidden="1">"c3627"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_CIQ" hidden="1">"c4875"</definedName>
    <definedName name="IQ_EBT_SBC_GW_ACT_OR_EST_CIQ" hidden="1">"c4879"</definedName>
    <definedName name="IQ_EBT_SUBTOTAL_AP" hidden="1">"c8982"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27" hidden="1">"c6927"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147" hidden="1">"c7147"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367" hidden="1">"c7367"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587" hidden="1">"c7587"</definedName>
    <definedName name="IQ_ECO_METRIC_7648_UNUSED_UNUSED_UNUSED" hidden="1">"c7648"</definedName>
    <definedName name="IQ_ECO_METRIC_7704" hidden="1">"c7704"</definedName>
    <definedName name="IQ_ECO_METRIC_7705_UNUSED_UNUSED_UNUSED" hidden="1">"c7705"</definedName>
    <definedName name="IQ_ECO_METRIC_7706" hidden="1">"c7706"</definedName>
    <definedName name="IQ_ECO_METRIC_7718" hidden="1">"c7718"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07" hidden="1">"c7807"</definedName>
    <definedName name="IQ_ECO_METRIC_7811" hidden="1">"c7811"</definedName>
    <definedName name="IQ_ECO_METRIC_7868_UNUSED_UNUSED_UNUSED" hidden="1">"c7868"</definedName>
    <definedName name="IQ_ECO_METRIC_7873" hidden="1">"c7873"</definedName>
    <definedName name="IQ_ECO_METRIC_7924" hidden="1">"c7924"</definedName>
    <definedName name="IQ_ECO_METRIC_7925_UNUSED_UNUSED_UNUSED" hidden="1">"c7925"</definedName>
    <definedName name="IQ_ECO_METRIC_7926" hidden="1">"c7926"</definedName>
    <definedName name="IQ_ECO_METRIC_7938" hidden="1">"c7938"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27" hidden="1">"c8027"</definedName>
    <definedName name="IQ_ECO_METRIC_8031" hidden="1">"c8031"</definedName>
    <definedName name="IQ_ECO_METRIC_8088_UNUSED_UNUSED_UNUSED" hidden="1">"c8088"</definedName>
    <definedName name="IQ_ECO_METRIC_8093" hidden="1">"c8093"</definedName>
    <definedName name="IQ_ECO_METRIC_8144" hidden="1">"c8144"</definedName>
    <definedName name="IQ_ECO_METRIC_8145_UNUSED_UNUSED_UNUSED" hidden="1">"c8145"</definedName>
    <definedName name="IQ_ECO_METRIC_8146" hidden="1">"c8146"</definedName>
    <definedName name="IQ_ECO_METRIC_8158" hidden="1">"c8158"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247" hidden="1">"c8247"</definedName>
    <definedName name="IQ_ECO_METRIC_8251" hidden="1">"c8251"</definedName>
    <definedName name="IQ_ECO_METRIC_8308_UNUSED_UNUSED_UNUSED" hidden="1">"c8308"</definedName>
    <definedName name="IQ_ECO_METRIC_8313" hidden="1">"c8313"</definedName>
    <definedName name="IQ_ECO_METRIC_8366" hidden="1">"c8366"</definedName>
    <definedName name="IQ_ECO_METRIC_8378" hidden="1">"c8378"</definedName>
    <definedName name="IQ_ECO_METRIC_8436_UNUSED_UNUSED_UNUSED" hidden="1">"c8436"</definedName>
    <definedName name="IQ_ECO_METRIC_8437_UNUSED_UNUSED_UNUSED" hidden="1">"c8437"</definedName>
    <definedName name="IQ_ECO_METRIC_8467" hidden="1">"c8467"</definedName>
    <definedName name="IQ_ECO_METRIC_8471" hidden="1">"c8471"</definedName>
    <definedName name="IQ_ECO_METRIC_8528_UNUSED_UNUSED_UNUSED" hidden="1">"c8528"</definedName>
    <definedName name="IQ_ECO_METRIC_8533" hidden="1">"c8533"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BEDDED_VAL_COVERED" hidden="1">"c9962"</definedName>
    <definedName name="IQ_EMBEDDED_VAL_COVERED_BEG" hidden="1">"c9957"</definedName>
    <definedName name="IQ_EMBEDDED_VAL_GROUP" hidden="1">"c9948"</definedName>
    <definedName name="IQ_EMBEDDED_VAL_GROUP_BEG" hidden="1">"c9943"</definedName>
    <definedName name="IQ_EMPLOY_COST_INDEX_BENEFITS" hidden="1">"c6857"</definedName>
    <definedName name="IQ_EMPLOY_COST_INDEX_BENEFITS_APR" hidden="1">"c7517"</definedName>
    <definedName name="IQ_EMPLOY_COST_INDEX_BENEFITS_APR_FC" hidden="1">"c8397"</definedName>
    <definedName name="IQ_EMPLOY_COST_INDEX_BENEFITS_FC" hidden="1">"c7737"</definedName>
    <definedName name="IQ_EMPLOY_COST_INDEX_BENEFITS_POP" hidden="1">"c7077"</definedName>
    <definedName name="IQ_EMPLOY_COST_INDEX_BENEFITS_POP_FC" hidden="1">"c7957"</definedName>
    <definedName name="IQ_EMPLOY_COST_INDEX_BENEFITS_YOY" hidden="1">"c7297"</definedName>
    <definedName name="IQ_EMPLOY_COST_INDEX_BENEFITS_YOY_FC" hidden="1">"c8177"</definedName>
    <definedName name="IQ_EMPLOY_COST_INDEX_COMP" hidden="1">"c6856"</definedName>
    <definedName name="IQ_EMPLOY_COST_INDEX_COMP_APR" hidden="1">"c7516"</definedName>
    <definedName name="IQ_EMPLOY_COST_INDEX_COMP_APR_FC" hidden="1">"c8396"</definedName>
    <definedName name="IQ_EMPLOY_COST_INDEX_COMP_FC" hidden="1">"c7736"</definedName>
    <definedName name="IQ_EMPLOY_COST_INDEX_COMP_POP" hidden="1">"c7076"</definedName>
    <definedName name="IQ_EMPLOY_COST_INDEX_COMP_POP_FC" hidden="1">"c7956"</definedName>
    <definedName name="IQ_EMPLOY_COST_INDEX_COMP_YOY" hidden="1">"c7296"</definedName>
    <definedName name="IQ_EMPLOY_COST_INDEX_COMP_YOY_FC" hidden="1">"c8176"</definedName>
    <definedName name="IQ_EMPLOY_COST_INDEX_WAGE_SALARY" hidden="1">"c6858"</definedName>
    <definedName name="IQ_EMPLOY_COST_INDEX_WAGE_SALARY_APR" hidden="1">"c7518"</definedName>
    <definedName name="IQ_EMPLOY_COST_INDEX_WAGE_SALARY_APR_FC" hidden="1">"c8398"</definedName>
    <definedName name="IQ_EMPLOY_COST_INDEX_WAGE_SALARY_FC" hidden="1">"c7738"</definedName>
    <definedName name="IQ_EMPLOY_COST_INDEX_WAGE_SALARY_POP" hidden="1">"c7078"</definedName>
    <definedName name="IQ_EMPLOY_COST_INDEX_WAGE_SALARY_POP_FC" hidden="1">"c7958"</definedName>
    <definedName name="IQ_EMPLOY_COST_INDEX_WAGE_SALARY_YOY" hidden="1">"c7298"</definedName>
    <definedName name="IQ_EMPLOY_COST_INDEX_WAGE_SALARY_YOY_FC" hidden="1">"c8178"</definedName>
    <definedName name="IQ_EMPLOYEES" hidden="1">"c392"</definedName>
    <definedName name="IQ_ENTERPRISE_VALUE" hidden="1">"c1348"</definedName>
    <definedName name="IQ_ENTREPRENEURAL_PROPERTY_INC" hidden="1">"c6859"</definedName>
    <definedName name="IQ_ENTREPRENEURAL_PROPERTY_INC_APR" hidden="1">"c7519"</definedName>
    <definedName name="IQ_ENTREPRENEURAL_PROPERTY_INC_APR_FC" hidden="1">"c8399"</definedName>
    <definedName name="IQ_ENTREPRENEURAL_PROPERTY_INC_FC" hidden="1">"c7739"</definedName>
    <definedName name="IQ_ENTREPRENEURAL_PROPERTY_INC_POP" hidden="1">"c7079"</definedName>
    <definedName name="IQ_ENTREPRENEURAL_PROPERTY_INC_POP_FC" hidden="1">"c7959"</definedName>
    <definedName name="IQ_ENTREPRENEURAL_PROPERTY_INC_YOY" hidden="1">"c7299"</definedName>
    <definedName name="IQ_ENTREPRENEURAL_PROPERTY_INC_YOY_FC" hidden="1">"c8179"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_CIQ" hidden="1">"c5058"</definedName>
    <definedName name="IQ_EPS_AP" hidden="1">"c8880"</definedName>
    <definedName name="IQ_EPS_AP_ABS" hidden="1">"c8899"</definedName>
    <definedName name="IQ_EPS_EST" hidden="1">"c399"</definedName>
    <definedName name="IQ_EPS_EST_CIQ" hidden="1">"c4994"</definedName>
    <definedName name="IQ_EPS_EST_REUT" hidden="1">"c5453"</definedName>
    <definedName name="IQ_EPS_GW_ACT_OR_EST_CIQ" hidden="1">"c5066"</definedName>
    <definedName name="IQ_EPS_GW_EST" hidden="1">"c1737"</definedName>
    <definedName name="IQ_EPS_GW_EST_CIQ" hidden="1">"c4723"</definedName>
    <definedName name="IQ_EPS_GW_EST_REUT" hidden="1">"c5389"</definedName>
    <definedName name="IQ_EPS_GW_HIGH_EST" hidden="1">"c1739"</definedName>
    <definedName name="IQ_EPS_GW_HIGH_EST_CIQ" hidden="1">"c4725"</definedName>
    <definedName name="IQ_EPS_GW_HIGH_EST_REUT" hidden="1">"c5391"</definedName>
    <definedName name="IQ_EPS_GW_LOW_EST" hidden="1">"c1740"</definedName>
    <definedName name="IQ_EPS_GW_LOW_EST_CIQ" hidden="1">"c4726"</definedName>
    <definedName name="IQ_EPS_GW_LOW_EST_REUT" hidden="1">"c5392"</definedName>
    <definedName name="IQ_EPS_GW_MEDIAN_EST" hidden="1">"c1738"</definedName>
    <definedName name="IQ_EPS_GW_MEDIAN_EST_CIQ" hidden="1">"c4724"</definedName>
    <definedName name="IQ_EPS_GW_MEDIAN_EST_REUT" hidden="1">"c5390"</definedName>
    <definedName name="IQ_EPS_GW_NUM_EST" hidden="1">"c1741"</definedName>
    <definedName name="IQ_EPS_GW_NUM_EST_CIQ" hidden="1">"c4727"</definedName>
    <definedName name="IQ_EPS_GW_NUM_EST_REUT" hidden="1">"c5393"</definedName>
    <definedName name="IQ_EPS_GW_STDDEV_EST" hidden="1">"c1742"</definedName>
    <definedName name="IQ_EPS_GW_STDDEV_EST_CIQ" hidden="1">"c4728"</definedName>
    <definedName name="IQ_EPS_GW_STDDEV_EST_REUT" hidden="1">"c5394"</definedName>
    <definedName name="IQ_EPS_HIGH_EST" hidden="1">"c400"</definedName>
    <definedName name="IQ_EPS_HIGH_EST_CIQ" hidden="1">"c4995"</definedName>
    <definedName name="IQ_EPS_HIGH_EST_REUT" hidden="1">"c5454"</definedName>
    <definedName name="IQ_EPS_LOW_EST" hidden="1">"c401"</definedName>
    <definedName name="IQ_EPS_LOW_EST_CIQ" hidden="1">"c4996"</definedName>
    <definedName name="IQ_EPS_LOW_EST_REUT" hidden="1">"c5455"</definedName>
    <definedName name="IQ_EPS_MEDIAN_EST" hidden="1">"c1661"</definedName>
    <definedName name="IQ_EPS_MEDIAN_EST_CIQ" hidden="1">"c4997"</definedName>
    <definedName name="IQ_EPS_MEDIAN_EST_REUT" hidden="1">"c5456"</definedName>
    <definedName name="IQ_EPS_NAME_AP" hidden="1">"c8918"</definedName>
    <definedName name="IQ_EPS_NAME_AP_ABS" hidden="1">"c8937"</definedName>
    <definedName name="IQ_EPS_NORM" hidden="1">"c1902"</definedName>
    <definedName name="IQ_EPS_NORM_EST" hidden="1">"c2226"</definedName>
    <definedName name="IQ_EPS_NORM_EST_CIQ" hidden="1">"c4667"</definedName>
    <definedName name="IQ_EPS_NORM_EST_REUT" hidden="1">"c5326"</definedName>
    <definedName name="IQ_EPS_NORM_HIGH_EST" hidden="1">"c2228"</definedName>
    <definedName name="IQ_EPS_NORM_HIGH_EST_CIQ" hidden="1">"c4669"</definedName>
    <definedName name="IQ_EPS_NORM_HIGH_EST_REUT" hidden="1">"c5328"</definedName>
    <definedName name="IQ_EPS_NORM_LOW_EST" hidden="1">"c2229"</definedName>
    <definedName name="IQ_EPS_NORM_LOW_EST_CIQ" hidden="1">"c4670"</definedName>
    <definedName name="IQ_EPS_NORM_LOW_EST_REUT" hidden="1">"c5329"</definedName>
    <definedName name="IQ_EPS_NORM_MEDIAN_EST" hidden="1">"c2227"</definedName>
    <definedName name="IQ_EPS_NORM_MEDIAN_EST_CIQ" hidden="1">"c4668"</definedName>
    <definedName name="IQ_EPS_NORM_MEDIAN_EST_REUT" hidden="1">"c5327"</definedName>
    <definedName name="IQ_EPS_NORM_NUM_EST" hidden="1">"c2230"</definedName>
    <definedName name="IQ_EPS_NORM_NUM_EST_CIQ" hidden="1">"c4671"</definedName>
    <definedName name="IQ_EPS_NORM_NUM_EST_REUT" hidden="1">"c5330"</definedName>
    <definedName name="IQ_EPS_NORM_STDDEV_EST" hidden="1">"c2231"</definedName>
    <definedName name="IQ_EPS_NORM_STDDEV_EST_CIQ" hidden="1">"c4672"</definedName>
    <definedName name="IQ_EPS_NORM_STDDEV_EST_REUT" hidden="1">"c5331"</definedName>
    <definedName name="IQ_EPS_NUM_EST" hidden="1">"c402"</definedName>
    <definedName name="IQ_EPS_NUM_EST_CIQ" hidden="1">"c4992"</definedName>
    <definedName name="IQ_EPS_NUM_EST_REUT" hidden="1">"c5451"</definedName>
    <definedName name="IQ_EPS_REPORT_ACT_OR_EST_CIQ" hidden="1">"c5067"</definedName>
    <definedName name="IQ_EPS_REPORTED_EST" hidden="1">"c1744"</definedName>
    <definedName name="IQ_EPS_REPORTED_EST_CIQ" hidden="1">"c4730"</definedName>
    <definedName name="IQ_EPS_REPORTED_EST_REUT" hidden="1">"c5396"</definedName>
    <definedName name="IQ_EPS_REPORTED_HIGH_EST" hidden="1">"c1746"</definedName>
    <definedName name="IQ_EPS_REPORTED_HIGH_EST_CIQ" hidden="1">"c4732"</definedName>
    <definedName name="IQ_EPS_REPORTED_HIGH_EST_REUT" hidden="1">"c5398"</definedName>
    <definedName name="IQ_EPS_REPORTED_LOW_EST" hidden="1">"c1747"</definedName>
    <definedName name="IQ_EPS_REPORTED_LOW_EST_CIQ" hidden="1">"c4733"</definedName>
    <definedName name="IQ_EPS_REPORTED_LOW_EST_REUT" hidden="1">"c5399"</definedName>
    <definedName name="IQ_EPS_REPORTED_MEDIAN_EST" hidden="1">"c1745"</definedName>
    <definedName name="IQ_EPS_REPORTED_MEDIAN_EST_CIQ" hidden="1">"c4731"</definedName>
    <definedName name="IQ_EPS_REPORTED_MEDIAN_EST_REUT" hidden="1">"c5397"</definedName>
    <definedName name="IQ_EPS_REPORTED_NUM_EST" hidden="1">"c1748"</definedName>
    <definedName name="IQ_EPS_REPORTED_NUM_EST_CIQ" hidden="1">"c4734"</definedName>
    <definedName name="IQ_EPS_REPORTED_NUM_EST_REUT" hidden="1">"c5400"</definedName>
    <definedName name="IQ_EPS_REPORTED_STDDEV_EST" hidden="1">"c1749"</definedName>
    <definedName name="IQ_EPS_REPORTED_STDDEV_EST_CIQ" hidden="1">"c4735"</definedName>
    <definedName name="IQ_EPS_REPORTED_STDDEV_EST_REUT" hidden="1">"c5401"</definedName>
    <definedName name="IQ_EPS_SBC_ACT_OR_EST_CIQ" hidden="1">"c4901"</definedName>
    <definedName name="IQ_EPS_SBC_GW_ACT_OR_EST_CIQ" hidden="1">"c4905"</definedName>
    <definedName name="IQ_EPS_STDDEV_EST" hidden="1">"c403"</definedName>
    <definedName name="IQ_EPS_STDDEV_EST_CIQ" hidden="1">"c4993"</definedName>
    <definedName name="IQ_EPS_STDDEV_EST_REUT" hidden="1">"c5452"</definedName>
    <definedName name="IQ_EQUITY_AFFIL" hidden="1">"c1451"</definedName>
    <definedName name="IQ_EQUITY_AP" hidden="1">"c8887"</definedName>
    <definedName name="IQ_EQUITY_AP_ABS" hidden="1">"c8906"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NAME_AP" hidden="1">"c8925"</definedName>
    <definedName name="IQ_EQUITY_NAME_AP_ABS" hidden="1">"c8944"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EPS_GW" hidden="1">"c1743"</definedName>
    <definedName name="IQ_EST_ACT_EPS_GW_CIQ" hidden="1">"c4729"</definedName>
    <definedName name="IQ_EST_ACT_EPS_GW_REUT" hidden="1">"c5395"</definedName>
    <definedName name="IQ_EST_ACT_EPS_NORM" hidden="1">"c2232"</definedName>
    <definedName name="IQ_EST_ACT_EPS_NORM_CIQ" hidden="1">"c4673"</definedName>
    <definedName name="IQ_EST_ACT_EPS_NORM_REUT" hidden="1">"c5332"</definedName>
    <definedName name="IQ_EST_ACT_EPS_REPORTED" hidden="1">"c1750"</definedName>
    <definedName name="IQ_EST_ACT_EPS_REPORTED_CIQ" hidden="1">"c4736"</definedName>
    <definedName name="IQ_EST_ACT_EPS_REPORTED_REUT" hidden="1">"c5402"</definedName>
    <definedName name="IQ_EST_CURRENCY" hidden="1">"c2140"</definedName>
    <definedName name="IQ_EST_CURRENCY_CIQ" hidden="1">"c4769"</definedName>
    <definedName name="IQ_EST_CURRENCY_REUT" hidden="1">"c5437"</definedName>
    <definedName name="IQ_EST_DATE" hidden="1">"c1634"</definedName>
    <definedName name="IQ_EST_DATE_CIQ" hidden="1">"c4770"</definedName>
    <definedName name="IQ_EST_DATE_REUT" hidden="1">"c5438"</definedName>
    <definedName name="IQ_EST_EPS_GROWTH_1YR" hidden="1">"c1636"</definedName>
    <definedName name="IQ_EST_EPS_GROWTH_1YR_CIQ" hidden="1">"c3628"</definedName>
    <definedName name="IQ_EST_EPS_GROWTH_1YR_REUT" hidden="1">"c3646"</definedName>
    <definedName name="IQ_EST_EPS_GROWTH_5YR" hidden="1">"c1655"</definedName>
    <definedName name="IQ_EST_EPS_GROWTH_5YR_CIQ" hidden="1">"c3615"</definedName>
    <definedName name="IQ_EST_EPS_GROWTH_5YR_HIGH" hidden="1">"c1657"</definedName>
    <definedName name="IQ_EST_EPS_GROWTH_5YR_HIGH_CIQ" hidden="1">"c4663"</definedName>
    <definedName name="IQ_EST_EPS_GROWTH_5YR_LOW" hidden="1">"c1658"</definedName>
    <definedName name="IQ_EST_EPS_GROWTH_5YR_LOW_CIQ" hidden="1">"c4664"</definedName>
    <definedName name="IQ_EST_EPS_GROWTH_5YR_MEDIAN" hidden="1">"c1656"</definedName>
    <definedName name="IQ_EST_EPS_GROWTH_5YR_MEDIAN_CIQ" hidden="1">"c5480"</definedName>
    <definedName name="IQ_EST_EPS_GROWTH_5YR_NUM" hidden="1">"c1659"</definedName>
    <definedName name="IQ_EST_EPS_GROWTH_5YR_NUM_CIQ" hidden="1">"c4665"</definedName>
    <definedName name="IQ_EST_EPS_GROWTH_5YR_REUT" hidden="1">"c3633"</definedName>
    <definedName name="IQ_EST_EPS_GROWTH_5YR_STDDEV" hidden="1">"c1660"</definedName>
    <definedName name="IQ_EST_EPS_GROWTH_5YR_STDDEV_CIQ" hidden="1">"c4666"</definedName>
    <definedName name="IQ_EST_EPS_GROWTH_Q_1YR" hidden="1">"c1641"</definedName>
    <definedName name="IQ_EST_EPS_GROWTH_Q_1YR_CIQ" hidden="1">"c4744"</definedName>
    <definedName name="IQ_EST_EPS_GROWTH_Q_1YR_REUT" hidden="1">"c5410"</definedName>
    <definedName name="IQ_EST_EPS_GW_DIFF" hidden="1">"c1891"</definedName>
    <definedName name="IQ_EST_EPS_GW_DIFF_CIQ" hidden="1">"c4761"</definedName>
    <definedName name="IQ_EST_EPS_GW_DIFF_REUT" hidden="1">"c5429"</definedName>
    <definedName name="IQ_EST_EPS_GW_SURPRISE_PERCENT" hidden="1">"c1892"</definedName>
    <definedName name="IQ_EST_EPS_GW_SURPRISE_PERCENT_CIQ" hidden="1">"c4762"</definedName>
    <definedName name="IQ_EST_EPS_GW_SURPRISE_PERCENT_REUT" hidden="1">"c5430"</definedName>
    <definedName name="IQ_EST_EPS_NORM_DIFF" hidden="1">"c2247"</definedName>
    <definedName name="IQ_EST_EPS_NORM_DIFF_CIQ" hidden="1">"c4745"</definedName>
    <definedName name="IQ_EST_EPS_NORM_DIFF_REUT" hidden="1">"c5411"</definedName>
    <definedName name="IQ_EST_EPS_NORM_SURPRISE_PERCENT" hidden="1">"c2248"</definedName>
    <definedName name="IQ_EST_EPS_NORM_SURPRISE_PERCENT_CIQ" hidden="1">"c4746"</definedName>
    <definedName name="IQ_EST_EPS_NORM_SURPRISE_PERCENT_REUT" hidden="1">"c5412"</definedName>
    <definedName name="IQ_EST_EPS_REPORT_DIFF" hidden="1">"c1893"</definedName>
    <definedName name="IQ_EST_EPS_REPORT_DIFF_CIQ" hidden="1">"c4763"</definedName>
    <definedName name="IQ_EST_EPS_REPORT_DIFF_REUT" hidden="1">"c5431"</definedName>
    <definedName name="IQ_EST_EPS_REPORT_SURPRISE_PERCENT" hidden="1">"c1894"</definedName>
    <definedName name="IQ_EST_EPS_REPORT_SURPRISE_PERCENT_CIQ" hidden="1">"c4764"</definedName>
    <definedName name="IQ_EST_EPS_REPORT_SURPRISE_PERCENT_REUT" hidden="1">"c5432"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ENSES_AP" hidden="1">"c8875"</definedName>
    <definedName name="IQ_EXPENSES_AP_ABS" hidden="1">"c8894"</definedName>
    <definedName name="IQ_EXPENSES_NAME_AP" hidden="1">"c8913"</definedName>
    <definedName name="IQ_EXPENSES_NAME_AP_ABS" hidden="1">"c8932"</definedName>
    <definedName name="IQ_EXPLORATION_EXPENDITURE_ALUM" hidden="1">"c9255"</definedName>
    <definedName name="IQ_EXPLORATION_EXPENDITURE_COAL" hidden="1">"c9827"</definedName>
    <definedName name="IQ_EXPLORATION_EXPENDITURE_COP" hidden="1">"c9202"</definedName>
    <definedName name="IQ_EXPLORATION_EXPENDITURE_DIAM" hidden="1">"c9679"</definedName>
    <definedName name="IQ_EXPLORATION_EXPENDITURE_GOLD" hidden="1">"c9040"</definedName>
    <definedName name="IQ_EXPLORATION_EXPENDITURE_IRON" hidden="1">"c9414"</definedName>
    <definedName name="IQ_EXPLORATION_EXPENDITURE_LEAD" hidden="1">"c9467"</definedName>
    <definedName name="IQ_EXPLORATION_EXPENDITURE_MANG" hidden="1">"c9520"</definedName>
    <definedName name="IQ_EXPLORATION_EXPENDITURE_MOLYB" hidden="1">"c9732"</definedName>
    <definedName name="IQ_EXPLORATION_EXPENDITURE_NICK" hidden="1">"c9308"</definedName>
    <definedName name="IQ_EXPLORATION_EXPENDITURE_PLAT" hidden="1">"c9146"</definedName>
    <definedName name="IQ_EXPLORATION_EXPENDITURE_SILVER" hidden="1">"c9093"</definedName>
    <definedName name="IQ_EXPLORATION_EXPENDITURE_TITAN" hidden="1">"c9573"</definedName>
    <definedName name="IQ_EXPLORATION_EXPENDITURE_URAN" hidden="1">"c9626"</definedName>
    <definedName name="IQ_EXPLORATION_EXPENDITURE_ZINC" hidden="1">"c9361"</definedName>
    <definedName name="IQ_EXPLORE_DRILL" hidden="1">"c409"</definedName>
    <definedName name="IQ_EXPORT_PRICE_INDEX" hidden="1">"c6860"</definedName>
    <definedName name="IQ_EXPORT_PRICE_INDEX_APR" hidden="1">"c7520"</definedName>
    <definedName name="IQ_EXPORT_PRICE_INDEX_APR_FC" hidden="1">"c8400"</definedName>
    <definedName name="IQ_EXPORT_PRICE_INDEX_FC" hidden="1">"c7740"</definedName>
    <definedName name="IQ_EXPORT_PRICE_INDEX_POP" hidden="1">"c7080"</definedName>
    <definedName name="IQ_EXPORT_PRICE_INDEX_POP_FC" hidden="1">"c7960"</definedName>
    <definedName name="IQ_EXPORT_PRICE_INDEX_YOY" hidden="1">"c7300"</definedName>
    <definedName name="IQ_EXPORT_PRICE_INDEX_YOY_FC" hidden="1">"c8180"</definedName>
    <definedName name="IQ_EXPORTS_APR_FC_UNUSED_UNUSED_UNUSED" hidden="1">"c8401"</definedName>
    <definedName name="IQ_EXPORTS_APR_UNUSED_UNUSED_UNUSED" hidden="1">"c7521"</definedName>
    <definedName name="IQ_EXPORTS_FACTOR_SERVICES" hidden="1">"c6862"</definedName>
    <definedName name="IQ_EXPORTS_FACTOR_SERVICES_APR" hidden="1">"c7522"</definedName>
    <definedName name="IQ_EXPORTS_FACTOR_SERVICES_APR_FC" hidden="1">"c8402"</definedName>
    <definedName name="IQ_EXPORTS_FACTOR_SERVICES_FC" hidden="1">"c7742"</definedName>
    <definedName name="IQ_EXPORTS_FACTOR_SERVICES_POP" hidden="1">"c7082"</definedName>
    <definedName name="IQ_EXPORTS_FACTOR_SERVICES_POP_FC" hidden="1">"c7962"</definedName>
    <definedName name="IQ_EXPORTS_FACTOR_SERVICES_SAAR" hidden="1">"c6863"</definedName>
    <definedName name="IQ_EXPORTS_FACTOR_SERVICES_SAAR_APR" hidden="1">"c7523"</definedName>
    <definedName name="IQ_EXPORTS_FACTOR_SERVICES_SAAR_APR_FC" hidden="1">"c8403"</definedName>
    <definedName name="IQ_EXPORTS_FACTOR_SERVICES_SAAR_FC" hidden="1">"c7743"</definedName>
    <definedName name="IQ_EXPORTS_FACTOR_SERVICES_SAAR_POP" hidden="1">"c7083"</definedName>
    <definedName name="IQ_EXPORTS_FACTOR_SERVICES_SAAR_POP_FC" hidden="1">"c7963"</definedName>
    <definedName name="IQ_EXPORTS_FACTOR_SERVICES_SAAR_USD_APR_FC" hidden="1">"c11817"</definedName>
    <definedName name="IQ_EXPORTS_FACTOR_SERVICES_SAAR_USD_FC" hidden="1">"c11814"</definedName>
    <definedName name="IQ_EXPORTS_FACTOR_SERVICES_SAAR_USD_POP_FC" hidden="1">"c11815"</definedName>
    <definedName name="IQ_EXPORTS_FACTOR_SERVICES_SAAR_USD_YOY_FC" hidden="1">"c11816"</definedName>
    <definedName name="IQ_EXPORTS_FACTOR_SERVICES_SAAR_YOY" hidden="1">"c7303"</definedName>
    <definedName name="IQ_EXPORTS_FACTOR_SERVICES_SAAR_YOY_FC" hidden="1">"c8183"</definedName>
    <definedName name="IQ_EXPORTS_FACTOR_SERVICES_USD_APR_FC" hidden="1">"c11813"</definedName>
    <definedName name="IQ_EXPORTS_FACTOR_SERVICES_USD_FC" hidden="1">"c11810"</definedName>
    <definedName name="IQ_EXPORTS_FACTOR_SERVICES_USD_POP_FC" hidden="1">"c11811"</definedName>
    <definedName name="IQ_EXPORTS_FACTOR_SERVICES_USD_YOY_FC" hidden="1">"c11812"</definedName>
    <definedName name="IQ_EXPORTS_FACTOR_SERVICES_YOY" hidden="1">"c7302"</definedName>
    <definedName name="IQ_EXPORTS_FACTOR_SERVICES_YOY_FC" hidden="1">"c8182"</definedName>
    <definedName name="IQ_EXPORTS_FC_UNUSED_UNUSED_UNUSED" hidden="1">"c7741"</definedName>
    <definedName name="IQ_EXPORTS_GOODS" hidden="1">"c6864"</definedName>
    <definedName name="IQ_EXPORTS_GOODS_APR" hidden="1">"c7524"</definedName>
    <definedName name="IQ_EXPORTS_GOODS_APR_FC" hidden="1">"c8404"</definedName>
    <definedName name="IQ_EXPORTS_GOODS_FC" hidden="1">"c7744"</definedName>
    <definedName name="IQ_EXPORTS_GOODS_NONFACTOR_SERVICES" hidden="1">"c6865"</definedName>
    <definedName name="IQ_EXPORTS_GOODS_NONFACTOR_SERVICES_APR" hidden="1">"c7525"</definedName>
    <definedName name="IQ_EXPORTS_GOODS_NONFACTOR_SERVICES_APR_FC" hidden="1">"c8405"</definedName>
    <definedName name="IQ_EXPORTS_GOODS_NONFACTOR_SERVICES_FC" hidden="1">"c7745"</definedName>
    <definedName name="IQ_EXPORTS_GOODS_NONFACTOR_SERVICES_POP" hidden="1">"c7085"</definedName>
    <definedName name="IQ_EXPORTS_GOODS_NONFACTOR_SERVICES_POP_FC" hidden="1">"c7965"</definedName>
    <definedName name="IQ_EXPORTS_GOODS_NONFACTOR_SERVICES_YOY" hidden="1">"c7305"</definedName>
    <definedName name="IQ_EXPORTS_GOODS_NONFACTOR_SERVICES_YOY_FC" hidden="1">"c8185"</definedName>
    <definedName name="IQ_EXPORTS_GOODS_POP" hidden="1">"c7084"</definedName>
    <definedName name="IQ_EXPORTS_GOODS_POP_FC" hidden="1">"c7964"</definedName>
    <definedName name="IQ_EXPORTS_GOODS_REAL" hidden="1">"c6973"</definedName>
    <definedName name="IQ_EXPORTS_GOODS_REAL_APR" hidden="1">"c7633"</definedName>
    <definedName name="IQ_EXPORTS_GOODS_REAL_APR_FC" hidden="1">"c8513"</definedName>
    <definedName name="IQ_EXPORTS_GOODS_REAL_FC" hidden="1">"c7853"</definedName>
    <definedName name="IQ_EXPORTS_GOODS_REAL_POP" hidden="1">"c7193"</definedName>
    <definedName name="IQ_EXPORTS_GOODS_REAL_POP_FC" hidden="1">"c8073"</definedName>
    <definedName name="IQ_EXPORTS_GOODS_REAL_SAAR" hidden="1">"c11930"</definedName>
    <definedName name="IQ_EXPORTS_GOODS_REAL_SAAR_APR" hidden="1">"c11933"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" hidden="1">"c11931"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" hidden="1">"c11932"</definedName>
    <definedName name="IQ_EXPORTS_GOODS_REAL_SAAR_YOY_FC_UNUSED_UNUSED_UNUSED" hidden="1">"c8292"</definedName>
    <definedName name="IQ_EXPORTS_GOODS_REAL_SAAR_YOY_UNUSED_UNUSED_UNUSED" hidden="1">"c7412"</definedName>
    <definedName name="IQ_EXPORTS_GOODS_REAL_YOY" hidden="1">"c7413"</definedName>
    <definedName name="IQ_EXPORTS_GOODS_REAL_YOY_FC" hidden="1">"c8293"</definedName>
    <definedName name="IQ_EXPORTS_GOODS_SERVICES" hidden="1">"c6866"</definedName>
    <definedName name="IQ_EXPORTS_GOODS_SERVICES_APR" hidden="1">"c7526"</definedName>
    <definedName name="IQ_EXPORTS_GOODS_SERVICES_APR_FC" hidden="1">"c8406"</definedName>
    <definedName name="IQ_EXPORTS_GOODS_SERVICES_FC" hidden="1">"c7746"</definedName>
    <definedName name="IQ_EXPORTS_GOODS_SERVICES_POP" hidden="1">"c7086"</definedName>
    <definedName name="IQ_EXPORTS_GOODS_SERVICES_POP_FC" hidden="1">"c7966"</definedName>
    <definedName name="IQ_EXPORTS_GOODS_SERVICES_REAL" hidden="1">"c6974"</definedName>
    <definedName name="IQ_EXPORTS_GOODS_SERVICES_REAL_APR" hidden="1">"c7634"</definedName>
    <definedName name="IQ_EXPORTS_GOODS_SERVICES_REAL_APR_FC" hidden="1">"c8514"</definedName>
    <definedName name="IQ_EXPORTS_GOODS_SERVICES_REAL_FC" hidden="1">"c7854"</definedName>
    <definedName name="IQ_EXPORTS_GOODS_SERVICES_REAL_POP" hidden="1">"c7194"</definedName>
    <definedName name="IQ_EXPORTS_GOODS_SERVICES_REAL_POP_FC" hidden="1">"c8074"</definedName>
    <definedName name="IQ_EXPORTS_GOODS_SERVICES_REAL_SAAR" hidden="1">"c6975"</definedName>
    <definedName name="IQ_EXPORTS_GOODS_SERVICES_REAL_SAAR_APR" hidden="1">"c7635"</definedName>
    <definedName name="IQ_EXPORTS_GOODS_SERVICES_REAL_SAAR_APR_FC" hidden="1">"c8515"</definedName>
    <definedName name="IQ_EXPORTS_GOODS_SERVICES_REAL_SAAR_FC" hidden="1">"c7855"</definedName>
    <definedName name="IQ_EXPORTS_GOODS_SERVICES_REAL_SAAR_POP" hidden="1">"c7195"</definedName>
    <definedName name="IQ_EXPORTS_GOODS_SERVICES_REAL_SAAR_POP_FC" hidden="1">"c8075"</definedName>
    <definedName name="IQ_EXPORTS_GOODS_SERVICES_REAL_SAAR_YOY" hidden="1">"c7415"</definedName>
    <definedName name="IQ_EXPORTS_GOODS_SERVICES_REAL_SAAR_YOY_FC" hidden="1">"c8295"</definedName>
    <definedName name="IQ_EXPORTS_GOODS_SERVICES_REAL_USD" hidden="1">"c11926"</definedName>
    <definedName name="IQ_EXPORTS_GOODS_SERVICES_REAL_USD_APR" hidden="1">"c11929"</definedName>
    <definedName name="IQ_EXPORTS_GOODS_SERVICES_REAL_USD_POP" hidden="1">"c11927"</definedName>
    <definedName name="IQ_EXPORTS_GOODS_SERVICES_REAL_USD_YOY" hidden="1">"c11928"</definedName>
    <definedName name="IQ_EXPORTS_GOODS_SERVICES_REAL_YOY" hidden="1">"c7414"</definedName>
    <definedName name="IQ_EXPORTS_GOODS_SERVICES_REAL_YOY_FC" hidden="1">"c8294"</definedName>
    <definedName name="IQ_EXPORTS_GOODS_SERVICES_SAAR" hidden="1">"c6867"</definedName>
    <definedName name="IQ_EXPORTS_GOODS_SERVICES_SAAR_APR" hidden="1">"c7527"</definedName>
    <definedName name="IQ_EXPORTS_GOODS_SERVICES_SAAR_APR_FC" hidden="1">"c8407"</definedName>
    <definedName name="IQ_EXPORTS_GOODS_SERVICES_SAAR_FC" hidden="1">"c7747"</definedName>
    <definedName name="IQ_EXPORTS_GOODS_SERVICES_SAAR_POP" hidden="1">"c7087"</definedName>
    <definedName name="IQ_EXPORTS_GOODS_SERVICES_SAAR_POP_FC" hidden="1">"c7967"</definedName>
    <definedName name="IQ_EXPORTS_GOODS_SERVICES_SAAR_YOY" hidden="1">"c7307"</definedName>
    <definedName name="IQ_EXPORTS_GOODS_SERVICES_SAAR_YOY_FC" hidden="1">"c8187"</definedName>
    <definedName name="IQ_EXPORTS_GOODS_SERVICES_USD" hidden="1">"c11822"</definedName>
    <definedName name="IQ_EXPORTS_GOODS_SERVICES_USD_APR" hidden="1">"c11825"</definedName>
    <definedName name="IQ_EXPORTS_GOODS_SERVICES_USD_POP" hidden="1">"c11823"</definedName>
    <definedName name="IQ_EXPORTS_GOODS_SERVICES_USD_YOY" hidden="1">"c11824"</definedName>
    <definedName name="IQ_EXPORTS_GOODS_SERVICES_YOY" hidden="1">"c7306"</definedName>
    <definedName name="IQ_EXPORTS_GOODS_SERVICES_YOY_FC" hidden="1">"c8186"</definedName>
    <definedName name="IQ_EXPORTS_GOODS_USD" hidden="1">"c11818"</definedName>
    <definedName name="IQ_EXPORTS_GOODS_USD_APR" hidden="1">"c11821"</definedName>
    <definedName name="IQ_EXPORTS_GOODS_USD_POP" hidden="1">"c11819"</definedName>
    <definedName name="IQ_EXPORTS_GOODS_USD_YOY" hidden="1">"c11820"</definedName>
    <definedName name="IQ_EXPORTS_GOODS_YOY" hidden="1">"c7304"</definedName>
    <definedName name="IQ_EXPORTS_GOODS_YOY_FC" hidden="1">"c8184"</definedName>
    <definedName name="IQ_EXPORTS_NONFACTOR_SERVICES" hidden="1">"c6868"</definedName>
    <definedName name="IQ_EXPORTS_NONFACTOR_SERVICES_APR" hidden="1">"c7528"</definedName>
    <definedName name="IQ_EXPORTS_NONFACTOR_SERVICES_APR_FC" hidden="1">"c8408"</definedName>
    <definedName name="IQ_EXPORTS_NONFACTOR_SERVICES_FC" hidden="1">"c7748"</definedName>
    <definedName name="IQ_EXPORTS_NONFACTOR_SERVICES_POP" hidden="1">"c7088"</definedName>
    <definedName name="IQ_EXPORTS_NONFACTOR_SERVICES_POP_FC" hidden="1">"c7968"</definedName>
    <definedName name="IQ_EXPORTS_NONFACTOR_SERVICES_YOY" hidden="1">"c7308"</definedName>
    <definedName name="IQ_EXPORTS_NONFACTOR_SERVICES_YOY_FC" hidden="1">"c8188"</definedName>
    <definedName name="IQ_EXPORTS_POP_FC_UNUSED_UNUSED_UNUSED" hidden="1">"c7961"</definedName>
    <definedName name="IQ_EXPORTS_POP_UNUSED_UNUSED_UNUSED" hidden="1">"c7081"</definedName>
    <definedName name="IQ_EXPORTS_SERVICES_REAL" hidden="1">"c6977"</definedName>
    <definedName name="IQ_EXPORTS_SERVICES_REAL_APR" hidden="1">"c7637"</definedName>
    <definedName name="IQ_EXPORTS_SERVICES_REAL_APR_FC" hidden="1">"c8517"</definedName>
    <definedName name="IQ_EXPORTS_SERVICES_REAL_FC" hidden="1">"c7857"</definedName>
    <definedName name="IQ_EXPORTS_SERVICES_REAL_POP" hidden="1">"c7197"</definedName>
    <definedName name="IQ_EXPORTS_SERVICES_REAL_POP_FC" hidden="1">"c8077"</definedName>
    <definedName name="IQ_EXPORTS_SERVICES_REAL_SAAR" hidden="1">"c11934"</definedName>
    <definedName name="IQ_EXPORTS_SERVICES_REAL_SAAR_APR" hidden="1">"c11937"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" hidden="1">"c11935"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" hidden="1">"c11936"</definedName>
    <definedName name="IQ_EXPORTS_SERVICES_REAL_SAAR_YOY_FC_UNUSED_UNUSED_UNUSED" hidden="1">"c8296"</definedName>
    <definedName name="IQ_EXPORTS_SERVICES_REAL_SAAR_YOY_UNUSED_UNUSED_UNUSED" hidden="1">"c7416"</definedName>
    <definedName name="IQ_EXPORTS_SERVICES_REAL_YOY" hidden="1">"c7417"</definedName>
    <definedName name="IQ_EXPORTS_SERVICES_REAL_YOY_FC" hidden="1">"c8297"</definedName>
    <definedName name="IQ_EXPORTS_UNUSED_UNUSED_UNUSED" hidden="1">"c6861"</definedName>
    <definedName name="IQ_EXPORTS_USD" hidden="1">"c11806"</definedName>
    <definedName name="IQ_EXPORTS_USD_APR" hidden="1">"c11809"</definedName>
    <definedName name="IQ_EXPORTS_USD_POP" hidden="1">"c11807"</definedName>
    <definedName name="IQ_EXPORTS_USD_YOY" hidden="1">"c11808"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D" hidden="1">"c8757"</definedName>
    <definedName name="IQ_FAD_PAYOUT_RATIO" hidden="1">"c8872"</definedName>
    <definedName name="IQ_FAIR_VALUE_FDIC" hidden="1">"c6427"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BUDGET_RECEIPTS" hidden="1">"c6869"</definedName>
    <definedName name="IQ_FED_BUDGET_RECEIPTS_APR" hidden="1">"c7529"</definedName>
    <definedName name="IQ_FED_BUDGET_RECEIPTS_APR_FC" hidden="1">"c8409"</definedName>
    <definedName name="IQ_FED_BUDGET_RECEIPTS_FC" hidden="1">"c7749"</definedName>
    <definedName name="IQ_FED_BUDGET_RECEIPTS_POP" hidden="1">"c7089"</definedName>
    <definedName name="IQ_FED_BUDGET_RECEIPTS_POP_FC" hidden="1">"c7969"</definedName>
    <definedName name="IQ_FED_BUDGET_RECEIPTS_YOY" hidden="1">"c7309"</definedName>
    <definedName name="IQ_FED_BUDGET_RECEIPTS_YOY_FC" hidden="1">"c8189"</definedName>
    <definedName name="IQ_FED_FUNDS_PURCHASED_FDIC" hidden="1">"c6343"</definedName>
    <definedName name="IQ_FED_FUNDS_SOLD_FDIC" hidden="1">"c6307"</definedName>
    <definedName name="IQ_FEDFUNDS_SOLD" hidden="1">"c2256"</definedName>
    <definedName name="IQ_FFO" hidden="1">"c1574"</definedName>
    <definedName name="IQ_FFO_ADJ_ACT_OR_EST_CIQ" hidden="1">"c4960"</definedName>
    <definedName name="IQ_FFO_PAYOUT_RATIO" hidden="1">"c3492"</definedName>
    <definedName name="IQ_FFO_PER_SHARE_BASIC" hidden="1">"c8867"</definedName>
    <definedName name="IQ_FFO_PER_SHARE_DILUTED" hidden="1">"c8868"</definedName>
    <definedName name="IQ_FFO_SHARE_ACT_OR_EST_CIQ" hidden="1">"c4971"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_CURRENCY_AP" hidden="1">"c11747"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ATA_SOURCE" hidden="1">"c6788"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"c11753"</definedName>
    <definedName name="IQ_FINANCING_OBLIG_NON_CURRENT" hidden="1">"c11754"</definedName>
    <definedName name="IQ_FINISHED_INV" hidden="1">"c438"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Q_EST" hidden="1">"c6794"</definedName>
    <definedName name="IQ_FISCAL_Q_EST_CIQ" hidden="1">"c6806"</definedName>
    <definedName name="IQ_FISCAL_Y" hidden="1">"c441"</definedName>
    <definedName name="IQ_FISCAL_Y_EST" hidden="1">"c6795"</definedName>
    <definedName name="IQ_FISCAL_Y_EST_CIQ" hidden="1">"c6807"</definedName>
    <definedName name="IQ_FIVE_PERCENT_OWNER" hidden="1">"c442"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MACH_EQUIP" hidden="1">"c6871"</definedName>
    <definedName name="IQ_FIXED_INVEST_MACH_EQUIP_APR" hidden="1">"c7531"</definedName>
    <definedName name="IQ_FIXED_INVEST_MACH_EQUIP_APR_FC" hidden="1">"c8411"</definedName>
    <definedName name="IQ_FIXED_INVEST_MACH_EQUIP_FC" hidden="1">"c7751"</definedName>
    <definedName name="IQ_FIXED_INVEST_MACH_EQUIP_POP" hidden="1">"c7091"</definedName>
    <definedName name="IQ_FIXED_INVEST_MACH_EQUIP_POP_FC" hidden="1">"c7971"</definedName>
    <definedName name="IQ_FIXED_INVEST_MACH_EQUIP_REAL" hidden="1">"c6979"</definedName>
    <definedName name="IQ_FIXED_INVEST_MACH_EQUIP_REAL_APR" hidden="1">"c7639"</definedName>
    <definedName name="IQ_FIXED_INVEST_MACH_EQUIP_REAL_APR_FC" hidden="1">"c8519"</definedName>
    <definedName name="IQ_FIXED_INVEST_MACH_EQUIP_REAL_FC" hidden="1">"c7859"</definedName>
    <definedName name="IQ_FIXED_INVEST_MACH_EQUIP_REAL_POP" hidden="1">"c7199"</definedName>
    <definedName name="IQ_FIXED_INVEST_MACH_EQUIP_REAL_POP_FC" hidden="1">"c8079"</definedName>
    <definedName name="IQ_FIXED_INVEST_MACH_EQUIP_REAL_YOY" hidden="1">"c7419"</definedName>
    <definedName name="IQ_FIXED_INVEST_MACH_EQUIP_REAL_YOY_FC" hidden="1">"c8299"</definedName>
    <definedName name="IQ_FIXED_INVEST_MACH_EQUIP_YOY" hidden="1">"c7311"</definedName>
    <definedName name="IQ_FIXED_INVEST_MACH_EQUIP_YOY_FC" hidden="1">"c8191"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SAAR" hidden="1">"c6980"</definedName>
    <definedName name="IQ_FIXED_INVEST_REAL_SAAR_APR" hidden="1">"c7640"</definedName>
    <definedName name="IQ_FIXED_INVEST_REAL_SAAR_APR_FC" hidden="1">"c8520"</definedName>
    <definedName name="IQ_FIXED_INVEST_REAL_SAAR_FC" hidden="1">"c7860"</definedName>
    <definedName name="IQ_FIXED_INVEST_REAL_SAAR_POP" hidden="1">"c7200"</definedName>
    <definedName name="IQ_FIXED_INVEST_REAL_SAAR_POP_FC" hidden="1">"c8080"</definedName>
    <definedName name="IQ_FIXED_INVEST_REAL_SAAR_USD_APR_FC" hidden="1">"c11945"</definedName>
    <definedName name="IQ_FIXED_INVEST_REAL_SAAR_USD_FC" hidden="1">"c11942"</definedName>
    <definedName name="IQ_FIXED_INVEST_REAL_SAAR_USD_POP_FC" hidden="1">"c11943"</definedName>
    <definedName name="IQ_FIXED_INVEST_REAL_SAAR_USD_YOY_FC" hidden="1">"c11944"</definedName>
    <definedName name="IQ_FIXED_INVEST_REAL_SAAR_YOY" hidden="1">"c7420"</definedName>
    <definedName name="IQ_FIXED_INVEST_REAL_SAAR_YOY_FC" hidden="1">"c8300"</definedName>
    <definedName name="IQ_FIXED_INVEST_REAL_UNUSED_UNUSED_UNUSED" hidden="1">"c6978"</definedName>
    <definedName name="IQ_FIXED_INVEST_REAL_USD_APR_FC" hidden="1">"c11941"</definedName>
    <definedName name="IQ_FIXED_INVEST_REAL_USD_FC" hidden="1">"c11938"</definedName>
    <definedName name="IQ_FIXED_INVEST_REAL_USD_POP_FC" hidden="1">"c11939"</definedName>
    <definedName name="IQ_FIXED_INVEST_REAL_USD_YOY_FC" hidden="1">"c11940"</definedName>
    <definedName name="IQ_FIXED_INVEST_REAL_YOY_FC_UNUSED_UNUSED_UNUSED" hidden="1">"c8298"</definedName>
    <definedName name="IQ_FIXED_INVEST_REAL_YOY_UNUSED_UNUSED_UNUSED" hidden="1">"c7418"</definedName>
    <definedName name="IQ_FIXED_INVEST_SAAR" hidden="1">"c6872"</definedName>
    <definedName name="IQ_FIXED_INVEST_SAAR_APR" hidden="1">"c7532"</definedName>
    <definedName name="IQ_FIXED_INVEST_SAAR_APR_FC" hidden="1">"c8412"</definedName>
    <definedName name="IQ_FIXED_INVEST_SAAR_FC" hidden="1">"c7752"</definedName>
    <definedName name="IQ_FIXED_INVEST_SAAR_POP" hidden="1">"c7092"</definedName>
    <definedName name="IQ_FIXED_INVEST_SAAR_POP_FC" hidden="1">"c7972"</definedName>
    <definedName name="IQ_FIXED_INVEST_SAAR_USD_APR_FC" hidden="1">"c11833"</definedName>
    <definedName name="IQ_FIXED_INVEST_SAAR_USD_FC" hidden="1">"c11830"</definedName>
    <definedName name="IQ_FIXED_INVEST_SAAR_USD_POP_FC" hidden="1">"c11831"</definedName>
    <definedName name="IQ_FIXED_INVEST_SAAR_USD_YOY_FC" hidden="1">"c11832"</definedName>
    <definedName name="IQ_FIXED_INVEST_SAAR_YOY" hidden="1">"c7312"</definedName>
    <definedName name="IQ_FIXED_INVEST_SAAR_YOY_FC" hidden="1">"c8192"</definedName>
    <definedName name="IQ_FIXED_INVEST_UNUSED_UNUSED_UNUSED" hidden="1">"c6870"</definedName>
    <definedName name="IQ_FIXED_INVEST_USD_APR_FC" hidden="1">"c11829"</definedName>
    <definedName name="IQ_FIXED_INVEST_USD_FC" hidden="1">"c11826"</definedName>
    <definedName name="IQ_FIXED_INVEST_USD_POP_FC" hidden="1">"c11827"</definedName>
    <definedName name="IQ_FIXED_INVEST_USD_YOY_FC" hidden="1">"c11828"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UEL" hidden="1">"c449"</definedName>
    <definedName name="IQ_FULL_TIME" hidden="1">"c450"</definedName>
    <definedName name="IQ_FULLY_INSURED_DEPOSITS_FDIC" hidden="1">"c6487"</definedName>
    <definedName name="IQ_FUTURES_FORWARD_CONTRACTS_NOTIONAL_AMOUNT_FDIC" hidden="1">"c6518"</definedName>
    <definedName name="IQ_FUTURES_FORWARD_CONTRACTS_RATE_RISK_FDIC" hidden="1">"c6508"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X_CONTRACTS_FDIC" hidden="1">"c6517"</definedName>
    <definedName name="IQ_FX_CONTRACTS_SPOT_FDIC" hidden="1">"c6356"</definedName>
    <definedName name="IQ_GA_EXP" hidden="1">"c2241"</definedName>
    <definedName name="IQ_GAAP_BS" hidden="1">"c6789"</definedName>
    <definedName name="IQ_GAAP_CF" hidden="1">"c6790"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DP" hidden="1">"c6874"</definedName>
    <definedName name="IQ_GDP_APR" hidden="1">"c7534"</definedName>
    <definedName name="IQ_GDP_APR_FC" hidden="1">"c8414"</definedName>
    <definedName name="IQ_GDP_FC" hidden="1">"c7754"</definedName>
    <definedName name="IQ_GDP_POP" hidden="1">"c7094"</definedName>
    <definedName name="IQ_GDP_POP_FC" hidden="1">"c7974"</definedName>
    <definedName name="IQ_GDP_REAL" hidden="1">"c6981"</definedName>
    <definedName name="IQ_GDP_REAL_APR" hidden="1">"c7641"</definedName>
    <definedName name="IQ_GDP_REAL_APR_FC" hidden="1">"c8521"</definedName>
    <definedName name="IQ_GDP_REAL_FC" hidden="1">"c7861"</definedName>
    <definedName name="IQ_GDP_REAL_POP" hidden="1">"c7201"</definedName>
    <definedName name="IQ_GDP_REAL_POP_FC" hidden="1">"c8081"</definedName>
    <definedName name="IQ_GDP_REAL_SAAR" hidden="1">"c6982"</definedName>
    <definedName name="IQ_GDP_REAL_SAAR_APR" hidden="1">"c7642"</definedName>
    <definedName name="IQ_GDP_REAL_SAAR_APR_FC" hidden="1">"c8522"</definedName>
    <definedName name="IQ_GDP_REAL_SAAR_FC" hidden="1">"c7862"</definedName>
    <definedName name="IQ_GDP_REAL_SAAR_POP" hidden="1">"c7202"</definedName>
    <definedName name="IQ_GDP_REAL_SAAR_POP_FC" hidden="1">"c8082"</definedName>
    <definedName name="IQ_GDP_REAL_SAAR_YOY" hidden="1">"c7422"</definedName>
    <definedName name="IQ_GDP_REAL_SAAR_YOY_FC" hidden="1">"c8302"</definedName>
    <definedName name="IQ_GDP_REAL_USD" hidden="1">"c11946"</definedName>
    <definedName name="IQ_GDP_REAL_USD_APR" hidden="1">"c11949"</definedName>
    <definedName name="IQ_GDP_REAL_USD_POP" hidden="1">"c11947"</definedName>
    <definedName name="IQ_GDP_REAL_USD_YOY" hidden="1">"c11948"</definedName>
    <definedName name="IQ_GDP_REAL_YOY" hidden="1">"c7421"</definedName>
    <definedName name="IQ_GDP_REAL_YOY_FC" hidden="1">"c8301"</definedName>
    <definedName name="IQ_GDP_SAAR" hidden="1">"c6875"</definedName>
    <definedName name="IQ_GDP_SAAR_APR" hidden="1">"c7535"</definedName>
    <definedName name="IQ_GDP_SAAR_APR_FC" hidden="1">"c8415"</definedName>
    <definedName name="IQ_GDP_SAAR_FC" hidden="1">"c7755"</definedName>
    <definedName name="IQ_GDP_SAAR_POP" hidden="1">"c7095"</definedName>
    <definedName name="IQ_GDP_SAAR_POP_FC" hidden="1">"c7975"</definedName>
    <definedName name="IQ_GDP_SAAR_YOY" hidden="1">"c7315"</definedName>
    <definedName name="IQ_GDP_SAAR_YOY_FC" hidden="1">"c8195"</definedName>
    <definedName name="IQ_GDP_USD" hidden="1">"c11834"</definedName>
    <definedName name="IQ_GDP_USD_APR" hidden="1">"c11837"</definedName>
    <definedName name="IQ_GDP_USD_POP" hidden="1">"c11835"</definedName>
    <definedName name="IQ_GDP_USD_YOY" hidden="1">"c11836"</definedName>
    <definedName name="IQ_GDP_YOY" hidden="1">"c7314"</definedName>
    <definedName name="IQ_GDP_YOY_FC" hidden="1">"c8194"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LA_PCT_LEASED_CONSOL" hidden="1">"c8810"</definedName>
    <definedName name="IQ_GLA_PCT_LEASED_MANAGED" hidden="1">"c8812"</definedName>
    <definedName name="IQ_GLA_PCT_LEASED_OTHER" hidden="1">"c8813"</definedName>
    <definedName name="IQ_GLA_PCT_LEASED_TOTAL" hidden="1">"c8814"</definedName>
    <definedName name="IQ_GLA_PCT_LEASED_UNCONSOL" hidden="1">"c8811"</definedName>
    <definedName name="IQ_GLA_SQ_FT_CONSOL" hidden="1">"c8790"</definedName>
    <definedName name="IQ_GLA_SQ_FT_MANAGED" hidden="1">"c8792"</definedName>
    <definedName name="IQ_GLA_SQ_FT_OTHER" hidden="1">"c8793"</definedName>
    <definedName name="IQ_GLA_SQ_FT_TOTAL" hidden="1">"c8794"</definedName>
    <definedName name="IQ_GLA_SQ_FT_UNCONSOL" hidden="1">"c8791"</definedName>
    <definedName name="IQ_GLA_SQ_METER_CONSOL" hidden="1">"c8795"</definedName>
    <definedName name="IQ_GLA_SQ_METER_MANAGED" hidden="1">"c8797"</definedName>
    <definedName name="IQ_GLA_SQ_METER_OTHER" hidden="1">"c8798"</definedName>
    <definedName name="IQ_GLA_SQ_METER_TOTAL" hidden="1">"c8799"</definedName>
    <definedName name="IQ_GLA_SQ_METER_UNCONSOL" hidden="1">"c8796"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OVT_PERSONAL_TAXES_RECEIPTS" hidden="1">"c6876"</definedName>
    <definedName name="IQ_GOVT_PERSONAL_TAXES_RECEIPTS_APR" hidden="1">"c7536"</definedName>
    <definedName name="IQ_GOVT_PERSONAL_TAXES_RECEIPTS_APR_FC" hidden="1">"c8416"</definedName>
    <definedName name="IQ_GOVT_PERSONAL_TAXES_RECEIPTS_FC" hidden="1">"c7756"</definedName>
    <definedName name="IQ_GOVT_PERSONAL_TAXES_RECEIPTS_POP" hidden="1">"c7096"</definedName>
    <definedName name="IQ_GOVT_PERSONAL_TAXES_RECEIPTS_POP_FC" hidden="1">"c7976"</definedName>
    <definedName name="IQ_GOVT_PERSONAL_TAXES_RECEIPTS_YOY" hidden="1">"c7316"</definedName>
    <definedName name="IQ_GOVT_PERSONAL_TAXES_RECEIPTS_YOY_FC" hidden="1">"c8196"</definedName>
    <definedName name="IQ_GOVT_RECEIPTS" hidden="1">"c6877"</definedName>
    <definedName name="IQ_GOVT_RECEIPTS_APR" hidden="1">"c7537"</definedName>
    <definedName name="IQ_GOVT_RECEIPTS_APR_FC" hidden="1">"c8417"</definedName>
    <definedName name="IQ_GOVT_RECEIPTS_FC" hidden="1">"c7757"</definedName>
    <definedName name="IQ_GOVT_RECEIPTS_POP" hidden="1">"c7097"</definedName>
    <definedName name="IQ_GOVT_RECEIPTS_POP_FC" hidden="1">"c7977"</definedName>
    <definedName name="IQ_GOVT_RECEIPTS_YOY" hidden="1">"c7317"</definedName>
    <definedName name="IQ_GOVT_RECEIPTS_YOY_FC" hidden="1">"c8197"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PC_EARNED" hidden="1">"c2747"</definedName>
    <definedName name="IQ_GROSS_PROFIT" hidden="1">"c1378"</definedName>
    <definedName name="IQ_GROSS_WRITTEN" hidden="1">"c2726"</definedName>
    <definedName name="IQ_GROUP_EMBEDDED_VALUE_ASSET_MANAGEMENT" hidden="1">"c9955"</definedName>
    <definedName name="IQ_GROUP_EMBEDDED_VALUE_HEALTH" hidden="1">"c9954"</definedName>
    <definedName name="IQ_GROUP_EMBEDDED_VALUE_LIFE" hidden="1">"c9953"</definedName>
    <definedName name="IQ_GROUP_EMBEDDED_VALUE_LIFE_OTHER" hidden="1">"c9956"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JUSTED_DISCHARGES" hidden="1">"c9977"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SO_COVERED_LIVES" hidden="1">"c9982"</definedName>
    <definedName name="IQ_HC_ASO_MEMBERSHIP" hidden="1">"c9985"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CASES" hidden="1">"c9978"</definedName>
    <definedName name="IQ_HC_CLAIMS_RESERVES" hidden="1">"c9989"</definedName>
    <definedName name="IQ_HC_DAYS_REV_OUT" hidden="1">"c5993"</definedName>
    <definedName name="IQ_HC_DISCHARGES" hidden="1">"c9976"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QUIVALENT_PATIENT_DAYS" hidden="1">"c9980"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L_EXPENSE_RATIO" hidden="1">"c9987"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CASE" hidden="1">"c9979"</definedName>
    <definedName name="IQ_HC_REV_PER_DISCHARGE" hidden="1">"c9990"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RISK_COVERED_LIVES" hidden="1">"c9981"</definedName>
    <definedName name="IQ_HC_RISK_MEMBERSHIP" hidden="1">"c9984"</definedName>
    <definedName name="IQ_HC_SALARIES_PCT_REV" hidden="1">"c5970"</definedName>
    <definedName name="IQ_HC_SGA_MARGIN" hidden="1">"c9988"</definedName>
    <definedName name="IQ_HC_SUPPLIES_PCT_REV" hidden="1">"c5971"</definedName>
    <definedName name="IQ_HC_TOTAL_COVERED_LIVES" hidden="1">"c9983"</definedName>
    <definedName name="IQ_HC_TOTAL_MEMBERSHIP" hidden="1">"c9986"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ELD_MATURITY_FDIC" hidden="1">"c6408"</definedName>
    <definedName name="IQ_HG_ACQUIRED_FRANCHISE_HOTEL_PROPERTIES" hidden="1">"c8584"</definedName>
    <definedName name="IQ_HG_ACQUIRED_FRANCHISE_ROOMS" hidden="1">"c8614"</definedName>
    <definedName name="IQ_HG_ACQUIRED_HOTEL_PROPERTIES" hidden="1">"c8572"</definedName>
    <definedName name="IQ_HG_ACQUIRED_MANAGED_HOTEL_PROPERTIES" hidden="1">"c8590"</definedName>
    <definedName name="IQ_HG_ACQUIRED_MANAGED_ROOMS" hidden="1">"c8620"</definedName>
    <definedName name="IQ_HG_ACQUIRED_OTHER_HOTEL_PROPERTIES" hidden="1">"c8596"</definedName>
    <definedName name="IQ_HG_ACQUIRED_OTHER_ROOMS" hidden="1">"c8626"</definedName>
    <definedName name="IQ_HG_ACQUIRED_OWNED_HOTEL_PROPERTIES" hidden="1">"c8578"</definedName>
    <definedName name="IQ_HG_ACQUIRED_OWNED_ROOMS" hidden="1">"c8608"</definedName>
    <definedName name="IQ_HG_ACQUIRED_ROOMS" hidden="1">"c8602"</definedName>
    <definedName name="IQ_HG_ADR_CHANGE_FRANCHISE" hidden="1">"c8684"</definedName>
    <definedName name="IQ_HG_ADR_CHANGE_MANAGED" hidden="1">"c8685"</definedName>
    <definedName name="IQ_HG_ADR_CHANGE_OTHER" hidden="1">"c8686"</definedName>
    <definedName name="IQ_HG_ADR_CHANGE_OWNED" hidden="1">"c8683"</definedName>
    <definedName name="IQ_HG_ADR_CHANGE_OWNED_COMP" hidden="1">"c8709"</definedName>
    <definedName name="IQ_HG_ADR_CHANGE_TOTAL" hidden="1">"c8687"</definedName>
    <definedName name="IQ_HG_ADR_CHANGE_TOTAL_COMP" hidden="1">"c8710"</definedName>
    <definedName name="IQ_HG_ADR_FRANCHISE" hidden="1">"c8664"</definedName>
    <definedName name="IQ_HG_ADR_MANAGED" hidden="1">"c8665"</definedName>
    <definedName name="IQ_HG_ADR_OTHER" hidden="1">"c8666"</definedName>
    <definedName name="IQ_HG_ADR_OWNED" hidden="1">"c8663"</definedName>
    <definedName name="IQ_HG_ADR_OWNED_COMP" hidden="1">"c8701"</definedName>
    <definedName name="IQ_HG_ADR_TOTAL" hidden="1">"c8667"</definedName>
    <definedName name="IQ_HG_ADR_TOTAL_COMP" hidden="1">"c8702"</definedName>
    <definedName name="IQ_HG_CASINOS_JV" hidden="1">"c8631"</definedName>
    <definedName name="IQ_HG_CASINOS_MANAGED" hidden="1">"c8632"</definedName>
    <definedName name="IQ_HG_CASINOS_OWNED" hidden="1">"c8630"</definedName>
    <definedName name="IQ_HG_CASINOS_TOTAL" hidden="1">"c8633"</definedName>
    <definedName name="IQ_HG_CLOSED_FRANCHISE_HOTEL_PROPERTIES" hidden="1">"c8586"</definedName>
    <definedName name="IQ_HG_CLOSED_FRANCHISE_ROOMS" hidden="1">"c8616"</definedName>
    <definedName name="IQ_HG_CLOSED_HOTEL_PROPERTIES" hidden="1">"c8574"</definedName>
    <definedName name="IQ_HG_CLOSED_MANAGED_HOTEL_PROPERTIES" hidden="1">"c8592"</definedName>
    <definedName name="IQ_HG_CLOSED_MANAGED_ROOMS" hidden="1">"c8622"</definedName>
    <definedName name="IQ_HG_CLOSED_OTHER_HOTEL_PROPERTIES" hidden="1">"c8598"</definedName>
    <definedName name="IQ_HG_CLOSED_OTHER_ROOMS" hidden="1">"c8628"</definedName>
    <definedName name="IQ_HG_CLOSED_OWNED_HOTEL_PROPERTIES" hidden="1">"c8580"</definedName>
    <definedName name="IQ_HG_CLOSED_OWNED_ROOMS" hidden="1">"c8610"</definedName>
    <definedName name="IQ_HG_CLOSED_ROOMS" hidden="1">"c8604"</definedName>
    <definedName name="IQ_HG_EXP_CASINO" hidden="1">"c8733"</definedName>
    <definedName name="IQ_HG_EXP_DEVELOPMENT" hidden="1">"c8738"</definedName>
    <definedName name="IQ_HG_EXP_ENTERTAINMENT" hidden="1">"c8736"</definedName>
    <definedName name="IQ_HG_EXP_FOOD_BEV" hidden="1">"c8734"</definedName>
    <definedName name="IQ_HG_EXP_FRANCHISE_MANAGEMENT" hidden="1">"c8744"</definedName>
    <definedName name="IQ_HG_EXP_OTHER_MNGD_FRANCHISE_PROP" hidden="1">"c8742"</definedName>
    <definedName name="IQ_HG_EXP_OWNED_LEASED_CONSOL_JV" hidden="1">"c8740"</definedName>
    <definedName name="IQ_HG_EXP_REIMBURSEMENTS" hidden="1">"c8743"</definedName>
    <definedName name="IQ_HG_EXP_RETAIL" hidden="1">"c8737"</definedName>
    <definedName name="IQ_HG_EXP_ROOMS" hidden="1">"c8735"</definedName>
    <definedName name="IQ_HG_EXP_THEATRE_CONCESSION" hidden="1">"c8739"</definedName>
    <definedName name="IQ_HG_EXP_VACA_OWNERSHIP_RES" hidden="1">"c8741"</definedName>
    <definedName name="IQ_HG_FOOD_PROM_COSTS" hidden="1">"c8746"</definedName>
    <definedName name="IQ_HG_FRANCHISE_HOTEL_PROPERTIES_BEG" hidden="1">"c8582"</definedName>
    <definedName name="IQ_HG_FRANCHISE_ROOMS_BEG" hidden="1">"c8612"</definedName>
    <definedName name="IQ_HG_GAMING_SPACE_JV" hidden="1">"c8635"</definedName>
    <definedName name="IQ_HG_GAMING_SPACE_MANAGED" hidden="1">"c8636"</definedName>
    <definedName name="IQ_HG_GAMING_SPACE_OWNED" hidden="1">"c8634"</definedName>
    <definedName name="IQ_HG_GAMING_SPACE_TOTAL" hidden="1">"c8637"</definedName>
    <definedName name="IQ_HG_HOTEL_PROPERTIES_BEG" hidden="1">"c8570"</definedName>
    <definedName name="IQ_HG_LAND_AVAIL_JV" hidden="1">"c8647"</definedName>
    <definedName name="IQ_HG_LAND_AVAIL_MANAGED" hidden="1">"c8648"</definedName>
    <definedName name="IQ_HG_LAND_AVAIL_OWNED" hidden="1">"c8646"</definedName>
    <definedName name="IQ_HG_LAND_AVAIL_TOTAL" hidden="1">"c8649"</definedName>
    <definedName name="IQ_HG_LAND_JV" hidden="1">"c8651"</definedName>
    <definedName name="IQ_HG_LAND_MANAGED" hidden="1">"c8652"</definedName>
    <definedName name="IQ_HG_LAND_OWNED" hidden="1">"c8650"</definedName>
    <definedName name="IQ_HG_LAND_TOTAL" hidden="1">"c8653"</definedName>
    <definedName name="IQ_HG_MANAGED_HOTEL_PROPERTIES_BEG" hidden="1">"c8588"</definedName>
    <definedName name="IQ_HG_MANAGED_ROOMS_BEG" hidden="1">"c8618"</definedName>
    <definedName name="IQ_HG_OCCUPANCY_CHANGE_FRANCHISE" hidden="1">"c8675"</definedName>
    <definedName name="IQ_HG_OCCUPANCY_CHANGE_MANAGED" hidden="1">"c8677"</definedName>
    <definedName name="IQ_HG_OCCUPANCY_CHANGE_OTHER" hidden="1">"c8679"</definedName>
    <definedName name="IQ_HG_OCCUPANCY_CHANGE_OWNED" hidden="1">"c8673"</definedName>
    <definedName name="IQ_HG_OCCUPANCY_CHANGE_OWNED_COMP" hidden="1">"c8705"</definedName>
    <definedName name="IQ_HG_OCCUPANCY_CHANGE_TOTAL" hidden="1">"c8681"</definedName>
    <definedName name="IQ_HG_OCCUPANCY_CHANGE_TOTAL_COMP" hidden="1">"c8707"</definedName>
    <definedName name="IQ_HG_OCCUPANCY_FRANCHISE" hidden="1">"c8659"</definedName>
    <definedName name="IQ_HG_OCCUPANCY_INCDEC_FRANCHISE" hidden="1">"c8676"</definedName>
    <definedName name="IQ_HG_OCCUPANCY_INCDEC_MANAGED" hidden="1">"c8678"</definedName>
    <definedName name="IQ_HG_OCCUPANCY_INCDEC_OTHER" hidden="1">"c8680"</definedName>
    <definedName name="IQ_HG_OCCUPANCY_INCDEC_OWNED" hidden="1">"c8674"</definedName>
    <definedName name="IQ_HG_OCCUPANCY_INCDEC_OWNED_COMP" hidden="1">"c8706"</definedName>
    <definedName name="IQ_HG_OCCUPANCY_INCDEC_TOTAL" hidden="1">"c8682"</definedName>
    <definedName name="IQ_HG_OCCUPANCY_INCDEC_TOTAL_COMP" hidden="1">"c8708"</definedName>
    <definedName name="IQ_HG_OCCUPANCY_MANAGED" hidden="1">"c8660"</definedName>
    <definedName name="IQ_HG_OCCUPANCY_OTHER" hidden="1">"c8661"</definedName>
    <definedName name="IQ_HG_OCCUPANCY_OWNED" hidden="1">"c8658"</definedName>
    <definedName name="IQ_HG_OCCUPANCY_OWNED_COMP" hidden="1">"c8699"</definedName>
    <definedName name="IQ_HG_OCCUPANCY_TOTAL" hidden="1">"c8662"</definedName>
    <definedName name="IQ_HG_OCCUPANCY_TOTAL_COMP" hidden="1">"c8700"</definedName>
    <definedName name="IQ_HG_OPENED_FRANCHISE_HOTEL_PROPERTIES" hidden="1">"c8583"</definedName>
    <definedName name="IQ_HG_OPENED_FRANCHISE_ROOMS" hidden="1">"c8613"</definedName>
    <definedName name="IQ_HG_OPENED_HOTEL_PROPERTIES" hidden="1">"c8571"</definedName>
    <definedName name="IQ_HG_OPENED_MANAGED_HOTEL_PROPERTIES" hidden="1">"c8589"</definedName>
    <definedName name="IQ_HG_OPENED_MANAGED_ROOMS" hidden="1">"c8619"</definedName>
    <definedName name="IQ_HG_OPENED_OTHER_HOTEL_PROPERTIES" hidden="1">"c8595"</definedName>
    <definedName name="IQ_HG_OPENED_OTHER_ROOMS" hidden="1">"c8625"</definedName>
    <definedName name="IQ_HG_OPENED_OWNED_HOTEL_PROPERTIES" hidden="1">"c8577"</definedName>
    <definedName name="IQ_HG_OPENED_OWNED_ROOMS" hidden="1">"c8607"</definedName>
    <definedName name="IQ_HG_OPENED_ROOMS" hidden="1">"c8601"</definedName>
    <definedName name="IQ_HG_OTHER_HOTEL_PROPERTIES_BEG" hidden="1">"c8594"</definedName>
    <definedName name="IQ_HG_OTHER_PROM_COSTS" hidden="1">"c8747"</definedName>
    <definedName name="IQ_HG_OTHER_ROOMS_BEG" hidden="1">"c8624"</definedName>
    <definedName name="IQ_HG_OWNED_HOTEL_PROPERTIES_BEG" hidden="1">"c8576"</definedName>
    <definedName name="IQ_HG_OWNED_ROOMS_BEG" hidden="1">"c8606"</definedName>
    <definedName name="IQ_HG_PARKING_SPACES_JV" hidden="1">"c8655"</definedName>
    <definedName name="IQ_HG_PARKING_SPACES_MANAGED" hidden="1">"c8656"</definedName>
    <definedName name="IQ_HG_PARKING_SPACES_OWNED" hidden="1">"c8654"</definedName>
    <definedName name="IQ_HG_PARKING_SPACES_TOTAL" hidden="1">"c8657"</definedName>
    <definedName name="IQ_HG_REV_BASE_MANAGEMENT_FEES" hidden="1">"c8726"</definedName>
    <definedName name="IQ_HG_REV_CASINO" hidden="1">"c8713"</definedName>
    <definedName name="IQ_HG_REV_COST_REIMBURSEMENT" hidden="1">"c8728"</definedName>
    <definedName name="IQ_HG_REV_ENTERTAINMENT" hidden="1">"c8716"</definedName>
    <definedName name="IQ_HG_REV_FOOD_BEV" hidden="1">"c8714"</definedName>
    <definedName name="IQ_HG_REV_FRANCHISE" hidden="1">"c8725"</definedName>
    <definedName name="IQ_HG_REV_INCENTIVE_MANAGEMENT_FEES" hidden="1">"c8727"</definedName>
    <definedName name="IQ_HG_REV_MANAGEMENT_FEES" hidden="1">"c8718"</definedName>
    <definedName name="IQ_HG_REV_OTHER_MNGD_FRANCHISE_PROP" hidden="1">"c8730"</definedName>
    <definedName name="IQ_HG_REV_OTHER_OP_SEGMENT" hidden="1">"c8721"</definedName>
    <definedName name="IQ_HG_REV_OTHER_OWNERSHIP_MIX" hidden="1">"c8731"</definedName>
    <definedName name="IQ_HG_REV_OWNED_LEASED_CONSOL_JV_HOTELS" hidden="1">"c8724"</definedName>
    <definedName name="IQ_HG_REV_PROMOTIONAL_ALLOWANCE" hidden="1">"c8722"</definedName>
    <definedName name="IQ_HG_REV_RACING" hidden="1">"c8719"</definedName>
    <definedName name="IQ_HG_REV_RETAIL" hidden="1">"c8717"</definedName>
    <definedName name="IQ_HG_REV_ROOMS" hidden="1">"c8715"</definedName>
    <definedName name="IQ_HG_REV_THEATRE_CONCESSION" hidden="1">"c8720"</definedName>
    <definedName name="IQ_HG_REV_TOTAL_OP_SEGMENT" hidden="1">"c8723"</definedName>
    <definedName name="IQ_HG_REV_TOTAL_OWNERSHIP_MIX" hidden="1">"c8732"</definedName>
    <definedName name="IQ_HG_REV_VACA_OWNERSHIP_RES_SALES_SVCS" hidden="1">"c8729"</definedName>
    <definedName name="IQ_HG_REVENUES_CHANGE_OWNED_COMP" hidden="1">"c8697"</definedName>
    <definedName name="IQ_HG_REVENUES_CHANGE_TOTAL_COMP" hidden="1">"c8698"</definedName>
    <definedName name="IQ_HG_REVPAR_CHANGE_MANAGED" hidden="1">"c8690"</definedName>
    <definedName name="IQ_HG_REVPAR_CHANGE_OTHER" hidden="1">"c8691"</definedName>
    <definedName name="IQ_HG_REVPAR_CHANGE_OWNED" hidden="1">"c8688"</definedName>
    <definedName name="IQ_HG_REVPAR_CHANGE_OWNED_COMP" hidden="1">"c8711"</definedName>
    <definedName name="IQ_HG_REVPAR_CHANGE_TOTAL" hidden="1">"c8692"</definedName>
    <definedName name="IQ_HG_REVPAR_CHANGE_TOTAL_COMP" hidden="1">"c8712"</definedName>
    <definedName name="IQ_HG_REVPAR_CHNAGE_FRANCHISE" hidden="1">"c8689"</definedName>
    <definedName name="IQ_HG_REVPAR_FRANCHISE" hidden="1">"c8669"</definedName>
    <definedName name="IQ_HG_REVPAR_MANAGED" hidden="1">"c8670"</definedName>
    <definedName name="IQ_HG_REVPAR_OTHER" hidden="1">"c8671"</definedName>
    <definedName name="IQ_HG_REVPAR_OWNED" hidden="1">"c8668"</definedName>
    <definedName name="IQ_HG_REVPAR_OWNED_COMP" hidden="1">"c8703"</definedName>
    <definedName name="IQ_HG_REVPAR_TOTAL" hidden="1">"c8672"</definedName>
    <definedName name="IQ_HG_REVPAR_TOTAL_COMP" hidden="1">"c8704"</definedName>
    <definedName name="IQ_HG_ROOM_PROM_COSTS" hidden="1">"c8745"</definedName>
    <definedName name="IQ_HG_ROOMS_BEG" hidden="1">"c8600"</definedName>
    <definedName name="IQ_HG_SLOT_MACHINES_JV" hidden="1">"c8639"</definedName>
    <definedName name="IQ_HG_SLOT_MACHINES_MANAGED" hidden="1">"c8640"</definedName>
    <definedName name="IQ_HG_SLOT_MACHINES_OWNED" hidden="1">"c8638"</definedName>
    <definedName name="IQ_HG_SLOT_MACHINES_TOTAL" hidden="1">"c8641"</definedName>
    <definedName name="IQ_HG_SOLD_FRANCHISE_HOTEL_PROPERTIES" hidden="1">"c8585"</definedName>
    <definedName name="IQ_HG_SOLD_FRANCHISE_ROOMS" hidden="1">"c8615"</definedName>
    <definedName name="IQ_HG_SOLD_HOTEL_PROPERTIES" hidden="1">"c8573"</definedName>
    <definedName name="IQ_HG_SOLD_MANAGED_HOTEL_PROPERTIES" hidden="1">"c8591"</definedName>
    <definedName name="IQ_HG_SOLD_MANAGED_ROOMS" hidden="1">"c8621"</definedName>
    <definedName name="IQ_HG_SOLD_OTHER_HOTEL_PROPERTIES" hidden="1">"c8597"</definedName>
    <definedName name="IQ_HG_SOLD_OTHER_ROOMS" hidden="1">"c8627"</definedName>
    <definedName name="IQ_HG_SOLD_OWNED_HOTEL_PROPERTIES" hidden="1">"c8579"</definedName>
    <definedName name="IQ_HG_SOLD_OWNED_ROOMS" hidden="1">"c8609"</definedName>
    <definedName name="IQ_HG_SOLD_ROOMS" hidden="1">"c8603"</definedName>
    <definedName name="IQ_HG_TABLE_GAMES_JV" hidden="1">"c8643"</definedName>
    <definedName name="IQ_HG_TABLE_GAMES_MANAGED" hidden="1">"c8644"</definedName>
    <definedName name="IQ_HG_TABLE_GAMES_OWNED" hidden="1">"c8642"</definedName>
    <definedName name="IQ_HG_TABLE_GAMES_TOTAL" hidden="1">"c8645"</definedName>
    <definedName name="IQ_HG_TOTAL_FRANCHISE_HOTEL_PROPERTIES" hidden="1">"c8587"</definedName>
    <definedName name="IQ_HG_TOTAL_FRANCHISE_ROOMS" hidden="1">"c8617"</definedName>
    <definedName name="IQ_HG_TOTAL_HOTEL_PROPERTIES" hidden="1">"c8575"</definedName>
    <definedName name="IQ_HG_TOTAL_MANAGED_HOTEL_PROPERTIES" hidden="1">"c8593"</definedName>
    <definedName name="IQ_HG_TOTAL_MANAGED_ROOMS" hidden="1">"c8623"</definedName>
    <definedName name="IQ_HG_TOTAL_OTHER_HOTEL_PROPERTIES" hidden="1">"c8599"</definedName>
    <definedName name="IQ_HG_TOTAL_OTHER_ROOMS" hidden="1">"c8629"</definedName>
    <definedName name="IQ_HG_TOTAL_OWNED_HOTEL_PROPERTIES" hidden="1">"c8581"</definedName>
    <definedName name="IQ_HG_TOTAL_OWNED_PROPERTIES_COMP" hidden="1">"c8693"</definedName>
    <definedName name="IQ_HG_TOTAL_OWNED_ROOMS" hidden="1">"c8611"</definedName>
    <definedName name="IQ_HG_TOTAL_OWNED_ROOMS_COMP" hidden="1">"c8695"</definedName>
    <definedName name="IQ_HG_TOTAL_PROM_COSTS" hidden="1">"c8748"</definedName>
    <definedName name="IQ_HG_TOTAL_PROPERTIES_COMP" hidden="1">"c8694"</definedName>
    <definedName name="IQ_HG_TOTAL_ROOMS" hidden="1">"c8605"</definedName>
    <definedName name="IQ_HG_TOTAL_ROOMS_COMP" hidden="1">"c8696"</definedName>
    <definedName name="IQ_HIGH_TARGET_PRICE" hidden="1">"c1651"</definedName>
    <definedName name="IQ_HIGH_TARGET_PRICE_CIQ" hidden="1">"c4659"</definedName>
    <definedName name="IQ_HIGH_TARGET_PRICE_REUT" hidden="1">"c5317"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SALES_NEW" hidden="1">"c6924"</definedName>
    <definedName name="IQ_HOME_SALES_NEW_APR" hidden="1">"c7584"</definedName>
    <definedName name="IQ_HOME_SALES_NEW_APR_FC" hidden="1">"c8464"</definedName>
    <definedName name="IQ_HOME_SALES_NEW_FC" hidden="1">"c7804"</definedName>
    <definedName name="IQ_HOME_SALES_NEW_POP" hidden="1">"c7144"</definedName>
    <definedName name="IQ_HOME_SALES_NEW_POP_FC" hidden="1">"c8024"</definedName>
    <definedName name="IQ_HOME_SALES_NEW_YOY" hidden="1">"c7364"</definedName>
    <definedName name="IQ_HOME_SALES_NEW_YOY_FC" hidden="1">"c8244"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HOURLY_COMP" hidden="1">"c6879"</definedName>
    <definedName name="IQ_HOURLY_COMP_APR" hidden="1">"c7539"</definedName>
    <definedName name="IQ_HOURLY_COMP_APR_FC" hidden="1">"c8419"</definedName>
    <definedName name="IQ_HOURLY_COMP_FC" hidden="1">"c7759"</definedName>
    <definedName name="IQ_HOURLY_COMP_POP" hidden="1">"c7099"</definedName>
    <definedName name="IQ_HOURLY_COMP_POP_FC" hidden="1">"c7979"</definedName>
    <definedName name="IQ_HOURLY_COMP_YOY" hidden="1">"c7319"</definedName>
    <definedName name="IQ_HOURLY_COMP_YOY_FC" hidden="1">"c8199"</definedName>
    <definedName name="IQ_HOUSING_COMPLETIONS" hidden="1">"c6881"</definedName>
    <definedName name="IQ_HOUSING_COMPLETIONS_APR" hidden="1">"c7541"</definedName>
    <definedName name="IQ_HOUSING_COMPLETIONS_APR_FC" hidden="1">"c8421"</definedName>
    <definedName name="IQ_HOUSING_COMPLETIONS_FC" hidden="1">"c7761"</definedName>
    <definedName name="IQ_HOUSING_COMPLETIONS_POP" hidden="1">"c7101"</definedName>
    <definedName name="IQ_HOUSING_COMPLETIONS_POP_FC" hidden="1">"c7981"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HOUSING_COMPLETIONS_YOY" hidden="1">"c7321"</definedName>
    <definedName name="IQ_HOUSING_COMPLETIONS_YOY_FC" hidden="1">"c8201"</definedName>
    <definedName name="IQ_HOUSING_PERMITS" hidden="1">"c6883"</definedName>
    <definedName name="IQ_HOUSING_PERMITS_APR" hidden="1">"c7543"</definedName>
    <definedName name="IQ_HOUSING_PERMITS_APR_FC" hidden="1">"c8423"</definedName>
    <definedName name="IQ_HOUSING_PERMITS_FC" hidden="1">"c7763"</definedName>
    <definedName name="IQ_HOUSING_PERMITS_POP" hidden="1">"c7103"</definedName>
    <definedName name="IQ_HOUSING_PERMITS_POP_FC" hidden="1">"c7983"</definedName>
    <definedName name="IQ_HOUSING_PERMITS_YOY" hidden="1">"c7323"</definedName>
    <definedName name="IQ_HOUSING_PERMITS_YOY_FC" hidden="1">"c8203"</definedName>
    <definedName name="IQ_HOUSING_STARTS" hidden="1">"c6884"</definedName>
    <definedName name="IQ_HOUSING_STARTS_APR" hidden="1">"c7544"</definedName>
    <definedName name="IQ_HOUSING_STARTS_APR_FC" hidden="1">"c8424"</definedName>
    <definedName name="IQ_HOUSING_STARTS_FC" hidden="1">"c7764"</definedName>
    <definedName name="IQ_HOUSING_STARTS_POP" hidden="1">"c7104"</definedName>
    <definedName name="IQ_HOUSING_STARTS_POP_FC" hidden="1">"c7984"</definedName>
    <definedName name="IQ_HOUSING_STARTS_SAAR" hidden="1">"c6885"</definedName>
    <definedName name="IQ_HOUSING_STARTS_SAAR_APR" hidden="1">"c7545"</definedName>
    <definedName name="IQ_HOUSING_STARTS_SAAR_APR_FC" hidden="1">"c8425"</definedName>
    <definedName name="IQ_HOUSING_STARTS_SAAR_FC" hidden="1">"c7765"</definedName>
    <definedName name="IQ_HOUSING_STARTS_SAAR_POP" hidden="1">"c7105"</definedName>
    <definedName name="IQ_HOUSING_STARTS_SAAR_POP_FC" hidden="1">"c7985"</definedName>
    <definedName name="IQ_HOUSING_STARTS_SAAR_YOY" hidden="1">"c7325"</definedName>
    <definedName name="IQ_HOUSING_STARTS_SAAR_YOY_FC" hidden="1">"c8205"</definedName>
    <definedName name="IQ_HOUSING_STARTS_YOY" hidden="1">"c7324"</definedName>
    <definedName name="IQ_HOUSING_STARTS_YOY_FC" hidden="1">"c8204"</definedName>
    <definedName name="IQ_HRS_WORKED_FULL_PT" hidden="1">"c6880"</definedName>
    <definedName name="IQ_HRS_WORKED_FULL_PT_APR" hidden="1">"c7540"</definedName>
    <definedName name="IQ_HRS_WORKED_FULL_PT_APR_FC" hidden="1">"c8420"</definedName>
    <definedName name="IQ_HRS_WORKED_FULL_PT_FC" hidden="1">"c7760"</definedName>
    <definedName name="IQ_HRS_WORKED_FULL_PT_POP" hidden="1">"c7100"</definedName>
    <definedName name="IQ_HRS_WORKED_FULL_PT_POP_FC" hidden="1">"c7980"</definedName>
    <definedName name="IQ_HRS_WORKED_FULL_PT_YOY" hidden="1">"c7320"</definedName>
    <definedName name="IQ_HRS_WORKED_FULL_PT_YOY_FC" hidden="1">"c8200"</definedName>
    <definedName name="IQ_IM_AVG_REV_PER_CLICK" hidden="1">"c9991"</definedName>
    <definedName name="IQ_IM_NUMBER_PAGE_VIEWS" hidden="1">"c9993"</definedName>
    <definedName name="IQ_IM_NUMBER_PAID_CLICKS" hidden="1">"c9995"</definedName>
    <definedName name="IQ_IM_NUMBER_PAID_CLICKS_GROWTH" hidden="1">"c9996"</definedName>
    <definedName name="IQ_IM_PAGE_VIEWS_GROWTH" hidden="1">"c9994"</definedName>
    <definedName name="IQ_IM_REV_PER_PAGE_VIEW_GROWTH" hidden="1">"c9992"</definedName>
    <definedName name="IQ_IM_TRAFFIC_ACQUISITION_CHANGE" hidden="1">"c9998"</definedName>
    <definedName name="IQ_IM_TRAFFIC_ACQUISITION_COST_TO_AD_REV_RATIO" hidden="1">"c10000"</definedName>
    <definedName name="IQ_IM_TRAFFIC_ACQUISITION_COST_TO_TOTAL_REV_RATIO" hidden="1">"c9999"</definedName>
    <definedName name="IQ_IM_TRAFFIC_ACQUISITION_COSTS" hidden="1">"c9997"</definedName>
    <definedName name="IQ_IMPAIR_OIL" hidden="1">"c547"</definedName>
    <definedName name="IQ_IMPAIRMENT_GW" hidden="1">"c548"</definedName>
    <definedName name="IQ_IMPORT_PRICE_INDEX" hidden="1">"c6886"</definedName>
    <definedName name="IQ_IMPORT_PRICE_INDEX_APR" hidden="1">"c7546"</definedName>
    <definedName name="IQ_IMPORT_PRICE_INDEX_APR_FC" hidden="1">"c8426"</definedName>
    <definedName name="IQ_IMPORT_PRICE_INDEX_FC" hidden="1">"c7766"</definedName>
    <definedName name="IQ_IMPORT_PRICE_INDEX_POP" hidden="1">"c7106"</definedName>
    <definedName name="IQ_IMPORT_PRICE_INDEX_POP_FC" hidden="1">"c7986"</definedName>
    <definedName name="IQ_IMPORT_PRICE_INDEX_YOY" hidden="1">"c7326"</definedName>
    <definedName name="IQ_IMPORT_PRICE_INDEX_YOY_FC" hidden="1">"c8206"</definedName>
    <definedName name="IQ_IMPORTS_GOODS" hidden="1">"c6887"</definedName>
    <definedName name="IQ_IMPORTS_GOODS_APR" hidden="1">"c7547"</definedName>
    <definedName name="IQ_IMPORTS_GOODS_APR_FC" hidden="1">"c8427"</definedName>
    <definedName name="IQ_IMPORTS_GOODS_FC" hidden="1">"c7767"</definedName>
    <definedName name="IQ_IMPORTS_GOODS_NONFACTOR_SERVICES" hidden="1">"c6888"</definedName>
    <definedName name="IQ_IMPORTS_GOODS_NONFACTOR_SERVICES_APR" hidden="1">"c7548"</definedName>
    <definedName name="IQ_IMPORTS_GOODS_NONFACTOR_SERVICES_APR_FC" hidden="1">"c8428"</definedName>
    <definedName name="IQ_IMPORTS_GOODS_NONFACTOR_SERVICES_FC" hidden="1">"c7768"</definedName>
    <definedName name="IQ_IMPORTS_GOODS_NONFACTOR_SERVICES_POP" hidden="1">"c7108"</definedName>
    <definedName name="IQ_IMPORTS_GOODS_NONFACTOR_SERVICES_POP_FC" hidden="1">"c7988"</definedName>
    <definedName name="IQ_IMPORTS_GOODS_NONFACTOR_SERVICES_YOY" hidden="1">"c7328"</definedName>
    <definedName name="IQ_IMPORTS_GOODS_NONFACTOR_SERVICES_YOY_FC" hidden="1">"c8208"</definedName>
    <definedName name="IQ_IMPORTS_GOODS_POP" hidden="1">"c7107"</definedName>
    <definedName name="IQ_IMPORTS_GOODS_POP_FC" hidden="1">"c7987"</definedName>
    <definedName name="IQ_IMPORTS_GOODS_REAL" hidden="1">"c11950"</definedName>
    <definedName name="IQ_IMPORTS_GOODS_REAL_APR" hidden="1">"c11953"</definedName>
    <definedName name="IQ_IMPORTS_GOODS_REAL_POP" hidden="1">"c11951"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REAL_YOY" hidden="1">"c11952"</definedName>
    <definedName name="IQ_IMPORTS_GOODS_SAAR" hidden="1">"c6891"</definedName>
    <definedName name="IQ_IMPORTS_GOODS_SAAR_APR" hidden="1">"c7551"</definedName>
    <definedName name="IQ_IMPORTS_GOODS_SAAR_APR_FC" hidden="1">"c8431"</definedName>
    <definedName name="IQ_IMPORTS_GOODS_SAAR_FC" hidden="1">"c7771"</definedName>
    <definedName name="IQ_IMPORTS_GOODS_SAAR_POP" hidden="1">"c7111"</definedName>
    <definedName name="IQ_IMPORTS_GOODS_SAAR_POP_FC" hidden="1">"c7991"</definedName>
    <definedName name="IQ_IMPORTS_GOODS_SAAR_USD_APR_FC" hidden="1">"c11849"</definedName>
    <definedName name="IQ_IMPORTS_GOODS_SAAR_USD_FC" hidden="1">"c11846"</definedName>
    <definedName name="IQ_IMPORTS_GOODS_SAAR_USD_POP_FC" hidden="1">"c11847"</definedName>
    <definedName name="IQ_IMPORTS_GOODS_SAAR_USD_YOY_FC" hidden="1">"c11848"</definedName>
    <definedName name="IQ_IMPORTS_GOODS_SAAR_YOY" hidden="1">"c7331"</definedName>
    <definedName name="IQ_IMPORTS_GOODS_SAAR_YOY_FC" hidden="1">"c8211"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" hidden="1">"c6985"</definedName>
    <definedName name="IQ_IMPORTS_GOODS_SERVICES_REAL_APR" hidden="1">"c7645"</definedName>
    <definedName name="IQ_IMPORTS_GOODS_SERVICES_REAL_APR_FC" hidden="1">"c8525"</definedName>
    <definedName name="IQ_IMPORTS_GOODS_SERVICES_REAL_FC" hidden="1">"c7865"</definedName>
    <definedName name="IQ_IMPORTS_GOODS_SERVICES_REAL_POP" hidden="1">"c7205"</definedName>
    <definedName name="IQ_IMPORTS_GOODS_SERVICES_REAL_POP_FC" hidden="1">"c8085"</definedName>
    <definedName name="IQ_IMPORTS_GOODS_SERVICES_REAL_SAAR" hidden="1">"c11958"</definedName>
    <definedName name="IQ_IMPORTS_GOODS_SERVICES_REAL_SAAR_APR" hidden="1">"c11961"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" hidden="1">"c11959"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USD" hidden="1">"c11962"</definedName>
    <definedName name="IQ_IMPORTS_GOODS_SERVICES_REAL_SAAR_USD_APR" hidden="1">"c11965"</definedName>
    <definedName name="IQ_IMPORTS_GOODS_SERVICES_REAL_SAAR_USD_APR_FC" hidden="1">"c11969"</definedName>
    <definedName name="IQ_IMPORTS_GOODS_SERVICES_REAL_SAAR_USD_FC" hidden="1">"c11966"</definedName>
    <definedName name="IQ_IMPORTS_GOODS_SERVICES_REAL_SAAR_USD_POP" hidden="1">"c11963"</definedName>
    <definedName name="IQ_IMPORTS_GOODS_SERVICES_REAL_SAAR_USD_POP_FC" hidden="1">"c11967"</definedName>
    <definedName name="IQ_IMPORTS_GOODS_SERVICES_REAL_SAAR_USD_YOY" hidden="1">"c11964"</definedName>
    <definedName name="IQ_IMPORTS_GOODS_SERVICES_REAL_SAAR_USD_YOY_FC" hidden="1">"c11968"</definedName>
    <definedName name="IQ_IMPORTS_GOODS_SERVICES_REAL_SAAR_YOY" hidden="1">"c11960"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REAL_USD" hidden="1">"c11954"</definedName>
    <definedName name="IQ_IMPORTS_GOODS_SERVICES_REAL_USD_APR" hidden="1">"c11957"</definedName>
    <definedName name="IQ_IMPORTS_GOODS_SERVICES_REAL_USD_POP" hidden="1">"c11955"</definedName>
    <definedName name="IQ_IMPORTS_GOODS_SERVICES_REAL_USD_YOY" hidden="1">"c11956"</definedName>
    <definedName name="IQ_IMPORTS_GOODS_SERVICES_REAL_YOY" hidden="1">"c7425"</definedName>
    <definedName name="IQ_IMPORTS_GOODS_SERVICES_REAL_YOY_FC" hidden="1">"c8305"</definedName>
    <definedName name="IQ_IMPORTS_GOODS_SERVICES_SAAR" hidden="1">"c6890"</definedName>
    <definedName name="IQ_IMPORTS_GOODS_SERVICES_SAAR_APR" hidden="1">"c7550"</definedName>
    <definedName name="IQ_IMPORTS_GOODS_SERVICES_SAAR_APR_FC" hidden="1">"c8430"</definedName>
    <definedName name="IQ_IMPORTS_GOODS_SERVICES_SAAR_FC" hidden="1">"c7770"</definedName>
    <definedName name="IQ_IMPORTS_GOODS_SERVICES_SAAR_POP" hidden="1">"c7110"</definedName>
    <definedName name="IQ_IMPORTS_GOODS_SERVICES_SAAR_POP_FC" hidden="1">"c7990"</definedName>
    <definedName name="IQ_IMPORTS_GOODS_SERVICES_SAAR_YOY" hidden="1">"c7330"</definedName>
    <definedName name="IQ_IMPORTS_GOODS_SERVICES_SAAR_YOY_FC" hidden="1">"c8210"</definedName>
    <definedName name="IQ_IMPORTS_GOODS_SERVICES_UNUSED_UNUSED_UNUSED" hidden="1">"c6889"</definedName>
    <definedName name="IQ_IMPORTS_GOODS_SERVICES_USD" hidden="1">"c11842"</definedName>
    <definedName name="IQ_IMPORTS_GOODS_SERVICES_USD_APR" hidden="1">"c11845"</definedName>
    <definedName name="IQ_IMPORTS_GOODS_SERVICES_USD_POP" hidden="1">"c11843"</definedName>
    <definedName name="IQ_IMPORTS_GOODS_SERVICES_USD_YOY" hidden="1">"c11844"</definedName>
    <definedName name="IQ_IMPORTS_GOODS_SERVICES_YOY_FC_UNUSED_UNUSED_UNUSED" hidden="1">"c8209"</definedName>
    <definedName name="IQ_IMPORTS_GOODS_SERVICES_YOY_UNUSED_UNUSED_UNUSED" hidden="1">"c7329"</definedName>
    <definedName name="IQ_IMPORTS_GOODS_USD_APR_FC" hidden="1">"c11841"</definedName>
    <definedName name="IQ_IMPORTS_GOODS_USD_FC" hidden="1">"c11838"</definedName>
    <definedName name="IQ_IMPORTS_GOODS_USD_POP_FC" hidden="1">"c11839"</definedName>
    <definedName name="IQ_IMPORTS_GOODS_USD_YOY_FC" hidden="1">"c11840"</definedName>
    <definedName name="IQ_IMPORTS_GOODS_YOY" hidden="1">"c7327"</definedName>
    <definedName name="IQ_IMPORTS_GOODS_YOY_FC" hidden="1">"c8207"</definedName>
    <definedName name="IQ_IMPORTS_NONFACTOR_SERVICES" hidden="1">"c6892"</definedName>
    <definedName name="IQ_IMPORTS_NONFACTOR_SERVICES_APR" hidden="1">"c7552"</definedName>
    <definedName name="IQ_IMPORTS_NONFACTOR_SERVICES_APR_FC" hidden="1">"c8432"</definedName>
    <definedName name="IQ_IMPORTS_NONFACTOR_SERVICES_FC" hidden="1">"c7772"</definedName>
    <definedName name="IQ_IMPORTS_NONFACTOR_SERVICES_POP" hidden="1">"c7112"</definedName>
    <definedName name="IQ_IMPORTS_NONFACTOR_SERVICES_POP_FC" hidden="1">"c7992"</definedName>
    <definedName name="IQ_IMPORTS_NONFACTOR_SERVICES_SAAR" hidden="1">"c6893"</definedName>
    <definedName name="IQ_IMPORTS_NONFACTOR_SERVICES_SAAR_APR" hidden="1">"c7553"</definedName>
    <definedName name="IQ_IMPORTS_NONFACTOR_SERVICES_SAAR_APR_FC" hidden="1">"c8433"</definedName>
    <definedName name="IQ_IMPORTS_NONFACTOR_SERVICES_SAAR_FC" hidden="1">"c7773"</definedName>
    <definedName name="IQ_IMPORTS_NONFACTOR_SERVICES_SAAR_POP" hidden="1">"c7113"</definedName>
    <definedName name="IQ_IMPORTS_NONFACTOR_SERVICES_SAAR_POP_FC" hidden="1">"c7993"</definedName>
    <definedName name="IQ_IMPORTS_NONFACTOR_SERVICES_SAAR_USD_APR_FC" hidden="1">"c11857"</definedName>
    <definedName name="IQ_IMPORTS_NONFACTOR_SERVICES_SAAR_USD_FC" hidden="1">"c11854"</definedName>
    <definedName name="IQ_IMPORTS_NONFACTOR_SERVICES_SAAR_USD_POP_FC" hidden="1">"c11855"</definedName>
    <definedName name="IQ_IMPORTS_NONFACTOR_SERVICES_SAAR_USD_YOY_FC" hidden="1">"c11856"</definedName>
    <definedName name="IQ_IMPORTS_NONFACTOR_SERVICES_SAAR_YOY" hidden="1">"c7333"</definedName>
    <definedName name="IQ_IMPORTS_NONFACTOR_SERVICES_SAAR_YOY_FC" hidden="1">"c8213"</definedName>
    <definedName name="IQ_IMPORTS_NONFACTOR_SERVICES_USD_APR_FC" hidden="1">"c11853"</definedName>
    <definedName name="IQ_IMPORTS_NONFACTOR_SERVICES_USD_FC" hidden="1">"c11850"</definedName>
    <definedName name="IQ_IMPORTS_NONFACTOR_SERVICES_USD_POP_FC" hidden="1">"c11851"</definedName>
    <definedName name="IQ_IMPORTS_NONFACTOR_SERVICES_USD_YOY_FC" hidden="1">"c11852"</definedName>
    <definedName name="IQ_IMPORTS_NONFACTOR_SERVICES_YOY" hidden="1">"c7332"</definedName>
    <definedName name="IQ_IMPORTS_NONFACTOR_SERVICES_YOY_FC" hidden="1">"c8212"</definedName>
    <definedName name="IQ_IMPORTS_SERVICES" hidden="1">"c11858"</definedName>
    <definedName name="IQ_IMPORTS_SERVICES_APR" hidden="1">"c11861"</definedName>
    <definedName name="IQ_IMPORTS_SERVICES_POP" hidden="1">"c11859"</definedName>
    <definedName name="IQ_IMPORTS_SERVICES_REAL" hidden="1">"c6986"</definedName>
    <definedName name="IQ_IMPORTS_SERVICES_REAL_APR" hidden="1">"c7646"</definedName>
    <definedName name="IQ_IMPORTS_SERVICES_REAL_APR_FC" hidden="1">"c8526"</definedName>
    <definedName name="IQ_IMPORTS_SERVICES_REAL_FC" hidden="1">"c7866"</definedName>
    <definedName name="IQ_IMPORTS_SERVICES_REAL_POP" hidden="1">"c7206"</definedName>
    <definedName name="IQ_IMPORTS_SERVICES_REAL_POP_FC" hidden="1">"c8086"</definedName>
    <definedName name="IQ_IMPORTS_SERVICES_REAL_YOY" hidden="1">"c7426"</definedName>
    <definedName name="IQ_IMPORTS_SERVICES_REAL_YOY_FC" hidden="1">"c8306"</definedName>
    <definedName name="IQ_IMPORTS_SERVICES_YOY" hidden="1">"c11860"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EX_LEADING_IND" hidden="1">"c6894"</definedName>
    <definedName name="IQ_INDEX_LEADING_IND_APR" hidden="1">"c7554"</definedName>
    <definedName name="IQ_INDEX_LEADING_IND_APR_FC" hidden="1">"c8434"</definedName>
    <definedName name="IQ_INDEX_LEADING_IND_FC" hidden="1">"c7774"</definedName>
    <definedName name="IQ_INDEX_LEADING_IND_POP" hidden="1">"c7114"</definedName>
    <definedName name="IQ_INDEX_LEADING_IND_POP_FC" hidden="1">"c7994"</definedName>
    <definedName name="IQ_INDEX_LEADING_IND_YOY" hidden="1">"c7334"</definedName>
    <definedName name="IQ_INDEX_LEADING_IND_YOY_FC" hidden="1">"c8214"</definedName>
    <definedName name="IQ_INDICATED_ATTRIB_ORE_RESOURCES_ALUM" hidden="1">"c9238"</definedName>
    <definedName name="IQ_INDICATED_ATTRIB_ORE_RESOURCES_COP" hidden="1">"c9182"</definedName>
    <definedName name="IQ_INDICATED_ATTRIB_ORE_RESOURCES_DIAM" hidden="1">"c9662"</definedName>
    <definedName name="IQ_INDICATED_ATTRIB_ORE_RESOURCES_GOLD" hidden="1">"c9023"</definedName>
    <definedName name="IQ_INDICATED_ATTRIB_ORE_RESOURCES_IRON" hidden="1">"c9397"</definedName>
    <definedName name="IQ_INDICATED_ATTRIB_ORE_RESOURCES_LEAD" hidden="1">"c9450"</definedName>
    <definedName name="IQ_INDICATED_ATTRIB_ORE_RESOURCES_MANG" hidden="1">"c9503"</definedName>
    <definedName name="IQ_INDICATED_ATTRIB_ORE_RESOURCES_MOLYB" hidden="1">"c9715"</definedName>
    <definedName name="IQ_INDICATED_ATTRIB_ORE_RESOURCES_NICK" hidden="1">"c9291"</definedName>
    <definedName name="IQ_INDICATED_ATTRIB_ORE_RESOURCES_PLAT" hidden="1">"c9129"</definedName>
    <definedName name="IQ_INDICATED_ATTRIB_ORE_RESOURCES_SILVER" hidden="1">"c9076"</definedName>
    <definedName name="IQ_INDICATED_ATTRIB_ORE_RESOURCES_TITAN" hidden="1">"c9556"</definedName>
    <definedName name="IQ_INDICATED_ATTRIB_ORE_RESOURCES_URAN" hidden="1">"c9609"</definedName>
    <definedName name="IQ_INDICATED_ATTRIB_ORE_RESOURCES_ZINC" hidden="1">"c9344"</definedName>
    <definedName name="IQ_INDICATED_ORE_RESOURCES_ALUM" hidden="1">"c9224"</definedName>
    <definedName name="IQ_INDICATED_ORE_RESOURCES_COP" hidden="1">"c9168"</definedName>
    <definedName name="IQ_INDICATED_ORE_RESOURCES_DIAM" hidden="1">"c9648"</definedName>
    <definedName name="IQ_INDICATED_ORE_RESOURCES_GOLD" hidden="1">"c9009"</definedName>
    <definedName name="IQ_INDICATED_ORE_RESOURCES_IRON" hidden="1">"c9383"</definedName>
    <definedName name="IQ_INDICATED_ORE_RESOURCES_LEAD" hidden="1">"c9436"</definedName>
    <definedName name="IQ_INDICATED_ORE_RESOURCES_MANG" hidden="1">"c9489"</definedName>
    <definedName name="IQ_INDICATED_ORE_RESOURCES_MOLYB" hidden="1">"c9701"</definedName>
    <definedName name="IQ_INDICATED_ORE_RESOURCES_NICK" hidden="1">"c9277"</definedName>
    <definedName name="IQ_INDICATED_ORE_RESOURCES_PLAT" hidden="1">"c9115"</definedName>
    <definedName name="IQ_INDICATED_ORE_RESOURCES_SILVER" hidden="1">"c9062"</definedName>
    <definedName name="IQ_INDICATED_ORE_RESOURCES_TITAN" hidden="1">"c9542"</definedName>
    <definedName name="IQ_INDICATED_ORE_RESOURCES_URAN" hidden="1">"c9595"</definedName>
    <definedName name="IQ_INDICATED_ORE_RESOURCES_ZINC" hidden="1">"c9330"</definedName>
    <definedName name="IQ_INDICATED_RECOV_ATTRIB_RESOURCES_ALUM" hidden="1">"c9243"</definedName>
    <definedName name="IQ_INDICATED_RECOV_ATTRIB_RESOURCES_COAL" hidden="1">"c9817"</definedName>
    <definedName name="IQ_INDICATED_RECOV_ATTRIB_RESOURCES_COP" hidden="1">"c9187"</definedName>
    <definedName name="IQ_INDICATED_RECOV_ATTRIB_RESOURCES_DIAM" hidden="1">"c9667"</definedName>
    <definedName name="IQ_INDICATED_RECOV_ATTRIB_RESOURCES_GOLD" hidden="1">"c9028"</definedName>
    <definedName name="IQ_INDICATED_RECOV_ATTRIB_RESOURCES_IRON" hidden="1">"c9402"</definedName>
    <definedName name="IQ_INDICATED_RECOV_ATTRIB_RESOURCES_LEAD" hidden="1">"c9455"</definedName>
    <definedName name="IQ_INDICATED_RECOV_ATTRIB_RESOURCES_MANG" hidden="1">"c9508"</definedName>
    <definedName name="IQ_INDICATED_RECOV_ATTRIB_RESOURCES_MET_COAL" hidden="1">"c9757"</definedName>
    <definedName name="IQ_INDICATED_RECOV_ATTRIB_RESOURCES_MOLYB" hidden="1">"c9720"</definedName>
    <definedName name="IQ_INDICATED_RECOV_ATTRIB_RESOURCES_NICK" hidden="1">"c9296"</definedName>
    <definedName name="IQ_INDICATED_RECOV_ATTRIB_RESOURCES_PLAT" hidden="1">"c9134"</definedName>
    <definedName name="IQ_INDICATED_RECOV_ATTRIB_RESOURCES_SILVER" hidden="1">"c9081"</definedName>
    <definedName name="IQ_INDICATED_RECOV_ATTRIB_RESOURCES_STEAM" hidden="1">"c9787"</definedName>
    <definedName name="IQ_INDICATED_RECOV_ATTRIB_RESOURCES_TITAN" hidden="1">"c9561"</definedName>
    <definedName name="IQ_INDICATED_RECOV_ATTRIB_RESOURCES_URAN" hidden="1">"c9614"</definedName>
    <definedName name="IQ_INDICATED_RECOV_ATTRIB_RESOURCES_ZINC" hidden="1">"c9349"</definedName>
    <definedName name="IQ_INDICATED_RECOV_RESOURCES_ALUM" hidden="1">"c9233"</definedName>
    <definedName name="IQ_INDICATED_RECOV_RESOURCES_COAL" hidden="1">"c9812"</definedName>
    <definedName name="IQ_INDICATED_RECOV_RESOURCES_COP" hidden="1">"c9177"</definedName>
    <definedName name="IQ_INDICATED_RECOV_RESOURCES_DIAM" hidden="1">"c9657"</definedName>
    <definedName name="IQ_INDICATED_RECOV_RESOURCES_GOLD" hidden="1">"c9018"</definedName>
    <definedName name="IQ_INDICATED_RECOV_RESOURCES_IRON" hidden="1">"c9392"</definedName>
    <definedName name="IQ_INDICATED_RECOV_RESOURCES_LEAD" hidden="1">"c9445"</definedName>
    <definedName name="IQ_INDICATED_RECOV_RESOURCES_MANG" hidden="1">"c9498"</definedName>
    <definedName name="IQ_INDICATED_RECOV_RESOURCES_MET_COAL" hidden="1">"c9752"</definedName>
    <definedName name="IQ_INDICATED_RECOV_RESOURCES_MOLYB" hidden="1">"c9710"</definedName>
    <definedName name="IQ_INDICATED_RECOV_RESOURCES_NICK" hidden="1">"c9286"</definedName>
    <definedName name="IQ_INDICATED_RECOV_RESOURCES_PLAT" hidden="1">"c9124"</definedName>
    <definedName name="IQ_INDICATED_RECOV_RESOURCES_SILVER" hidden="1">"c9071"</definedName>
    <definedName name="IQ_INDICATED_RECOV_RESOURCES_STEAM" hidden="1">"c9782"</definedName>
    <definedName name="IQ_INDICATED_RECOV_RESOURCES_TITAN" hidden="1">"c9551"</definedName>
    <definedName name="IQ_INDICATED_RECOV_RESOURCES_URAN" hidden="1">"c9604"</definedName>
    <definedName name="IQ_INDICATED_RECOV_RESOURCES_ZINC" hidden="1">"c9339"</definedName>
    <definedName name="IQ_INDICATED_RESOURCES_CALORIFIC_VALUE_COAL" hidden="1">"c9807"</definedName>
    <definedName name="IQ_INDICATED_RESOURCES_CALORIFIC_VALUE_MET_COAL" hidden="1">"c9747"</definedName>
    <definedName name="IQ_INDICATED_RESOURCES_CALORIFIC_VALUE_STEAM" hidden="1">"c9777"</definedName>
    <definedName name="IQ_INDICATED_RESOURCES_GRADE_ALUM" hidden="1">"c9225"</definedName>
    <definedName name="IQ_INDICATED_RESOURCES_GRADE_COP" hidden="1">"c9169"</definedName>
    <definedName name="IQ_INDICATED_RESOURCES_GRADE_DIAM" hidden="1">"c9649"</definedName>
    <definedName name="IQ_INDICATED_RESOURCES_GRADE_GOLD" hidden="1">"c9010"</definedName>
    <definedName name="IQ_INDICATED_RESOURCES_GRADE_IRON" hidden="1">"c9384"</definedName>
    <definedName name="IQ_INDICATED_RESOURCES_GRADE_LEAD" hidden="1">"c9437"</definedName>
    <definedName name="IQ_INDICATED_RESOURCES_GRADE_MANG" hidden="1">"c9490"</definedName>
    <definedName name="IQ_INDICATED_RESOURCES_GRADE_MOLYB" hidden="1">"c9702"</definedName>
    <definedName name="IQ_INDICATED_RESOURCES_GRADE_NICK" hidden="1">"c9278"</definedName>
    <definedName name="IQ_INDICATED_RESOURCES_GRADE_PLAT" hidden="1">"c9116"</definedName>
    <definedName name="IQ_INDICATED_RESOURCES_GRADE_SILVER" hidden="1">"c9063"</definedName>
    <definedName name="IQ_INDICATED_RESOURCES_GRADE_TITAN" hidden="1">"c9543"</definedName>
    <definedName name="IQ_INDICATED_RESOURCES_GRADE_URAN" hidden="1">"c9596"</definedName>
    <definedName name="IQ_INDICATED_RESOURCES_GRADE_ZINC" hidden="1">"c9331"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IAL_PROD" hidden="1">"c6895"</definedName>
    <definedName name="IQ_INDUSTRIAL_PROD_APR" hidden="1">"c7555"</definedName>
    <definedName name="IQ_INDUSTRIAL_PROD_APR_FC" hidden="1">"c8435"</definedName>
    <definedName name="IQ_INDUSTRIAL_PROD_FC" hidden="1">"c7775"</definedName>
    <definedName name="IQ_INDUSTRIAL_PROD_POP" hidden="1">"c7115"</definedName>
    <definedName name="IQ_INDUSTRIAL_PROD_POP_FC" hidden="1">"c7995"</definedName>
    <definedName name="IQ_INDUSTRIAL_PROD_YOY" hidden="1">"c7335"</definedName>
    <definedName name="IQ_INDUSTRIAL_PROD_YOY_FC" hidden="1">"c8215"</definedName>
    <definedName name="IQ_INDUSTRY" hidden="1">"c3601"</definedName>
    <definedName name="IQ_INDUSTRY_GROUP" hidden="1">"c3602"</definedName>
    <definedName name="IQ_INDUSTRY_SECTOR" hidden="1">"c3603"</definedName>
    <definedName name="IQ_INFERRED_ATTRIB_ORE_RESOURCES_ALUM" hidden="1">"c9240"</definedName>
    <definedName name="IQ_INFERRED_ATTRIB_ORE_RESOURCES_COP" hidden="1">"c9184"</definedName>
    <definedName name="IQ_INFERRED_ATTRIB_ORE_RESOURCES_DIAM" hidden="1">"c9664"</definedName>
    <definedName name="IQ_INFERRED_ATTRIB_ORE_RESOURCES_GOLD" hidden="1">"c9025"</definedName>
    <definedName name="IQ_INFERRED_ATTRIB_ORE_RESOURCES_IRON" hidden="1">"c9399"</definedName>
    <definedName name="IQ_INFERRED_ATTRIB_ORE_RESOURCES_LEAD" hidden="1">"c9452"</definedName>
    <definedName name="IQ_INFERRED_ATTRIB_ORE_RESOURCES_MANG" hidden="1">"c9505"</definedName>
    <definedName name="IQ_INFERRED_ATTRIB_ORE_RESOURCES_MOLYB" hidden="1">"c9717"</definedName>
    <definedName name="IQ_INFERRED_ATTRIB_ORE_RESOURCES_NICK" hidden="1">"c9293"</definedName>
    <definedName name="IQ_INFERRED_ATTRIB_ORE_RESOURCES_PLAT" hidden="1">"c9131"</definedName>
    <definedName name="IQ_INFERRED_ATTRIB_ORE_RESOURCES_SILVER" hidden="1">"c9078"</definedName>
    <definedName name="IQ_INFERRED_ATTRIB_ORE_RESOURCES_TITAN" hidden="1">"c9558"</definedName>
    <definedName name="IQ_INFERRED_ATTRIB_ORE_RESOURCES_URAN" hidden="1">"c9611"</definedName>
    <definedName name="IQ_INFERRED_ATTRIB_ORE_RESOURCES_ZINC" hidden="1">"c9346"</definedName>
    <definedName name="IQ_INFERRED_ORE_RESOURCES_ALUM" hidden="1">"c9228"</definedName>
    <definedName name="IQ_INFERRED_ORE_RESOURCES_COP" hidden="1">"c9172"</definedName>
    <definedName name="IQ_INFERRED_ORE_RESOURCES_DIAM" hidden="1">"c9652"</definedName>
    <definedName name="IQ_INFERRED_ORE_RESOURCES_GOLD" hidden="1">"c9013"</definedName>
    <definedName name="IQ_INFERRED_ORE_RESOURCES_IRON" hidden="1">"c9387"</definedName>
    <definedName name="IQ_INFERRED_ORE_RESOURCES_LEAD" hidden="1">"c9440"</definedName>
    <definedName name="IQ_INFERRED_ORE_RESOURCES_MANG" hidden="1">"c9493"</definedName>
    <definedName name="IQ_INFERRED_ORE_RESOURCES_MOLYB" hidden="1">"c9705"</definedName>
    <definedName name="IQ_INFERRED_ORE_RESOURCES_NICK" hidden="1">"c9281"</definedName>
    <definedName name="IQ_INFERRED_ORE_RESOURCES_PLAT" hidden="1">"c9119"</definedName>
    <definedName name="IQ_INFERRED_ORE_RESOURCES_SILVER" hidden="1">"c9066"</definedName>
    <definedName name="IQ_INFERRED_ORE_RESOURCES_TITAN" hidden="1">"c9546"</definedName>
    <definedName name="IQ_INFERRED_ORE_RESOURCES_URAN" hidden="1">"c9599"</definedName>
    <definedName name="IQ_INFERRED_ORE_RESOURCES_ZINC" hidden="1">"c9334"</definedName>
    <definedName name="IQ_INFERRED_RECOV_ATTRIB_RESOURCES_ALUM" hidden="1">"c9245"</definedName>
    <definedName name="IQ_INFERRED_RECOV_ATTRIB_RESOURCES_COAL" hidden="1">"c9819"</definedName>
    <definedName name="IQ_INFERRED_RECOV_ATTRIB_RESOURCES_COP" hidden="1">"c9189"</definedName>
    <definedName name="IQ_INFERRED_RECOV_ATTRIB_RESOURCES_DIAM" hidden="1">"c9669"</definedName>
    <definedName name="IQ_INFERRED_RECOV_ATTRIB_RESOURCES_GOLD" hidden="1">"c9030"</definedName>
    <definedName name="IQ_INFERRED_RECOV_ATTRIB_RESOURCES_IRON" hidden="1">"c9404"</definedName>
    <definedName name="IQ_INFERRED_RECOV_ATTRIB_RESOURCES_LEAD" hidden="1">"c9457"</definedName>
    <definedName name="IQ_INFERRED_RECOV_ATTRIB_RESOURCES_MANG" hidden="1">"c9510"</definedName>
    <definedName name="IQ_INFERRED_RECOV_ATTRIB_RESOURCES_MET_COAL" hidden="1">"c9759"</definedName>
    <definedName name="IQ_INFERRED_RECOV_ATTRIB_RESOURCES_MOLYB" hidden="1">"c9722"</definedName>
    <definedName name="IQ_INFERRED_RECOV_ATTRIB_RESOURCES_NICK" hidden="1">"c9298"</definedName>
    <definedName name="IQ_INFERRED_RECOV_ATTRIB_RESOURCES_PLAT" hidden="1">"c9136"</definedName>
    <definedName name="IQ_INFERRED_RECOV_ATTRIB_RESOURCES_SILVER" hidden="1">"c9083"</definedName>
    <definedName name="IQ_INFERRED_RECOV_ATTRIB_RESOURCES_STEAM" hidden="1">"c9789"</definedName>
    <definedName name="IQ_INFERRED_RECOV_ATTRIB_RESOURCES_TITAN" hidden="1">"c9563"</definedName>
    <definedName name="IQ_INFERRED_RECOV_ATTRIB_RESOURCES_URAN" hidden="1">"c9616"</definedName>
    <definedName name="IQ_INFERRED_RECOV_ATTRIB_RESOURCES_ZINC" hidden="1">"c9351"</definedName>
    <definedName name="IQ_INFERRED_RECOV_RESOURCES_ALUM" hidden="1">"c9235"</definedName>
    <definedName name="IQ_INFERRED_RECOV_RESOURCES_COAL" hidden="1">"c9814"</definedName>
    <definedName name="IQ_INFERRED_RECOV_RESOURCES_COP" hidden="1">"c9179"</definedName>
    <definedName name="IQ_INFERRED_RECOV_RESOURCES_DIAM" hidden="1">"c9659"</definedName>
    <definedName name="IQ_INFERRED_RECOV_RESOURCES_GOLD" hidden="1">"c9020"</definedName>
    <definedName name="IQ_INFERRED_RECOV_RESOURCES_IRON" hidden="1">"c9394"</definedName>
    <definedName name="IQ_INFERRED_RECOV_RESOURCES_LEAD" hidden="1">"c9447"</definedName>
    <definedName name="IQ_INFERRED_RECOV_RESOURCES_MANG" hidden="1">"c9500"</definedName>
    <definedName name="IQ_INFERRED_RECOV_RESOURCES_MET_COAL" hidden="1">"c9754"</definedName>
    <definedName name="IQ_INFERRED_RECOV_RESOURCES_MOLYB" hidden="1">"c9712"</definedName>
    <definedName name="IQ_INFERRED_RECOV_RESOURCES_NICK" hidden="1">"c9288"</definedName>
    <definedName name="IQ_INFERRED_RECOV_RESOURCES_PLAT" hidden="1">"c9126"</definedName>
    <definedName name="IQ_INFERRED_RECOV_RESOURCES_SILVER" hidden="1">"c9073"</definedName>
    <definedName name="IQ_INFERRED_RECOV_RESOURCES_STEAM" hidden="1">"c9784"</definedName>
    <definedName name="IQ_INFERRED_RECOV_RESOURCES_TITAN" hidden="1">"c9553"</definedName>
    <definedName name="IQ_INFERRED_RECOV_RESOURCES_URAN" hidden="1">"c9606"</definedName>
    <definedName name="IQ_INFERRED_RECOV_RESOURCES_ZINC" hidden="1">"c9341"</definedName>
    <definedName name="IQ_INFERRED_RESOURCES_CALORIFIC_VALUE_COAL" hidden="1">"c9809"</definedName>
    <definedName name="IQ_INFERRED_RESOURCES_CALORIFIC_VALUE_MET_COAL" hidden="1">"c9749"</definedName>
    <definedName name="IQ_INFERRED_RESOURCES_CALORIFIC_VALUE_STEAM" hidden="1">"c9779"</definedName>
    <definedName name="IQ_INFERRED_RESOURCES_GRADE_ALUM" hidden="1">"c9229"</definedName>
    <definedName name="IQ_INFERRED_RESOURCES_GRADE_COP" hidden="1">"c9173"</definedName>
    <definedName name="IQ_INFERRED_RESOURCES_GRADE_DIAM" hidden="1">"c9653"</definedName>
    <definedName name="IQ_INFERRED_RESOURCES_GRADE_GOLD" hidden="1">"c9014"</definedName>
    <definedName name="IQ_INFERRED_RESOURCES_GRADE_IRON" hidden="1">"c9388"</definedName>
    <definedName name="IQ_INFERRED_RESOURCES_GRADE_LEAD" hidden="1">"c9441"</definedName>
    <definedName name="IQ_INFERRED_RESOURCES_GRADE_MANG" hidden="1">"c9494"</definedName>
    <definedName name="IQ_INFERRED_RESOURCES_GRADE_MOLYB" hidden="1">"c9706"</definedName>
    <definedName name="IQ_INFERRED_RESOURCES_GRADE_NICK" hidden="1">"c9282"</definedName>
    <definedName name="IQ_INFERRED_RESOURCES_GRADE_PLAT" hidden="1">"c9120"</definedName>
    <definedName name="IQ_INFERRED_RESOURCES_GRADE_SILVER" hidden="1">"c9067"</definedName>
    <definedName name="IQ_INFERRED_RESOURCES_GRADE_TITAN" hidden="1">"c9547"</definedName>
    <definedName name="IQ_INFERRED_RESOURCES_GRADE_URAN" hidden="1">"c9600"</definedName>
    <definedName name="IQ_INFERRED_RESOURCES_GRADE_ZINC" hidden="1">"c9335"</definedName>
    <definedName name="IQ_INFLATION_RATE" hidden="1">"c6899"</definedName>
    <definedName name="IQ_INFLATION_RATE_CORE" hidden="1">"c11783"</definedName>
    <definedName name="IQ_INFLATION_RATE_CORE_POP" hidden="1">"c11784"</definedName>
    <definedName name="IQ_INFLATION_RATE_CORE_YOY" hidden="1">"c11785"</definedName>
    <definedName name="IQ_INFLATION_RATE_FC" hidden="1">"c7779"</definedName>
    <definedName name="IQ_INFLATION_RATE_POP" hidden="1">"c7119"</definedName>
    <definedName name="IQ_INFLATION_RATE_POP_FC" hidden="1">"c7999"</definedName>
    <definedName name="IQ_INFLATION_RATE_YOY" hidden="1">"c7339"</definedName>
    <definedName name="IQ_INFLATION_RATE_YOY_FC" hidden="1">"c8219"</definedName>
    <definedName name="IQ_INITIAL_CLAIMS" hidden="1">"c6900"</definedName>
    <definedName name="IQ_INITIAL_CLAIMS_APR" hidden="1">"c7560"</definedName>
    <definedName name="IQ_INITIAL_CLAIMS_APR_FC" hidden="1">"c8440"</definedName>
    <definedName name="IQ_INITIAL_CLAIMS_FC" hidden="1">"c7780"</definedName>
    <definedName name="IQ_INITIAL_CLAIMS_POP" hidden="1">"c7120"</definedName>
    <definedName name="IQ_INITIAL_CLAIMS_POP_FC" hidden="1">"c8000"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LOANS_FDIC" hidden="1">"c6365"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_DEPOSITS" hidden="1">"c89"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EARING_DEPOSITS" hidden="1">"c1166"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TOTAL_BNK_SUBTOTAL_AP" hidden="1">"c8977"</definedName>
    <definedName name="IQ_INT_EXP_TOTAL_FDIC" hidden="1">"c6569"</definedName>
    <definedName name="IQ_INT_EXP_UTI" hidden="1">"c592"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" hidden="1">"c6225"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BNK_SUBTOTAL_AP" hidden="1">"c8976"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RATE_CONTRACTS_FDIC" hidden="1">"c6512"</definedName>
    <definedName name="IQ_INTEREST_RATE_EXPOSURES_FDIC" hidden="1">"c6662"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IES" hidden="1">"c6901"</definedName>
    <definedName name="IQ_INVENTORIES_APR" hidden="1">"c7561"</definedName>
    <definedName name="IQ_INVENTORIES_APR_FC" hidden="1">"c8441"</definedName>
    <definedName name="IQ_INVENTORIES_FC" hidden="1">"c7781"</definedName>
    <definedName name="IQ_INVENTORIES_POP" hidden="1">"c7121"</definedName>
    <definedName name="IQ_INVENTORIES_POP_FC" hidden="1">"c8001"</definedName>
    <definedName name="IQ_INVENTORIES_YOY" hidden="1">"c7341"</definedName>
    <definedName name="IQ_INVENTORIES_YOY_FC" hidden="1">"c8221"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PRD" hidden="1">"c644"</definedName>
    <definedName name="IQ_IRA_KEOGH_ACCOUNTS_FDIC" hidden="1">"c6496"</definedName>
    <definedName name="IQ_ISM_INDEX" hidden="1">"c6902"</definedName>
    <definedName name="IQ_ISM_INDEX_APR" hidden="1">"c7562"</definedName>
    <definedName name="IQ_ISM_INDEX_APR_FC" hidden="1">"c8442"</definedName>
    <definedName name="IQ_ISM_INDEX_FC" hidden="1">"c7782"</definedName>
    <definedName name="IQ_ISM_INDEX_POP" hidden="1">"c7122"</definedName>
    <definedName name="IQ_ISM_INDEX_POP_FC" hidden="1">"c8002"</definedName>
    <definedName name="IQ_ISM_INDEX_YOY" hidden="1">"c7342"</definedName>
    <definedName name="IQ_ISM_INDEX_YOY_FC" hidden="1">"c8222"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INDEX" hidden="1">"c11862"</definedName>
    <definedName name="IQ_ISM_SERVICES_INDEX_APR" hidden="1">"c11865"</definedName>
    <definedName name="IQ_ISM_SERVICES_INDEX_POP" hidden="1">"c11863"</definedName>
    <definedName name="IQ_ISM_SERVICES_INDEX_YOY" hidden="1">"c11864"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D_GUARANTEED_US_FDIC" hidden="1">"c6404"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RGE_CAP_LABOR_COST_INDEX" hidden="1">"c6904"</definedName>
    <definedName name="IQ_LARGE_CAP_LABOR_COST_INDEX_APR" hidden="1">"c7564"</definedName>
    <definedName name="IQ_LARGE_CAP_LABOR_COST_INDEX_APR_FC" hidden="1">"c8444"</definedName>
    <definedName name="IQ_LARGE_CAP_LABOR_COST_INDEX_FC" hidden="1">"c7784"</definedName>
    <definedName name="IQ_LARGE_CAP_LABOR_COST_INDEX_POP" hidden="1">"c7124"</definedName>
    <definedName name="IQ_LARGE_CAP_LABOR_COST_INDEX_POP_FC" hidden="1">"c8004"</definedName>
    <definedName name="IQ_LARGE_CAP_LABOR_COST_INDEX_YOY" hidden="1">"c7344"</definedName>
    <definedName name="IQ_LARGE_CAP_LABOR_COST_INDEX_YOY_FC" hidden="1">"c8224"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AB_AP" hidden="1">"c8886"</definedName>
    <definedName name="IQ_LIAB_AP_ABS" hidden="1">"c8905"</definedName>
    <definedName name="IQ_LIAB_NAME_AP" hidden="1">"c8924"</definedName>
    <definedName name="IQ_LIAB_NAME_AP_ABS" hidden="1">"c8943"</definedName>
    <definedName name="IQ_LICENSED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CIQ" hidden="1">"c4660"</definedName>
    <definedName name="IQ_LOW_TARGET_PRICE_REUT" hidden="1">"c5318"</definedName>
    <definedName name="IQ_LOWPRICE" hidden="1">"c673"</definedName>
    <definedName name="IQ_LT_ASSETS_AP" hidden="1">"c8882"</definedName>
    <definedName name="IQ_LT_ASSETS_AP_ABS" hidden="1">"c8901"</definedName>
    <definedName name="IQ_LT_ASSETS_NAME_AP" hidden="1">"c8920"</definedName>
    <definedName name="IQ_LT_ASSETS_NAME_AP_ABS" hidden="1">"c8939"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LIAB_AP" hidden="1">"c8885"</definedName>
    <definedName name="IQ_LT_LIAB_AP_ABS" hidden="1">"c8904"</definedName>
    <definedName name="IQ_LT_LIAB_NAME_AP" hidden="1">"c8923"</definedName>
    <definedName name="IQ_LT_LIAB_NAME_AP_ABS" hidden="1">"c8942"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_REVENUE_OVER_EMPLOYEES" hidden="1">"c1437"</definedName>
    <definedName name="IQ_LTMMONTH" hidden="1">120000</definedName>
    <definedName name="IQ_M1" hidden="1">"c6906"</definedName>
    <definedName name="IQ_M1_APR" hidden="1">"c7566"</definedName>
    <definedName name="IQ_M1_APR_FC" hidden="1">"c8446"</definedName>
    <definedName name="IQ_M1_FC" hidden="1">"c7786"</definedName>
    <definedName name="IQ_M1_POP" hidden="1">"c7126"</definedName>
    <definedName name="IQ_M1_POP_FC" hidden="1">"c8006"</definedName>
    <definedName name="IQ_M1_YOY" hidden="1">"c7346"</definedName>
    <definedName name="IQ_M1_YOY_FC" hidden="1">"c8226"</definedName>
    <definedName name="IQ_M2" hidden="1">"c6907"</definedName>
    <definedName name="IQ_M2_APR" hidden="1">"c7567"</definedName>
    <definedName name="IQ_M2_APR_FC" hidden="1">"c8447"</definedName>
    <definedName name="IQ_M2_FC" hidden="1">"c7787"</definedName>
    <definedName name="IQ_M2_POP" hidden="1">"c7127"</definedName>
    <definedName name="IQ_M2_POP_FC" hidden="1">"c8007"</definedName>
    <definedName name="IQ_M2_YOY" hidden="1">"c7347"</definedName>
    <definedName name="IQ_M2_YOY_FC" hidden="1">"c8227"</definedName>
    <definedName name="IQ_M3" hidden="1">"c6908"</definedName>
    <definedName name="IQ_M3_APR" hidden="1">"c7568"</definedName>
    <definedName name="IQ_M3_APR_FC" hidden="1">"c8448"</definedName>
    <definedName name="IQ_M3_FC" hidden="1">"c7788"</definedName>
    <definedName name="IQ_M3_POP" hidden="1">"c7128"</definedName>
    <definedName name="IQ_M3_POP_FC" hidden="1">"c8008"</definedName>
    <definedName name="IQ_M3_YOY" hidden="1">"c7348"</definedName>
    <definedName name="IQ_M3_YOY_FC" hidden="1">"c8228"</definedName>
    <definedName name="IQ_MACHINERY" hidden="1">"c711"</definedName>
    <definedName name="IQ_MAINT_CAPEX" hidden="1">"c2947"</definedName>
    <definedName name="IQ_MAINT_CAPEX_ACT_OR_EST_CIQ" hidden="1">"c4987"</definedName>
    <definedName name="IQ_MAINT_REPAIR" hidden="1">"c2087"</definedName>
    <definedName name="IQ_MAN_INVENTORIES" hidden="1">"c6913"</definedName>
    <definedName name="IQ_MAN_INVENTORIES_APR" hidden="1">"c7573"</definedName>
    <definedName name="IQ_MAN_INVENTORIES_APR_FC" hidden="1">"c8453"</definedName>
    <definedName name="IQ_MAN_INVENTORIES_FC" hidden="1">"c7793"</definedName>
    <definedName name="IQ_MAN_INVENTORIES_POP" hidden="1">"c7133"</definedName>
    <definedName name="IQ_MAN_INVENTORIES_POP_FC" hidden="1">"c8013"</definedName>
    <definedName name="IQ_MAN_INVENTORIES_YOY" hidden="1">"c7353"</definedName>
    <definedName name="IQ_MAN_INVENTORIES_YOY_FC" hidden="1">"c8233"</definedName>
    <definedName name="IQ_MAN_IS_RATIO" hidden="1">"c6912"</definedName>
    <definedName name="IQ_MAN_IS_RATIO_APR" hidden="1">"c7572"</definedName>
    <definedName name="IQ_MAN_IS_RATIO_APR_FC" hidden="1">"c8452"</definedName>
    <definedName name="IQ_MAN_IS_RATIO_FC" hidden="1">"c7792"</definedName>
    <definedName name="IQ_MAN_IS_RATIO_POP" hidden="1">"c7132"</definedName>
    <definedName name="IQ_MAN_IS_RATIO_POP_FC" hidden="1">"c8012"</definedName>
    <definedName name="IQ_MAN_IS_RATIO_YOY" hidden="1">"c7352"</definedName>
    <definedName name="IQ_MAN_IS_RATIO_YOY_FC" hidden="1">"c8232"</definedName>
    <definedName name="IQ_MAN_ORDERS" hidden="1">"c6914"</definedName>
    <definedName name="IQ_MAN_ORDERS_APR" hidden="1">"c7574"</definedName>
    <definedName name="IQ_MAN_ORDERS_APR_FC" hidden="1">"c8454"</definedName>
    <definedName name="IQ_MAN_ORDERS_FC" hidden="1">"c7794"</definedName>
    <definedName name="IQ_MAN_ORDERS_POP" hidden="1">"c7134"</definedName>
    <definedName name="IQ_MAN_ORDERS_POP_FC" hidden="1">"c8014"</definedName>
    <definedName name="IQ_MAN_ORDERS_YOY" hidden="1">"c7354"</definedName>
    <definedName name="IQ_MAN_ORDERS_YOY_FC" hidden="1">"c8234"</definedName>
    <definedName name="IQ_MAN_OUTPUT_HR" hidden="1">"c6915"</definedName>
    <definedName name="IQ_MAN_OUTPUT_HR_APR" hidden="1">"c7575"</definedName>
    <definedName name="IQ_MAN_OUTPUT_HR_APR_FC" hidden="1">"c8455"</definedName>
    <definedName name="IQ_MAN_OUTPUT_HR_FC" hidden="1">"c7795"</definedName>
    <definedName name="IQ_MAN_OUTPUT_HR_POP" hidden="1">"c7135"</definedName>
    <definedName name="IQ_MAN_OUTPUT_HR_POP_FC" hidden="1">"c8015"</definedName>
    <definedName name="IQ_MAN_OUTPUT_HR_YOY" hidden="1">"c7355"</definedName>
    <definedName name="IQ_MAN_OUTPUT_HR_YOY_FC" hidden="1">"c8235"</definedName>
    <definedName name="IQ_MAN_PAYROLLS" hidden="1">"c6916"</definedName>
    <definedName name="IQ_MAN_PAYROLLS_APR" hidden="1">"c7576"</definedName>
    <definedName name="IQ_MAN_PAYROLLS_APR_FC" hidden="1">"c8456"</definedName>
    <definedName name="IQ_MAN_PAYROLLS_FC" hidden="1">"c7796"</definedName>
    <definedName name="IQ_MAN_PAYROLLS_POP" hidden="1">"c7136"</definedName>
    <definedName name="IQ_MAN_PAYROLLS_POP_FC" hidden="1">"c8016"</definedName>
    <definedName name="IQ_MAN_PAYROLLS_YOY" hidden="1">"c7356"</definedName>
    <definedName name="IQ_MAN_PAYROLLS_YOY_FC" hidden="1">"c8236"</definedName>
    <definedName name="IQ_MAN_SHIPMENTS" hidden="1">"c6917"</definedName>
    <definedName name="IQ_MAN_SHIPMENTS_APR" hidden="1">"c7577"</definedName>
    <definedName name="IQ_MAN_SHIPMENTS_APR_FC" hidden="1">"c8457"</definedName>
    <definedName name="IQ_MAN_SHIPMENTS_FC" hidden="1">"c7797"</definedName>
    <definedName name="IQ_MAN_SHIPMENTS_POP" hidden="1">"c7137"</definedName>
    <definedName name="IQ_MAN_SHIPMENTS_POP_FC" hidden="1">"c8017"</definedName>
    <definedName name="IQ_MAN_SHIPMENTS_YOY" hidden="1">"c7357"</definedName>
    <definedName name="IQ_MAN_SHIPMENTS_YOY_FC" hidden="1">"c8237"</definedName>
    <definedName name="IQ_MAN_TOTAL_HR" hidden="1">"c6918"</definedName>
    <definedName name="IQ_MAN_TOTAL_HR_APR" hidden="1">"c7578"</definedName>
    <definedName name="IQ_MAN_TOTAL_HR_APR_FC" hidden="1">"c8458"</definedName>
    <definedName name="IQ_MAN_TOTAL_HR_FC" hidden="1">"c7798"</definedName>
    <definedName name="IQ_MAN_TOTAL_HR_POP" hidden="1">"c7138"</definedName>
    <definedName name="IQ_MAN_TOTAL_HR_POP_FC" hidden="1">"c8018"</definedName>
    <definedName name="IQ_MAN_TOTAL_HR_YOY" hidden="1">"c7358"</definedName>
    <definedName name="IQ_MAN_TOTAL_HR_YOY_FC" hidden="1">"c8238"</definedName>
    <definedName name="IQ_MAN_TRADE_INVENTORIES" hidden="1">"c6910"</definedName>
    <definedName name="IQ_MAN_TRADE_INVENTORIES_APR" hidden="1">"c7570"</definedName>
    <definedName name="IQ_MAN_TRADE_INVENTORIES_APR_FC" hidden="1">"c8450"</definedName>
    <definedName name="IQ_MAN_TRADE_INVENTORIES_FC" hidden="1">"c7790"</definedName>
    <definedName name="IQ_MAN_TRADE_INVENTORIES_POP" hidden="1">"c7130"</definedName>
    <definedName name="IQ_MAN_TRADE_INVENTORIES_POP_FC" hidden="1">"c8010"</definedName>
    <definedName name="IQ_MAN_TRADE_INVENTORIES_YOY" hidden="1">"c7350"</definedName>
    <definedName name="IQ_MAN_TRADE_INVENTORIES_YOY_FC" hidden="1">"c8230"</definedName>
    <definedName name="IQ_MAN_TRADE_IS_RATIO" hidden="1">"c6909"</definedName>
    <definedName name="IQ_MAN_TRADE_IS_RATIO_FC" hidden="1">"c7789"</definedName>
    <definedName name="IQ_MAN_TRADE_IS_RATIO_POP" hidden="1">"c7129"</definedName>
    <definedName name="IQ_MAN_TRADE_IS_RATIO_POP_FC" hidden="1">"c8009"</definedName>
    <definedName name="IQ_MAN_TRADE_IS_RATIO_YOY" hidden="1">"c7349"</definedName>
    <definedName name="IQ_MAN_TRADE_IS_RATIO_YOY_FC" hidden="1">"c8229"</definedName>
    <definedName name="IQ_MAN_TRADE_SALES" hidden="1">"c6911"</definedName>
    <definedName name="IQ_MAN_TRADE_SALES_APR" hidden="1">"c7571"</definedName>
    <definedName name="IQ_MAN_TRADE_SALES_APR_FC" hidden="1">"c8451"</definedName>
    <definedName name="IQ_MAN_TRADE_SALES_FC" hidden="1">"c7791"</definedName>
    <definedName name="IQ_MAN_TRADE_SALES_POP" hidden="1">"c7131"</definedName>
    <definedName name="IQ_MAN_TRADE_SALES_POP_FC" hidden="1">"c8011"</definedName>
    <definedName name="IQ_MAN_TRADE_SALES_YOY" hidden="1">"c7351"</definedName>
    <definedName name="IQ_MAN_TRADE_SALES_YOY_FC" hidden="1">"c8231"</definedName>
    <definedName name="IQ_MAN_WAGES" hidden="1">"c6919"</definedName>
    <definedName name="IQ_MAN_WAGES_APR" hidden="1">"c7579"</definedName>
    <definedName name="IQ_MAN_WAGES_APR_FC" hidden="1">"c8459"</definedName>
    <definedName name="IQ_MAN_WAGES_FC" hidden="1">"c7799"</definedName>
    <definedName name="IQ_MAN_WAGES_POP" hidden="1">"c7139"</definedName>
    <definedName name="IQ_MAN_WAGES_POP_FC" hidden="1">"c8019"</definedName>
    <definedName name="IQ_MAN_WAGES_YOY" hidden="1">"c7359"</definedName>
    <definedName name="IQ_MAN_WAGES_YOY_FC" hidden="1">"c8239"</definedName>
    <definedName name="IQ_MANAGED_PROP" hidden="1">"c8763"</definedName>
    <definedName name="IQ_MANAGED_SQ_FT" hidden="1">"c8779"</definedName>
    <definedName name="IQ_MANAGED_UNITS" hidden="1">"c8771"</definedName>
    <definedName name="IQ_MARGIN_ANNUAL_PREMIUM_EQUIVALENT_NEW_BUSINESS" hidden="1">"c9970"</definedName>
    <definedName name="IQ_MARGIN_PV_PREMIUMS_NEW_BUSINESS" hidden="1">"c9971"</definedName>
    <definedName name="IQ_MARKET_CAP_LFCF" hidden="1">"c2209"</definedName>
    <definedName name="IQ_MARKETCAP" hidden="1">"c712"</definedName>
    <definedName name="IQ_MARKETING" hidden="1">"c2239"</definedName>
    <definedName name="IQ_MATURITY_ONE_YEAR_LESS_FDIC" hidden="1">"c6425"</definedName>
    <definedName name="IQ_MC_ASO_COVERED_LIVES" hidden="1">"c9918"</definedName>
    <definedName name="IQ_MC_ASO_MEMBERSHIP" hidden="1">"c9921"</definedName>
    <definedName name="IQ_MC_CLAIMS_RESERVES" hidden="1">"c9941"</definedName>
    <definedName name="IQ_MC_COMBINED_RATIO" hidden="1">"c9933"</definedName>
    <definedName name="IQ_MC_DAYS_CLAIMS_PAYABLE" hidden="1">"c9937"</definedName>
    <definedName name="IQ_MC_DAYS_CLAIMS_PAYABLE_EXCL_CAPITATION" hidden="1">"c9938"</definedName>
    <definedName name="IQ_MC_MEDICAL_COSTS_PMPM" hidden="1">"c9925"</definedName>
    <definedName name="IQ_MC_PARENT_CASH" hidden="1">"c9942"</definedName>
    <definedName name="IQ_MC_PREMIUMS_PMPM" hidden="1">"c9924"</definedName>
    <definedName name="IQ_MC_RATIO" hidden="1">"c2783"</definedName>
    <definedName name="IQ_MC_RECEIPT_CYCLE_TIME_DAYS" hidden="1">"c9939"</definedName>
    <definedName name="IQ_MC_RECEIPT_CYCLE_TIME_MONTHS" hidden="1">"c9940"</definedName>
    <definedName name="IQ_MC_RISK_COVERED_LIVES" hidden="1">"c9917"</definedName>
    <definedName name="IQ_MC_RISK_MEMBERSHIP" hidden="1">"c9920"</definedName>
    <definedName name="IQ_MC_SELLILNG_COSTS_RATIO" hidden="1">"c9928"</definedName>
    <definedName name="IQ_MC_SGA_PMPM" hidden="1">"c9926"</definedName>
    <definedName name="IQ_MC_STATUTORY_SURPLUS" hidden="1">"c2772"</definedName>
    <definedName name="IQ_MC_TOTAL_COVERED_LIVES" hidden="1">"c9919"</definedName>
    <definedName name="IQ_MC_TOTAL_MEMBERSHIP" hidden="1">"c9922"</definedName>
    <definedName name="IQ_MC_TOTAL_MEMBERSHIP_CAPITATION" hidden="1">"c9923"</definedName>
    <definedName name="IQ_MC_UNPROCESSED_CLAIMS_INVENTORY_DAYS" hidden="1">"c9936"</definedName>
    <definedName name="IQ_MC_UNPROCESSED_CLAIMS_INVENTORY_NUMBER" hidden="1">"c9934"</definedName>
    <definedName name="IQ_MC_UNPROCESSED_CLAIMS_INVENTORY_VALUE" hidden="1">"c9935"</definedName>
    <definedName name="IQ_MEASURED_ATTRIB_ORE_RESOURCES_ALUM" hidden="1">"c9237"</definedName>
    <definedName name="IQ_MEASURED_ATTRIB_ORE_RESOURCES_COP" hidden="1">"c9181"</definedName>
    <definedName name="IQ_MEASURED_ATTRIB_ORE_RESOURCES_DIAM" hidden="1">"c9661"</definedName>
    <definedName name="IQ_MEASURED_ATTRIB_ORE_RESOURCES_GOLD" hidden="1">"c9022"</definedName>
    <definedName name="IQ_MEASURED_ATTRIB_ORE_RESOURCES_IRON" hidden="1">"c9396"</definedName>
    <definedName name="IQ_MEASURED_ATTRIB_ORE_RESOURCES_LEAD" hidden="1">"c9449"</definedName>
    <definedName name="IQ_MEASURED_ATTRIB_ORE_RESOURCES_MANG" hidden="1">"c9502"</definedName>
    <definedName name="IQ_MEASURED_ATTRIB_ORE_RESOURCES_MOLYB" hidden="1">"c9714"</definedName>
    <definedName name="IQ_MEASURED_ATTRIB_ORE_RESOURCES_NICK" hidden="1">"c9290"</definedName>
    <definedName name="IQ_MEASURED_ATTRIB_ORE_RESOURCES_PLAT" hidden="1">"c9128"</definedName>
    <definedName name="IQ_MEASURED_ATTRIB_ORE_RESOURCES_SILVER" hidden="1">"c9075"</definedName>
    <definedName name="IQ_MEASURED_ATTRIB_ORE_RESOURCES_TITAN" hidden="1">"c9555"</definedName>
    <definedName name="IQ_MEASURED_ATTRIB_ORE_RESOURCES_URAN" hidden="1">"c9608"</definedName>
    <definedName name="IQ_MEASURED_ATTRIB_ORE_RESOURCES_ZINC" hidden="1">"c9343"</definedName>
    <definedName name="IQ_MEASURED_INDICATED_ATTRIB_ORE_RESOURCES_ALUM" hidden="1">"c9239"</definedName>
    <definedName name="IQ_MEASURED_INDICATED_ATTRIB_ORE_RESOURCES_COP" hidden="1">"c9183"</definedName>
    <definedName name="IQ_MEASURED_INDICATED_ATTRIB_ORE_RESOURCES_DIAM" hidden="1">"c9663"</definedName>
    <definedName name="IQ_MEASURED_INDICATED_ATTRIB_ORE_RESOURCES_GOLD" hidden="1">"c9024"</definedName>
    <definedName name="IQ_MEASURED_INDICATED_ATTRIB_ORE_RESOURCES_IRON" hidden="1">"c9398"</definedName>
    <definedName name="IQ_MEASURED_INDICATED_ATTRIB_ORE_RESOURCES_LEAD" hidden="1">"c9451"</definedName>
    <definedName name="IQ_MEASURED_INDICATED_ATTRIB_ORE_RESOURCES_MANG" hidden="1">"c9504"</definedName>
    <definedName name="IQ_MEASURED_INDICATED_ATTRIB_ORE_RESOURCES_MOLYB" hidden="1">"c9716"</definedName>
    <definedName name="IQ_MEASURED_INDICATED_ATTRIB_ORE_RESOURCES_NICK" hidden="1">"c9292"</definedName>
    <definedName name="IQ_MEASURED_INDICATED_ATTRIB_ORE_RESOURCES_PLAT" hidden="1">"c9130"</definedName>
    <definedName name="IQ_MEASURED_INDICATED_ATTRIB_ORE_RESOURCES_SILVER" hidden="1">"c9077"</definedName>
    <definedName name="IQ_MEASURED_INDICATED_ATTRIB_ORE_RESOURCES_TITAN" hidden="1">"c9557"</definedName>
    <definedName name="IQ_MEASURED_INDICATED_ATTRIB_ORE_RESOURCES_URAN" hidden="1">"c9610"</definedName>
    <definedName name="IQ_MEASURED_INDICATED_ATTRIB_ORE_RESOURCES_ZINC" hidden="1">"c9345"</definedName>
    <definedName name="IQ_MEASURED_INDICATED_ORE_RESOURCES_ALUM" hidden="1">"c9226"</definedName>
    <definedName name="IQ_MEASURED_INDICATED_ORE_RESOURCES_COP" hidden="1">"c9170"</definedName>
    <definedName name="IQ_MEASURED_INDICATED_ORE_RESOURCES_DIAM" hidden="1">"c9650"</definedName>
    <definedName name="IQ_MEASURED_INDICATED_ORE_RESOURCES_GOLD" hidden="1">"c9011"</definedName>
    <definedName name="IQ_MEASURED_INDICATED_ORE_RESOURCES_IRON" hidden="1">"c9385"</definedName>
    <definedName name="IQ_MEASURED_INDICATED_ORE_RESOURCES_LEAD" hidden="1">"c9438"</definedName>
    <definedName name="IQ_MEASURED_INDICATED_ORE_RESOURCES_MANG" hidden="1">"c9491"</definedName>
    <definedName name="IQ_MEASURED_INDICATED_ORE_RESOURCES_MOLYB" hidden="1">"c9703"</definedName>
    <definedName name="IQ_MEASURED_INDICATED_ORE_RESOURCES_NICK" hidden="1">"c9279"</definedName>
    <definedName name="IQ_MEASURED_INDICATED_ORE_RESOURCES_PLAT" hidden="1">"c9117"</definedName>
    <definedName name="IQ_MEASURED_INDICATED_ORE_RESOURCES_SILVER" hidden="1">"c9064"</definedName>
    <definedName name="IQ_MEASURED_INDICATED_ORE_RESOURCES_TITAN" hidden="1">"c9544"</definedName>
    <definedName name="IQ_MEASURED_INDICATED_ORE_RESOURCES_URAN" hidden="1">"c9597"</definedName>
    <definedName name="IQ_MEASURED_INDICATED_ORE_RESOURCES_ZINC" hidden="1">"c9332"</definedName>
    <definedName name="IQ_MEASURED_INDICATED_RECOV_RESOURCES_ALUM" hidden="1">"c9234"</definedName>
    <definedName name="IQ_MEASURED_INDICATED_RECOV_RESOURCES_COAL" hidden="1">"c9813"</definedName>
    <definedName name="IQ_MEASURED_INDICATED_RECOV_RESOURCES_COP" hidden="1">"c9178"</definedName>
    <definedName name="IQ_MEASURED_INDICATED_RECOV_RESOURCES_DIAM" hidden="1">"c9658"</definedName>
    <definedName name="IQ_MEASURED_INDICATED_RECOV_RESOURCES_GOLD" hidden="1">"c9019"</definedName>
    <definedName name="IQ_MEASURED_INDICATED_RECOV_RESOURCES_IRON" hidden="1">"c9393"</definedName>
    <definedName name="IQ_MEASURED_INDICATED_RECOV_RESOURCES_LEAD" hidden="1">"c9446"</definedName>
    <definedName name="IQ_MEASURED_INDICATED_RECOV_RESOURCES_MANG" hidden="1">"c9499"</definedName>
    <definedName name="IQ_MEASURED_INDICATED_RECOV_RESOURCES_MET_COAL" hidden="1">"c9753"</definedName>
    <definedName name="IQ_MEASURED_INDICATED_RECOV_RESOURCES_MOLYB" hidden="1">"c9711"</definedName>
    <definedName name="IQ_MEASURED_INDICATED_RECOV_RESOURCES_NICK" hidden="1">"c9287"</definedName>
    <definedName name="IQ_MEASURED_INDICATED_RECOV_RESOURCES_PLAT" hidden="1">"c9125"</definedName>
    <definedName name="IQ_MEASURED_INDICATED_RECOV_RESOURCES_SILVER" hidden="1">"c9072"</definedName>
    <definedName name="IQ_MEASURED_INDICATED_RECOV_RESOURCES_STEAM" hidden="1">"c9783"</definedName>
    <definedName name="IQ_MEASURED_INDICATED_RECOV_RESOURCES_TITAN" hidden="1">"c9552"</definedName>
    <definedName name="IQ_MEASURED_INDICATED_RECOV_RESOURCES_URAN" hidden="1">"c9605"</definedName>
    <definedName name="IQ_MEASURED_INDICATED_RECOV_RESOURCES_ZINC" hidden="1">"c9340"</definedName>
    <definedName name="IQ_MEASURED_INDICATED_RESOURCES_GRADE_ALUM" hidden="1">"c9227"</definedName>
    <definedName name="IQ_MEASURED_INDICATED_RESOURCES_GRADE_COP" hidden="1">"c9171"</definedName>
    <definedName name="IQ_MEASURED_INDICATED_RESOURCES_GRADE_DIAM" hidden="1">"c9651"</definedName>
    <definedName name="IQ_MEASURED_INDICATED_RESOURCES_GRADE_GOLD" hidden="1">"c9012"</definedName>
    <definedName name="IQ_MEASURED_INDICATED_RESOURCES_GRADE_IRON" hidden="1">"c9386"</definedName>
    <definedName name="IQ_MEASURED_INDICATED_RESOURCES_GRADE_LEAD" hidden="1">"c9439"</definedName>
    <definedName name="IQ_MEASURED_INDICATED_RESOURCES_GRADE_MANG" hidden="1">"c9492"</definedName>
    <definedName name="IQ_MEASURED_INDICATED_RESOURCES_GRADE_MOLYB" hidden="1">"c9704"</definedName>
    <definedName name="IQ_MEASURED_INDICATED_RESOURCES_GRADE_NICK" hidden="1">"c9280"</definedName>
    <definedName name="IQ_MEASURED_INDICATED_RESOURCES_GRADE_PLAT" hidden="1">"c9118"</definedName>
    <definedName name="IQ_MEASURED_INDICATED_RESOURCES_GRADE_SILVER" hidden="1">"c9065"</definedName>
    <definedName name="IQ_MEASURED_INDICATED_RESOURCES_GRADE_TITAN" hidden="1">"c9545"</definedName>
    <definedName name="IQ_MEASURED_INDICATED_RESOURCES_GRADE_URAN" hidden="1">"c9598"</definedName>
    <definedName name="IQ_MEASURED_INDICATED_RESOURCES_GRADE_ZINC" hidden="1">"c9333"</definedName>
    <definedName name="IQ_MEASURED_ORE_RESOURCES_ALUM" hidden="1">"c9222"</definedName>
    <definedName name="IQ_MEASURED_ORE_RESOURCES_COP" hidden="1">"c9166"</definedName>
    <definedName name="IQ_MEASURED_ORE_RESOURCES_DIAM" hidden="1">"c9646"</definedName>
    <definedName name="IQ_MEASURED_ORE_RESOURCES_GOLD" hidden="1">"c9007"</definedName>
    <definedName name="IQ_MEASURED_ORE_RESOURCES_IRON" hidden="1">"c9381"</definedName>
    <definedName name="IQ_MEASURED_ORE_RESOURCES_LEAD" hidden="1">"c9434"</definedName>
    <definedName name="IQ_MEASURED_ORE_RESOURCES_MANG" hidden="1">"c9487"</definedName>
    <definedName name="IQ_MEASURED_ORE_RESOURCES_MOLYB" hidden="1">"c9699"</definedName>
    <definedName name="IQ_MEASURED_ORE_RESOURCES_NICK" hidden="1">"c9275"</definedName>
    <definedName name="IQ_MEASURED_ORE_RESOURCES_PLAT" hidden="1">"c9113"</definedName>
    <definedName name="IQ_MEASURED_ORE_RESOURCES_SILVER" hidden="1">"c9060"</definedName>
    <definedName name="IQ_MEASURED_ORE_RESOURCES_TITAN" hidden="1">"c9540"</definedName>
    <definedName name="IQ_MEASURED_ORE_RESOURCES_URAN" hidden="1">"c9593"</definedName>
    <definedName name="IQ_MEASURED_ORE_RESOURCES_ZINC" hidden="1">"c9328"</definedName>
    <definedName name="IQ_MEASURED_RECOV_ATTRIB_RESOURCES_ALUM" hidden="1">"c9242"</definedName>
    <definedName name="IQ_MEASURED_RECOV_ATTRIB_RESOURCES_COAL" hidden="1">"c9816"</definedName>
    <definedName name="IQ_MEASURED_RECOV_ATTRIB_RESOURCES_COP" hidden="1">"c9186"</definedName>
    <definedName name="IQ_MEASURED_RECOV_ATTRIB_RESOURCES_DIAM" hidden="1">"c9666"</definedName>
    <definedName name="IQ_MEASURED_RECOV_ATTRIB_RESOURCES_GOLD" hidden="1">"c9027"</definedName>
    <definedName name="IQ_MEASURED_RECOV_ATTRIB_RESOURCES_IRON" hidden="1">"c9401"</definedName>
    <definedName name="IQ_MEASURED_RECOV_ATTRIB_RESOURCES_LEAD" hidden="1">"c9454"</definedName>
    <definedName name="IQ_MEASURED_RECOV_ATTRIB_RESOURCES_MANG" hidden="1">"c9507"</definedName>
    <definedName name="IQ_MEASURED_RECOV_ATTRIB_RESOURCES_MET_COAL" hidden="1">"c9756"</definedName>
    <definedName name="IQ_MEASURED_RECOV_ATTRIB_RESOURCES_MOLYB" hidden="1">"c9719"</definedName>
    <definedName name="IQ_MEASURED_RECOV_ATTRIB_RESOURCES_NICK" hidden="1">"c9295"</definedName>
    <definedName name="IQ_MEASURED_RECOV_ATTRIB_RESOURCES_PLAT" hidden="1">"c9133"</definedName>
    <definedName name="IQ_MEASURED_RECOV_ATTRIB_RESOURCES_SILVER" hidden="1">"c9080"</definedName>
    <definedName name="IQ_MEASURED_RECOV_ATTRIB_RESOURCES_STEAM" hidden="1">"c9786"</definedName>
    <definedName name="IQ_MEASURED_RECOV_ATTRIB_RESOURCES_TITAN" hidden="1">"c9560"</definedName>
    <definedName name="IQ_MEASURED_RECOV_ATTRIB_RESOURCES_URAN" hidden="1">"c9613"</definedName>
    <definedName name="IQ_MEASURED_RECOV_ATTRIB_RESOURCES_ZINC" hidden="1">"c9348"</definedName>
    <definedName name="IQ_MEASURED_RECOV_RESOURCES_ALUM" hidden="1">"c9232"</definedName>
    <definedName name="IQ_MEASURED_RECOV_RESOURCES_COAL" hidden="1">"c9811"</definedName>
    <definedName name="IQ_MEASURED_RECOV_RESOURCES_COP" hidden="1">"c9176"</definedName>
    <definedName name="IQ_MEASURED_RECOV_RESOURCES_DIAM" hidden="1">"c9656"</definedName>
    <definedName name="IQ_MEASURED_RECOV_RESOURCES_GOLD" hidden="1">"c9017"</definedName>
    <definedName name="IQ_MEASURED_RECOV_RESOURCES_IRON" hidden="1">"c9391"</definedName>
    <definedName name="IQ_MEASURED_RECOV_RESOURCES_LEAD" hidden="1">"c9444"</definedName>
    <definedName name="IQ_MEASURED_RECOV_RESOURCES_MANG" hidden="1">"c9497"</definedName>
    <definedName name="IQ_MEASURED_RECOV_RESOURCES_MET_COAL" hidden="1">"c9751"</definedName>
    <definedName name="IQ_MEASURED_RECOV_RESOURCES_MOLYB" hidden="1">"c9709"</definedName>
    <definedName name="IQ_MEASURED_RECOV_RESOURCES_NICK" hidden="1">"c9285"</definedName>
    <definedName name="IQ_MEASURED_RECOV_RESOURCES_PLAT" hidden="1">"c9123"</definedName>
    <definedName name="IQ_MEASURED_RECOV_RESOURCES_SILVER" hidden="1">"c9070"</definedName>
    <definedName name="IQ_MEASURED_RECOV_RESOURCES_STEAM" hidden="1">"c9781"</definedName>
    <definedName name="IQ_MEASURED_RECOV_RESOURCES_TITAN" hidden="1">"c9550"</definedName>
    <definedName name="IQ_MEASURED_RECOV_RESOURCES_URAN" hidden="1">"c9603"</definedName>
    <definedName name="IQ_MEASURED_RECOV_RESOURCES_ZINC" hidden="1">"c9338"</definedName>
    <definedName name="IQ_MEASURED_RESOURCES_CALORIFIC_VALUE_COAL" hidden="1">"c9806"</definedName>
    <definedName name="IQ_MEASURED_RESOURCES_CALORIFIC_VALUE_MET_COAL" hidden="1">"c9746"</definedName>
    <definedName name="IQ_MEASURED_RESOURCES_CALORIFIC_VALUE_STEAM" hidden="1">"c9776"</definedName>
    <definedName name="IQ_MEASURED_RESOURCES_GRADE_ALUM" hidden="1">"c9223"</definedName>
    <definedName name="IQ_MEASURED_RESOURCES_GRADE_COP" hidden="1">"c9167"</definedName>
    <definedName name="IQ_MEASURED_RESOURCES_GRADE_DIAM" hidden="1">"c9647"</definedName>
    <definedName name="IQ_MEASURED_RESOURCES_GRADE_GOLD" hidden="1">"c9008"</definedName>
    <definedName name="IQ_MEASURED_RESOURCES_GRADE_IRON" hidden="1">"c9382"</definedName>
    <definedName name="IQ_MEASURED_RESOURCES_GRADE_LEAD" hidden="1">"c9435"</definedName>
    <definedName name="IQ_MEASURED_RESOURCES_GRADE_MANG" hidden="1">"c9488"</definedName>
    <definedName name="IQ_MEASURED_RESOURCES_GRADE_MOLYB" hidden="1">"c9700"</definedName>
    <definedName name="IQ_MEASURED_RESOURCES_GRADE_NICK" hidden="1">"c9276"</definedName>
    <definedName name="IQ_MEASURED_RESOURCES_GRADE_PLAT" hidden="1">"c9114"</definedName>
    <definedName name="IQ_MEASURED_RESOURCES_GRADE_SILVER" hidden="1">"c9061"</definedName>
    <definedName name="IQ_MEASURED_RESOURCES_GRADE_TITAN" hidden="1">"c9541"</definedName>
    <definedName name="IQ_MEASURED_RESOURCES_GRADE_URAN" hidden="1">"c9594"</definedName>
    <definedName name="IQ_MEASURED_RESOURCES_GRADE_ZINC" hidden="1">"c9329"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CIQ" hidden="1">"c4658"</definedName>
    <definedName name="IQ_MEDIAN_TARGET_PRICE_REUT" hidden="1">"c5316"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_RECOV_ATTRIB_RESOURCES_ALUM" hidden="1">"c9244"</definedName>
    <definedName name="IQ_MI_RECOV_ATTRIB_RESOURCES_COAL" hidden="1">"c9818"</definedName>
    <definedName name="IQ_MI_RECOV_ATTRIB_RESOURCES_COP" hidden="1">"c9188"</definedName>
    <definedName name="IQ_MI_RECOV_ATTRIB_RESOURCES_DIAM" hidden="1">"c9668"</definedName>
    <definedName name="IQ_MI_RECOV_ATTRIB_RESOURCES_GOLD" hidden="1">"c9029"</definedName>
    <definedName name="IQ_MI_RECOV_ATTRIB_RESOURCES_IRON" hidden="1">"c9403"</definedName>
    <definedName name="IQ_MI_RECOV_ATTRIB_RESOURCES_LEAD" hidden="1">"c9456"</definedName>
    <definedName name="IQ_MI_RECOV_ATTRIB_RESOURCES_MANG" hidden="1">"c9509"</definedName>
    <definedName name="IQ_MI_RECOV_ATTRIB_RESOURCES_MET_COAL" hidden="1">"c9758"</definedName>
    <definedName name="IQ_MI_RECOV_ATTRIB_RESOURCES_MOLYB" hidden="1">"c9721"</definedName>
    <definedName name="IQ_MI_RECOV_ATTRIB_RESOURCES_NICK" hidden="1">"c9297"</definedName>
    <definedName name="IQ_MI_RECOV_ATTRIB_RESOURCES_PLAT" hidden="1">"c9135"</definedName>
    <definedName name="IQ_MI_RECOV_ATTRIB_RESOURCES_SILVER" hidden="1">"c9082"</definedName>
    <definedName name="IQ_MI_RECOV_ATTRIB_RESOURCES_STEAM" hidden="1">"c9788"</definedName>
    <definedName name="IQ_MI_RECOV_ATTRIB_RESOURCES_TITAN" hidden="1">"c9562"</definedName>
    <definedName name="IQ_MI_RECOV_ATTRIB_RESOURCES_URAN" hidden="1">"c9615"</definedName>
    <definedName name="IQ_MI_RECOV_ATTRIB_RESOURCES_ZINC" hidden="1">"c9350"</definedName>
    <definedName name="IQ_MI_RESOURCES_CALORIFIC_VALUE_COAL" hidden="1">"c9808"</definedName>
    <definedName name="IQ_MI_RESOURCES_CALORIFIC_VALUE_MET_COAL" hidden="1">"c9748"</definedName>
    <definedName name="IQ_MI_RESOURCES_CALORIFIC_VALUE_STEAM" hidden="1">"c9778"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CIQ" hidden="1">"c4041"</definedName>
    <definedName name="IQ_MKTCAP_TOTAL_REV_FWD_REUT" hidden="1">"c4048"</definedName>
    <definedName name="IQ_MM_ACCOUNT" hidden="1">"c743"</definedName>
    <definedName name="IQ_MM_ACCRETION_EXPENSE" hidden="1">"c9845"</definedName>
    <definedName name="IQ_MM_ARO_BEG" hidden="1">"c9842"</definedName>
    <definedName name="IQ_MM_ARO_TOTAL" hidden="1">"c9850"</definedName>
    <definedName name="IQ_MM_CURRENT_PORT_ARO" hidden="1">"c9851"</definedName>
    <definedName name="IQ_MM_DEVELOPED_ACREAGE" hidden="1">"c9832"</definedName>
    <definedName name="IQ_MM_DEVELOPED_SQ_KMS" hidden="1">"c9831"</definedName>
    <definedName name="IQ_MM_DEVELOPED_SQ_MILES" hidden="1">"c9833"</definedName>
    <definedName name="IQ_MM_EXPLORATION_EXPENDITURE_TOT" hidden="1">"c9840"</definedName>
    <definedName name="IQ_MM_FX_ADJUSTMENT" hidden="1">"c9847"</definedName>
    <definedName name="IQ_MM_LIABILITIES_INCURRED_ACQUIRED" hidden="1">"c9843"</definedName>
    <definedName name="IQ_MM_LIABILITIES_REL_SPIN_OFFS" hidden="1">"c9848"</definedName>
    <definedName name="IQ_MM_LIABILITIES_SETTLED_DISPOSED" hidden="1">"c9844"</definedName>
    <definedName name="IQ_MM_NON_CURRENT_PORT_ARO" hidden="1">"c9852"</definedName>
    <definedName name="IQ_MM_NUMBER_MINES" hidden="1">"c9839"</definedName>
    <definedName name="IQ_MM_OTHER_ADJUSTMENTS_ARO" hidden="1">"c9849"</definedName>
    <definedName name="IQ_MM_REMAINING_MINE_LIFE" hidden="1">"c9838"</definedName>
    <definedName name="IQ_MM_RESOURCES_INCL_EXCL_RESERVES" hidden="1">"c9841"</definedName>
    <definedName name="IQ_MM_REVISIONS_ESTIMATE" hidden="1">"c9846"</definedName>
    <definedName name="IQ_MM_STRIPPING_RATIO" hidden="1">"c9837"</definedName>
    <definedName name="IQ_MM_UNDEVELOPED_ACREAGE" hidden="1">"c9835"</definedName>
    <definedName name="IQ_MM_UNDEVELOPED_SQ_KMS" hidden="1">"c9834"</definedName>
    <definedName name="IQ_MM_UNDEVELOPED_SQ_MILES" hidden="1">"c9836"</definedName>
    <definedName name="IQ_MONEY_MARKET_DEPOSIT_ACCOUNTS_FDIC" hidden="1">"c6553"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ULTIFAMILY_RESIDENTIAL_LOANS_FDIC" hidden="1">"c6311"</definedName>
    <definedName name="IQ_NAMES_REVISION_DATE_" hidden="1">42804.3913078704</definedName>
    <definedName name="IQ_NAPM_BUS_CONDITIONS" hidden="1">"c6921"</definedName>
    <definedName name="IQ_NAPM_BUS_CONDITIONS_APR" hidden="1">"c7581"</definedName>
    <definedName name="IQ_NAPM_BUS_CONDITIONS_APR_FC" hidden="1">"c8461"</definedName>
    <definedName name="IQ_NAPM_BUS_CONDITIONS_FC" hidden="1">"c7801"</definedName>
    <definedName name="IQ_NAPM_BUS_CONDITIONS_POP" hidden="1">"c7141"</definedName>
    <definedName name="IQ_NAPM_BUS_CONDITIONS_POP_FC" hidden="1">"c8021"</definedName>
    <definedName name="IQ_NAPM_BUS_CONDITIONS_YOY" hidden="1">"c7361"</definedName>
    <definedName name="IQ_NAPM_BUS_CONDITIONS_YOY_FC" hidden="1">"c8241"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EBITDA" hidden="1">"c750"</definedName>
    <definedName name="IQ_NET_DEBT_EBITDA_CAPEX" hidden="1">"c2949"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AFTER_LL_BNK_SUBTOTAL_AP" hidden="1">"c8979"</definedName>
    <definedName name="IQ_NET_INT_INC_BNK" hidden="1">"c764"</definedName>
    <definedName name="IQ_NET_INT_INC_BNK_AP" hidden="1">"c8874"</definedName>
    <definedName name="IQ_NET_INT_INC_BNK_AP_ABS" hidden="1">"c8893"</definedName>
    <definedName name="IQ_NET_INT_INC_BNK_FDIC" hidden="1">"c6570"</definedName>
    <definedName name="IQ_NET_INT_INC_BNK_NAME_AP" hidden="1">"c8912"</definedName>
    <definedName name="IQ_NET_INT_INC_BNK_NAME_AP_ABS" hidden="1">"c8931"</definedName>
    <definedName name="IQ_NET_INT_INC_BNK_SUBTOTAL_AP" hidden="1">"c8978"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OPERATING_INCOME_ASSETS_FDIC" hidden="1">"c6729"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YR_PROD_EST_MAX_ALUM" hidden="1">"c9251"</definedName>
    <definedName name="IQ_NEXT_YR_PROD_EST_MAX_CATHODE_COP" hidden="1">"c9198"</definedName>
    <definedName name="IQ_NEXT_YR_PROD_EST_MAX_COP" hidden="1">"c9196"</definedName>
    <definedName name="IQ_NEXT_YR_PROD_EST_MAX_DIAM" hidden="1">"c9675"</definedName>
    <definedName name="IQ_NEXT_YR_PROD_EST_MAX_GOLD" hidden="1">"c9036"</definedName>
    <definedName name="IQ_NEXT_YR_PROD_EST_MAX_IRON" hidden="1">"c9410"</definedName>
    <definedName name="IQ_NEXT_YR_PROD_EST_MAX_LEAD" hidden="1">"c9463"</definedName>
    <definedName name="IQ_NEXT_YR_PROD_EST_MAX_MANG" hidden="1">"c9516"</definedName>
    <definedName name="IQ_NEXT_YR_PROD_EST_MAX_MOLYB" hidden="1">"c9728"</definedName>
    <definedName name="IQ_NEXT_YR_PROD_EST_MAX_NICK" hidden="1">"c9304"</definedName>
    <definedName name="IQ_NEXT_YR_PROD_EST_MAX_PLAT" hidden="1">"c9142"</definedName>
    <definedName name="IQ_NEXT_YR_PROD_EST_MAX_SILVER" hidden="1">"c9089"</definedName>
    <definedName name="IQ_NEXT_YR_PROD_EST_MAX_TITAN" hidden="1">"c9569"</definedName>
    <definedName name="IQ_NEXT_YR_PROD_EST_MAX_URAN" hidden="1">"c9622"</definedName>
    <definedName name="IQ_NEXT_YR_PROD_EST_MAX_ZINC" hidden="1">"c9357"</definedName>
    <definedName name="IQ_NEXT_YR_PROD_EST_MIN_ALUM" hidden="1">"c9250"</definedName>
    <definedName name="IQ_NEXT_YR_PROD_EST_MIN_CATHODE_COP" hidden="1">"c9197"</definedName>
    <definedName name="IQ_NEXT_YR_PROD_EST_MIN_COP" hidden="1">"c9195"</definedName>
    <definedName name="IQ_NEXT_YR_PROD_EST_MIN_DIAM" hidden="1">"c9674"</definedName>
    <definedName name="IQ_NEXT_YR_PROD_EST_MIN_GOLD" hidden="1">"c9035"</definedName>
    <definedName name="IQ_NEXT_YR_PROD_EST_MIN_IRON" hidden="1">"c9409"</definedName>
    <definedName name="IQ_NEXT_YR_PROD_EST_MIN_LEAD" hidden="1">"c9462"</definedName>
    <definedName name="IQ_NEXT_YR_PROD_EST_MIN_MANG" hidden="1">"c9515"</definedName>
    <definedName name="IQ_NEXT_YR_PROD_EST_MIN_MOLYB" hidden="1">"c9727"</definedName>
    <definedName name="IQ_NEXT_YR_PROD_EST_MIN_NICK" hidden="1">"c9303"</definedName>
    <definedName name="IQ_NEXT_YR_PROD_EST_MIN_PLAT" hidden="1">"c9141"</definedName>
    <definedName name="IQ_NEXT_YR_PROD_EST_MIN_SILVER" hidden="1">"c9088"</definedName>
    <definedName name="IQ_NEXT_YR_PROD_EST_MIN_TITAN" hidden="1">"c9568"</definedName>
    <definedName name="IQ_NEXT_YR_PROD_EST_MIN_URAN" hidden="1">"c9621"</definedName>
    <definedName name="IQ_NEXT_YR_PROD_EST_MIN_ZINC" hidden="1">"c9356"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AVAIL_SUBTOTAL_AP" hidden="1">"c8984"</definedName>
    <definedName name="IQ_NI_BEFORE_CAPITALIZED" hidden="1">"c792"</definedName>
    <definedName name="IQ_NI_CF" hidden="1">"c793"</definedName>
    <definedName name="IQ_NI_CHARGES_AP" hidden="1">"c8879"</definedName>
    <definedName name="IQ_NI_CHARGES_AP_ABS" hidden="1">"c8898"</definedName>
    <definedName name="IQ_NI_CHARGES_NAME_AP" hidden="1">"c8917"</definedName>
    <definedName name="IQ_NI_CHARGES_NAME_AP_ABS" hidden="1">"c8936"</definedName>
    <definedName name="IQ_NI_MARGIN" hidden="1">"c794"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SBC_ACT_OR_EST_CIQ" hidden="1">"c5012"</definedName>
    <definedName name="IQ_NI_SBC_GW_ACT_OR_EST_CIQ" hidden="1">"c5016"</definedName>
    <definedName name="IQ_NI_SFAS" hidden="1">"c795"</definedName>
    <definedName name="IQ_NI_SUBTOTAL_AP" hidden="1">"c8983"</definedName>
    <definedName name="IQ_NLA_PCT_LEASED_CONSOL" hidden="1">"c8815"</definedName>
    <definedName name="IQ_NLA_PCT_LEASED_MANAGED" hidden="1">"c8817"</definedName>
    <definedName name="IQ_NLA_PCT_LEASED_OTHER" hidden="1">"c8818"</definedName>
    <definedName name="IQ_NLA_PCT_LEASED_TOTAL" hidden="1">"c8819"</definedName>
    <definedName name="IQ_NLA_PCT_LEASED_UNCONSOL" hidden="1">"c8816"</definedName>
    <definedName name="IQ_NLA_SQ_FT_CONSOL" hidden="1">"c8800"</definedName>
    <definedName name="IQ_NLA_SQ_FT_MANAGED" hidden="1">"c8802"</definedName>
    <definedName name="IQ_NLA_SQ_FT_OTHER" hidden="1">"c8803"</definedName>
    <definedName name="IQ_NLA_SQ_FT_TOTAL" hidden="1">"c8804"</definedName>
    <definedName name="IQ_NLA_SQ_FT_UNCONSOL" hidden="1">"c8801"</definedName>
    <definedName name="IQ_NLA_SQ_METER_CONSOL" hidden="1">"c8805"</definedName>
    <definedName name="IQ_NLA_SQ_METER_MANAGED" hidden="1">"c8807"</definedName>
    <definedName name="IQ_NLA_SQ_METER_OTHER" hidden="1">"c8808"</definedName>
    <definedName name="IQ_NLA_SQ_METER_TOTAL" hidden="1">"c8809"</definedName>
    <definedName name="IQ_NLA_SQ_METER_UNCONSOL" hidden="1">"c8806"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"c11750"</definedName>
    <definedName name="IQ_NON_INT_BEARING_DEPOSITS" hidden="1">"c800"</definedName>
    <definedName name="IQ_NON_INT_EXP" hidden="1">"c801"</definedName>
    <definedName name="IQ_NON_INT_EXP_BNK_AP" hidden="1">"c8877"</definedName>
    <definedName name="IQ_NON_INT_EXP_BNK_AP_ABS" hidden="1">"c8896"</definedName>
    <definedName name="IQ_NON_INT_EXP_BNK_NAME_AP" hidden="1">"c8915"</definedName>
    <definedName name="IQ_NON_INT_EXP_BNK_NAME_AP_ABS" hidden="1">"c8934"</definedName>
    <definedName name="IQ_NON_INT_EXP_BNK_SUBTOTAL_AP" hidden="1">"c8981"</definedName>
    <definedName name="IQ_NON_INT_EXP_FDIC" hidden="1">"c6579"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_INC_BNK_AP" hidden="1">"c8876"</definedName>
    <definedName name="IQ_NON_INT_INC_BNK_AP_ABS" hidden="1">"c8895"</definedName>
    <definedName name="IQ_NON_INT_INC_BNK_NAME_AP" hidden="1">"c8914"</definedName>
    <definedName name="IQ_NON_INT_INC_BNK_NAME_AP_ABS" hidden="1">"c8933"</definedName>
    <definedName name="IQ_NON_INT_INC_BNK_SUBTOTAL_AP" hidden="1">"c8980"</definedName>
    <definedName name="IQ_NON_INT_INC_FDIC" hidden="1">"c6575"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DEF_CAPITAL_GOODS_ORDERS" hidden="1">"c6932"</definedName>
    <definedName name="IQ_NONDEF_CAPITAL_GOODS_ORDERS_APR" hidden="1">"c7592"</definedName>
    <definedName name="IQ_NONDEF_CAPITAL_GOODS_ORDERS_APR_FC" hidden="1">"c8472"</definedName>
    <definedName name="IQ_NONDEF_CAPITAL_GOODS_ORDERS_FC" hidden="1">"c7812"</definedName>
    <definedName name="IQ_NONDEF_CAPITAL_GOODS_ORDERS_POP" hidden="1">"c7152"</definedName>
    <definedName name="IQ_NONDEF_CAPITAL_GOODS_ORDERS_POP_FC" hidden="1">"c8032"</definedName>
    <definedName name="IQ_NONDEF_CAPITAL_GOODS_ORDERS_YOY" hidden="1">"c7372"</definedName>
    <definedName name="IQ_NONDEF_CAPITAL_GOODS_ORDERS_YOY_FC" hidden="1">"c8252"</definedName>
    <definedName name="IQ_NONDEF_CAPITAL_GOODS_SHIPMENTS" hidden="1">"c6933"</definedName>
    <definedName name="IQ_NONDEF_CAPITAL_GOODS_SHIPMENTS_APR" hidden="1">"c7593"</definedName>
    <definedName name="IQ_NONDEF_CAPITAL_GOODS_SHIPMENTS_APR_FC" hidden="1">"c8473"</definedName>
    <definedName name="IQ_NONDEF_CAPITAL_GOODS_SHIPMENTS_FC" hidden="1">"c7813"</definedName>
    <definedName name="IQ_NONDEF_CAPITAL_GOODS_SHIPMENTS_POP" hidden="1">"c7153"</definedName>
    <definedName name="IQ_NONDEF_CAPITAL_GOODS_SHIPMENTS_POP_FC" hidden="1">"c8033"</definedName>
    <definedName name="IQ_NONDEF_CAPITAL_GOODS_SHIPMENTS_YOY" hidden="1">"c7373"</definedName>
    <definedName name="IQ_NONDEF_CAPITAL_GOODS_SHIPMENTS_YOY_FC" hidden="1">"c8253"</definedName>
    <definedName name="IQ_NONDEF_SPENDING_SAAR" hidden="1">"c6934"</definedName>
    <definedName name="IQ_NONDEF_SPENDING_SAAR_APR" hidden="1">"c7594"</definedName>
    <definedName name="IQ_NONDEF_SPENDING_SAAR_APR_FC" hidden="1">"c8474"</definedName>
    <definedName name="IQ_NONDEF_SPENDING_SAAR_FC" hidden="1">"c7814"</definedName>
    <definedName name="IQ_NONDEF_SPENDING_SAAR_POP" hidden="1">"c7154"</definedName>
    <definedName name="IQ_NONDEF_SPENDING_SAAR_POP_FC" hidden="1">"c8034"</definedName>
    <definedName name="IQ_NONDEF_SPENDING_SAAR_YOY" hidden="1">"c7374"</definedName>
    <definedName name="IQ_NONDEF_SPENDING_SAAR_YOY_FC" hidden="1">"c8254"</definedName>
    <definedName name="IQ_NONFARM_EMP_HRS_PCT_CHANGE" hidden="1">"c6935"</definedName>
    <definedName name="IQ_NONFARM_EMP_HRS_PCT_CHANGE_FC" hidden="1">"c7815"</definedName>
    <definedName name="IQ_NONFARM_EMP_HRS_PCT_CHANGE_POP" hidden="1">"c7155"</definedName>
    <definedName name="IQ_NONFARM_EMP_HRS_PCT_CHANGE_POP_FC" hidden="1">"c8035"</definedName>
    <definedName name="IQ_NONFARM_EMP_HRS_PCT_CHANGE_YOY" hidden="1">"c7375"</definedName>
    <definedName name="IQ_NONFARM_EMP_HRS_PCT_CHANGE_YOY_FC" hidden="1">"c8255"</definedName>
    <definedName name="IQ_NONFARM_OUTPUT_PER_HR" hidden="1">"c6936"</definedName>
    <definedName name="IQ_NONFARM_OUTPUT_PER_HR_APR" hidden="1">"c7596"</definedName>
    <definedName name="IQ_NONFARM_OUTPUT_PER_HR_APR_FC" hidden="1">"c8476"</definedName>
    <definedName name="IQ_NONFARM_OUTPUT_PER_HR_FC" hidden="1">"c7816"</definedName>
    <definedName name="IQ_NONFARM_OUTPUT_PER_HR_POP" hidden="1">"c7156"</definedName>
    <definedName name="IQ_NONFARM_OUTPUT_PER_HR_POP_FC" hidden="1">"c8036"</definedName>
    <definedName name="IQ_NONFARM_OUTPUT_PER_HR_YOY" hidden="1">"c7376"</definedName>
    <definedName name="IQ_NONFARM_OUTPUT_PER_HR_YOY_FC" hidden="1">"c8256"</definedName>
    <definedName name="IQ_NONFARM_PAYROLLS" hidden="1">"c6926"</definedName>
    <definedName name="IQ_NONFARM_PAYROLLS_APR" hidden="1">"c7586"</definedName>
    <definedName name="IQ_NONFARM_PAYROLLS_APR_FC" hidden="1">"c8466"</definedName>
    <definedName name="IQ_NONFARM_PAYROLLS_FC" hidden="1">"c7806"</definedName>
    <definedName name="IQ_NONFARM_PAYROLLS_POP" hidden="1">"c7146"</definedName>
    <definedName name="IQ_NONFARM_PAYROLLS_POP_FC" hidden="1">"c8026"</definedName>
    <definedName name="IQ_NONFARM_PAYROLLS_YOY" hidden="1">"c7366"</definedName>
    <definedName name="IQ_NONFARM_PAYROLLS_YOY_FC" hidden="1">"c8246"</definedName>
    <definedName name="IQ_NONFARM_TOTAL_HR_INDEX" hidden="1">"c6937"</definedName>
    <definedName name="IQ_NONFARM_TOTAL_HR_INDEX_APR" hidden="1">"c7597"</definedName>
    <definedName name="IQ_NONFARM_TOTAL_HR_INDEX_APR_FC" hidden="1">"c8477"</definedName>
    <definedName name="IQ_NONFARM_TOTAL_HR_INDEX_FC" hidden="1">"c7817"</definedName>
    <definedName name="IQ_NONFARM_TOTAL_HR_INDEX_POP" hidden="1">"c7157"</definedName>
    <definedName name="IQ_NONFARM_TOTAL_HR_INDEX_POP_FC" hidden="1">"c8037"</definedName>
    <definedName name="IQ_NONFARM_TOTAL_HR_INDEX_YOY" hidden="1">"c7377"</definedName>
    <definedName name="IQ_NONFARM_TOTAL_HR_INDEX_YOY_FC" hidden="1">"c8257"</definedName>
    <definedName name="IQ_NONFARM_WAGES" hidden="1">"c6938"</definedName>
    <definedName name="IQ_NONFARM_WAGES_APR" hidden="1">"c7598"</definedName>
    <definedName name="IQ_NONFARM_WAGES_APR_FC" hidden="1">"c8478"</definedName>
    <definedName name="IQ_NONFARM_WAGES_FC" hidden="1">"c7818"</definedName>
    <definedName name="IQ_NONFARM_WAGES_INDEX" hidden="1">"c6939"</definedName>
    <definedName name="IQ_NONFARM_WAGES_INDEX_APR" hidden="1">"c7599"</definedName>
    <definedName name="IQ_NONFARM_WAGES_INDEX_APR_FC" hidden="1">"c8479"</definedName>
    <definedName name="IQ_NONFARM_WAGES_INDEX_FC" hidden="1">"c7819"</definedName>
    <definedName name="IQ_NONFARM_WAGES_INDEX_POP" hidden="1">"c7159"</definedName>
    <definedName name="IQ_NONFARM_WAGES_INDEX_POP_FC" hidden="1">"c8039"</definedName>
    <definedName name="IQ_NONFARM_WAGES_INDEX_YOY" hidden="1">"c7379"</definedName>
    <definedName name="IQ_NONFARM_WAGES_INDEX_YOY_FC" hidden="1">"c8259"</definedName>
    <definedName name="IQ_NONFARM_WAGES_POP" hidden="1">"c7158"</definedName>
    <definedName name="IQ_NONFARM_WAGES_POP_FC" hidden="1">"c8038"</definedName>
    <definedName name="IQ_NONFARM_WAGES_YOY" hidden="1">"c7378"</definedName>
    <definedName name="IQ_NONFARM_WAGES_YOY_FC" hidden="1">"c8258"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" hidden="1">"c6931"</definedName>
    <definedName name="IQ_NONRES_FIXED_INVEST_APR" hidden="1">"c7591"</definedName>
    <definedName name="IQ_NONRES_FIXED_INVEST_POP" hidden="1">"c7151"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REAL" hidden="1">"c6989"</definedName>
    <definedName name="IQ_NONRES_FIXED_INVEST_PRIV_REAL_APR" hidden="1">"c7649"</definedName>
    <definedName name="IQ_NONRES_FIXED_INVEST_PRIV_REAL_APR_FC" hidden="1">"c8529"</definedName>
    <definedName name="IQ_NONRES_FIXED_INVEST_PRIV_REAL_FC" hidden="1">"c7869"</definedName>
    <definedName name="IQ_NONRES_FIXED_INVEST_PRIV_REAL_POP" hidden="1">"c7209"</definedName>
    <definedName name="IQ_NONRES_FIXED_INVEST_PRIV_REAL_POP_FC" hidden="1">"c8089"</definedName>
    <definedName name="IQ_NONRES_FIXED_INVEST_PRIV_REAL_SAAR" hidden="1">"c6990"</definedName>
    <definedName name="IQ_NONRES_FIXED_INVEST_PRIV_REAL_SAAR_APR" hidden="1">"c7650"</definedName>
    <definedName name="IQ_NONRES_FIXED_INVEST_PRIV_REAL_SAAR_APR_FC" hidden="1">"c8530"</definedName>
    <definedName name="IQ_NONRES_FIXED_INVEST_PRIV_REAL_SAAR_FC" hidden="1">"c7870"</definedName>
    <definedName name="IQ_NONRES_FIXED_INVEST_PRIV_REAL_SAAR_POP" hidden="1">"c7210"</definedName>
    <definedName name="IQ_NONRES_FIXED_INVEST_PRIV_REAL_SAAR_POP_FC" hidden="1">"c8090"</definedName>
    <definedName name="IQ_NONRES_FIXED_INVEST_PRIV_REAL_SAAR_USD_APR_FC" hidden="1">"c11981"</definedName>
    <definedName name="IQ_NONRES_FIXED_INVEST_PRIV_REAL_SAAR_USD_FC" hidden="1">"c11978"</definedName>
    <definedName name="IQ_NONRES_FIXED_INVEST_PRIV_REAL_SAAR_USD_POP_FC" hidden="1">"c11979"</definedName>
    <definedName name="IQ_NONRES_FIXED_INVEST_PRIV_REAL_SAAR_USD_YOY_FC" hidden="1">"c11980"</definedName>
    <definedName name="IQ_NONRES_FIXED_INVEST_PRIV_REAL_SAAR_YOY" hidden="1">"c7430"</definedName>
    <definedName name="IQ_NONRES_FIXED_INVEST_PRIV_REAL_SAAR_YOY_FC" hidden="1">"c8310"</definedName>
    <definedName name="IQ_NONRES_FIXED_INVEST_PRIV_REAL_USD_APR_FC" hidden="1">"c11977"</definedName>
    <definedName name="IQ_NONRES_FIXED_INVEST_PRIV_REAL_USD_FC" hidden="1">"c11974"</definedName>
    <definedName name="IQ_NONRES_FIXED_INVEST_PRIV_REAL_USD_POP_FC" hidden="1">"c11975"</definedName>
    <definedName name="IQ_NONRES_FIXED_INVEST_PRIV_REAL_USD_YOY_FC" hidden="1">"c11976"</definedName>
    <definedName name="IQ_NONRES_FIXED_INVEST_PRIV_REAL_YOY" hidden="1">"c7429"</definedName>
    <definedName name="IQ_NONRES_FIXED_INVEST_PRIV_REAL_YOY_FC" hidden="1">"c8309"</definedName>
    <definedName name="IQ_NONRES_FIXED_INVEST_PRIV_SAAR" hidden="1">"c6929"</definedName>
    <definedName name="IQ_NONRES_FIXED_INVEST_PRIV_SAAR_APR" hidden="1">"c7589"</definedName>
    <definedName name="IQ_NONRES_FIXED_INVEST_PRIV_SAAR_APR_FC" hidden="1">"c8469"</definedName>
    <definedName name="IQ_NONRES_FIXED_INVEST_PRIV_SAAR_FC" hidden="1">"c7809"</definedName>
    <definedName name="IQ_NONRES_FIXED_INVEST_PRIV_SAAR_POP" hidden="1">"c7149"</definedName>
    <definedName name="IQ_NONRES_FIXED_INVEST_PRIV_SAAR_POP_FC" hidden="1">"c8029"</definedName>
    <definedName name="IQ_NONRES_FIXED_INVEST_PRIV_SAAR_USD_APR_FC" hidden="1">"c11877"</definedName>
    <definedName name="IQ_NONRES_FIXED_INVEST_PRIV_SAAR_USD_FC" hidden="1">"c11874"</definedName>
    <definedName name="IQ_NONRES_FIXED_INVEST_PRIV_SAAR_USD_POP_FC" hidden="1">"c11875"</definedName>
    <definedName name="IQ_NONRES_FIXED_INVEST_PRIV_SAAR_USD_YOY_FC" hidden="1">"c11876"</definedName>
    <definedName name="IQ_NONRES_FIXED_INVEST_PRIV_SAAR_YOY" hidden="1">"c7369"</definedName>
    <definedName name="IQ_NONRES_FIXED_INVEST_PRIV_SAAR_YOY_FC" hidden="1">"c8249"</definedName>
    <definedName name="IQ_NONRES_FIXED_INVEST_PRIV_UNUSED_UNUSED_UNUSED" hidden="1">"c6928"</definedName>
    <definedName name="IQ_NONRES_FIXED_INVEST_PRIV_USD_APR_FC" hidden="1">"c11873"</definedName>
    <definedName name="IQ_NONRES_FIXED_INVEST_PRIV_USD_FC" hidden="1">"c11870"</definedName>
    <definedName name="IQ_NONRES_FIXED_INVEST_PRIV_USD_POP_FC" hidden="1">"c11871"</definedName>
    <definedName name="IQ_NONRES_FIXED_INVEST_PRIV_USD_YOY_FC" hidden="1">"c11872"</definedName>
    <definedName name="IQ_NONRES_FIXED_INVEST_PRIV_YOY_FC_UNUSED_UNUSED_UNUSED" hidden="1">"c8248"</definedName>
    <definedName name="IQ_NONRES_FIXED_INVEST_PRIV_YOY_UNUSED_UNUSED_UNUSED" hidden="1">"c7368"</definedName>
    <definedName name="IQ_NONRES_FIXED_INVEST_REAL" hidden="1">"c6993"</definedName>
    <definedName name="IQ_NONRES_FIXED_INVEST_REAL_APR" hidden="1">"c7653"</definedName>
    <definedName name="IQ_NONRES_FIXED_INVEST_REAL_POP" hidden="1">"c7213"</definedName>
    <definedName name="IQ_NONRES_FIXED_INVEST_REAL_SAAR" hidden="1">"c6987"</definedName>
    <definedName name="IQ_NONRES_FIXED_INVEST_REAL_SAAR_APR" hidden="1">"c7647"</definedName>
    <definedName name="IQ_NONRES_FIXED_INVEST_REAL_SAAR_APR_FC" hidden="1">"c8527"</definedName>
    <definedName name="IQ_NONRES_FIXED_INVEST_REAL_SAAR_FC" hidden="1">"c7867"</definedName>
    <definedName name="IQ_NONRES_FIXED_INVEST_REAL_SAAR_POP" hidden="1">"c7207"</definedName>
    <definedName name="IQ_NONRES_FIXED_INVEST_REAL_SAAR_POP_FC" hidden="1">"c8087"</definedName>
    <definedName name="IQ_NONRES_FIXED_INVEST_REAL_SAAR_YOY" hidden="1">"c7427"</definedName>
    <definedName name="IQ_NONRES_FIXED_INVEST_REAL_SAAR_YOY_FC" hidden="1">"c8307"</definedName>
    <definedName name="IQ_NONRES_FIXED_INVEST_REAL_USD_APR_FC" hidden="1">"c11973"</definedName>
    <definedName name="IQ_NONRES_FIXED_INVEST_REAL_USD_FC" hidden="1">"c11970"</definedName>
    <definedName name="IQ_NONRES_FIXED_INVEST_REAL_USD_POP_FC" hidden="1">"c11971"</definedName>
    <definedName name="IQ_NONRES_FIXED_INVEST_REAL_USD_YOY_FC" hidden="1">"c11972"</definedName>
    <definedName name="IQ_NONRES_FIXED_INVEST_REAL_YOY" hidden="1">"c7433"</definedName>
    <definedName name="IQ_NONRES_FIXED_INVEST_STRUCT" hidden="1">"c6930"</definedName>
    <definedName name="IQ_NONRES_FIXED_INVEST_STRUCT_APR" hidden="1">"c7590"</definedName>
    <definedName name="IQ_NONRES_FIXED_INVEST_STRUCT_APR_FC" hidden="1">"c8470"</definedName>
    <definedName name="IQ_NONRES_FIXED_INVEST_STRUCT_FC" hidden="1">"c7810"</definedName>
    <definedName name="IQ_NONRES_FIXED_INVEST_STRUCT_POP" hidden="1">"c7150"</definedName>
    <definedName name="IQ_NONRES_FIXED_INVEST_STRUCT_POP_FC" hidden="1">"c8030"</definedName>
    <definedName name="IQ_NONRES_FIXED_INVEST_STRUCT_REAL" hidden="1">"c6992"</definedName>
    <definedName name="IQ_NONRES_FIXED_INVEST_STRUCT_REAL_APR" hidden="1">"c7652"</definedName>
    <definedName name="IQ_NONRES_FIXED_INVEST_STRUCT_REAL_APR_FC" hidden="1">"c8532"</definedName>
    <definedName name="IQ_NONRES_FIXED_INVEST_STRUCT_REAL_FC" hidden="1">"c7872"</definedName>
    <definedName name="IQ_NONRES_FIXED_INVEST_STRUCT_REAL_POP" hidden="1">"c7212"</definedName>
    <definedName name="IQ_NONRES_FIXED_INVEST_STRUCT_REAL_POP_FC" hidden="1">"c8092"</definedName>
    <definedName name="IQ_NONRES_FIXED_INVEST_STRUCT_REAL_SAAR" hidden="1">"c6991"</definedName>
    <definedName name="IQ_NONRES_FIXED_INVEST_STRUCT_REAL_SAAR_APR" hidden="1">"c7651"</definedName>
    <definedName name="IQ_NONRES_FIXED_INVEST_STRUCT_REAL_SAAR_APR_FC" hidden="1">"c8531"</definedName>
    <definedName name="IQ_NONRES_FIXED_INVEST_STRUCT_REAL_SAAR_FC" hidden="1">"c7871"</definedName>
    <definedName name="IQ_NONRES_FIXED_INVEST_STRUCT_REAL_SAAR_POP" hidden="1">"c7211"</definedName>
    <definedName name="IQ_NONRES_FIXED_INVEST_STRUCT_REAL_SAAR_POP_FC" hidden="1">"c8091"</definedName>
    <definedName name="IQ_NONRES_FIXED_INVEST_STRUCT_REAL_SAAR_YOY" hidden="1">"c7431"</definedName>
    <definedName name="IQ_NONRES_FIXED_INVEST_STRUCT_REAL_SAAR_YOY_FC" hidden="1">"c8311"</definedName>
    <definedName name="IQ_NONRES_FIXED_INVEST_STRUCT_REAL_USD_APR_FC" hidden="1">"c11985"</definedName>
    <definedName name="IQ_NONRES_FIXED_INVEST_STRUCT_REAL_USD_FC" hidden="1">"c11982"</definedName>
    <definedName name="IQ_NONRES_FIXED_INVEST_STRUCT_REAL_USD_POP_FC" hidden="1">"c11983"</definedName>
    <definedName name="IQ_NONRES_FIXED_INVEST_STRUCT_REAL_USD_YOY_FC" hidden="1">"c11984"</definedName>
    <definedName name="IQ_NONRES_FIXED_INVEST_STRUCT_REAL_YOY" hidden="1">"c7432"</definedName>
    <definedName name="IQ_NONRES_FIXED_INVEST_STRUCT_REAL_YOY_FC" hidden="1">"c8312"</definedName>
    <definedName name="IQ_NONRES_FIXED_INVEST_STRUCT_USD_APR_FC" hidden="1">"c11881"</definedName>
    <definedName name="IQ_NONRES_FIXED_INVEST_STRUCT_USD_FC" hidden="1">"c11878"</definedName>
    <definedName name="IQ_NONRES_FIXED_INVEST_STRUCT_USD_POP_FC" hidden="1">"c11879"</definedName>
    <definedName name="IQ_NONRES_FIXED_INVEST_STRUCT_USD_YOY_FC" hidden="1">"c11880"</definedName>
    <definedName name="IQ_NONRES_FIXED_INVEST_STRUCT_YOY" hidden="1">"c7370"</definedName>
    <definedName name="IQ_NONRES_FIXED_INVEST_STRUCT_YOY_FC" hidden="1">"c8250"</definedName>
    <definedName name="IQ_NONRES_FIXED_INVEST_USD_APR_FC" hidden="1">"c11869"</definedName>
    <definedName name="IQ_NONRES_FIXED_INVEST_USD_FC" hidden="1">"c11866"</definedName>
    <definedName name="IQ_NONRES_FIXED_INVEST_USD_POP_FC" hidden="1">"c11867"</definedName>
    <definedName name="IQ_NONRES_FIXED_INVEST_USD_YOY_FC" hidden="1">"c11868"</definedName>
    <definedName name="IQ_NONRES_FIXED_INVEST_YOY" hidden="1">"c7371"</definedName>
    <definedName name="IQ_NONTRANSACTION_ACCOUNTS_FDIC" hidden="1">"c6552"</definedName>
    <definedName name="IQ_NONUTIL_REV" hidden="1">"c2089"</definedName>
    <definedName name="IQ_NORM_EPS_ACT_OR_EST_CIQ" hidden="1">"c5069"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MINES_ALUM" hidden="1">"c9248"</definedName>
    <definedName name="IQ_NUMBER_MINES_COAL" hidden="1">"c9822"</definedName>
    <definedName name="IQ_NUMBER_MINES_COP" hidden="1">"c9193"</definedName>
    <definedName name="IQ_NUMBER_MINES_DIAM" hidden="1">"c9672"</definedName>
    <definedName name="IQ_NUMBER_MINES_GOLD" hidden="1">"c9033"</definedName>
    <definedName name="IQ_NUMBER_MINES_IRON" hidden="1">"c9407"</definedName>
    <definedName name="IQ_NUMBER_MINES_LEAD" hidden="1">"c9460"</definedName>
    <definedName name="IQ_NUMBER_MINES_MANG" hidden="1">"c9513"</definedName>
    <definedName name="IQ_NUMBER_MINES_MOLYB" hidden="1">"c9725"</definedName>
    <definedName name="IQ_NUMBER_MINES_NICK" hidden="1">"c9301"</definedName>
    <definedName name="IQ_NUMBER_MINES_PLAT" hidden="1">"c9139"</definedName>
    <definedName name="IQ_NUMBER_MINES_SILVER" hidden="1">"c9086"</definedName>
    <definedName name="IQ_NUMBER_MINES_TITAN" hidden="1">"c9566"</definedName>
    <definedName name="IQ_NUMBER_MINES_URAN" hidden="1">"c9619"</definedName>
    <definedName name="IQ_NUMBER_MINES_ZINC" hidden="1">"c9354"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BLIGATIONS_OF_STATES_TOTAL_LOANS_FOREIGN_FDIC" hidden="1">"c6447"</definedName>
    <definedName name="IQ_OBLIGATIONS_STATES_FDIC" hidden="1">"c6431"</definedName>
    <definedName name="IQ_OCCUPANCY_CONSOL" hidden="1">"c8840"</definedName>
    <definedName name="IQ_OCCUPANCY_MANAGED" hidden="1">"c8842"</definedName>
    <definedName name="IQ_OCCUPANCY_OTHER" hidden="1">"c8843"</definedName>
    <definedName name="IQ_OCCUPANCY_SAME_PROP" hidden="1">"c8845"</definedName>
    <definedName name="IQ_OCCUPANCY_TOTAL" hidden="1">"c8844"</definedName>
    <definedName name="IQ_OCCUPANCY_UNCONSOL" hidden="1">"c8841"</definedName>
    <definedName name="IQ_OCCUPY_EXP" hidden="1">"c839"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GAS_EQUIV_PRODUCTION_MMCFE" hidden="1">"c10061"</definedName>
    <definedName name="IQ_OG_AVG_DAILY_OIL_EQUIV_PRODUCTION_KBOE" hidden="1">"c10060"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PRODUCTION_GAS_MMCM" hidden="1">"c10059"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AVG_GAS_PRICE_CBM_HEDGED" hidden="1">"c10054"</definedName>
    <definedName name="IQ_OG_AVG_GAS_PRICE_CBM_UNHEDGED" hidden="1">"c10055"</definedName>
    <definedName name="IQ_OG_AVG_PRODUCTION_COST_BBL" hidden="1">"c10062"</definedName>
    <definedName name="IQ_OG_AVG_PRODUCTION_COST_BOE" hidden="1">"c10064"</definedName>
    <definedName name="IQ_OG_AVG_PRODUCTION_COST_MCF" hidden="1">"c10063"</definedName>
    <definedName name="IQ_OG_AVG_PRODUCTION_COST_MCFE" hidden="1">"c10065"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AILY_PRODUCTION_GROWTH_GAS" hidden="1">"c10073"</definedName>
    <definedName name="IQ_OG_DAILY_PRODUCTION_GROWTH_GAS_EQUIVALENT" hidden="1">"c10076"</definedName>
    <definedName name="IQ_OG_DAILY_PRODUCTION_GROWTH_NGL" hidden="1">"c10074"</definedName>
    <definedName name="IQ_OG_DAILY_PRODUCTION_GROWTH_OIL" hidden="1">"c10072"</definedName>
    <definedName name="IQ_OG_DAILY_PRODUCTION_GROWTH_OIL_EQUIVALENT" hidden="1">"c10075"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GAS_BCM" hidden="1">"c10045"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AFFILIATES_RESERVES_GAS_BCM" hidden="1">"c10047"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PLORATION_DEVELOPMENT_COST" hidden="1">"c10081"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ED_AREA_SQ_KM" hidden="1">"c10079"</definedName>
    <definedName name="IQ_OG_GROSS_DEVELOPMENT_DRY_WELLS_DRILLED" hidden="1">"c10098"</definedName>
    <definedName name="IQ_OG_GROSS_DEVELOPMENT_PRODUCTIVE_WELLS_DRILLED" hidden="1">"c10097"</definedName>
    <definedName name="IQ_OG_GROSS_DEVELOPMENT_TOTAL_WELLS_DRILLED" hidden="1">"c10099"</definedName>
    <definedName name="IQ_OG_GROSS_EXPLORATORY_DRY_WELLS_DRILLED" hidden="1">"c10095"</definedName>
    <definedName name="IQ_OG_GROSS_EXPLORATORY_PRODUCTIVE_WELLS_DRILLED" hidden="1">"c10094"</definedName>
    <definedName name="IQ_OG_GROSS_EXPLORATORY_TOTAL_WELLS_DRILLED" hidden="1">"c10096"</definedName>
    <definedName name="IQ_OG_GROSS_OPERATED_WELLS" hidden="1">"c10092"</definedName>
    <definedName name="IQ_OG_GROSS_PRODUCTIVE_WELLS_GAS" hidden="1">"c10087"</definedName>
    <definedName name="IQ_OG_GROSS_PRODUCTIVE_WELLS_OIL" hidden="1">"c10086"</definedName>
    <definedName name="IQ_OG_GROSS_PRODUCTIVE_WELLS_TOTAL" hidden="1">"c10088"</definedName>
    <definedName name="IQ_OG_GROSS_TOTAL_WELLS_DRILLED" hidden="1">"c10100"</definedName>
    <definedName name="IQ_OG_GROSS_UNDEVELOPED_AREA_SQ_KM" hidden="1">"c10077"</definedName>
    <definedName name="IQ_OG_GROSS_WELLS_DRILLING" hidden="1">"c10108"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ED_AREA_SQ_KM" hidden="1">"c10080"</definedName>
    <definedName name="IQ_OG_NET_DEVELOPMENT_DRY_WELLS_DRILLED" hidden="1">"c10105"</definedName>
    <definedName name="IQ_OG_NET_DEVELOPMENT_PRODUCTIVE_WELLS_DRILLED" hidden="1">"c10104"</definedName>
    <definedName name="IQ_OG_NET_DEVELOPMENT_TOTAL_WELLS_DRILLED" hidden="1">"c10106"</definedName>
    <definedName name="IQ_OG_NET_EXPLORATORY_DRY_WELLS_DRILLED" hidden="1">"c10102"</definedName>
    <definedName name="IQ_OG_NET_EXPLORATORY_PRODUCTIVE_WELLS_DRILLED" hidden="1">"c10101"</definedName>
    <definedName name="IQ_OG_NET_EXPLORATORY_TOTAL_WELLS_DRILLED" hidden="1">"c10103"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OPERATED_WELLS" hidden="1">"c10093"</definedName>
    <definedName name="IQ_OG_NET_PRODUCTIVE_WELLS_GAS" hidden="1">"c10090"</definedName>
    <definedName name="IQ_OG_NET_PRODUCTIVE_WELLS_OIL" hidden="1">"c10089"</definedName>
    <definedName name="IQ_OG_NET_PRODUCTIVE_WELLS_TOTAL" hidden="1">"c10091"</definedName>
    <definedName name="IQ_OG_NET_TOTAL_WELLS_DRILLED" hidden="1">"c10107"</definedName>
    <definedName name="IQ_OG_NET_UNDEVELOPED_AREA_SQ_KM" hidden="1">"c10078"</definedName>
    <definedName name="IQ_OG_NET_WELLS_DRILLING" hidden="1">"c10109"</definedName>
    <definedName name="IQ_OG_NUMBER_WELLS_NEW" hidden="1">"c10085"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GROWTH_GAS" hidden="1">"c10067"</definedName>
    <definedName name="IQ_OG_PRODUCTION_GROWTH_GAS_EQUIVALENT" hidden="1">"c10070"</definedName>
    <definedName name="IQ_OG_PRODUCTION_GROWTH_NGL" hidden="1">"c10068"</definedName>
    <definedName name="IQ_OG_PRODUCTION_GROWTH_OIL" hidden="1">"c10066"</definedName>
    <definedName name="IQ_OG_PRODUCTION_GROWTH_OIL_EQUIVALENT" hidden="1">"c10069"</definedName>
    <definedName name="IQ_OG_PRODUCTION_GROWTH_TOTAL" hidden="1">"c10071"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RIGS_NON_OPERATED" hidden="1">"c10083"</definedName>
    <definedName name="IQ_OG_RIGS_OPERATED" hidden="1">"c10082"</definedName>
    <definedName name="IQ_OG_RIGS_TOTAL" hidden="1">"c10084"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EQUIV_PRODUCTION_BCFE" hidden="1">"c10058"</definedName>
    <definedName name="IQ_OG_TOTAL_GAS_PRODUCTION" hidden="1">"c2060"</definedName>
    <definedName name="IQ_OG_TOTAL_LIQUID_GAS_PRODUCTION" hidden="1">"c2235"</definedName>
    <definedName name="IQ_OG_TOTAL_OIL_EQUIV_PRODUCTION_MMBOE" hidden="1">"c10057"</definedName>
    <definedName name="IQ_OG_TOTAL_OIL_PRODUCTION" hidden="1">"c2059"</definedName>
    <definedName name="IQ_OG_TOTAL_POSSIBLE_RESERVES_GAS_BCF" hidden="1">"c10050"</definedName>
    <definedName name="IQ_OG_TOTAL_POSSIBLE_RESERVES_GAS_BCM" hidden="1">"c10051"</definedName>
    <definedName name="IQ_OG_TOTAL_POSSIBLE_RESERVES_OIL_MMBBLS" hidden="1">"c10053"</definedName>
    <definedName name="IQ_OG_TOTAL_PROBABLE_RESERVES_GAS_BCF" hidden="1">"c10048"</definedName>
    <definedName name="IQ_OG_TOTAL_PROBABLE_RESERVES_GAS_BCM" hidden="1">"c10049"</definedName>
    <definedName name="IQ_OG_TOTAL_PROBABLE_RESERVES_OIL_MMBBLS" hidden="1">"c10052"</definedName>
    <definedName name="IQ_OG_TOTAL_PRODUCTION_GAS_BCM" hidden="1">"c10056"</definedName>
    <definedName name="IQ_OG_TOTAL_PROVED_RESERVES_GAS_BCM" hidden="1">"c10046"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GAS_BCM" hidden="1">"c10044"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BR" hidden="1">"c850"</definedName>
    <definedName name="IQ_OPER_INC_FIN" hidden="1">"c851"</definedName>
    <definedName name="IQ_OPER_INC_INS" hidden="1">"c852"</definedName>
    <definedName name="IQ_OPER_INC_MARGIN" hidden="1">"c1448"</definedName>
    <definedName name="IQ_OPER_INC_RE" hidden="1">"c6240"</definedName>
    <definedName name="IQ_OPER_INC_REIT" hidden="1">"c853"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UST_GROSS_LOANS" hidden="1">"c859"</definedName>
    <definedName name="IQ_OTHER_ADJUSTMENTS_COVERED" hidden="1">"c9961"</definedName>
    <definedName name="IQ_OTHER_ADJUSTMENTS_GROUP" hidden="1">"c9947"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DS" hidden="1">"c8784"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OMESTIC_DEBT_SECURITIES_FDIC" hidden="1">"c6302"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" hidden="1">"c8764"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ROOMS" hidden="1">"c8788"</definedName>
    <definedName name="IQ_OTHER_SAVINGS_DEPOSITS_FDIC" hidden="1">"c6554"</definedName>
    <definedName name="IQ_OTHER_SQ_FT" hidden="1">"c8780"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ITS" hidden="1">"c8772"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PART_TIME" hidden="1">"c1024"</definedName>
    <definedName name="IQ_PARTICIPATION_POOLS_RESIDENTIAL_MORTGAGES_FDIC" hidden="1">"c6403"</definedName>
    <definedName name="IQ_PARTNERSHIP_INC_RE" hidden="1">"c12039"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CIQ" hidden="1">"c4042"</definedName>
    <definedName name="IQ_PE_EXCL_FWD_REUT" hidden="1">"c4049"</definedName>
    <definedName name="IQ_PE_NORMALIZED" hidden="1">"c2207"</definedName>
    <definedName name="IQ_PE_RATIO" hidden="1">"c1610"</definedName>
    <definedName name="IQ_PEG_FWD" hidden="1">"c1863"</definedName>
    <definedName name="IQ_PEG_FWD_CIQ" hidden="1">"c4045"</definedName>
    <definedName name="IQ_PEG_FWD_REUT" hidden="1">"c4052"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CIQ" hidden="1">"c3790"</definedName>
    <definedName name="IQ_PERCENT_CHANGE_EST_5YR_GROWTH_RATE_18MONTHS" hidden="1">"c1853"</definedName>
    <definedName name="IQ_PERCENT_CHANGE_EST_5YR_GROWTH_RATE_18MONTHS_CIQ" hidden="1">"c3791"</definedName>
    <definedName name="IQ_PERCENT_CHANGE_EST_5YR_GROWTH_RATE_3MONTHS" hidden="1">"c1849"</definedName>
    <definedName name="IQ_PERCENT_CHANGE_EST_5YR_GROWTH_RATE_3MONTHS_CIQ" hidden="1">"c3787"</definedName>
    <definedName name="IQ_PERCENT_CHANGE_EST_5YR_GROWTH_RATE_6MONTHS" hidden="1">"c1850"</definedName>
    <definedName name="IQ_PERCENT_CHANGE_EST_5YR_GROWTH_RATE_6MONTHS_CIQ" hidden="1">"c3788"</definedName>
    <definedName name="IQ_PERCENT_CHANGE_EST_5YR_GROWTH_RATE_9MONTHS" hidden="1">"c1851"</definedName>
    <definedName name="IQ_PERCENT_CHANGE_EST_5YR_GROWTH_RATE_9MONTHS_CIQ" hidden="1">"c3789"</definedName>
    <definedName name="IQ_PERCENT_CHANGE_EST_5YR_GROWTH_RATE_DAY" hidden="1">"c1846"</definedName>
    <definedName name="IQ_PERCENT_CHANGE_EST_5YR_GROWTH_RATE_DAY_CIQ" hidden="1">"c3785"</definedName>
    <definedName name="IQ_PERCENT_CHANGE_EST_5YR_GROWTH_RATE_MONTH" hidden="1">"c1848"</definedName>
    <definedName name="IQ_PERCENT_CHANGE_EST_5YR_GROWTH_RATE_MONTH_CIQ" hidden="1">"c3786"</definedName>
    <definedName name="IQ_PERCENT_CHANGE_EST_5YR_GROWTH_RATE_WEEK" hidden="1">"c1847"</definedName>
    <definedName name="IQ_PERCENT_CHANGE_EST_5YR_GROWTH_RATE_WEEK_CIQ" hidden="1">"c3797"</definedName>
    <definedName name="IQ_PERCENT_CHANGE_EST_EBITDA_12MONTHS" hidden="1">"c1804"</definedName>
    <definedName name="IQ_PERCENT_CHANGE_EST_EBITDA_12MONTHS_CIQ" hidden="1">"c3748"</definedName>
    <definedName name="IQ_PERCENT_CHANGE_EST_EBITDA_18MONTHS" hidden="1">"c1805"</definedName>
    <definedName name="IQ_PERCENT_CHANGE_EST_EBITDA_18MONTHS_CIQ" hidden="1">"c3749"</definedName>
    <definedName name="IQ_PERCENT_CHANGE_EST_EBITDA_3MONTHS" hidden="1">"c1801"</definedName>
    <definedName name="IQ_PERCENT_CHANGE_EST_EBITDA_3MONTHS_CIQ" hidden="1">"c3745"</definedName>
    <definedName name="IQ_PERCENT_CHANGE_EST_EBITDA_6MONTHS" hidden="1">"c1802"</definedName>
    <definedName name="IQ_PERCENT_CHANGE_EST_EBITDA_6MONTHS_CIQ" hidden="1">"c3746"</definedName>
    <definedName name="IQ_PERCENT_CHANGE_EST_EBITDA_9MONTHS" hidden="1">"c1803"</definedName>
    <definedName name="IQ_PERCENT_CHANGE_EST_EBITDA_9MONTHS_CIQ" hidden="1">"c3747"</definedName>
    <definedName name="IQ_PERCENT_CHANGE_EST_EBITDA_DAY" hidden="1">"c1798"</definedName>
    <definedName name="IQ_PERCENT_CHANGE_EST_EBITDA_DAY_CIQ" hidden="1">"c3743"</definedName>
    <definedName name="IQ_PERCENT_CHANGE_EST_EBITDA_MONTH" hidden="1">"c1800"</definedName>
    <definedName name="IQ_PERCENT_CHANGE_EST_EBITDA_MONTH_CIQ" hidden="1">"c3744"</definedName>
    <definedName name="IQ_PERCENT_CHANGE_EST_EBITDA_WEEK" hidden="1">"c1799"</definedName>
    <definedName name="IQ_PERCENT_CHANGE_EST_EBITDA_WEEK_CIQ" hidden="1">"c3792"</definedName>
    <definedName name="IQ_PERCENT_CHANGE_EST_EPS_12MONTHS" hidden="1">"c1788"</definedName>
    <definedName name="IQ_PERCENT_CHANGE_EST_EPS_12MONTHS_CIQ" hidden="1">"c3733"</definedName>
    <definedName name="IQ_PERCENT_CHANGE_EST_EPS_18MONTHS" hidden="1">"c1789"</definedName>
    <definedName name="IQ_PERCENT_CHANGE_EST_EPS_18MONTHS_CIQ" hidden="1">"c3734"</definedName>
    <definedName name="IQ_PERCENT_CHANGE_EST_EPS_3MONTHS" hidden="1">"c1785"</definedName>
    <definedName name="IQ_PERCENT_CHANGE_EST_EPS_3MONTHS_CIQ" hidden="1">"c3730"</definedName>
    <definedName name="IQ_PERCENT_CHANGE_EST_EPS_6MONTHS" hidden="1">"c1786"</definedName>
    <definedName name="IQ_PERCENT_CHANGE_EST_EPS_6MONTHS_CIQ" hidden="1">"c3731"</definedName>
    <definedName name="IQ_PERCENT_CHANGE_EST_EPS_9MONTHS" hidden="1">"c1787"</definedName>
    <definedName name="IQ_PERCENT_CHANGE_EST_EPS_9MONTHS_CIQ" hidden="1">"c3732"</definedName>
    <definedName name="IQ_PERCENT_CHANGE_EST_EPS_DAY" hidden="1">"c1782"</definedName>
    <definedName name="IQ_PERCENT_CHANGE_EST_EPS_DAY_CIQ" hidden="1">"c3727"</definedName>
    <definedName name="IQ_PERCENT_CHANGE_EST_EPS_MONTH" hidden="1">"c1784"</definedName>
    <definedName name="IQ_PERCENT_CHANGE_EST_EPS_MONTH_CIQ" hidden="1">"c3729"</definedName>
    <definedName name="IQ_PERCENT_CHANGE_EST_EPS_WEEK" hidden="1">"c1783"</definedName>
    <definedName name="IQ_PERCENT_CHANGE_EST_EPS_WEEK_CIQ" hidden="1">"c3728"</definedName>
    <definedName name="IQ_PERCENT_CHANGE_EST_PRICE_TARGET_12MONTHS" hidden="1">"c1844"</definedName>
    <definedName name="IQ_PERCENT_CHANGE_EST_PRICE_TARGET_12MONTHS_CIQ" hidden="1">"c3783"</definedName>
    <definedName name="IQ_PERCENT_CHANGE_EST_PRICE_TARGET_18MONTHS" hidden="1">"c1845"</definedName>
    <definedName name="IQ_PERCENT_CHANGE_EST_PRICE_TARGET_18MONTHS_CIQ" hidden="1">"c3784"</definedName>
    <definedName name="IQ_PERCENT_CHANGE_EST_PRICE_TARGET_3MONTHS" hidden="1">"c1841"</definedName>
    <definedName name="IQ_PERCENT_CHANGE_EST_PRICE_TARGET_3MONTHS_CIQ" hidden="1">"c3780"</definedName>
    <definedName name="IQ_PERCENT_CHANGE_EST_PRICE_TARGET_6MONTHS" hidden="1">"c1842"</definedName>
    <definedName name="IQ_PERCENT_CHANGE_EST_PRICE_TARGET_6MONTHS_CIQ" hidden="1">"c3781"</definedName>
    <definedName name="IQ_PERCENT_CHANGE_EST_PRICE_TARGET_9MONTHS" hidden="1">"c1843"</definedName>
    <definedName name="IQ_PERCENT_CHANGE_EST_PRICE_TARGET_9MONTHS_CIQ" hidden="1">"c3782"</definedName>
    <definedName name="IQ_PERCENT_CHANGE_EST_PRICE_TARGET_DAY" hidden="1">"c1838"</definedName>
    <definedName name="IQ_PERCENT_CHANGE_EST_PRICE_TARGET_DAY_CIQ" hidden="1">"c3778"</definedName>
    <definedName name="IQ_PERCENT_CHANGE_EST_PRICE_TARGET_MONTH" hidden="1">"c1840"</definedName>
    <definedName name="IQ_PERCENT_CHANGE_EST_PRICE_TARGET_MONTH_CIQ" hidden="1">"c3779"</definedName>
    <definedName name="IQ_PERCENT_CHANGE_EST_PRICE_TARGET_WEEK" hidden="1">"c1839"</definedName>
    <definedName name="IQ_PERCENT_CHANGE_EST_PRICE_TARGET_WEEK_CIQ" hidden="1">"c3798"</definedName>
    <definedName name="IQ_PERCENT_CHANGE_EST_RECO_12MONTHS" hidden="1">"c1836"</definedName>
    <definedName name="IQ_PERCENT_CHANGE_EST_RECO_12MONTHS_CIQ" hidden="1">"c3776"</definedName>
    <definedName name="IQ_PERCENT_CHANGE_EST_RECO_18MONTHS" hidden="1">"c1837"</definedName>
    <definedName name="IQ_PERCENT_CHANGE_EST_RECO_18MONTHS_CIQ" hidden="1">"c3777"</definedName>
    <definedName name="IQ_PERCENT_CHANGE_EST_RECO_3MONTHS" hidden="1">"c1833"</definedName>
    <definedName name="IQ_PERCENT_CHANGE_EST_RECO_3MONTHS_CIQ" hidden="1">"c3773"</definedName>
    <definedName name="IQ_PERCENT_CHANGE_EST_RECO_6MONTHS" hidden="1">"c1834"</definedName>
    <definedName name="IQ_PERCENT_CHANGE_EST_RECO_6MONTHS_CIQ" hidden="1">"c3774"</definedName>
    <definedName name="IQ_PERCENT_CHANGE_EST_RECO_9MONTHS" hidden="1">"c1835"</definedName>
    <definedName name="IQ_PERCENT_CHANGE_EST_RECO_9MONTHS_CIQ" hidden="1">"c3775"</definedName>
    <definedName name="IQ_PERCENT_CHANGE_EST_RECO_DAY" hidden="1">"c1830"</definedName>
    <definedName name="IQ_PERCENT_CHANGE_EST_RECO_DAY_CIQ" hidden="1">"c3771"</definedName>
    <definedName name="IQ_PERCENT_CHANGE_EST_RECO_MONTH" hidden="1">"c1832"</definedName>
    <definedName name="IQ_PERCENT_CHANGE_EST_RECO_MONTH_CIQ" hidden="1">"c3772"</definedName>
    <definedName name="IQ_PERCENT_CHANGE_EST_RECO_WEEK" hidden="1">"c1831"</definedName>
    <definedName name="IQ_PERCENT_CHANGE_EST_RECO_WEEK_CIQ" hidden="1">"c3796"</definedName>
    <definedName name="IQ_PERCENT_CHANGE_EST_REV_12MONTHS" hidden="1">"c1796"</definedName>
    <definedName name="IQ_PERCENT_CHANGE_EST_REV_12MONTHS_CIQ" hidden="1">"c3741"</definedName>
    <definedName name="IQ_PERCENT_CHANGE_EST_REV_18MONTHS" hidden="1">"c1797"</definedName>
    <definedName name="IQ_PERCENT_CHANGE_EST_REV_18MONTHS_CIQ" hidden="1">"c3742"</definedName>
    <definedName name="IQ_PERCENT_CHANGE_EST_REV_3MONTHS" hidden="1">"c1793"</definedName>
    <definedName name="IQ_PERCENT_CHANGE_EST_REV_3MONTHS_CIQ" hidden="1">"c3738"</definedName>
    <definedName name="IQ_PERCENT_CHANGE_EST_REV_6MONTHS" hidden="1">"c1794"</definedName>
    <definedName name="IQ_PERCENT_CHANGE_EST_REV_6MONTHS_CIQ" hidden="1">"c3739"</definedName>
    <definedName name="IQ_PERCENT_CHANGE_EST_REV_9MONTHS" hidden="1">"c1795"</definedName>
    <definedName name="IQ_PERCENT_CHANGE_EST_REV_9MONTHS_CIQ" hidden="1">"c3740"</definedName>
    <definedName name="IQ_PERCENT_CHANGE_EST_REV_DAY" hidden="1">"c1790"</definedName>
    <definedName name="IQ_PERCENT_CHANGE_EST_REV_DAY_CIQ" hidden="1">"c3735"</definedName>
    <definedName name="IQ_PERCENT_CHANGE_EST_REV_MONTH" hidden="1">"c1792"</definedName>
    <definedName name="IQ_PERCENT_CHANGE_EST_REV_MONTH_CIQ" hidden="1">"c3737"</definedName>
    <definedName name="IQ_PERCENT_CHANGE_EST_REV_WEEK" hidden="1">"c1791"</definedName>
    <definedName name="IQ_PERCENT_CHANGE_EST_REV_WEEK_CIQ" hidden="1">"c3736"</definedName>
    <definedName name="IQ_PERCENT_INSURED_FDIC" hidden="1">"c6374"</definedName>
    <definedName name="IQ_PERIODDATE" hidden="1">"c1414"</definedName>
    <definedName name="IQ_PERIODDATE_AP" hidden="1">"c11745"</definedName>
    <definedName name="IQ_PERIODDATE_BS" hidden="1">"c1032"</definedName>
    <definedName name="IQ_PERIODDATE_CF" hidden="1">"c1033"</definedName>
    <definedName name="IQ_PERIODDATE_IS" hidden="1">"c1034"</definedName>
    <definedName name="IQ_PERIODLENGTH_AP" hidden="1">"c11746"</definedName>
    <definedName name="IQ_PERIODLENGTH_CF" hidden="1">"c1502"</definedName>
    <definedName name="IQ_PERIODLENGTH_IS" hidden="1">"c1503"</definedName>
    <definedName name="IQ_PERSONAL_CONSUMER_SPENDING_DURABLE" hidden="1">"c6942"</definedName>
    <definedName name="IQ_PERSONAL_CONSUMER_SPENDING_DURABLE_APR" hidden="1">"c7602"</definedName>
    <definedName name="IQ_PERSONAL_CONSUMER_SPENDING_DURABLE_APR_FC" hidden="1">"c8482"</definedName>
    <definedName name="IQ_PERSONAL_CONSUMER_SPENDING_DURABLE_FC" hidden="1">"c7822"</definedName>
    <definedName name="IQ_PERSONAL_CONSUMER_SPENDING_DURABLE_POP" hidden="1">"c7162"</definedName>
    <definedName name="IQ_PERSONAL_CONSUMER_SPENDING_DURABLE_POP_FC" hidden="1">"c8042"</definedName>
    <definedName name="IQ_PERSONAL_CONSUMER_SPENDING_DURABLE_YOY" hidden="1">"c7382"</definedName>
    <definedName name="IQ_PERSONAL_CONSUMER_SPENDING_DURABLE_YOY_FC" hidden="1">"c8262"</definedName>
    <definedName name="IQ_PERSONAL_CONSUMER_SPENDING_NONDURABLE" hidden="1">"c6940"</definedName>
    <definedName name="IQ_PERSONAL_CONSUMER_SPENDING_NONDURABLE_APR" hidden="1">"c7600"</definedName>
    <definedName name="IQ_PERSONAL_CONSUMER_SPENDING_NONDURABLE_APR_FC" hidden="1">"c8480"</definedName>
    <definedName name="IQ_PERSONAL_CONSUMER_SPENDING_NONDURABLE_FC" hidden="1">"c7820"</definedName>
    <definedName name="IQ_PERSONAL_CONSUMER_SPENDING_NONDURABLE_POP" hidden="1">"c7160"</definedName>
    <definedName name="IQ_PERSONAL_CONSUMER_SPENDING_NONDURABLE_POP_FC" hidden="1">"c8040"</definedName>
    <definedName name="IQ_PERSONAL_CONSUMER_SPENDING_NONDURABLE_YOY" hidden="1">"c7380"</definedName>
    <definedName name="IQ_PERSONAL_CONSUMER_SPENDING_NONDURABLE_YOY_FC" hidden="1">"c8260"</definedName>
    <definedName name="IQ_PERSONAL_CONSUMER_SPENDING_REAL" hidden="1">"c6994"</definedName>
    <definedName name="IQ_PERSONAL_CONSUMER_SPENDING_REAL_APR" hidden="1">"c7654"</definedName>
    <definedName name="IQ_PERSONAL_CONSUMER_SPENDING_REAL_APR_FC" hidden="1">"c8534"</definedName>
    <definedName name="IQ_PERSONAL_CONSUMER_SPENDING_REAL_FC" hidden="1">"c7874"</definedName>
    <definedName name="IQ_PERSONAL_CONSUMER_SPENDING_REAL_POP" hidden="1">"c7214"</definedName>
    <definedName name="IQ_PERSONAL_CONSUMER_SPENDING_REAL_POP_FC" hidden="1">"c8094"</definedName>
    <definedName name="IQ_PERSONAL_CONSUMER_SPENDING_REAL_YOY" hidden="1">"c7434"</definedName>
    <definedName name="IQ_PERSONAL_CONSUMER_SPENDING_REAL_YOY_FC" hidden="1">"c8314"</definedName>
    <definedName name="IQ_PERSONAL_CONSUMER_SPENDING_SERVICES" hidden="1">"c6941"</definedName>
    <definedName name="IQ_PERSONAL_CONSUMER_SPENDING_SERVICES_APR" hidden="1">"c7601"</definedName>
    <definedName name="IQ_PERSONAL_CONSUMER_SPENDING_SERVICES_APR_FC" hidden="1">"c8481"</definedName>
    <definedName name="IQ_PERSONAL_CONSUMER_SPENDING_SERVICES_FC" hidden="1">"c7821"</definedName>
    <definedName name="IQ_PERSONAL_CONSUMER_SPENDING_SERVICES_POP" hidden="1">"c7161"</definedName>
    <definedName name="IQ_PERSONAL_CONSUMER_SPENDING_SERVICES_POP_FC" hidden="1">"c8041"</definedName>
    <definedName name="IQ_PERSONAL_CONSUMER_SPENDING_SERVICES_YOY" hidden="1">"c7381"</definedName>
    <definedName name="IQ_PERSONAL_CONSUMER_SPENDING_SERVICES_YOY_FC" hidden="1">"c8261"</definedName>
    <definedName name="IQ_PERSONAL_INCOME" hidden="1">"c6943"</definedName>
    <definedName name="IQ_PERSONAL_INCOME_APR" hidden="1">"c7603"</definedName>
    <definedName name="IQ_PERSONAL_INCOME_APR_FC" hidden="1">"c8483"</definedName>
    <definedName name="IQ_PERSONAL_INCOME_FC" hidden="1">"c7823"</definedName>
    <definedName name="IQ_PERSONAL_INCOME_POP" hidden="1">"c7163"</definedName>
    <definedName name="IQ_PERSONAL_INCOME_POP_FC" hidden="1">"c8043"</definedName>
    <definedName name="IQ_PERSONAL_INCOME_SAAR" hidden="1">"c6944"</definedName>
    <definedName name="IQ_PERSONAL_INCOME_SAAR_APR" hidden="1">"c7604"</definedName>
    <definedName name="IQ_PERSONAL_INCOME_SAAR_APR_FC" hidden="1">"c8484"</definedName>
    <definedName name="IQ_PERSONAL_INCOME_SAAR_FC" hidden="1">"c7824"</definedName>
    <definedName name="IQ_PERSONAL_INCOME_SAAR_POP" hidden="1">"c7164"</definedName>
    <definedName name="IQ_PERSONAL_INCOME_SAAR_POP_FC" hidden="1">"c8044"</definedName>
    <definedName name="IQ_PERSONAL_INCOME_SAAR_YOY" hidden="1">"c7384"</definedName>
    <definedName name="IQ_PERSONAL_INCOME_SAAR_YOY_FC" hidden="1">"c8264"</definedName>
    <definedName name="IQ_PERSONAL_INCOME_USD_APR_FC" hidden="1">"c11885"</definedName>
    <definedName name="IQ_PERSONAL_INCOME_USD_FC" hidden="1">"c11882"</definedName>
    <definedName name="IQ_PERSONAL_INCOME_USD_POP_FC" hidden="1">"c11883"</definedName>
    <definedName name="IQ_PERSONAL_INCOME_USD_YOY_FC" hidden="1">"c11884"</definedName>
    <definedName name="IQ_PERSONAL_INCOME_YOY" hidden="1">"c7383"</definedName>
    <definedName name="IQ_PERSONAL_INCOME_YOY_FC" hidden="1">"c8263"</definedName>
    <definedName name="IQ_PERTYPE" hidden="1">"c1611"</definedName>
    <definedName name="IQ_PHARMBIO_NUMBER_LICENSED_PATENT_APP" hidden="1">"c10018"</definedName>
    <definedName name="IQ_PHARMBIO_NUMBER_LICENSED_PATENTS" hidden="1">"c10017"</definedName>
    <definedName name="IQ_PHARMBIO_NUMBER_PATENTS" hidden="1">"c10015"</definedName>
    <definedName name="IQ_PHARMBIO_NUMBER_PROD_APPROVED_DURING_PERIOD" hidden="1">"c10027"</definedName>
    <definedName name="IQ_PHARMBIO_NUMBER_PROD_CLINICAL_DEV" hidden="1">"c10022"</definedName>
    <definedName name="IQ_PHARMBIO_NUMBER_PROD_DISCOVERY_RESEARCH" hidden="1">"c10019"</definedName>
    <definedName name="IQ_PHARMBIO_NUMBER_PROD_LAUNCHED_DURING_PERIOD" hidden="1">"c10028"</definedName>
    <definedName name="IQ_PHARMBIO_NUMBER_PROD_PHASE_I" hidden="1">"c10023"</definedName>
    <definedName name="IQ_PHARMBIO_NUMBER_PROD_PHASE_II" hidden="1">"c10024"</definedName>
    <definedName name="IQ_PHARMBIO_NUMBER_PROD_PHASE_III" hidden="1">"c10025"</definedName>
    <definedName name="IQ_PHARMBIO_NUMBER_PROD_PRE_CLINICAL_TRIALS" hidden="1">"c10021"</definedName>
    <definedName name="IQ_PHARMBIO_NUMBER_PROD_PRE_REGISTRATION" hidden="1">"c10026"</definedName>
    <definedName name="IQ_PHARMBIO_NUMBER_PROD_RESEARCH_DEV" hidden="1">"c10020"</definedName>
    <definedName name="IQ_PHARMBIO_PATENT_APP" hidden="1">"c10016"</definedName>
    <definedName name="IQ_PHILADELPHIA_FED_DIFFUSION_INDEX" hidden="1">"c6945"</definedName>
    <definedName name="IQ_PHILADELPHIA_FED_DIFFUSION_INDEX_APR" hidden="1">"c7605"</definedName>
    <definedName name="IQ_PHILADELPHIA_FED_DIFFUSION_INDEX_APR_FC" hidden="1">"c8485"</definedName>
    <definedName name="IQ_PHILADELPHIA_FED_DIFFUSION_INDEX_FC" hidden="1">"c7825"</definedName>
    <definedName name="IQ_PHILADELPHIA_FED_DIFFUSION_INDEX_POP" hidden="1">"c7165"</definedName>
    <definedName name="IQ_PHILADELPHIA_FED_DIFFUSION_INDEX_POP_FC" hidden="1">"c8045"</definedName>
    <definedName name="IQ_PHILADELPHIA_FED_DIFFUSION_INDEX_YOY" hidden="1">"c7385"</definedName>
    <definedName name="IQ_PHILADELPHIA_FED_DIFFUSION_INDEX_YOY_FC" hidden="1">"c8265"</definedName>
    <definedName name="IQ_PLEDGED_SECURITIES_FDIC" hidden="1">"c6401"</definedName>
    <definedName name="IQ_PLL" hidden="1">"c2114"</definedName>
    <definedName name="IQ_PMAC_DIFFUSION_INDEX" hidden="1">"c6946"</definedName>
    <definedName name="IQ_PMAC_DIFFUSION_INDEX_APR" hidden="1">"c7606"</definedName>
    <definedName name="IQ_PMAC_DIFFUSION_INDEX_APR_FC" hidden="1">"c8486"</definedName>
    <definedName name="IQ_PMAC_DIFFUSION_INDEX_FC" hidden="1">"c7826"</definedName>
    <definedName name="IQ_PMAC_DIFFUSION_INDEX_POP" hidden="1">"c7166"</definedName>
    <definedName name="IQ_PMAC_DIFFUSION_INDEX_POP_FC" hidden="1">"c8046"</definedName>
    <definedName name="IQ_PMAC_DIFFUSION_INDEX_YOY" hidden="1">"c7386"</definedName>
    <definedName name="IQ_PMAC_DIFFUSION_INDEX_YOY_FC" hidden="1">"c8266"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P_ATTRIB_ORE_RESERVES_ALUM" hidden="1">"c9218"</definedName>
    <definedName name="IQ_PP_ATTRIB_ORE_RESERVES_COP" hidden="1">"c9162"</definedName>
    <definedName name="IQ_PP_ATTRIB_ORE_RESERVES_DIAM" hidden="1">"c9642"</definedName>
    <definedName name="IQ_PP_ATTRIB_ORE_RESERVES_GOLD" hidden="1">"c9003"</definedName>
    <definedName name="IQ_PP_ATTRIB_ORE_RESERVES_IRON" hidden="1">"c9377"</definedName>
    <definedName name="IQ_PP_ATTRIB_ORE_RESERVES_LEAD" hidden="1">"c9430"</definedName>
    <definedName name="IQ_PP_ATTRIB_ORE_RESERVES_MANG" hidden="1">"c9483"</definedName>
    <definedName name="IQ_PP_ATTRIB_ORE_RESERVES_MOLYB" hidden="1">"c9695"</definedName>
    <definedName name="IQ_PP_ATTRIB_ORE_RESERVES_NICK" hidden="1">"c9271"</definedName>
    <definedName name="IQ_PP_ATTRIB_ORE_RESERVES_PLAT" hidden="1">"c9109"</definedName>
    <definedName name="IQ_PP_ATTRIB_ORE_RESERVES_SILVER" hidden="1">"c9056"</definedName>
    <definedName name="IQ_PP_ATTRIB_ORE_RESERVES_TITAN" hidden="1">"c9536"</definedName>
    <definedName name="IQ_PP_ATTRIB_ORE_RESERVES_URAN" hidden="1">"c9589"</definedName>
    <definedName name="IQ_PP_ATTRIB_ORE_RESERVES_ZINC" hidden="1">"c9324"</definedName>
    <definedName name="IQ_PP_ORE_RESERVES_ALUM" hidden="1">"c9211"</definedName>
    <definedName name="IQ_PP_ORE_RESERVES_COP" hidden="1">"c9155"</definedName>
    <definedName name="IQ_PP_ORE_RESERVES_DIAM" hidden="1">"c9635"</definedName>
    <definedName name="IQ_PP_ORE_RESERVES_GOLD" hidden="1">"c8996"</definedName>
    <definedName name="IQ_PP_ORE_RESERVES_IRON" hidden="1">"c9370"</definedName>
    <definedName name="IQ_PP_ORE_RESERVES_LEAD" hidden="1">"c9423"</definedName>
    <definedName name="IQ_PP_ORE_RESERVES_MANG" hidden="1">"c9476"</definedName>
    <definedName name="IQ_PP_ORE_RESERVES_MOLYB" hidden="1">"c9688"</definedName>
    <definedName name="IQ_PP_ORE_RESERVES_NICK" hidden="1">"c9264"</definedName>
    <definedName name="IQ_PP_ORE_RESERVES_PLAT" hidden="1">"c9102"</definedName>
    <definedName name="IQ_PP_ORE_RESERVES_SILVER" hidden="1">"c9049"</definedName>
    <definedName name="IQ_PP_ORE_RESERVES_TITAN" hidden="1">"c9529"</definedName>
    <definedName name="IQ_PP_ORE_RESERVES_URAN" hidden="1">"c9582"</definedName>
    <definedName name="IQ_PP_ORE_RESERVES_ZINC" hidden="1">"c9317"</definedName>
    <definedName name="IQ_PP_RECOV_ATTRIB_RESERVES_ALUM" hidden="1">"c9221"</definedName>
    <definedName name="IQ_PP_RECOV_ATTRIB_RESERVES_COAL" hidden="1">"c9805"</definedName>
    <definedName name="IQ_PP_RECOV_ATTRIB_RESERVES_COP" hidden="1">"c9165"</definedName>
    <definedName name="IQ_PP_RECOV_ATTRIB_RESERVES_DIAM" hidden="1">"c9645"</definedName>
    <definedName name="IQ_PP_RECOV_ATTRIB_RESERVES_GOLD" hidden="1">"c9006"</definedName>
    <definedName name="IQ_PP_RECOV_ATTRIB_RESERVES_IRON" hidden="1">"c9380"</definedName>
    <definedName name="IQ_PP_RECOV_ATTRIB_RESERVES_LEAD" hidden="1">"c9433"</definedName>
    <definedName name="IQ_PP_RECOV_ATTRIB_RESERVES_MANG" hidden="1">"c9486"</definedName>
    <definedName name="IQ_PP_RECOV_ATTRIB_RESERVES_MET_COAL" hidden="1">"c9745"</definedName>
    <definedName name="IQ_PP_RECOV_ATTRIB_RESERVES_MOLYB" hidden="1">"c9698"</definedName>
    <definedName name="IQ_PP_RECOV_ATTRIB_RESERVES_NICK" hidden="1">"c9274"</definedName>
    <definedName name="IQ_PP_RECOV_ATTRIB_RESERVES_PLAT" hidden="1">"c9112"</definedName>
    <definedName name="IQ_PP_RECOV_ATTRIB_RESERVES_SILVER" hidden="1">"c9059"</definedName>
    <definedName name="IQ_PP_RECOV_ATTRIB_RESERVES_STEAM" hidden="1">"c9775"</definedName>
    <definedName name="IQ_PP_RECOV_ATTRIB_RESERVES_TITAN" hidden="1">"c9539"</definedName>
    <definedName name="IQ_PP_RECOV_ATTRIB_RESERVES_URAN" hidden="1">"c9592"</definedName>
    <definedName name="IQ_PP_RECOV_ATTRIB_RESERVES_ZINC" hidden="1">"c9327"</definedName>
    <definedName name="IQ_PP_RECOV_RESERVES_ALUM" hidden="1">"c9215"</definedName>
    <definedName name="IQ_PP_RECOV_RESERVES_COAL" hidden="1">"c9802"</definedName>
    <definedName name="IQ_PP_RECOV_RESERVES_COP" hidden="1">"c9159"</definedName>
    <definedName name="IQ_PP_RECOV_RESERVES_DIAM" hidden="1">"c9639"</definedName>
    <definedName name="IQ_PP_RECOV_RESERVES_GOLD" hidden="1">"c9000"</definedName>
    <definedName name="IQ_PP_RECOV_RESERVES_IRON" hidden="1">"c9374"</definedName>
    <definedName name="IQ_PP_RECOV_RESERVES_LEAD" hidden="1">"c9427"</definedName>
    <definedName name="IQ_PP_RECOV_RESERVES_MANG" hidden="1">"c9480"</definedName>
    <definedName name="IQ_PP_RECOV_RESERVES_MET_COAL" hidden="1">"c9742"</definedName>
    <definedName name="IQ_PP_RECOV_RESERVES_MOLYB" hidden="1">"c9692"</definedName>
    <definedName name="IQ_PP_RECOV_RESERVES_NICK" hidden="1">"c9268"</definedName>
    <definedName name="IQ_PP_RECOV_RESERVES_PLAT" hidden="1">"c9106"</definedName>
    <definedName name="IQ_PP_RECOV_RESERVES_SILVER" hidden="1">"c9053"</definedName>
    <definedName name="IQ_PP_RECOV_RESERVES_STEAM" hidden="1">"c9772"</definedName>
    <definedName name="IQ_PP_RECOV_RESERVES_TITAN" hidden="1">"c9533"</definedName>
    <definedName name="IQ_PP_RECOV_RESERVES_URAN" hidden="1">"c9586"</definedName>
    <definedName name="IQ_PP_RECOV_RESERVES_ZINC" hidden="1">"c9321"</definedName>
    <definedName name="IQ_PP_RESERVES_CALORIFIC_VALUE_COAL" hidden="1">"c9799"</definedName>
    <definedName name="IQ_PP_RESERVES_CALORIFIC_VALUE_MET_COAL" hidden="1">"c9739"</definedName>
    <definedName name="IQ_PP_RESERVES_CALORIFIC_VALUE_STEAM" hidden="1">"c9769"</definedName>
    <definedName name="IQ_PP_RESERVES_GRADE_ALUM" hidden="1">"c9212"</definedName>
    <definedName name="IQ_PP_RESERVES_GRADE_COP" hidden="1">"c9156"</definedName>
    <definedName name="IQ_PP_RESERVES_GRADE_DIAM" hidden="1">"c9636"</definedName>
    <definedName name="IQ_PP_RESERVES_GRADE_GOLD" hidden="1">"c8997"</definedName>
    <definedName name="IQ_PP_RESERVES_GRADE_IRON" hidden="1">"c9371"</definedName>
    <definedName name="IQ_PP_RESERVES_GRADE_LEAD" hidden="1">"c9424"</definedName>
    <definedName name="IQ_PP_RESERVES_GRADE_MANG" hidden="1">"c9477"</definedName>
    <definedName name="IQ_PP_RESERVES_GRADE_MOLYB" hidden="1">"c9689"</definedName>
    <definedName name="IQ_PP_RESERVES_GRADE_NICK" hidden="1">"c9265"</definedName>
    <definedName name="IQ_PP_RESERVES_GRADE_PLAT" hidden="1">"c9103"</definedName>
    <definedName name="IQ_PP_RESERVES_GRADE_SILVER" hidden="1">"c9050"</definedName>
    <definedName name="IQ_PP_RESERVES_GRADE_TITAN" hidden="1">"c9530"</definedName>
    <definedName name="IQ_PP_RESERVES_GRADE_URAN" hidden="1">"c9583"</definedName>
    <definedName name="IQ_PP_RESERVES_GRADE_ZINC" hidden="1">"c9318"</definedName>
    <definedName name="IQ_PPI" hidden="1">"c6810"</definedName>
    <definedName name="IQ_PPI_APR" hidden="1">"c7470"</definedName>
    <definedName name="IQ_PPI_APR_FC" hidden="1">"c8350"</definedName>
    <definedName name="IQ_PPI_CORE" hidden="1">"c6840"</definedName>
    <definedName name="IQ_PPI_CORE_APR" hidden="1">"c7500"</definedName>
    <definedName name="IQ_PPI_CORE_APR_FC" hidden="1">"c8380"</definedName>
    <definedName name="IQ_PPI_CORE_FC" hidden="1">"c7720"</definedName>
    <definedName name="IQ_PPI_CORE_POP" hidden="1">"c7060"</definedName>
    <definedName name="IQ_PPI_CORE_POP_FC" hidden="1">"c7940"</definedName>
    <definedName name="IQ_PPI_CORE_YOY" hidden="1">"c7280"</definedName>
    <definedName name="IQ_PPI_CORE_YOY_FC" hidden="1">"c8160"</definedName>
    <definedName name="IQ_PPI_FC" hidden="1">"c7690"</definedName>
    <definedName name="IQ_PPI_POP" hidden="1">"c7030"</definedName>
    <definedName name="IQ_PPI_POP_FC" hidden="1">"c7910"</definedName>
    <definedName name="IQ_PPI_YOY" hidden="1">"c7250"</definedName>
    <definedName name="IQ_PPI_YOY_FC" hidden="1">"c8130"</definedName>
    <definedName name="IQ_PRE_OPEN_COST" hidden="1">"c1040"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RETURN_ASSETS_FDIC" hidden="1">"c6731"</definedName>
    <definedName name="IQ_PRICE_OVER_BVPS" hidden="1">"c1412"</definedName>
    <definedName name="IQ_PRICE_OVER_LTM_EPS" hidden="1">"c1413"</definedName>
    <definedName name="IQ_PRICE_PAID_FARM_INDEX" hidden="1">"c6948"</definedName>
    <definedName name="IQ_PRICE_PAID_FARM_INDEX_APR" hidden="1">"c7608"</definedName>
    <definedName name="IQ_PRICE_PAID_FARM_INDEX_APR_FC" hidden="1">"c8488"</definedName>
    <definedName name="IQ_PRICE_PAID_FARM_INDEX_FC" hidden="1">"c7828"</definedName>
    <definedName name="IQ_PRICE_PAID_FARM_INDEX_POP" hidden="1">"c7168"</definedName>
    <definedName name="IQ_PRICE_PAID_FARM_INDEX_POP_FC" hidden="1">"c8048"</definedName>
    <definedName name="IQ_PRICE_PAID_FARM_INDEX_YOY" hidden="1">"c7388"</definedName>
    <definedName name="IQ_PRICE_PAID_FARM_INDEX_YOY_FC" hidden="1">"c8268"</definedName>
    <definedName name="IQ_PRICE_TARGET" hidden="1">"c82"</definedName>
    <definedName name="IQ_PRICE_TARGET_CIQ" hidden="1">"c3613"</definedName>
    <definedName name="IQ_PRICE_TARGET_REUT" hidden="1">"c3631"</definedName>
    <definedName name="IQ_PRICEDATE" hidden="1">"c1069"</definedName>
    <definedName name="IQ_PRICING_DATE" hidden="1">"c1613"</definedName>
    <definedName name="IQ_PRIMARY_INDUSTRY" hidden="1">"c1070"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FIXED_INVEST_TOTAL" hidden="1">"c12006"</definedName>
    <definedName name="IQ_PRIVATE_FIXED_INVEST_TOTAL_APR" hidden="1">"c12009"</definedName>
    <definedName name="IQ_PRIVATE_FIXED_INVEST_TOTAL_POP" hidden="1">"c12007"</definedName>
    <definedName name="IQ_PRIVATE_FIXED_INVEST_TOTAL_YOY" hidden="1">"c12008"</definedName>
    <definedName name="IQ_PRIVATE_NONRES_CONST_IMPROV" hidden="1">"c6949"</definedName>
    <definedName name="IQ_PRIVATE_NONRES_CONST_IMPROV_APR" hidden="1">"c7609"</definedName>
    <definedName name="IQ_PRIVATE_NONRES_CONST_IMPROV_APR_FC" hidden="1">"c8489"</definedName>
    <definedName name="IQ_PRIVATE_NONRES_CONST_IMPROV_FC" hidden="1">"c7829"</definedName>
    <definedName name="IQ_PRIVATE_NONRES_CONST_IMPROV_POP" hidden="1">"c7169"</definedName>
    <definedName name="IQ_PRIVATE_NONRES_CONST_IMPROV_POP_FC" hidden="1">"c8049"</definedName>
    <definedName name="IQ_PRIVATE_NONRES_CONST_IMPROV_YOY" hidden="1">"c7389"</definedName>
    <definedName name="IQ_PRIVATE_NONRES_CONST_IMPROV_YOY_FC" hidden="1">"c8269"</definedName>
    <definedName name="IQ_PRIVATE_RES_CONST_IMPROV" hidden="1">"c6950"</definedName>
    <definedName name="IQ_PRIVATE_RES_CONST_IMPROV_APR" hidden="1">"c7610"</definedName>
    <definedName name="IQ_PRIVATE_RES_CONST_IMPROV_APR_FC" hidden="1">"c8490"</definedName>
    <definedName name="IQ_PRIVATE_RES_CONST_IMPROV_FC" hidden="1">"c7830"</definedName>
    <definedName name="IQ_PRIVATE_RES_CONST_IMPROV_POP" hidden="1">"c7170"</definedName>
    <definedName name="IQ_PRIVATE_RES_CONST_IMPROV_POP_FC" hidden="1">"c8050"</definedName>
    <definedName name="IQ_PRIVATE_RES_CONST_IMPROV_YOY" hidden="1">"c7390"</definedName>
    <definedName name="IQ_PRIVATE_RES_CONST_IMPROV_YOY_FC" hidden="1">"c8270"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_RES_FIXED_INVEST_REAL" hidden="1">"c11986"</definedName>
    <definedName name="IQ_PRIVATE_RES_FIXED_INVEST_REAL_APR" hidden="1">"c11989"</definedName>
    <definedName name="IQ_PRIVATE_RES_FIXED_INVEST_REAL_POP" hidden="1">"c11987"</definedName>
    <definedName name="IQ_PRIVATE_RES_FIXED_INVEST_REAL_YOY" hidden="1">"c11988"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ATTRIB_ORE_RESERVES_ALUM" hidden="1">"c9217"</definedName>
    <definedName name="IQ_PROBABLE_ATTRIB_ORE_RESERVES_COP" hidden="1">"c9161"</definedName>
    <definedName name="IQ_PROBABLE_ATTRIB_ORE_RESERVES_DIAM" hidden="1">"c9641"</definedName>
    <definedName name="IQ_PROBABLE_ATTRIB_ORE_RESERVES_GOLD" hidden="1">"c9002"</definedName>
    <definedName name="IQ_PROBABLE_ATTRIB_ORE_RESERVES_IRON" hidden="1">"c9376"</definedName>
    <definedName name="IQ_PROBABLE_ATTRIB_ORE_RESERVES_LEAD" hidden="1">"c9429"</definedName>
    <definedName name="IQ_PROBABLE_ATTRIB_ORE_RESERVES_MANG" hidden="1">"c9482"</definedName>
    <definedName name="IQ_PROBABLE_ATTRIB_ORE_RESERVES_MOLYB" hidden="1">"c9694"</definedName>
    <definedName name="IQ_PROBABLE_ATTRIB_ORE_RESERVES_NICK" hidden="1">"c9270"</definedName>
    <definedName name="IQ_PROBABLE_ATTRIB_ORE_RESERVES_PLAT" hidden="1">"c9108"</definedName>
    <definedName name="IQ_PROBABLE_ATTRIB_ORE_RESERVES_SILVER" hidden="1">"c9055"</definedName>
    <definedName name="IQ_PROBABLE_ATTRIB_ORE_RESERVES_TITAN" hidden="1">"c9535"</definedName>
    <definedName name="IQ_PROBABLE_ATTRIB_ORE_RESERVES_URAN" hidden="1">"c9588"</definedName>
    <definedName name="IQ_PROBABLE_ATTRIB_ORE_RESERVES_ZINC" hidden="1">"c9323"</definedName>
    <definedName name="IQ_PROBABLE_ORE_RESERVES_ALUM" hidden="1">"c9209"</definedName>
    <definedName name="IQ_PROBABLE_ORE_RESERVES_COP" hidden="1">"c9153"</definedName>
    <definedName name="IQ_PROBABLE_ORE_RESERVES_DIAM" hidden="1">"c9633"</definedName>
    <definedName name="IQ_PROBABLE_ORE_RESERVES_GOLD" hidden="1">"c8994"</definedName>
    <definedName name="IQ_PROBABLE_ORE_RESERVES_IRON" hidden="1">"c9368"</definedName>
    <definedName name="IQ_PROBABLE_ORE_RESERVES_LEAD" hidden="1">"c9421"</definedName>
    <definedName name="IQ_PROBABLE_ORE_RESERVES_MANG" hidden="1">"c9474"</definedName>
    <definedName name="IQ_PROBABLE_ORE_RESERVES_MOLYB" hidden="1">"c9686"</definedName>
    <definedName name="IQ_PROBABLE_ORE_RESERVES_NICK" hidden="1">"c9262"</definedName>
    <definedName name="IQ_PROBABLE_ORE_RESERVES_PLAT" hidden="1">"c9100"</definedName>
    <definedName name="IQ_PROBABLE_ORE_RESERVES_SILVER" hidden="1">"c9047"</definedName>
    <definedName name="IQ_PROBABLE_ORE_RESERVES_TITAN" hidden="1">"c9527"</definedName>
    <definedName name="IQ_PROBABLE_ORE_RESERVES_URAN" hidden="1">"c9580"</definedName>
    <definedName name="IQ_PROBABLE_ORE_RESERVES_ZINC" hidden="1">"c9315"</definedName>
    <definedName name="IQ_PROBABLE_RECOV_ATTRIB_RESERVES_ALUM" hidden="1">"c9220"</definedName>
    <definedName name="IQ_PROBABLE_RECOV_ATTRIB_RESERVES_COAL" hidden="1">"c9804"</definedName>
    <definedName name="IQ_PROBABLE_RECOV_ATTRIB_RESERVES_COP" hidden="1">"c9164"</definedName>
    <definedName name="IQ_PROBABLE_RECOV_ATTRIB_RESERVES_DIAM" hidden="1">"c9644"</definedName>
    <definedName name="IQ_PROBABLE_RECOV_ATTRIB_RESERVES_GOLD" hidden="1">"c9005"</definedName>
    <definedName name="IQ_PROBABLE_RECOV_ATTRIB_RESERVES_IRON" hidden="1">"c9379"</definedName>
    <definedName name="IQ_PROBABLE_RECOV_ATTRIB_RESERVES_LEAD" hidden="1">"c9432"</definedName>
    <definedName name="IQ_PROBABLE_RECOV_ATTRIB_RESERVES_MANG" hidden="1">"c9485"</definedName>
    <definedName name="IQ_PROBABLE_RECOV_ATTRIB_RESERVES_MET_COAL" hidden="1">"c9744"</definedName>
    <definedName name="IQ_PROBABLE_RECOV_ATTRIB_RESERVES_MOLYB" hidden="1">"c9697"</definedName>
    <definedName name="IQ_PROBABLE_RECOV_ATTRIB_RESERVES_NICK" hidden="1">"c9273"</definedName>
    <definedName name="IQ_PROBABLE_RECOV_ATTRIB_RESERVES_PLAT" hidden="1">"c9111"</definedName>
    <definedName name="IQ_PROBABLE_RECOV_ATTRIB_RESERVES_SILVER" hidden="1">"c9058"</definedName>
    <definedName name="IQ_PROBABLE_RECOV_ATTRIB_RESERVES_STEAM" hidden="1">"c9774"</definedName>
    <definedName name="IQ_PROBABLE_RECOV_ATTRIB_RESERVES_TITAN" hidden="1">"c9538"</definedName>
    <definedName name="IQ_PROBABLE_RECOV_ATTRIB_RESERVES_URAN" hidden="1">"c9591"</definedName>
    <definedName name="IQ_PROBABLE_RECOV_ATTRIB_RESERVES_ZINC" hidden="1">"c9326"</definedName>
    <definedName name="IQ_PROBABLE_RECOV_RESERVES_ALUM" hidden="1">"c9214"</definedName>
    <definedName name="IQ_PROBABLE_RECOV_RESERVES_COAL" hidden="1">"c9801"</definedName>
    <definedName name="IQ_PROBABLE_RECOV_RESERVES_COP" hidden="1">"c9158"</definedName>
    <definedName name="IQ_PROBABLE_RECOV_RESERVES_DIAM" hidden="1">"c9638"</definedName>
    <definedName name="IQ_PROBABLE_RECOV_RESERVES_GOLD" hidden="1">"c8999"</definedName>
    <definedName name="IQ_PROBABLE_RECOV_RESERVES_IRON" hidden="1">"c9373"</definedName>
    <definedName name="IQ_PROBABLE_RECOV_RESERVES_LEAD" hidden="1">"c9426"</definedName>
    <definedName name="IQ_PROBABLE_RECOV_RESERVES_MANG" hidden="1">"c9479"</definedName>
    <definedName name="IQ_PROBABLE_RECOV_RESERVES_MET_COAL" hidden="1">"c9741"</definedName>
    <definedName name="IQ_PROBABLE_RECOV_RESERVES_MOLYB" hidden="1">"c9691"</definedName>
    <definedName name="IQ_PROBABLE_RECOV_RESERVES_NICK" hidden="1">"c9267"</definedName>
    <definedName name="IQ_PROBABLE_RECOV_RESERVES_PLAT" hidden="1">"c9105"</definedName>
    <definedName name="IQ_PROBABLE_RECOV_RESERVES_SILVER" hidden="1">"c9052"</definedName>
    <definedName name="IQ_PROBABLE_RECOV_RESERVES_STEAM" hidden="1">"c9771"</definedName>
    <definedName name="IQ_PROBABLE_RECOV_RESERVES_TITAN" hidden="1">"c9532"</definedName>
    <definedName name="IQ_PROBABLE_RECOV_RESERVES_URAN" hidden="1">"c9585"</definedName>
    <definedName name="IQ_PROBABLE_RECOV_RESERVES_ZINC" hidden="1">"c9320"</definedName>
    <definedName name="IQ_PROBABLE_RESERVES_CALORIFIC_VALUE_COAL" hidden="1">"c9798"</definedName>
    <definedName name="IQ_PROBABLE_RESERVES_CALORIFIC_VALUE_MET_COAL" hidden="1">"c9738"</definedName>
    <definedName name="IQ_PROBABLE_RESERVES_CALORIFIC_VALUE_STEAM" hidden="1">"c9768"</definedName>
    <definedName name="IQ_PROBABLE_RESERVES_GRADE_ALUM" hidden="1">"c9210"</definedName>
    <definedName name="IQ_PROBABLE_RESERVES_GRADE_COP" hidden="1">"c9154"</definedName>
    <definedName name="IQ_PROBABLE_RESERVES_GRADE_DIAM" hidden="1">"c9634"</definedName>
    <definedName name="IQ_PROBABLE_RESERVES_GRADE_GOLD" hidden="1">"c8995"</definedName>
    <definedName name="IQ_PROBABLE_RESERVES_GRADE_IRON" hidden="1">"c9369"</definedName>
    <definedName name="IQ_PROBABLE_RESERVES_GRADE_LEAD" hidden="1">"c9422"</definedName>
    <definedName name="IQ_PROBABLE_RESERVES_GRADE_MANG" hidden="1">"c9475"</definedName>
    <definedName name="IQ_PROBABLE_RESERVES_GRADE_MOLYB" hidden="1">"c9687"</definedName>
    <definedName name="IQ_PROBABLE_RESERVES_GRADE_NICK" hidden="1">"c9263"</definedName>
    <definedName name="IQ_PROBABLE_RESERVES_GRADE_PLAT" hidden="1">"c9101"</definedName>
    <definedName name="IQ_PROBABLE_RESERVES_GRADE_SILVER" hidden="1">"c9048"</definedName>
    <definedName name="IQ_PROBABLE_RESERVES_GRADE_TITAN" hidden="1">"c9528"</definedName>
    <definedName name="IQ_PROBABLE_RESERVES_GRADE_URAN" hidden="1">"c9581"</definedName>
    <definedName name="IQ_PROBABLE_RESERVES_GRADE_ZINC" hidden="1">"c9316"</definedName>
    <definedName name="IQ_PRODUCTION_COST_ALUM" hidden="1">"c9253"</definedName>
    <definedName name="IQ_PRODUCTION_COST_COAL" hidden="1">"c9826"</definedName>
    <definedName name="IQ_PRODUCTION_COST_COP" hidden="1">"c9200"</definedName>
    <definedName name="IQ_PRODUCTION_COST_DIAM" hidden="1">"c9677"</definedName>
    <definedName name="IQ_PRODUCTION_COST_GOLD" hidden="1">"c9038"</definedName>
    <definedName name="IQ_PRODUCTION_COST_IRON" hidden="1">"c9412"</definedName>
    <definedName name="IQ_PRODUCTION_COST_LEAD" hidden="1">"c9465"</definedName>
    <definedName name="IQ_PRODUCTION_COST_MANG" hidden="1">"c9518"</definedName>
    <definedName name="IQ_PRODUCTION_COST_MET_COAL" hidden="1">"c9763"</definedName>
    <definedName name="IQ_PRODUCTION_COST_MOLYB" hidden="1">"c9730"</definedName>
    <definedName name="IQ_PRODUCTION_COST_NICK" hidden="1">"c9306"</definedName>
    <definedName name="IQ_PRODUCTION_COST_PLAT" hidden="1">"c9144"</definedName>
    <definedName name="IQ_PRODUCTION_COST_SILVER" hidden="1">"c9091"</definedName>
    <definedName name="IQ_PRODUCTION_COST_STEAM" hidden="1">"c9793"</definedName>
    <definedName name="IQ_PRODUCTION_COST_TITAN" hidden="1">"c9571"</definedName>
    <definedName name="IQ_PRODUCTION_COST_URAN" hidden="1">"c9624"</definedName>
    <definedName name="IQ_PRODUCTION_COST_ZINC" hidden="1">"c9359"</definedName>
    <definedName name="IQ_PROFESSIONAL" hidden="1">"c1071"</definedName>
    <definedName name="IQ_PROFESSIONAL_TITLE" hidden="1">"c1072"</definedName>
    <definedName name="IQ_PROFIT_AFTER_COST_CAPITAL_NEW_BUSINESS" hidden="1">"c9969"</definedName>
    <definedName name="IQ_PROFIT_BEFORE_COST_CAPITAL_NEW_BUSINESS" hidden="1">"c9967"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ED_ATTRIB_ORE_RESERVES_ALUM" hidden="1">"c9216"</definedName>
    <definedName name="IQ_PROVED_ATTRIB_ORE_RESERVES_COP" hidden="1">"c9160"</definedName>
    <definedName name="IQ_PROVED_ATTRIB_ORE_RESERVES_DIAM" hidden="1">"c9640"</definedName>
    <definedName name="IQ_PROVED_ATTRIB_ORE_RESERVES_GOLD" hidden="1">"c9001"</definedName>
    <definedName name="IQ_PROVED_ATTRIB_ORE_RESERVES_IRON" hidden="1">"c9375"</definedName>
    <definedName name="IQ_PROVED_ATTRIB_ORE_RESERVES_LEAD" hidden="1">"c9428"</definedName>
    <definedName name="IQ_PROVED_ATTRIB_ORE_RESERVES_MANG" hidden="1">"c9481"</definedName>
    <definedName name="IQ_PROVED_ATTRIB_ORE_RESERVES_MOLYB" hidden="1">"c9693"</definedName>
    <definedName name="IQ_PROVED_ATTRIB_ORE_RESERVES_NICK" hidden="1">"c9269"</definedName>
    <definedName name="IQ_PROVED_ATTRIB_ORE_RESERVES_PLAT" hidden="1">"c9107"</definedName>
    <definedName name="IQ_PROVED_ATTRIB_ORE_RESERVES_SILVER" hidden="1">"c9054"</definedName>
    <definedName name="IQ_PROVED_ATTRIB_ORE_RESERVES_TITAN" hidden="1">"c9534"</definedName>
    <definedName name="IQ_PROVED_ATTRIB_ORE_RESERVES_URAN" hidden="1">"c9587"</definedName>
    <definedName name="IQ_PROVED_ATTRIB_ORE_RESERVES_ZINC" hidden="1">"c9322"</definedName>
    <definedName name="IQ_PROVED_ORE_RESERVES_ALUM" hidden="1">"c9207"</definedName>
    <definedName name="IQ_PROVED_ORE_RESERVES_COP" hidden="1">"c9151"</definedName>
    <definedName name="IQ_PROVED_ORE_RESERVES_DIAM" hidden="1">"c9631"</definedName>
    <definedName name="IQ_PROVED_ORE_RESERVES_GOLD" hidden="1">"c8992"</definedName>
    <definedName name="IQ_PROVED_ORE_RESERVES_IRON" hidden="1">"c9366"</definedName>
    <definedName name="IQ_PROVED_ORE_RESERVES_LEAD" hidden="1">"c9419"</definedName>
    <definedName name="IQ_PROVED_ORE_RESERVES_MANG" hidden="1">"c9472"</definedName>
    <definedName name="IQ_PROVED_ORE_RESERVES_MOLYB" hidden="1">"c9684"</definedName>
    <definedName name="IQ_PROVED_ORE_RESERVES_NICK" hidden="1">"c9260"</definedName>
    <definedName name="IQ_PROVED_ORE_RESERVES_PLAT" hidden="1">"c9098"</definedName>
    <definedName name="IQ_PROVED_ORE_RESERVES_SILVER" hidden="1">"c9045"</definedName>
    <definedName name="IQ_PROVED_ORE_RESERVES_TITAN" hidden="1">"c9525"</definedName>
    <definedName name="IQ_PROVED_ORE_RESERVES_URAN" hidden="1">"c9578"</definedName>
    <definedName name="IQ_PROVED_ORE_RESERVES_ZINC" hidden="1">"c9313"</definedName>
    <definedName name="IQ_PROVED_RECOV_ATTRIB_RESERVES_ALUM" hidden="1">"c9219"</definedName>
    <definedName name="IQ_PROVED_RECOV_ATTRIB_RESERVES_COAL" hidden="1">"c9803"</definedName>
    <definedName name="IQ_PROVED_RECOV_ATTRIB_RESERVES_COP" hidden="1">"c9163"</definedName>
    <definedName name="IQ_PROVED_RECOV_ATTRIB_RESERVES_DIAM" hidden="1">"c9643"</definedName>
    <definedName name="IQ_PROVED_RECOV_ATTRIB_RESERVES_GOLD" hidden="1">"c9004"</definedName>
    <definedName name="IQ_PROVED_RECOV_ATTRIB_RESERVES_IRON" hidden="1">"c9378"</definedName>
    <definedName name="IQ_PROVED_RECOV_ATTRIB_RESERVES_LEAD" hidden="1">"c9431"</definedName>
    <definedName name="IQ_PROVED_RECOV_ATTRIB_RESERVES_MANG" hidden="1">"c9484"</definedName>
    <definedName name="IQ_PROVED_RECOV_ATTRIB_RESERVES_MET_COAL" hidden="1">"c9743"</definedName>
    <definedName name="IQ_PROVED_RECOV_ATTRIB_RESERVES_MOLYB" hidden="1">"c9696"</definedName>
    <definedName name="IQ_PROVED_RECOV_ATTRIB_RESERVES_NICK" hidden="1">"c9272"</definedName>
    <definedName name="IQ_PROVED_RECOV_ATTRIB_RESERVES_PLAT" hidden="1">"c9110"</definedName>
    <definedName name="IQ_PROVED_RECOV_ATTRIB_RESERVES_SILVER" hidden="1">"c9057"</definedName>
    <definedName name="IQ_PROVED_RECOV_ATTRIB_RESERVES_STEAM" hidden="1">"c9773"</definedName>
    <definedName name="IQ_PROVED_RECOV_ATTRIB_RESERVES_TITAN" hidden="1">"c9537"</definedName>
    <definedName name="IQ_PROVED_RECOV_ATTRIB_RESERVES_URAN" hidden="1">"c9590"</definedName>
    <definedName name="IQ_PROVED_RECOV_ATTRIB_RESERVES_ZINC" hidden="1">"c9325"</definedName>
    <definedName name="IQ_PROVED_RECOV_RESERVES_ALUM" hidden="1">"c9213"</definedName>
    <definedName name="IQ_PROVED_RECOV_RESERVES_COAL" hidden="1">"c9800"</definedName>
    <definedName name="IQ_PROVED_RECOV_RESERVES_COP" hidden="1">"c9157"</definedName>
    <definedName name="IQ_PROVED_RECOV_RESERVES_DIAM" hidden="1">"c9637"</definedName>
    <definedName name="IQ_PROVED_RECOV_RESERVES_GOLD" hidden="1">"c8998"</definedName>
    <definedName name="IQ_PROVED_RECOV_RESERVES_IRON" hidden="1">"c9372"</definedName>
    <definedName name="IQ_PROVED_RECOV_RESERVES_LEAD" hidden="1">"c9425"</definedName>
    <definedName name="IQ_PROVED_RECOV_RESERVES_MANG" hidden="1">"c9478"</definedName>
    <definedName name="IQ_PROVED_RECOV_RESERVES_MET_COAL" hidden="1">"c9740"</definedName>
    <definedName name="IQ_PROVED_RECOV_RESERVES_MOLYB" hidden="1">"c9690"</definedName>
    <definedName name="IQ_PROVED_RECOV_RESERVES_NICK" hidden="1">"c9266"</definedName>
    <definedName name="IQ_PROVED_RECOV_RESERVES_PLAT" hidden="1">"c9104"</definedName>
    <definedName name="IQ_PROVED_RECOV_RESERVES_SILVER" hidden="1">"c9051"</definedName>
    <definedName name="IQ_PROVED_RECOV_RESERVES_STEAM" hidden="1">"c9770"</definedName>
    <definedName name="IQ_PROVED_RECOV_RESERVES_TITAN" hidden="1">"c9531"</definedName>
    <definedName name="IQ_PROVED_RECOV_RESERVES_URAN" hidden="1">"c9584"</definedName>
    <definedName name="IQ_PROVED_RECOV_RESERVES_ZINC" hidden="1">"c9319"</definedName>
    <definedName name="IQ_PROVED_RESERVES_CALORIFIC_VALUE_COAL" hidden="1">"c9797"</definedName>
    <definedName name="IQ_PROVED_RESERVES_CALORIFIC_VALUE_MET_COAL" hidden="1">"c9737"</definedName>
    <definedName name="IQ_PROVED_RESERVES_CALORIFIC_VALUE_STEAM" hidden="1">"c9767"</definedName>
    <definedName name="IQ_PROVED_RESERVES_GRADE_ALUM" hidden="1">"c9208"</definedName>
    <definedName name="IQ_PROVED_RESERVES_GRADE_COP" hidden="1">"c9152"</definedName>
    <definedName name="IQ_PROVED_RESERVES_GRADE_DIAM" hidden="1">"c9632"</definedName>
    <definedName name="IQ_PROVED_RESERVES_GRADE_GOLD" hidden="1">"c8993"</definedName>
    <definedName name="IQ_PROVED_RESERVES_GRADE_IRON" hidden="1">"c9367"</definedName>
    <definedName name="IQ_PROVED_RESERVES_GRADE_LEAD" hidden="1">"c9420"</definedName>
    <definedName name="IQ_PROVED_RESERVES_GRADE_MANG" hidden="1">"c9473"</definedName>
    <definedName name="IQ_PROVED_RESERVES_GRADE_MOLYB" hidden="1">"c9685"</definedName>
    <definedName name="IQ_PROVED_RESERVES_GRADE_NICK" hidden="1">"c9261"</definedName>
    <definedName name="IQ_PROVED_RESERVES_GRADE_PLAT" hidden="1">"c9099"</definedName>
    <definedName name="IQ_PROVED_RESERVES_GRADE_SILVER" hidden="1">"c9046"</definedName>
    <definedName name="IQ_PROVED_RESERVES_GRADE_TITAN" hidden="1">"c9526"</definedName>
    <definedName name="IQ_PROVED_RESERVES_GRADE_URAN" hidden="1">"c9579"</definedName>
    <definedName name="IQ_PROVED_RESERVES_GRADE_ZINC" hidden="1">"c9314"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RCHASE_FOREIGN_CURRENCIES_FDIC" hidden="1">"c6513"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V_PREMIUMS_NEW_BUSINESS" hidden="1">"c9973"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DEPR_AMORT" hidden="1">"c8750"</definedName>
    <definedName name="IQ_RE_FCCR" hidden="1">"c8858"</definedName>
    <definedName name="IQ_RE_FCCR_CONT_OPS" hidden="1">"c8859"</definedName>
    <definedName name="IQ_RE_FCCR_INCL_DISC_OPS" hidden="1">"c8860"</definedName>
    <definedName name="IQ_RE_FCCR_INCL_PREF_DIV" hidden="1">"c8861"</definedName>
    <definedName name="IQ_RE_FCCR_INCL_PREF_DIV_CONT_OPS" hidden="1">"c8862"</definedName>
    <definedName name="IQ_RE_FCCR_INCL_PREF_DIV_INCL_DISC_OPS" hidden="1">"c8863"</definedName>
    <definedName name="IQ_RE_FIXED_CHARGES" hidden="1">"c8856"</definedName>
    <definedName name="IQ_RE_FIXED_CHARGES_INCL_PREF_DIV" hidden="1">"c8857"</definedName>
    <definedName name="IQ_RE_FORECLOSURE_FDIC" hidden="1">"c6332"</definedName>
    <definedName name="IQ_RE_GAIN_LOSS_SALE_ASSETS" hidden="1">"c8751"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MAINT_CAPEX" hidden="1">"c8755"</definedName>
    <definedName name="IQ_RE_MINORITY_INTEREST" hidden="1">"c8752"</definedName>
    <definedName name="IQ_RE_NET_INCOME" hidden="1">"c8749"</definedName>
    <definedName name="IQ_RE_NOI" hidden="1">"c8864"</definedName>
    <definedName name="IQ_RE_NOI_GROWTH_SAME_PROP" hidden="1">"c8866"</definedName>
    <definedName name="IQ_RE_NOI_SAME_PROP" hidden="1">"c8865"</definedName>
    <definedName name="IQ_RE_OTHER_ITEMS" hidden="1">"c8753"</definedName>
    <definedName name="IQ_REAL_ESTATE" hidden="1">"c1093"</definedName>
    <definedName name="IQ_REAL_ESTATE_ASSETS" hidden="1">"c1094"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_CIQ" hidden="1">"c5045"</definedName>
    <definedName name="IQ_RECURRING_PROFIT_SHARE_ACT_OR_EST_CIQ" hidden="1">"c5046"</definedName>
    <definedName name="IQ_REDEEM_PREF_STOCK" hidden="1">"c1417"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PER_SQ_FT_AVG_CONSOL" hidden="1">"c8846"</definedName>
    <definedName name="IQ_RENT_PER_SQ_FT_AVG_MANAGED" hidden="1">"c8848"</definedName>
    <definedName name="IQ_RENT_PER_SQ_FT_AVG_OTHER" hidden="1">"c8849"</definedName>
    <definedName name="IQ_RENT_PER_SQ_FT_AVG_TOTAL" hidden="1">"c8850"</definedName>
    <definedName name="IQ_RENT_PER_SQ_FT_AVG_UNCONSOL" hidden="1">"c8847"</definedName>
    <definedName name="IQ_RENT_PER_SQ_METER_AVG_CONSOL" hidden="1">"c8851"</definedName>
    <definedName name="IQ_RENT_PER_SQ_METER_AVG_MANAGED" hidden="1">"c8853"</definedName>
    <definedName name="IQ_RENT_PER_SQ_METER_AVG_OTHER" hidden="1">"c8854"</definedName>
    <definedName name="IQ_RENT_PER_SQ_METER_AVG_TOTAL" hidden="1">"c8855"</definedName>
    <definedName name="IQ_RENT_PER_SQ_METER_AVG_UNCONSOL" hidden="1">"c8852"</definedName>
    <definedName name="IQ_RENTAL_REV" hidden="1">"c1101"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_FIXED_INVEST" hidden="1">"c7001"</definedName>
    <definedName name="IQ_RES_FIXED_INVEST_APR" hidden="1">"c7661"</definedName>
    <definedName name="IQ_RES_FIXED_INVEST_APR_FC" hidden="1">"c8541"</definedName>
    <definedName name="IQ_RES_FIXED_INVEST_FC" hidden="1">"c7881"</definedName>
    <definedName name="IQ_RES_FIXED_INVEST_POP" hidden="1">"c7221"</definedName>
    <definedName name="IQ_RES_FIXED_INVEST_POP_FC" hidden="1">"c8101"</definedName>
    <definedName name="IQ_RES_FIXED_INVEST_REAL" hidden="1">"c6998"</definedName>
    <definedName name="IQ_RES_FIXED_INVEST_REAL_APR" hidden="1">"c7658"</definedName>
    <definedName name="IQ_RES_FIXED_INVEST_REAL_APR_FC" hidden="1">"c8538"</definedName>
    <definedName name="IQ_RES_FIXED_INVEST_REAL_FC" hidden="1">"c7878"</definedName>
    <definedName name="IQ_RES_FIXED_INVEST_REAL_POP" hidden="1">"c7218"</definedName>
    <definedName name="IQ_RES_FIXED_INVEST_REAL_POP_FC" hidden="1">"c8098"</definedName>
    <definedName name="IQ_RES_FIXED_INVEST_REAL_YOY" hidden="1">"c7438"</definedName>
    <definedName name="IQ_RES_FIXED_INVEST_REAL_YOY_FC" hidden="1">"c8318"</definedName>
    <definedName name="IQ_RES_FIXED_INVEST_SAAR" hidden="1">"c11994"</definedName>
    <definedName name="IQ_RES_FIXED_INVEST_SAAR_APR" hidden="1">"c11997"</definedName>
    <definedName name="IQ_RES_FIXED_INVEST_SAAR_POP" hidden="1">"c11995"</definedName>
    <definedName name="IQ_RES_FIXED_INVEST_SAAR_REAL" hidden="1">"c11990"</definedName>
    <definedName name="IQ_RES_FIXED_INVEST_SAAR_REAL_APR" hidden="1">"c11993"</definedName>
    <definedName name="IQ_RES_FIXED_INVEST_SAAR_REAL_POP" hidden="1">"c11991"</definedName>
    <definedName name="IQ_RES_FIXED_INVEST_SAAR_REAL_YOY" hidden="1">"c11992"</definedName>
    <definedName name="IQ_RES_FIXED_INVEST_SAAR_YOY" hidden="1">"c11996"</definedName>
    <definedName name="IQ_RES_FIXED_INVEST_YOY" hidden="1">"c7441"</definedName>
    <definedName name="IQ_RES_FIXED_INVEST_YOY_FC" hidden="1">"c8321"</definedName>
    <definedName name="IQ_RESEARCH_DEV" hidden="1">"c1419"</definedName>
    <definedName name="IQ_RESIDENTIAL_LOANS" hidden="1">"c1102"</definedName>
    <definedName name="IQ_REST_ACQUIRED_AFFILIATED_OTHER_RESTAURANTS" hidden="1">"c9873"</definedName>
    <definedName name="IQ_REST_ACQUIRED_FRANCHISE_RESTAURANTS" hidden="1">"c9867"</definedName>
    <definedName name="IQ_REST_ACQUIRED_OWNED_RESTAURANTS" hidden="1">"c9861"</definedName>
    <definedName name="IQ_REST_ACQUIRED_RESTAURANTS" hidden="1">"c9855"</definedName>
    <definedName name="IQ_REST_AFFILIATED_OTHER_RESTAURANTS_BEG" hidden="1">"c9871"</definedName>
    <definedName name="IQ_REST_AVG_VALUE_TRANSACTION" hidden="1">"c9887"</definedName>
    <definedName name="IQ_REST_AVG_VALUE_TRANSACTION_GROWTH" hidden="1">"c9888"</definedName>
    <definedName name="IQ_REST_AVG_WEEKLY_SALES" hidden="1">"c9879"</definedName>
    <definedName name="IQ_REST_AVG_WEEKLY_SALES_FRANCHISE" hidden="1">"c9877"</definedName>
    <definedName name="IQ_REST_AVG_WEEKLY_SALES_OWNED" hidden="1">"c9878"</definedName>
    <definedName name="IQ_REST_CLOSED_AFFILIATED_OTHER_RESTAURANTS" hidden="1">"c9874"</definedName>
    <definedName name="IQ_REST_CLOSED_FRANCHISE_RESTAURANTS" hidden="1">"c9868"</definedName>
    <definedName name="IQ_REST_CLOSED_OWNED_RESTAURANTS" hidden="1">"c9862"</definedName>
    <definedName name="IQ_REST_CLOSED_RESTAURANTS" hidden="1">"c9856"</definedName>
    <definedName name="IQ_REST_FRANCHISE_RESTAURANTS_BEG" hidden="1">"c9865"</definedName>
    <definedName name="IQ_REST_GUEST_COUNT_GROWTH" hidden="1">"c9889"</definedName>
    <definedName name="IQ_REST_OPENED_AFFILIATED_OTHER_RESTAURANTS" hidden="1">"c9872"</definedName>
    <definedName name="IQ_REST_OPENED_FRANCHISE_RESTAURANTS" hidden="1">"c9866"</definedName>
    <definedName name="IQ_REST_OPENED_OWNED_RESTAURANTS" hidden="1">"c9860"</definedName>
    <definedName name="IQ_REST_OPENED_RESTAURANTS" hidden="1">"c9854"</definedName>
    <definedName name="IQ_REST_OPERATING_MARGIN" hidden="1">"c9886"</definedName>
    <definedName name="IQ_REST_OWNED_RESTAURANTS_BEG" hidden="1">"c9859"</definedName>
    <definedName name="IQ_REST_RESTAURANTS_BEG" hidden="1">"c9853"</definedName>
    <definedName name="IQ_REST_SAME_RESTAURANT_SALES" hidden="1">"c9885"</definedName>
    <definedName name="IQ_REST_SAME_RESTAURANT_SALES_FRANCHISE" hidden="1">"c9883"</definedName>
    <definedName name="IQ_REST_SAME_RESTAURANT_SALES_GROWTH" hidden="1">"c9882"</definedName>
    <definedName name="IQ_REST_SAME_RESTAURANT_SALES_GROWTH_FRANCHISE" hidden="1">"c9880"</definedName>
    <definedName name="IQ_REST_SAME_RESTAURANT_SALES_GROWTH_OWNED" hidden="1">"c9881"</definedName>
    <definedName name="IQ_REST_SAME_RESTAURANT_SALES_OWNED" hidden="1">"c9884"</definedName>
    <definedName name="IQ_REST_SOLD_AFFILIATED_OTHER_RESTAURANTS" hidden="1">"c9875"</definedName>
    <definedName name="IQ_REST_SOLD_FRANCHISE_RESTAURANTS" hidden="1">"c9869"</definedName>
    <definedName name="IQ_REST_SOLD_OWNED_RESTAURANTS" hidden="1">"c9863"</definedName>
    <definedName name="IQ_REST_SOLD_RESTAURANTS" hidden="1">"c9857"</definedName>
    <definedName name="IQ_REST_TOTAL_AFFILIATED_OTHER_RESTAURANTS" hidden="1">"c9876"</definedName>
    <definedName name="IQ_REST_TOTAL_FRANCHISE_RESTAURANTS" hidden="1">"c9870"</definedName>
    <definedName name="IQ_REST_TOTAL_OWNED_RESTAURANTS" hidden="1">"c9864"</definedName>
    <definedName name="IQ_REST_TOTAL_RESTAURANTS" hidden="1">"c9858"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AFFILIATED_OTHER_STORES" hidden="1">"c9892"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FFILIATED_OTHER_STORES_BEG" hidden="1">"c9890"</definedName>
    <definedName name="IQ_RETAIL_AVG_SQ_METERS_GROSS" hidden="1">"c9908"</definedName>
    <definedName name="IQ_RETAIL_AVG_SQ_METERS_NET" hidden="1">"c9907"</definedName>
    <definedName name="IQ_RETAIL_AVG_STORE_SIZE_GROSS" hidden="1">"c2066"</definedName>
    <definedName name="IQ_RETAIL_AVG_STORE_SIZE_NET" hidden="1">"c2067"</definedName>
    <definedName name="IQ_RETAIL_AVG_VALUE_TRANSACTION" hidden="1">"c9915"</definedName>
    <definedName name="IQ_RETAIL_AVG_VALUE_TRANSACTION_GROWTH" hidden="1">"c9916"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AFFILIATED_OTHER_STORES" hidden="1">"c9893"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GROSS_MARGIN" hidden="1">"c9899"</definedName>
    <definedName name="IQ_RETAIL_IS_RATIO" hidden="1">"c7002"</definedName>
    <definedName name="IQ_RETAIL_IS_RATIO_FC" hidden="1">"c7882"</definedName>
    <definedName name="IQ_RETAIL_IS_RATIO_POP" hidden="1">"c7222"</definedName>
    <definedName name="IQ_RETAIL_IS_RATIO_POP_FC" hidden="1">"c8102"</definedName>
    <definedName name="IQ_RETAIL_IS_RATIO_YOY" hidden="1">"c7442"</definedName>
    <definedName name="IQ_RETAIL_IS_RATIO_YOY_FC" hidden="1">"c8322"</definedName>
    <definedName name="IQ_RETAIL_MERCHANDISE_MARGIN" hidden="1">"c9901"</definedName>
    <definedName name="IQ_RETAIL_OPENED_AFFILIATED_OTHER_STORES" hidden="1">"c9891"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PERATING_MARGIN" hidden="1">"c9900"</definedName>
    <definedName name="IQ_RETAIL_OWNED_STORES_BEG" hidden="1">"c2901"</definedName>
    <definedName name="IQ_RETAIL_SALES" hidden="1">"c7003"</definedName>
    <definedName name="IQ_RETAIL_SALES_APR" hidden="1">"c7663"</definedName>
    <definedName name="IQ_RETAIL_SALES_APR_FC" hidden="1">"c8543"</definedName>
    <definedName name="IQ_RETAIL_SALES_CATALOG" hidden="1">"c9903"</definedName>
    <definedName name="IQ_RETAIL_SALES_FC" hidden="1">"c7883"</definedName>
    <definedName name="IQ_RETAIL_SALES_FOOD" hidden="1">"c7004"</definedName>
    <definedName name="IQ_RETAIL_SALES_FOOD_APR" hidden="1">"c7664"</definedName>
    <definedName name="IQ_RETAIL_SALES_FOOD_APR_FC" hidden="1">"c8544"</definedName>
    <definedName name="IQ_RETAIL_SALES_FOOD_EXCL_VEHICLE" hidden="1">"c7005"</definedName>
    <definedName name="IQ_RETAIL_SALES_FOOD_EXCL_VEHICLE_APR" hidden="1">"c7665"</definedName>
    <definedName name="IQ_RETAIL_SALES_FOOD_EXCL_VEHICLE_APR_FC" hidden="1">"c8545"</definedName>
    <definedName name="IQ_RETAIL_SALES_FOOD_EXCL_VEHICLE_FC" hidden="1">"c7885"</definedName>
    <definedName name="IQ_RETAIL_SALES_FOOD_EXCL_VEHICLE_POP" hidden="1">"c7225"</definedName>
    <definedName name="IQ_RETAIL_SALES_FOOD_EXCL_VEHICLE_POP_FC" hidden="1">"c8105"</definedName>
    <definedName name="IQ_RETAIL_SALES_FOOD_EXCL_VEHICLE_YOY" hidden="1">"c7445"</definedName>
    <definedName name="IQ_RETAIL_SALES_FOOD_EXCL_VEHICLE_YOY_FC" hidden="1">"c8325"</definedName>
    <definedName name="IQ_RETAIL_SALES_FOOD_FC" hidden="1">"c7884"</definedName>
    <definedName name="IQ_RETAIL_SALES_FOOD_POP" hidden="1">"c7224"</definedName>
    <definedName name="IQ_RETAIL_SALES_FOOD_POP_FC" hidden="1">"c8104"</definedName>
    <definedName name="IQ_RETAIL_SALES_FOOD_YOY" hidden="1">"c7444"</definedName>
    <definedName name="IQ_RETAIL_SALES_FOOD_YOY_FC" hidden="1">"c8324"</definedName>
    <definedName name="IQ_RETAIL_SALES_ONLINE" hidden="1">"c9904"</definedName>
    <definedName name="IQ_RETAIL_SALES_POP" hidden="1">"c7223"</definedName>
    <definedName name="IQ_RETAIL_SALES_POP_FC" hidden="1">"c8103"</definedName>
    <definedName name="IQ_RETAIL_SALES_RETAIL" hidden="1">"c9902"</definedName>
    <definedName name="IQ_RETAIL_SALES_SAAR" hidden="1">"c7009"</definedName>
    <definedName name="IQ_RETAIL_SALES_SAAR_APR" hidden="1">"c7669"</definedName>
    <definedName name="IQ_RETAIL_SALES_SAAR_APR_FC" hidden="1">"c8549"</definedName>
    <definedName name="IQ_RETAIL_SALES_SAAR_FC" hidden="1">"c7889"</definedName>
    <definedName name="IQ_RETAIL_SALES_SAAR_POP" hidden="1">"c7229"</definedName>
    <definedName name="IQ_RETAIL_SALES_SAAR_POP_FC" hidden="1">"c8109"</definedName>
    <definedName name="IQ_RETAIL_SALES_SAAR_YOY" hidden="1">"c7449"</definedName>
    <definedName name="IQ_RETAIL_SALES_SAAR_YOY_FC" hidden="1">"c8329"</definedName>
    <definedName name="IQ_RETAIL_SALES_SQ_METER_COMPARABLE_GROSS" hidden="1">"c9914"</definedName>
    <definedName name="IQ_RETAIL_SALES_SQ_METER_COMPARABLE_NET" hidden="1">"c9913"</definedName>
    <definedName name="IQ_RETAIL_SALES_SQ_METER_GROSS" hidden="1">"c9910"</definedName>
    <definedName name="IQ_RETAIL_SALES_SQ_METER_NET" hidden="1">"c9909"</definedName>
    <definedName name="IQ_RETAIL_SALES_SQ_METER_OWNED_GROSS" hidden="1">"c9912"</definedName>
    <definedName name="IQ_RETAIL_SALES_SQ_METER_OWNED_NET" hidden="1">"c9911"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ALES_VALUE_INDEX" hidden="1">"c7006"</definedName>
    <definedName name="IQ_RETAIL_SALES_VALUE_INDEX_APR" hidden="1">"c7666"</definedName>
    <definedName name="IQ_RETAIL_SALES_VALUE_INDEX_APR_FC" hidden="1">"c8546"</definedName>
    <definedName name="IQ_RETAIL_SALES_VALUE_INDEX_FC" hidden="1">"c7886"</definedName>
    <definedName name="IQ_RETAIL_SALES_VALUE_INDEX_POP" hidden="1">"c7226"</definedName>
    <definedName name="IQ_RETAIL_SALES_VALUE_INDEX_POP_FC" hidden="1">"c8106"</definedName>
    <definedName name="IQ_RETAIL_SALES_VALUE_INDEX_YOY" hidden="1">"c7446"</definedName>
    <definedName name="IQ_RETAIL_SALES_VALUE_INDEX_YOY_FC" hidden="1">"c8326"</definedName>
    <definedName name="IQ_RETAIL_SALES_VOL_INDEX" hidden="1">"c7007"</definedName>
    <definedName name="IQ_RETAIL_SALES_VOL_INDEX_APR" hidden="1">"c7667"</definedName>
    <definedName name="IQ_RETAIL_SALES_VOL_INDEX_APR_FC" hidden="1">"c8547"</definedName>
    <definedName name="IQ_RETAIL_SALES_VOL_INDEX_EXCL_MOTOR" hidden="1">"c7008"</definedName>
    <definedName name="IQ_RETAIL_SALES_VOL_INDEX_EXCL_MOTOR_APR" hidden="1">"c7668"</definedName>
    <definedName name="IQ_RETAIL_SALES_VOL_INDEX_EXCL_MOTOR_APR_FC" hidden="1">"c8548"</definedName>
    <definedName name="IQ_RETAIL_SALES_VOL_INDEX_EXCL_MOTOR_FC" hidden="1">"c7888"</definedName>
    <definedName name="IQ_RETAIL_SALES_VOL_INDEX_EXCL_MOTOR_POP" hidden="1">"c7228"</definedName>
    <definedName name="IQ_RETAIL_SALES_VOL_INDEX_EXCL_MOTOR_POP_FC" hidden="1">"c8108"</definedName>
    <definedName name="IQ_RETAIL_SALES_VOL_INDEX_EXCL_MOTOR_YOY" hidden="1">"c7448"</definedName>
    <definedName name="IQ_RETAIL_SALES_VOL_INDEX_EXCL_MOTOR_YOY_FC" hidden="1">"c8328"</definedName>
    <definedName name="IQ_RETAIL_SALES_VOL_INDEX_FC" hidden="1">"c7887"</definedName>
    <definedName name="IQ_RETAIL_SALES_VOL_INDEX_POP" hidden="1">"c7227"</definedName>
    <definedName name="IQ_RETAIL_SALES_VOL_INDEX_POP_FC" hidden="1">"c8107"</definedName>
    <definedName name="IQ_RETAIL_SALES_VOL_INDEX_YOY" hidden="1">"c7447"</definedName>
    <definedName name="IQ_RETAIL_SALES_VOL_INDEX_YOY_FC" hidden="1">"c8327"</definedName>
    <definedName name="IQ_RETAIL_SALES_YOY" hidden="1">"c7443"</definedName>
    <definedName name="IQ_RETAIL_SALES_YOY_FC" hidden="1">"c8323"</definedName>
    <definedName name="IQ_RETAIL_SAME_STORE_SALES" hidden="1">"c9898"</definedName>
    <definedName name="IQ_RETAIL_SAME_STORE_SALES_FRANCHISE" hidden="1">"c9896"</definedName>
    <definedName name="IQ_RETAIL_SAME_STORE_SALES_OWNED" hidden="1">"c9897"</definedName>
    <definedName name="IQ_RETAIL_SOLD_AFFILIATED_OTHER_STORES" hidden="1">"c9894"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AFFILIATED_OTHER_STORES" hidden="1">"c9895"</definedName>
    <definedName name="IQ_RETAIL_TOTAL_FRANCHISE_STORES" hidden="1">"c2898"</definedName>
    <definedName name="IQ_RETAIL_TOTAL_OWNED_STORES" hidden="1">"c2906"</definedName>
    <definedName name="IQ_RETAIL_TOTAL_SQ_METERS_GROSS" hidden="1">"c9906"</definedName>
    <definedName name="IQ_RETAIL_TOTAL_SQ_METERS_NET" hidden="1">"c9905"</definedName>
    <definedName name="IQ_RETAIL_TOTAL_STORES" hidden="1">"c2061"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BANK" hidden="1">"c1114"</definedName>
    <definedName name="IQ_RETURN_ASSETS_BROK" hidden="1">"c1115"</definedName>
    <definedName name="IQ_RETURN_ASSETS_FDIC" hidden="1">"c6730"</definedName>
    <definedName name="IQ_RETURN_ASSETS_FS" hidden="1">"c1116"</definedName>
    <definedName name="IQ_RETURN_CAPITAL" hidden="1">"c1117"</definedName>
    <definedName name="IQ_RETURN_EMBEDDED_VALUE" hidden="1">"c9974"</definedName>
    <definedName name="IQ_RETURN_EQUITY" hidden="1">"c1118"</definedName>
    <definedName name="IQ_RETURN_EQUITY_BANK" hidden="1">"c1119"</definedName>
    <definedName name="IQ_RETURN_EQUITY_BROK" hidden="1">"c1120"</definedName>
    <definedName name="IQ_RETURN_EQUITY_FDIC" hidden="1">"c6732"</definedName>
    <definedName name="IQ_RETURN_EQUITY_FS" hidden="1">"c1121"</definedName>
    <definedName name="IQ_RETURN_INVESTMENT" hidden="1">"c1421"</definedName>
    <definedName name="IQ_REV" hidden="1">"c1122"</definedName>
    <definedName name="IQ_REV_AP" hidden="1">"c8873"</definedName>
    <definedName name="IQ_REV_AP_ABS" hidden="1">"c8892"</definedName>
    <definedName name="IQ_REV_BEFORE_LL" hidden="1">"c1123"</definedName>
    <definedName name="IQ_REV_NAME_AP" hidden="1">"c8911"</definedName>
    <definedName name="IQ_REV_NAME_AP_ABS" hidden="1">"c8930"</definedName>
    <definedName name="IQ_REV_STDDEV_EST" hidden="1">"c1124"</definedName>
    <definedName name="IQ_REV_STDDEV_EST_CIQ" hidden="1">"c3621"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ENUE" hidden="1">"c1422"</definedName>
    <definedName name="IQ_REVENUE_ACT_OR_EST_CIQ" hidden="1">"c5059"</definedName>
    <definedName name="IQ_REVENUE_EST" hidden="1">"c1126"</definedName>
    <definedName name="IQ_REVENUE_EST_CIQ" hidden="1">"c3616"</definedName>
    <definedName name="IQ_REVENUE_EST_REUT" hidden="1">"c3634"</definedName>
    <definedName name="IQ_REVENUE_HIGH_EST" hidden="1">"c1127"</definedName>
    <definedName name="IQ_REVENUE_HIGH_EST_CIQ" hidden="1">"c3618"</definedName>
    <definedName name="IQ_REVENUE_HIGH_EST_REUT" hidden="1">"c3636"</definedName>
    <definedName name="IQ_REVENUE_LOW_EST" hidden="1">"c1128"</definedName>
    <definedName name="IQ_REVENUE_LOW_EST_CIQ" hidden="1">"c3619"</definedName>
    <definedName name="IQ_REVENUE_LOW_EST_REUT" hidden="1">"c3637"</definedName>
    <definedName name="IQ_REVENUE_MEDIAN_EST" hidden="1">"c1662"</definedName>
    <definedName name="IQ_REVENUE_MEDIAN_EST_CIQ" hidden="1">"c3617"</definedName>
    <definedName name="IQ_REVENUE_MEDIAN_EST_REUT" hidden="1">"c3635"</definedName>
    <definedName name="IQ_REVENUE_NUM_EST" hidden="1">"c1129"</definedName>
    <definedName name="IQ_REVENUE_NUM_EST_CIQ" hidden="1">"c3620"</definedName>
    <definedName name="IQ_REVENUE_NUM_EST_REUT" hidden="1">"c3638"</definedName>
    <definedName name="IQ_REVISION_DATE_" hidden="1">39777.4314583333</definedName>
    <definedName name="IQ_RISK_ADJ_BANK_ASSETS" hidden="1">"c2670"</definedName>
    <definedName name="IQ_RISK_WEIGHTED_ASSETS_FDIC" hidden="1">"c6370"</definedName>
    <definedName name="IQ_SALARIED_WORKFORCE" hidden="1">"c7010"</definedName>
    <definedName name="IQ_SALARIED_WORKFORCE_APR" hidden="1">"c7670"</definedName>
    <definedName name="IQ_SALARIED_WORKFORCE_APR_FC" hidden="1">"c8550"</definedName>
    <definedName name="IQ_SALARIED_WORKFORCE_FC" hidden="1">"c7890"</definedName>
    <definedName name="IQ_SALARIED_WORKFORCE_POP" hidden="1">"c7230"</definedName>
    <definedName name="IQ_SALARIED_WORKFORCE_POP_FC" hidden="1">"c8110"</definedName>
    <definedName name="IQ_SALARIED_WORKFORCE_YOY" hidden="1">"c7450"</definedName>
    <definedName name="IQ_SALARIED_WORKFORCE_YOY_FC" hidden="1">"c8330"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RATE_DISP_INC_PCT" hidden="1">"c7011"</definedName>
    <definedName name="IQ_SAVINGS_RATE_DISP_INC_PCT_FC" hidden="1">"c7891"</definedName>
    <definedName name="IQ_SAVINGS_RATE_DISP_INC_PCT_POP" hidden="1">"c7231"</definedName>
    <definedName name="IQ_SAVINGS_RATE_DISP_INC_PCT_POP_FC" hidden="1">"c8111"</definedName>
    <definedName name="IQ_SAVINGS_RATE_DISP_INC_PCT_YOY" hidden="1">"c7451"</definedName>
    <definedName name="IQ_SAVINGS_RATE_DISP_INC_PCT_YOY_FC" hidden="1">"c8331"</definedName>
    <definedName name="IQ_SAVINGS_RATE_GDP_PCT" hidden="1">"c7012"</definedName>
    <definedName name="IQ_SAVINGS_RATE_GDP_PCT_FC" hidden="1">"c7892"</definedName>
    <definedName name="IQ_SAVINGS_RATE_GDP_PCT_POP" hidden="1">"c7232"</definedName>
    <definedName name="IQ_SAVINGS_RATE_GDP_PCT_POP_FC" hidden="1">"c8112"</definedName>
    <definedName name="IQ_SAVINGS_RATE_GDP_PCT_YOY" hidden="1">"c7452"</definedName>
    <definedName name="IQ_SAVINGS_RATE_GDP_PCT_YOY_FC" hidden="1">"c8332"</definedName>
    <definedName name="IQ_SAVINGS_RATE_PERSONAL_INC_PCT" hidden="1">"c7013"</definedName>
    <definedName name="IQ_SAVINGS_RATE_PERSONAL_INC_PCT_FC" hidden="1">"c7893"</definedName>
    <definedName name="IQ_SAVINGS_RATE_PERSONAL_INC_PCT_POP" hidden="1">"c7233"</definedName>
    <definedName name="IQ_SAVINGS_RATE_PERSONAL_INC_PCT_POP_FC" hidden="1">"c8113"</definedName>
    <definedName name="IQ_SAVINGS_RATE_PERSONAL_INC_PCT_YOY" hidden="1">"c7453"</definedName>
    <definedName name="IQ_SAVINGS_RATE_PERSONAL_INC_PCT_YOY_FC" hidden="1">"c8333"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OWN" hidden="1">"c1153"</definedName>
    <definedName name="IQ_SECURITY_RESELL" hidden="1">"c1154"</definedName>
    <definedName name="IQ_SEMI_BACKLOG" hidden="1">"c10005"</definedName>
    <definedName name="IQ_SEMI_BACKLOG_AVG_PRICE" hidden="1">"c10006"</definedName>
    <definedName name="IQ_SEMI_BACKLOG_VALUE" hidden="1">"c10007"</definedName>
    <definedName name="IQ_SEMI_BOOK_TO_BILL_RATIO" hidden="1">"c10008"</definedName>
    <definedName name="IQ_SEMI_ORDER_AVG_PRICE" hidden="1">"c10002"</definedName>
    <definedName name="IQ_SEMI_ORDER_VALUE" hidden="1">"c10003"</definedName>
    <definedName name="IQ_SEMI_ORDER_VALUE_CHANGE" hidden="1">"c10004"</definedName>
    <definedName name="IQ_SEMI_ORDERS" hidden="1">"c10001"</definedName>
    <definedName name="IQ_SEMI_WARRANTY_RES_ACQ" hidden="1">"c10011"</definedName>
    <definedName name="IQ_SEMI_WARRANTY_RES_BEG" hidden="1">"c10009"</definedName>
    <definedName name="IQ_SEMI_WARRANTY_RES_END" hidden="1">"c10014"</definedName>
    <definedName name="IQ_SEMI_WARRANTY_RES_ISS" hidden="1">"c10010"</definedName>
    <definedName name="IQ_SEMI_WARRANTY_RES_OTHER" hidden="1">"c10013"</definedName>
    <definedName name="IQ_SEMI_WARRANTY_RES_PAY" hidden="1">"c10012"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"c11748"</definedName>
    <definedName name="IQ_SOC_SEC_RECEIPTS_SAAR_USD_APR_FC" hidden="1">"c12005"</definedName>
    <definedName name="IQ_SOC_SEC_RECEIPTS_SAAR_USD_FC" hidden="1">"c12002"</definedName>
    <definedName name="IQ_SOC_SEC_RECEIPTS_SAAR_USD_POP_FC" hidden="1">"c12003"</definedName>
    <definedName name="IQ_SOC_SEC_RECEIPTS_SAAR_USD_YOY_FC" hidden="1">"c12004"</definedName>
    <definedName name="IQ_SOC_SEC_RECEIPTS_USD_APR_FC" hidden="1">"c12001"</definedName>
    <definedName name="IQ_SOC_SEC_RECEIPTS_USD_FC" hidden="1">"c11998"</definedName>
    <definedName name="IQ_SOC_SEC_RECEIPTS_USD_POP_FC" hidden="1">"c11999"</definedName>
    <definedName name="IQ_SOC_SEC_RECEIPTS_USD_YOY_FC" hidden="1">"c12000"</definedName>
    <definedName name="IQ_SOCIAL_SEC_RECEIPTS" hidden="1">"c7015"</definedName>
    <definedName name="IQ_SOCIAL_SEC_RECEIPTS_APR" hidden="1">"c7675"</definedName>
    <definedName name="IQ_SOCIAL_SEC_RECEIPTS_APR_FC" hidden="1">"c8555"</definedName>
    <definedName name="IQ_SOCIAL_SEC_RECEIPTS_FC" hidden="1">"c7895"</definedName>
    <definedName name="IQ_SOCIAL_SEC_RECEIPTS_POP" hidden="1">"c7235"</definedName>
    <definedName name="IQ_SOCIAL_SEC_RECEIPTS_POP_FC" hidden="1">"c8115"</definedName>
    <definedName name="IQ_SOCIAL_SEC_RECEIPTS_SAAR" hidden="1">"c7016"</definedName>
    <definedName name="IQ_SOCIAL_SEC_RECEIPTS_SAAR_APR" hidden="1">"c7676"</definedName>
    <definedName name="IQ_SOCIAL_SEC_RECEIPTS_SAAR_APR_FC" hidden="1">"c8556"</definedName>
    <definedName name="IQ_SOCIAL_SEC_RECEIPTS_SAAR_FC" hidden="1">"c7896"</definedName>
    <definedName name="IQ_SOCIAL_SEC_RECEIPTS_SAAR_POP" hidden="1">"c7236"</definedName>
    <definedName name="IQ_SOCIAL_SEC_RECEIPTS_SAAR_POP_FC" hidden="1">"c8116"</definedName>
    <definedName name="IQ_SOCIAL_SEC_RECEIPTS_SAAR_YOY" hidden="1">"c7456"</definedName>
    <definedName name="IQ_SOCIAL_SEC_RECEIPTS_SAAR_YOY_FC" hidden="1">"c8336"</definedName>
    <definedName name="IQ_SOCIAL_SEC_RECEIPTS_YOY" hidden="1">"c7455"</definedName>
    <definedName name="IQ_SOCIAL_SEC_RECEIPTS_YOY_FC" hidden="1">"c8335"</definedName>
    <definedName name="IQ_SOFTWARE" hidden="1">"c1167"</definedName>
    <definedName name="IQ_SOURCE" hidden="1">"c1168"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Q_FT_LEASED_GROSS_CONSOL" hidden="1">"c8820"</definedName>
    <definedName name="IQ_SQ_FT_LEASED_GROSS_MANAGED" hidden="1">"c8822"</definedName>
    <definedName name="IQ_SQ_FT_LEASED_GROSS_OTHER" hidden="1">"c8823"</definedName>
    <definedName name="IQ_SQ_FT_LEASED_GROSS_TOTAL" hidden="1">"c8824"</definedName>
    <definedName name="IQ_SQ_FT_LEASED_GROSS_UNCONSOL" hidden="1">"c8821"</definedName>
    <definedName name="IQ_SQ_FT_LEASED_NET_CONSOL" hidden="1">"c8825"</definedName>
    <definedName name="IQ_SQ_FT_LEASED_NET_MANAGED" hidden="1">"c8827"</definedName>
    <definedName name="IQ_SQ_FT_LEASED_NET_OTHER" hidden="1">"c8828"</definedName>
    <definedName name="IQ_SQ_FT_LEASED_NET_TOTAL" hidden="1">"c8829"</definedName>
    <definedName name="IQ_SQ_FT_LEASED_NET_UNCONSOL" hidden="1">"c8826"</definedName>
    <definedName name="IQ_SQ_METER_LEASED_GROSS_CONSOL" hidden="1">"c8830"</definedName>
    <definedName name="IQ_SQ_METER_LEASED_GROSS_MANAGED" hidden="1">"c8832"</definedName>
    <definedName name="IQ_SQ_METER_LEASED_GROSS_OTHER" hidden="1">"c8833"</definedName>
    <definedName name="IQ_SQ_METER_LEASED_GROSS_TOTAL" hidden="1">"c8834"</definedName>
    <definedName name="IQ_SQ_METER_LEASED_GROSS_UNCONSOL" hidden="1">"c8831"</definedName>
    <definedName name="IQ_SQ_METER_LEASED_NET_CONSOL" hidden="1">"c8835"</definedName>
    <definedName name="IQ_SQ_METER_LEASED_NET_MANAGED" hidden="1">"c8837"</definedName>
    <definedName name="IQ_SQ_METER_LEASED_NET_OTHER" hidden="1">"c8838"</definedName>
    <definedName name="IQ_SQ_METER_LEASED_NET_TOTAL" hidden="1">"c8839"</definedName>
    <definedName name="IQ_SQ_METER_LEASED_NET_UNCONSOL" hidden="1">"c8836"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_LOCAL_SPENDING_SAAR" hidden="1">"c7017"</definedName>
    <definedName name="IQ_STATE_LOCAL_SPENDING_SAAR_APR" hidden="1">"c7677"</definedName>
    <definedName name="IQ_STATE_LOCAL_SPENDING_SAAR_APR_FC" hidden="1">"c8557"</definedName>
    <definedName name="IQ_STATE_LOCAL_SPENDING_SAAR_FC" hidden="1">"c7897"</definedName>
    <definedName name="IQ_STATE_LOCAL_SPENDING_SAAR_POP" hidden="1">"c7237"</definedName>
    <definedName name="IQ_STATE_LOCAL_SPENDING_SAAR_POP_FC" hidden="1">"c8117"</definedName>
    <definedName name="IQ_STATE_LOCAL_SPENDING_SAAR_YOY" hidden="1">"c7457"</definedName>
    <definedName name="IQ_STATE_LOCAL_SPENDING_SAAR_YOY_FC" hidden="1">"c8337"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TEGY_NOTE" hidden="1">"c6791"</definedName>
    <definedName name="IQ_STRIKE_PRICE_ISSUED" hidden="1">"c1645"</definedName>
    <definedName name="IQ_STRIKE_PRICE_OS" hidden="1">"c1646"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RPLUS_FDIC" hidden="1">"c6351"</definedName>
    <definedName name="IQ_SVA" hidden="1">"c1214"</definedName>
    <definedName name="IQ_TARGET_PRICE_NUM" hidden="1">"c1653"</definedName>
    <definedName name="IQ_TARGET_PRICE_NUM_CIQ" hidden="1">"c4661"</definedName>
    <definedName name="IQ_TARGET_PRICE_NUM_REUT" hidden="1">"c5319"</definedName>
    <definedName name="IQ_TARGET_PRICE_STDDEV" hidden="1">"c1654"</definedName>
    <definedName name="IQ_TARGET_PRICE_STDDEV_CIQ" hidden="1">"c4662"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AX_OTHER_EXP_AP" hidden="1">"c8878"</definedName>
    <definedName name="IQ_TAX_OTHER_EXP_AP_ABS" hidden="1">"c8897"</definedName>
    <definedName name="IQ_TAX_OTHER_EXP_NAME_AP" hidden="1">"c8916"</definedName>
    <definedName name="IQ_TAX_OTHER_EXP_NAME_AP_ABS" hidden="1">"c8935"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DA" hidden="1">"c1222"</definedName>
    <definedName name="IQ_TEV_EBITDA_AVG" hidden="1">"c1223"</definedName>
    <definedName name="IQ_TEV_EBITDA_FWD" hidden="1">"c1224"</definedName>
    <definedName name="IQ_TEV_EBITDA_FWD_CIQ" hidden="1">"c4043"</definedName>
    <definedName name="IQ_TEV_EBITDA_FWD_REUT" hidden="1">"c4050"</definedName>
    <definedName name="IQ_TEV_EMPLOYEE_AVG" hidden="1">"c1225"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CIQ" hidden="1">"c4044"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SSETS_FDIC" hidden="1">"c6339"</definedName>
    <definedName name="IQ_TOTAL_ASSETS_SUBTOTAL_AP" hidden="1">"c8985"</definedName>
    <definedName name="IQ_TOTAL_ATTRIB_ORE_RESOURCES_ALUM" hidden="1">"c9241"</definedName>
    <definedName name="IQ_TOTAL_ATTRIB_ORE_RESOURCES_COP" hidden="1">"c9185"</definedName>
    <definedName name="IQ_TOTAL_ATTRIB_ORE_RESOURCES_DIAM" hidden="1">"c9665"</definedName>
    <definedName name="IQ_TOTAL_ATTRIB_ORE_RESOURCES_GOLD" hidden="1">"c9026"</definedName>
    <definedName name="IQ_TOTAL_ATTRIB_ORE_RESOURCES_IRON" hidden="1">"c9400"</definedName>
    <definedName name="IQ_TOTAL_ATTRIB_ORE_RESOURCES_LEAD" hidden="1">"c9453"</definedName>
    <definedName name="IQ_TOTAL_ATTRIB_ORE_RESOURCES_MANG" hidden="1">"c9506"</definedName>
    <definedName name="IQ_TOTAL_ATTRIB_ORE_RESOURCES_MOLYB" hidden="1">"c9718"</definedName>
    <definedName name="IQ_TOTAL_ATTRIB_ORE_RESOURCES_NICK" hidden="1">"c9294"</definedName>
    <definedName name="IQ_TOTAL_ATTRIB_ORE_RESOURCES_PLAT" hidden="1">"c9132"</definedName>
    <definedName name="IQ_TOTAL_ATTRIB_ORE_RESOURCES_SILVER" hidden="1">"c9079"</definedName>
    <definedName name="IQ_TOTAL_ATTRIB_ORE_RESOURCES_TITAN" hidden="1">"c9559"</definedName>
    <definedName name="IQ_TOTAL_ATTRIB_ORE_RESOURCES_URAN" hidden="1">"c9612"</definedName>
    <definedName name="IQ_TOTAL_ATTRIB_ORE_RESOURCES_ZINC" hidden="1">"c9347"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BEDS" hidden="1">"c8785"</definedName>
    <definedName name="IQ_TOTAL_CA" hidden="1">"c1243"</definedName>
    <definedName name="IQ_TOTAL_CA_SUBTOTAL_AP" hidden="1">"c8986"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L_SUBTOTAL_AP" hidden="1">"c8987"</definedName>
    <definedName name="IQ_TOTAL_COAL_PRODUCTION_COAL" hidden="1">"c9824"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CURRENT" hidden="1">"c6190"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NON_CURRENT" hidden="1">"c6191"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EQUITY_SUBTOTAL_AP" hidden="1">"c8989"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EQUITY_SUBTOTAL_AP" hidden="1">"c8988"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RE_RESOURCES_ALUM" hidden="1">"c9230"</definedName>
    <definedName name="IQ_TOTAL_ORE_RESOURCES_COP" hidden="1">"c9174"</definedName>
    <definedName name="IQ_TOTAL_ORE_RESOURCES_DIAM" hidden="1">"c9654"</definedName>
    <definedName name="IQ_TOTAL_ORE_RESOURCES_GOLD" hidden="1">"c9015"</definedName>
    <definedName name="IQ_TOTAL_ORE_RESOURCES_IRON" hidden="1">"c9389"</definedName>
    <definedName name="IQ_TOTAL_ORE_RESOURCES_LEAD" hidden="1">"c9442"</definedName>
    <definedName name="IQ_TOTAL_ORE_RESOURCES_MANG" hidden="1">"c9495"</definedName>
    <definedName name="IQ_TOTAL_ORE_RESOURCES_MOLYB" hidden="1">"c9707"</definedName>
    <definedName name="IQ_TOTAL_ORE_RESOURCES_NICK" hidden="1">"c9283"</definedName>
    <definedName name="IQ_TOTAL_ORE_RESOURCES_PLAT" hidden="1">"c9121"</definedName>
    <definedName name="IQ_TOTAL_ORE_RESOURCES_SILVER" hidden="1">"c9068"</definedName>
    <definedName name="IQ_TOTAL_ORE_RESOURCES_TITAN" hidden="1">"c9548"</definedName>
    <definedName name="IQ_TOTAL_ORE_RESOURCES_URAN" hidden="1">"c9601"</definedName>
    <definedName name="IQ_TOTAL_ORE_RESOURCES_ZINC" hidden="1">"c9336"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P" hidden="1">"c8765"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COV_ATTRIB_RESOURCES_ALUM" hidden="1">"c9246"</definedName>
    <definedName name="IQ_TOTAL_RECOV_ATTRIB_RESOURCES_COAL" hidden="1">"c9820"</definedName>
    <definedName name="IQ_TOTAL_RECOV_ATTRIB_RESOURCES_COP" hidden="1">"c9190"</definedName>
    <definedName name="IQ_TOTAL_RECOV_ATTRIB_RESOURCES_DIAM" hidden="1">"c9670"</definedName>
    <definedName name="IQ_TOTAL_RECOV_ATTRIB_RESOURCES_GOLD" hidden="1">"c9031"</definedName>
    <definedName name="IQ_TOTAL_RECOV_ATTRIB_RESOURCES_IRON" hidden="1">"c9405"</definedName>
    <definedName name="IQ_TOTAL_RECOV_ATTRIB_RESOURCES_LEAD" hidden="1">"c9458"</definedName>
    <definedName name="IQ_TOTAL_RECOV_ATTRIB_RESOURCES_MANG" hidden="1">"c9511"</definedName>
    <definedName name="IQ_TOTAL_RECOV_ATTRIB_RESOURCES_MET_COAL" hidden="1">"c9760"</definedName>
    <definedName name="IQ_TOTAL_RECOV_ATTRIB_RESOURCES_MOLYB" hidden="1">"c9723"</definedName>
    <definedName name="IQ_TOTAL_RECOV_ATTRIB_RESOURCES_NICK" hidden="1">"c9299"</definedName>
    <definedName name="IQ_TOTAL_RECOV_ATTRIB_RESOURCES_PLAT" hidden="1">"c9137"</definedName>
    <definedName name="IQ_TOTAL_RECOV_ATTRIB_RESOURCES_SILVER" hidden="1">"c9084"</definedName>
    <definedName name="IQ_TOTAL_RECOV_ATTRIB_RESOURCES_STEAM" hidden="1">"c9790"</definedName>
    <definedName name="IQ_TOTAL_RECOV_ATTRIB_RESOURCES_TITAN" hidden="1">"c9564"</definedName>
    <definedName name="IQ_TOTAL_RECOV_ATTRIB_RESOURCES_URAN" hidden="1">"c9617"</definedName>
    <definedName name="IQ_TOTAL_RECOV_ATTRIB_RESOURCES_ZINC" hidden="1">"c9352"</definedName>
    <definedName name="IQ_TOTAL_RECOV_RESOURCES_ALUM" hidden="1">"c9236"</definedName>
    <definedName name="IQ_TOTAL_RECOV_RESOURCES_COAL" hidden="1">"c9815"</definedName>
    <definedName name="IQ_TOTAL_RECOV_RESOURCES_COP" hidden="1">"c9180"</definedName>
    <definedName name="IQ_TOTAL_RECOV_RESOURCES_DIAM" hidden="1">"c9660"</definedName>
    <definedName name="IQ_TOTAL_RECOV_RESOURCES_GOLD" hidden="1">"c9021"</definedName>
    <definedName name="IQ_TOTAL_RECOV_RESOURCES_IRON" hidden="1">"c9395"</definedName>
    <definedName name="IQ_TOTAL_RECOV_RESOURCES_LEAD" hidden="1">"c9448"</definedName>
    <definedName name="IQ_TOTAL_RECOV_RESOURCES_MANG" hidden="1">"c9501"</definedName>
    <definedName name="IQ_TOTAL_RECOV_RESOURCES_MET_COAL" hidden="1">"c9755"</definedName>
    <definedName name="IQ_TOTAL_RECOV_RESOURCES_MOLYB" hidden="1">"c9713"</definedName>
    <definedName name="IQ_TOTAL_RECOV_RESOURCES_NICK" hidden="1">"c9289"</definedName>
    <definedName name="IQ_TOTAL_RECOV_RESOURCES_PLAT" hidden="1">"c9127"</definedName>
    <definedName name="IQ_TOTAL_RECOV_RESOURCES_SILVER" hidden="1">"c9074"</definedName>
    <definedName name="IQ_TOTAL_RECOV_RESOURCES_STEAM" hidden="1">"c9785"</definedName>
    <definedName name="IQ_TOTAL_RECOV_RESOURCES_TITAN" hidden="1">"c9554"</definedName>
    <definedName name="IQ_TOTAL_RECOV_RESOURCES_URAN" hidden="1">"c9607"</definedName>
    <definedName name="IQ_TOTAL_RECOV_RESOURCES_ZINC" hidden="1">"c9342"</definedName>
    <definedName name="IQ_TOTAL_RECOVERIES_FDIC" hidden="1">"c6622"</definedName>
    <definedName name="IQ_TOTAL_RESOURCES_CALORIFIC_VALUE_COAL" hidden="1">"c9810"</definedName>
    <definedName name="IQ_TOTAL_RESOURCES_CALORIFIC_VALUE_MET_COAL" hidden="1">"c9750"</definedName>
    <definedName name="IQ_TOTAL_RESOURCES_CALORIFIC_VALUE_STEAM" hidden="1">"c9780"</definedName>
    <definedName name="IQ_TOTAL_RESOURCES_GRADE_ALUM" hidden="1">"c9231"</definedName>
    <definedName name="IQ_TOTAL_RESOURCES_GRADE_COP" hidden="1">"c9175"</definedName>
    <definedName name="IQ_TOTAL_RESOURCES_GRADE_DIAM" hidden="1">"c9655"</definedName>
    <definedName name="IQ_TOTAL_RESOURCES_GRADE_GOLD" hidden="1">"c9016"</definedName>
    <definedName name="IQ_TOTAL_RESOURCES_GRADE_IRON" hidden="1">"c9390"</definedName>
    <definedName name="IQ_TOTAL_RESOURCES_GRADE_LEAD" hidden="1">"c9443"</definedName>
    <definedName name="IQ_TOTAL_RESOURCES_GRADE_MANG" hidden="1">"c9496"</definedName>
    <definedName name="IQ_TOTAL_RESOURCES_GRADE_MOLYB" hidden="1">"c9708"</definedName>
    <definedName name="IQ_TOTAL_RESOURCES_GRADE_NICK" hidden="1">"c9284"</definedName>
    <definedName name="IQ_TOTAL_RESOURCES_GRADE_PLAT" hidden="1">"c9122"</definedName>
    <definedName name="IQ_TOTAL_RESOURCES_GRADE_SILVER" hidden="1">"c9069"</definedName>
    <definedName name="IQ_TOTAL_RESOURCES_GRADE_TITAN" hidden="1">"c9549"</definedName>
    <definedName name="IQ_TOTAL_RESOURCES_GRADE_URAN" hidden="1">"c9602"</definedName>
    <definedName name="IQ_TOTAL_RESOURCES_GRADE_ZINC" hidden="1">"c9337"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SUBTOTAL_AP" hidden="1">"c8975"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ROOMS" hidden="1">"c8789"</definedName>
    <definedName name="IQ_TOTAL_SECURITIES_FDIC" hidden="1">"c6306"</definedName>
    <definedName name="IQ_TOTAL_SPECIAL" hidden="1">"c1618"</definedName>
    <definedName name="IQ_TOTAL_SQ_FT" hidden="1">"c8781"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ITS" hidden="1">"c8773"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CK_ASSEMBLIES" hidden="1">"c7021"</definedName>
    <definedName name="IQ_TRUCK_ASSEMBLIES_APR" hidden="1">"c7681"</definedName>
    <definedName name="IQ_TRUCK_ASSEMBLIES_APR_FC" hidden="1">"c8561"</definedName>
    <definedName name="IQ_TRUCK_ASSEMBLIES_FC" hidden="1">"c7901"</definedName>
    <definedName name="IQ_TRUCK_ASSEMBLIES_POP" hidden="1">"c7241"</definedName>
    <definedName name="IQ_TRUCK_ASSEMBLIES_POP_FC" hidden="1">"c8121"</definedName>
    <definedName name="IQ_TRUCK_ASSEMBLIES_YOY" hidden="1">"c7461"</definedName>
    <definedName name="IQ_TRUCK_ASSEMBLIES_YOY_FC" hidden="1">"c8341"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CONSOL_BEDS" hidden="1">"c8783"</definedName>
    <definedName name="IQ_UNCONSOL_PROP" hidden="1">"c8762"</definedName>
    <definedName name="IQ_UNCONSOL_ROOMS" hidden="1">"c8787"</definedName>
    <definedName name="IQ_UNCONSOL_SQ_FT" hidden="1">"c8778"</definedName>
    <definedName name="IQ_UNCONSOL_UNITS" hidden="1">"c8770"</definedName>
    <definedName name="IQ_UNDERWRITING_PROFIT" hidden="1">"c9975"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EMPLOYMENT_RATE" hidden="1">"c7023"</definedName>
    <definedName name="IQ_UNEMPLOYMENT_RATE_FC" hidden="1">"c7903"</definedName>
    <definedName name="IQ_UNEMPLOYMENT_RATE_POP" hidden="1">"c7243"</definedName>
    <definedName name="IQ_UNEMPLOYMENT_RATE_POP_FC" hidden="1">"c8123"</definedName>
    <definedName name="IQ_UNEMPLOYMENT_RATE_YOY" hidden="1">"c7463"</definedName>
    <definedName name="IQ_UNEMPLOYMENT_RATE_YOY_FC" hidden="1">"c8343"</definedName>
    <definedName name="IQ_UNIT_LABOR_COST_INDEX" hidden="1">"c7025"</definedName>
    <definedName name="IQ_UNIT_LABOR_COST_INDEX_APR" hidden="1">"c7685"</definedName>
    <definedName name="IQ_UNIT_LABOR_COST_INDEX_APR_FC" hidden="1">"c8565"</definedName>
    <definedName name="IQ_UNIT_LABOR_COST_INDEX_FC" hidden="1">"c7905"</definedName>
    <definedName name="IQ_UNIT_LABOR_COST_INDEX_PCT_CHANGE" hidden="1">"c7024"</definedName>
    <definedName name="IQ_UNIT_LABOR_COST_INDEX_PCT_CHANGE_FC" hidden="1">"c7904"</definedName>
    <definedName name="IQ_UNIT_LABOR_COST_INDEX_PCT_CHANGE_POP" hidden="1">"c7244"</definedName>
    <definedName name="IQ_UNIT_LABOR_COST_INDEX_PCT_CHANGE_POP_FC" hidden="1">"c8124"</definedName>
    <definedName name="IQ_UNIT_LABOR_COST_INDEX_PCT_CHANGE_YOY" hidden="1">"c7464"</definedName>
    <definedName name="IQ_UNIT_LABOR_COST_INDEX_PCT_CHANGE_YOY_FC" hidden="1">"c8344"</definedName>
    <definedName name="IQ_UNIT_LABOR_COST_INDEX_POP" hidden="1">"c7245"</definedName>
    <definedName name="IQ_UNIT_LABOR_COST_INDEX_POP_FC" hidden="1">"c8125"</definedName>
    <definedName name="IQ_UNIT_LABOR_COST_INDEX_YOY" hidden="1">"c7465"</definedName>
    <definedName name="IQ_UNIT_LABOR_COST_INDEX_YOY_FC" hidden="1">"c8345"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V_PENSION_LIAB" hidden="1">"c1332"</definedName>
    <definedName name="IQ_VALUATION_ALLOWANCES_FDIC" hidden="1">"c6400"</definedName>
    <definedName name="IQ_VALUE_TRADED" hidden="1">"c1519"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EHICLE_ASSEMBLIES_LIGHT" hidden="1">"c6905"</definedName>
    <definedName name="IQ_VEHICLE_ASSEMBLIES_LIGHT_APR" hidden="1">"c7565"</definedName>
    <definedName name="IQ_VEHICLE_ASSEMBLIES_LIGHT_APR_FC" hidden="1">"c8445"</definedName>
    <definedName name="IQ_VEHICLE_ASSEMBLIES_LIGHT_FC" hidden="1">"c7785"</definedName>
    <definedName name="IQ_VEHICLE_ASSEMBLIES_LIGHT_NEW" hidden="1">"c6925"</definedName>
    <definedName name="IQ_VEHICLE_ASSEMBLIES_LIGHT_NEW_APR" hidden="1">"c7585"</definedName>
    <definedName name="IQ_VEHICLE_ASSEMBLIES_LIGHT_NEW_APR_FC" hidden="1">"c8465"</definedName>
    <definedName name="IQ_VEHICLE_ASSEMBLIES_LIGHT_NEW_FC" hidden="1">"c7805"</definedName>
    <definedName name="IQ_VEHICLE_ASSEMBLIES_LIGHT_NEW_POP" hidden="1">"c7145"</definedName>
    <definedName name="IQ_VEHICLE_ASSEMBLIES_LIGHT_NEW_POP_FC" hidden="1">"c8025"</definedName>
    <definedName name="IQ_VEHICLE_ASSEMBLIES_LIGHT_NEW_YOY" hidden="1">"c7365"</definedName>
    <definedName name="IQ_VEHICLE_ASSEMBLIES_LIGHT_NEW_YOY_FC" hidden="1">"c8245"</definedName>
    <definedName name="IQ_VEHICLE_ASSEMBLIES_LIGHT_POP" hidden="1">"c7125"</definedName>
    <definedName name="IQ_VEHICLE_ASSEMBLIES_LIGHT_POP_FC" hidden="1">"c8005"</definedName>
    <definedName name="IQ_VEHICLE_ASSEMBLIES_LIGHT_YOY" hidden="1">"c7345"</definedName>
    <definedName name="IQ_VEHICLE_ASSEMBLIES_LIGHT_YOY_FC" hidden="1">"c8225"</definedName>
    <definedName name="IQ_VEHICLE_ASSEMBLIES_TOTAL" hidden="1">"c7020"</definedName>
    <definedName name="IQ_VEHICLE_ASSEMBLIES_TOTAL_APR" hidden="1">"c7680"</definedName>
    <definedName name="IQ_VEHICLE_ASSEMBLIES_TOTAL_APR_FC" hidden="1">"c8560"</definedName>
    <definedName name="IQ_VEHICLE_ASSEMBLIES_TOTAL_FC" hidden="1">"c7900"</definedName>
    <definedName name="IQ_VEHICLE_ASSEMBLIES_TOTAL_POP" hidden="1">"c7240"</definedName>
    <definedName name="IQ_VEHICLE_ASSEMBLIES_TOTAL_POP_FC" hidden="1">"c8120"</definedName>
    <definedName name="IQ_VEHICLE_ASSEMBLIES_TOTAL_YOY" hidden="1">"c7460"</definedName>
    <definedName name="IQ_VEHICLE_ASSEMBLIES_TOTAL_YOY_FC" hidden="1">"c8340"</definedName>
    <definedName name="IQ_VIF_AFTER_COST_CAPITAL_COVERED" hidden="1">"c9966"</definedName>
    <definedName name="IQ_VIF_AFTER_COST_CAPITAL_GROUP" hidden="1">"c9952"</definedName>
    <definedName name="IQ_VIF_BEFORE_COST_CAPITAL_COVERED" hidden="1">"c9964"</definedName>
    <definedName name="IQ_VIF_BEFORE_COST_CAPITAL_GROUP" hidden="1">"c9950"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IGHTED_AVG_PRICE" hidden="1">"c1334"</definedName>
    <definedName name="IQ_WHOLESALE_INVENTORIES" hidden="1">"c7027"</definedName>
    <definedName name="IQ_WHOLESALE_INVENTORIES_APR" hidden="1">"c7687"</definedName>
    <definedName name="IQ_WHOLESALE_INVENTORIES_APR_FC" hidden="1">"c8567"</definedName>
    <definedName name="IQ_WHOLESALE_INVENTORIES_FC" hidden="1">"c7907"</definedName>
    <definedName name="IQ_WHOLESALE_INVENTORIES_POP" hidden="1">"c7247"</definedName>
    <definedName name="IQ_WHOLESALE_INVENTORIES_POP_FC" hidden="1">"c8127"</definedName>
    <definedName name="IQ_WHOLESALE_INVENTORIES_YOY" hidden="1">"c7467"</definedName>
    <definedName name="IQ_WHOLESALE_INVENTORIES_YOY_FC" hidden="1">"c8347"</definedName>
    <definedName name="IQ_WHOLESALE_IS_RATIO" hidden="1">"c7026"</definedName>
    <definedName name="IQ_WHOLESALE_IS_RATIO_FC" hidden="1">"c7906"</definedName>
    <definedName name="IQ_WHOLESALE_IS_RATIO_POP" hidden="1">"c7246"</definedName>
    <definedName name="IQ_WHOLESALE_IS_RATIO_POP_FC" hidden="1">"c8126"</definedName>
    <definedName name="IQ_WHOLESALE_IS_RATIO_YOY" hidden="1">"c7466"</definedName>
    <definedName name="IQ_WHOLESALE_IS_RATIO_YOY_FC" hidden="1">"c8346"</definedName>
    <definedName name="IQ_WHOLESALE_SALES" hidden="1">"c7028"</definedName>
    <definedName name="IQ_WHOLESALE_SALES_APR" hidden="1">"c7688"</definedName>
    <definedName name="IQ_WHOLESALE_SALES_APR_FC" hidden="1">"c8568"</definedName>
    <definedName name="IQ_WHOLESALE_SALES_FC" hidden="1">"c7908"</definedName>
    <definedName name="IQ_WHOLESALE_SALES_INDEX" hidden="1">"c7029"</definedName>
    <definedName name="IQ_WHOLESALE_SALES_INDEX_APR" hidden="1">"c7689"</definedName>
    <definedName name="IQ_WHOLESALE_SALES_INDEX_APR_FC" hidden="1">"c8569"</definedName>
    <definedName name="IQ_WHOLESALE_SALES_INDEX_FC" hidden="1">"c7909"</definedName>
    <definedName name="IQ_WHOLESALE_SALES_INDEX_POP" hidden="1">"c7249"</definedName>
    <definedName name="IQ_WHOLESALE_SALES_INDEX_POP_FC" hidden="1">"c8129"</definedName>
    <definedName name="IQ_WHOLESALE_SALES_INDEX_YOY" hidden="1">"c7469"</definedName>
    <definedName name="IQ_WHOLESALE_SALES_INDEX_YOY_FC" hidden="1">"c8349"</definedName>
    <definedName name="IQ_WHOLESALE_SALES_POP" hidden="1">"c7248"</definedName>
    <definedName name="IQ_WHOLESALE_SALES_POP_FC" hidden="1">"c8128"</definedName>
    <definedName name="IQ_WHOLESALE_SALES_YOY" hidden="1">"c7468"</definedName>
    <definedName name="IQ_WHOLESALE_SALES_YOY_FC" hidden="1">"c8348"</definedName>
    <definedName name="IQ_WIP_INV" hidden="1">"c1335"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XDIV_DATE" hidden="1">"c2104"</definedName>
    <definedName name="IQ_YEAR_FOUNDED" hidden="1">"c6793"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MONTH" hidden="1">130000</definedName>
    <definedName name="IQ_Z_SCORE" hidden="1">"c1339"</definedName>
    <definedName name="jgjgj" hidden="1">{#N/A,#N/A,FALSE,"COVER.XLS";#N/A,#N/A,FALSE,"RACT1.XLS";#N/A,#N/A,FALSE,"RACT2.XLS";#N/A,#N/A,FALSE,"ECCMP";#N/A,#N/A,FALSE,"WELDER.XLS"}</definedName>
    <definedName name="jgjgj_1" hidden="1">{#N/A,#N/A,FALSE,"COVER.XLS";#N/A,#N/A,FALSE,"RACT1.XLS";#N/A,#N/A,FALSE,"RACT2.XLS";#N/A,#N/A,FALSE,"ECCMP";#N/A,#N/A,FALSE,"WELDER.XLS"}</definedName>
    <definedName name="jgjgj_1_1" hidden="1">{#N/A,#N/A,FALSE,"COVER.XLS";#N/A,#N/A,FALSE,"RACT1.XLS";#N/A,#N/A,FALSE,"RACT2.XLS";#N/A,#N/A,FALSE,"ECCMP";#N/A,#N/A,FALSE,"WELDER.XLS"}</definedName>
    <definedName name="jgjgj_1_2" hidden="1">{#N/A,#N/A,FALSE,"COVER.XLS";#N/A,#N/A,FALSE,"RACT1.XLS";#N/A,#N/A,FALSE,"RACT2.XLS";#N/A,#N/A,FALSE,"ECCMP";#N/A,#N/A,FALSE,"WELDER.XLS"}</definedName>
    <definedName name="jgjgj_1_3" hidden="1">{#N/A,#N/A,FALSE,"COVER.XLS";#N/A,#N/A,FALSE,"RACT1.XLS";#N/A,#N/A,FALSE,"RACT2.XLS";#N/A,#N/A,FALSE,"ECCMP";#N/A,#N/A,FALSE,"WELDER.XLS"}</definedName>
    <definedName name="jgjgj_1_4" hidden="1">{#N/A,#N/A,FALSE,"COVER.XLS";#N/A,#N/A,FALSE,"RACT1.XLS";#N/A,#N/A,FALSE,"RACT2.XLS";#N/A,#N/A,FALSE,"ECCMP";#N/A,#N/A,FALSE,"WELDER.XLS"}</definedName>
    <definedName name="jgjgj_1_5" hidden="1">{#N/A,#N/A,FALSE,"COVER.XLS";#N/A,#N/A,FALSE,"RACT1.XLS";#N/A,#N/A,FALSE,"RACT2.XLS";#N/A,#N/A,FALSE,"ECCMP";#N/A,#N/A,FALSE,"WELDER.XLS"}</definedName>
    <definedName name="jgjgj_2" hidden="1">{#N/A,#N/A,FALSE,"COVER.XLS";#N/A,#N/A,FALSE,"RACT1.XLS";#N/A,#N/A,FALSE,"RACT2.XLS";#N/A,#N/A,FALSE,"ECCMP";#N/A,#N/A,FALSE,"WELDER.XLS"}</definedName>
    <definedName name="jgjgj_2_1" hidden="1">{#N/A,#N/A,FALSE,"COVER.XLS";#N/A,#N/A,FALSE,"RACT1.XLS";#N/A,#N/A,FALSE,"RACT2.XLS";#N/A,#N/A,FALSE,"ECCMP";#N/A,#N/A,FALSE,"WELDER.XLS"}</definedName>
    <definedName name="jgjgj_2_2" hidden="1">{#N/A,#N/A,FALSE,"COVER.XLS";#N/A,#N/A,FALSE,"RACT1.XLS";#N/A,#N/A,FALSE,"RACT2.XLS";#N/A,#N/A,FALSE,"ECCMP";#N/A,#N/A,FALSE,"WELDER.XLS"}</definedName>
    <definedName name="jgjgj_2_3" hidden="1">{#N/A,#N/A,FALSE,"COVER.XLS";#N/A,#N/A,FALSE,"RACT1.XLS";#N/A,#N/A,FALSE,"RACT2.XLS";#N/A,#N/A,FALSE,"ECCMP";#N/A,#N/A,FALSE,"WELDER.XLS"}</definedName>
    <definedName name="jgjgj_2_4" hidden="1">{#N/A,#N/A,FALSE,"COVER.XLS";#N/A,#N/A,FALSE,"RACT1.XLS";#N/A,#N/A,FALSE,"RACT2.XLS";#N/A,#N/A,FALSE,"ECCMP";#N/A,#N/A,FALSE,"WELDER.XLS"}</definedName>
    <definedName name="jgjgj_2_5" hidden="1">{#N/A,#N/A,FALSE,"COVER.XLS";#N/A,#N/A,FALSE,"RACT1.XLS";#N/A,#N/A,FALSE,"RACT2.XLS";#N/A,#N/A,FALSE,"ECCMP";#N/A,#N/A,FALSE,"WELDER.XLS"}</definedName>
    <definedName name="jgjgj_3" hidden="1">{#N/A,#N/A,FALSE,"COVER.XLS";#N/A,#N/A,FALSE,"RACT1.XLS";#N/A,#N/A,FALSE,"RACT2.XLS";#N/A,#N/A,FALSE,"ECCMP";#N/A,#N/A,FALSE,"WELDER.XLS"}</definedName>
    <definedName name="jgjgj_4" hidden="1">{#N/A,#N/A,FALSE,"COVER.XLS";#N/A,#N/A,FALSE,"RACT1.XLS";#N/A,#N/A,FALSE,"RACT2.XLS";#N/A,#N/A,FALSE,"ECCMP";#N/A,#N/A,FALSE,"WELDER.XLS"}</definedName>
    <definedName name="jgjgj_5" hidden="1">{#N/A,#N/A,FALSE,"COVER.XLS";#N/A,#N/A,FALSE,"RACT1.XLS";#N/A,#N/A,FALSE,"RACT2.XLS";#N/A,#N/A,FALSE,"ECCMP";#N/A,#N/A,FALSE,"WELDER.XLS"}</definedName>
    <definedName name="ji" hidden="1">'[1]NPO - Model'!#REF!</definedName>
    <definedName name="Key" hidden="1">#REF!</definedName>
    <definedName name="K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kkk" hidden="1">{#N/A,#N/A,FALSE,"COVER1.XLS ";#N/A,#N/A,FALSE,"RACT1.XLS";#N/A,#N/A,FALSE,"RACT2.XLS";#N/A,#N/A,FALSE,"ECCMP";#N/A,#N/A,FALSE,"WELDER.XLS"}</definedName>
    <definedName name="kkk_1" hidden="1">{#N/A,#N/A,FALSE,"COVER1.XLS ";#N/A,#N/A,FALSE,"RACT1.XLS";#N/A,#N/A,FALSE,"RACT2.XLS";#N/A,#N/A,FALSE,"ECCMP";#N/A,#N/A,FALSE,"WELDER.XLS"}</definedName>
    <definedName name="kkk_1_1" hidden="1">{#N/A,#N/A,FALSE,"COVER1.XLS ";#N/A,#N/A,FALSE,"RACT1.XLS";#N/A,#N/A,FALSE,"RACT2.XLS";#N/A,#N/A,FALSE,"ECCMP";#N/A,#N/A,FALSE,"WELDER.XLS"}</definedName>
    <definedName name="kkk_1_2" hidden="1">{#N/A,#N/A,FALSE,"COVER1.XLS ";#N/A,#N/A,FALSE,"RACT1.XLS";#N/A,#N/A,FALSE,"RACT2.XLS";#N/A,#N/A,FALSE,"ECCMP";#N/A,#N/A,FALSE,"WELDER.XLS"}</definedName>
    <definedName name="kkk_1_3" hidden="1">{#N/A,#N/A,FALSE,"COVER1.XLS ";#N/A,#N/A,FALSE,"RACT1.XLS";#N/A,#N/A,FALSE,"RACT2.XLS";#N/A,#N/A,FALSE,"ECCMP";#N/A,#N/A,FALSE,"WELDER.XLS"}</definedName>
    <definedName name="kkk_1_4" hidden="1">{#N/A,#N/A,FALSE,"COVER1.XLS ";#N/A,#N/A,FALSE,"RACT1.XLS";#N/A,#N/A,FALSE,"RACT2.XLS";#N/A,#N/A,FALSE,"ECCMP";#N/A,#N/A,FALSE,"WELDER.XLS"}</definedName>
    <definedName name="kkk_1_5" hidden="1">{#N/A,#N/A,FALSE,"COVER1.XLS ";#N/A,#N/A,FALSE,"RACT1.XLS";#N/A,#N/A,FALSE,"RACT2.XLS";#N/A,#N/A,FALSE,"ECCMP";#N/A,#N/A,FALSE,"WELDER.XLS"}</definedName>
    <definedName name="kkk_2" hidden="1">{#N/A,#N/A,FALSE,"COVER1.XLS ";#N/A,#N/A,FALSE,"RACT1.XLS";#N/A,#N/A,FALSE,"RACT2.XLS";#N/A,#N/A,FALSE,"ECCMP";#N/A,#N/A,FALSE,"WELDER.XLS"}</definedName>
    <definedName name="kkk_2_1" hidden="1">{#N/A,#N/A,FALSE,"COVER1.XLS ";#N/A,#N/A,FALSE,"RACT1.XLS";#N/A,#N/A,FALSE,"RACT2.XLS";#N/A,#N/A,FALSE,"ECCMP";#N/A,#N/A,FALSE,"WELDER.XLS"}</definedName>
    <definedName name="kkk_2_2" hidden="1">{#N/A,#N/A,FALSE,"COVER1.XLS ";#N/A,#N/A,FALSE,"RACT1.XLS";#N/A,#N/A,FALSE,"RACT2.XLS";#N/A,#N/A,FALSE,"ECCMP";#N/A,#N/A,FALSE,"WELDER.XLS"}</definedName>
    <definedName name="kkk_2_3" hidden="1">{#N/A,#N/A,FALSE,"COVER1.XLS ";#N/A,#N/A,FALSE,"RACT1.XLS";#N/A,#N/A,FALSE,"RACT2.XLS";#N/A,#N/A,FALSE,"ECCMP";#N/A,#N/A,FALSE,"WELDER.XLS"}</definedName>
    <definedName name="kkk_2_4" hidden="1">{#N/A,#N/A,FALSE,"COVER1.XLS ";#N/A,#N/A,FALSE,"RACT1.XLS";#N/A,#N/A,FALSE,"RACT2.XLS";#N/A,#N/A,FALSE,"ECCMP";#N/A,#N/A,FALSE,"WELDER.XLS"}</definedName>
    <definedName name="kkk_2_5" hidden="1">{#N/A,#N/A,FALSE,"COVER1.XLS ";#N/A,#N/A,FALSE,"RACT1.XLS";#N/A,#N/A,FALSE,"RACT2.XLS";#N/A,#N/A,FALSE,"ECCMP";#N/A,#N/A,FALSE,"WELDER.XLS"}</definedName>
    <definedName name="kkk_3" hidden="1">{#N/A,#N/A,FALSE,"COVER1.XLS ";#N/A,#N/A,FALSE,"RACT1.XLS";#N/A,#N/A,FALSE,"RACT2.XLS";#N/A,#N/A,FALSE,"ECCMP";#N/A,#N/A,FALSE,"WELDER.XLS"}</definedName>
    <definedName name="kkk_4" hidden="1">{#N/A,#N/A,FALSE,"COVER1.XLS ";#N/A,#N/A,FALSE,"RACT1.XLS";#N/A,#N/A,FALSE,"RACT2.XLS";#N/A,#N/A,FALSE,"ECCMP";#N/A,#N/A,FALSE,"WELDER.XLS"}</definedName>
    <definedName name="kkk_5" hidden="1">{#N/A,#N/A,FALSE,"COVER1.XLS ";#N/A,#N/A,FALSE,"RACT1.XLS";#N/A,#N/A,FALSE,"RACT2.XLS";#N/A,#N/A,FALSE,"ECCMP";#N/A,#N/A,FALSE,"WELDER.XLS"}</definedName>
    <definedName name="kkkk" hidden="1">{#N/A,#N/A,FALSE,"COVER.XLS";#N/A,#N/A,FALSE,"RACT1.XLS";#N/A,#N/A,FALSE,"RACT2.XLS";#N/A,#N/A,FALSE,"ECCMP";#N/A,#N/A,FALSE,"WELDER.XLS"}</definedName>
    <definedName name="kkkkk" hidden="1">{#N/A,#N/A,FALSE,"COVER.XLS";#N/A,#N/A,FALSE,"RACT1.XLS";#N/A,#N/A,FALSE,"RACT2.XLS";#N/A,#N/A,FALSE,"ECCMP";#N/A,#N/A,FALSE,"WELDER.XLS"}</definedName>
    <definedName name="kp" hidden="1">#REF!</definedName>
    <definedName name="ks" hidden="1">{#N/A,#N/A,FALSE,"COVER.XLS";#N/A,#N/A,FALSE,"RACT1.XLS";#N/A,#N/A,FALSE,"RACT2.XLS";#N/A,#N/A,FALSE,"ECCMP";#N/A,#N/A,FALSE,"WELDER.XLS"}</definedName>
    <definedName name="ks_1" hidden="1">{#N/A,#N/A,FALSE,"COVER.XLS";#N/A,#N/A,FALSE,"RACT1.XLS";#N/A,#N/A,FALSE,"RACT2.XLS";#N/A,#N/A,FALSE,"ECCMP";#N/A,#N/A,FALSE,"WELDER.XLS"}</definedName>
    <definedName name="ks_1_1" hidden="1">{#N/A,#N/A,FALSE,"COVER.XLS";#N/A,#N/A,FALSE,"RACT1.XLS";#N/A,#N/A,FALSE,"RACT2.XLS";#N/A,#N/A,FALSE,"ECCMP";#N/A,#N/A,FALSE,"WELDER.XLS"}</definedName>
    <definedName name="ks_1_2" hidden="1">{#N/A,#N/A,FALSE,"COVER.XLS";#N/A,#N/A,FALSE,"RACT1.XLS";#N/A,#N/A,FALSE,"RACT2.XLS";#N/A,#N/A,FALSE,"ECCMP";#N/A,#N/A,FALSE,"WELDER.XLS"}</definedName>
    <definedName name="ks_1_3" hidden="1">{#N/A,#N/A,FALSE,"COVER.XLS";#N/A,#N/A,FALSE,"RACT1.XLS";#N/A,#N/A,FALSE,"RACT2.XLS";#N/A,#N/A,FALSE,"ECCMP";#N/A,#N/A,FALSE,"WELDER.XLS"}</definedName>
    <definedName name="ks_1_4" hidden="1">{#N/A,#N/A,FALSE,"COVER.XLS";#N/A,#N/A,FALSE,"RACT1.XLS";#N/A,#N/A,FALSE,"RACT2.XLS";#N/A,#N/A,FALSE,"ECCMP";#N/A,#N/A,FALSE,"WELDER.XLS"}</definedName>
    <definedName name="ks_1_5" hidden="1">{#N/A,#N/A,FALSE,"COVER.XLS";#N/A,#N/A,FALSE,"RACT1.XLS";#N/A,#N/A,FALSE,"RACT2.XLS";#N/A,#N/A,FALSE,"ECCMP";#N/A,#N/A,FALSE,"WELDER.XLS"}</definedName>
    <definedName name="ks_2" hidden="1">{#N/A,#N/A,FALSE,"COVER.XLS";#N/A,#N/A,FALSE,"RACT1.XLS";#N/A,#N/A,FALSE,"RACT2.XLS";#N/A,#N/A,FALSE,"ECCMP";#N/A,#N/A,FALSE,"WELDER.XLS"}</definedName>
    <definedName name="ks_2_1" hidden="1">{#N/A,#N/A,FALSE,"COVER.XLS";#N/A,#N/A,FALSE,"RACT1.XLS";#N/A,#N/A,FALSE,"RACT2.XLS";#N/A,#N/A,FALSE,"ECCMP";#N/A,#N/A,FALSE,"WELDER.XLS"}</definedName>
    <definedName name="ks_2_2" hidden="1">{#N/A,#N/A,FALSE,"COVER.XLS";#N/A,#N/A,FALSE,"RACT1.XLS";#N/A,#N/A,FALSE,"RACT2.XLS";#N/A,#N/A,FALSE,"ECCMP";#N/A,#N/A,FALSE,"WELDER.XLS"}</definedName>
    <definedName name="ks_2_3" hidden="1">{#N/A,#N/A,FALSE,"COVER.XLS";#N/A,#N/A,FALSE,"RACT1.XLS";#N/A,#N/A,FALSE,"RACT2.XLS";#N/A,#N/A,FALSE,"ECCMP";#N/A,#N/A,FALSE,"WELDER.XLS"}</definedName>
    <definedName name="ks_2_4" hidden="1">{#N/A,#N/A,FALSE,"COVER.XLS";#N/A,#N/A,FALSE,"RACT1.XLS";#N/A,#N/A,FALSE,"RACT2.XLS";#N/A,#N/A,FALSE,"ECCMP";#N/A,#N/A,FALSE,"WELDER.XLS"}</definedName>
    <definedName name="ks_2_5" hidden="1">{#N/A,#N/A,FALSE,"COVER.XLS";#N/A,#N/A,FALSE,"RACT1.XLS";#N/A,#N/A,FALSE,"RACT2.XLS";#N/A,#N/A,FALSE,"ECCMP";#N/A,#N/A,FALSE,"WELDER.XLS"}</definedName>
    <definedName name="ks_3" hidden="1">{#N/A,#N/A,FALSE,"COVER.XLS";#N/A,#N/A,FALSE,"RACT1.XLS";#N/A,#N/A,FALSE,"RACT2.XLS";#N/A,#N/A,FALSE,"ECCMP";#N/A,#N/A,FALSE,"WELDER.XLS"}</definedName>
    <definedName name="ks_4" hidden="1">{#N/A,#N/A,FALSE,"COVER.XLS";#N/A,#N/A,FALSE,"RACT1.XLS";#N/A,#N/A,FALSE,"RACT2.XLS";#N/A,#N/A,FALSE,"ECCMP";#N/A,#N/A,FALSE,"WELDER.XLS"}</definedName>
    <definedName name="ks_5" hidden="1">{#N/A,#N/A,FALSE,"COVER.XLS";#N/A,#N/A,FALSE,"RACT1.XLS";#N/A,#N/A,FALSE,"RACT2.XLS";#N/A,#N/A,FALSE,"ECCMP";#N/A,#N/A,FALSE,"WELDER.XLS"}</definedName>
    <definedName name="kskk" hidden="1">{#N/A,#N/A,FALSE,"COVER.XLS";#N/A,#N/A,FALSE,"RACT1.XLS";#N/A,#N/A,FALSE,"RACT2.XLS";#N/A,#N/A,FALSE,"ECCMP";#N/A,#N/A,FALSE,"WELDER.XLS"}</definedName>
    <definedName name="kskk_1" hidden="1">{#N/A,#N/A,FALSE,"COVER.XLS";#N/A,#N/A,FALSE,"RACT1.XLS";#N/A,#N/A,FALSE,"RACT2.XLS";#N/A,#N/A,FALSE,"ECCMP";#N/A,#N/A,FALSE,"WELDER.XLS"}</definedName>
    <definedName name="kskk_1_1" hidden="1">{#N/A,#N/A,FALSE,"COVER.XLS";#N/A,#N/A,FALSE,"RACT1.XLS";#N/A,#N/A,FALSE,"RACT2.XLS";#N/A,#N/A,FALSE,"ECCMP";#N/A,#N/A,FALSE,"WELDER.XLS"}</definedName>
    <definedName name="kskk_1_2" hidden="1">{#N/A,#N/A,FALSE,"COVER.XLS";#N/A,#N/A,FALSE,"RACT1.XLS";#N/A,#N/A,FALSE,"RACT2.XLS";#N/A,#N/A,FALSE,"ECCMP";#N/A,#N/A,FALSE,"WELDER.XLS"}</definedName>
    <definedName name="kskk_1_3" hidden="1">{#N/A,#N/A,FALSE,"COVER.XLS";#N/A,#N/A,FALSE,"RACT1.XLS";#N/A,#N/A,FALSE,"RACT2.XLS";#N/A,#N/A,FALSE,"ECCMP";#N/A,#N/A,FALSE,"WELDER.XLS"}</definedName>
    <definedName name="kskk_1_4" hidden="1">{#N/A,#N/A,FALSE,"COVER.XLS";#N/A,#N/A,FALSE,"RACT1.XLS";#N/A,#N/A,FALSE,"RACT2.XLS";#N/A,#N/A,FALSE,"ECCMP";#N/A,#N/A,FALSE,"WELDER.XLS"}</definedName>
    <definedName name="kskk_1_5" hidden="1">{#N/A,#N/A,FALSE,"COVER.XLS";#N/A,#N/A,FALSE,"RACT1.XLS";#N/A,#N/A,FALSE,"RACT2.XLS";#N/A,#N/A,FALSE,"ECCMP";#N/A,#N/A,FALSE,"WELDER.XLS"}</definedName>
    <definedName name="kskk_2" hidden="1">{#N/A,#N/A,FALSE,"COVER.XLS";#N/A,#N/A,FALSE,"RACT1.XLS";#N/A,#N/A,FALSE,"RACT2.XLS";#N/A,#N/A,FALSE,"ECCMP";#N/A,#N/A,FALSE,"WELDER.XLS"}</definedName>
    <definedName name="kskk_2_1" hidden="1">{#N/A,#N/A,FALSE,"COVER.XLS";#N/A,#N/A,FALSE,"RACT1.XLS";#N/A,#N/A,FALSE,"RACT2.XLS";#N/A,#N/A,FALSE,"ECCMP";#N/A,#N/A,FALSE,"WELDER.XLS"}</definedName>
    <definedName name="kskk_2_2" hidden="1">{#N/A,#N/A,FALSE,"COVER.XLS";#N/A,#N/A,FALSE,"RACT1.XLS";#N/A,#N/A,FALSE,"RACT2.XLS";#N/A,#N/A,FALSE,"ECCMP";#N/A,#N/A,FALSE,"WELDER.XLS"}</definedName>
    <definedName name="kskk_2_3" hidden="1">{#N/A,#N/A,FALSE,"COVER.XLS";#N/A,#N/A,FALSE,"RACT1.XLS";#N/A,#N/A,FALSE,"RACT2.XLS";#N/A,#N/A,FALSE,"ECCMP";#N/A,#N/A,FALSE,"WELDER.XLS"}</definedName>
    <definedName name="kskk_2_4" hidden="1">{#N/A,#N/A,FALSE,"COVER.XLS";#N/A,#N/A,FALSE,"RACT1.XLS";#N/A,#N/A,FALSE,"RACT2.XLS";#N/A,#N/A,FALSE,"ECCMP";#N/A,#N/A,FALSE,"WELDER.XLS"}</definedName>
    <definedName name="kskk_2_5" hidden="1">{#N/A,#N/A,FALSE,"COVER.XLS";#N/A,#N/A,FALSE,"RACT1.XLS";#N/A,#N/A,FALSE,"RACT2.XLS";#N/A,#N/A,FALSE,"ECCMP";#N/A,#N/A,FALSE,"WELDER.XLS"}</definedName>
    <definedName name="kskk_3" hidden="1">{#N/A,#N/A,FALSE,"COVER.XLS";#N/A,#N/A,FALSE,"RACT1.XLS";#N/A,#N/A,FALSE,"RACT2.XLS";#N/A,#N/A,FALSE,"ECCMP";#N/A,#N/A,FALSE,"WELDER.XLS"}</definedName>
    <definedName name="kskk_4" hidden="1">{#N/A,#N/A,FALSE,"COVER.XLS";#N/A,#N/A,FALSE,"RACT1.XLS";#N/A,#N/A,FALSE,"RACT2.XLS";#N/A,#N/A,FALSE,"ECCMP";#N/A,#N/A,FALSE,"WELDER.XLS"}</definedName>
    <definedName name="kskk_5" hidden="1">{#N/A,#N/A,FALSE,"COVER.XLS";#N/A,#N/A,FALSE,"RACT1.XLS";#N/A,#N/A,FALSE,"RACT2.XLS";#N/A,#N/A,FALSE,"ECCMP";#N/A,#N/A,FALSE,"WELDER.XLS"}</definedName>
    <definedName name="kv" hidden="1">{#N/A,#N/A,FALSE,"COVER1.XLS ";#N/A,#N/A,FALSE,"RACT1.XLS";#N/A,#N/A,FALSE,"RACT2.XLS";#N/A,#N/A,FALSE,"ECCMP";#N/A,#N/A,FALSE,"WELDER.XLS"}</definedName>
    <definedName name="kv_1" hidden="1">{#N/A,#N/A,FALSE,"COVER1.XLS ";#N/A,#N/A,FALSE,"RACT1.XLS";#N/A,#N/A,FALSE,"RACT2.XLS";#N/A,#N/A,FALSE,"ECCMP";#N/A,#N/A,FALSE,"WELDER.XLS"}</definedName>
    <definedName name="kv_1_1" hidden="1">{#N/A,#N/A,FALSE,"COVER1.XLS ";#N/A,#N/A,FALSE,"RACT1.XLS";#N/A,#N/A,FALSE,"RACT2.XLS";#N/A,#N/A,FALSE,"ECCMP";#N/A,#N/A,FALSE,"WELDER.XLS"}</definedName>
    <definedName name="kv_1_2" hidden="1">{#N/A,#N/A,FALSE,"COVER1.XLS ";#N/A,#N/A,FALSE,"RACT1.XLS";#N/A,#N/A,FALSE,"RACT2.XLS";#N/A,#N/A,FALSE,"ECCMP";#N/A,#N/A,FALSE,"WELDER.XLS"}</definedName>
    <definedName name="kv_1_3" hidden="1">{#N/A,#N/A,FALSE,"COVER1.XLS ";#N/A,#N/A,FALSE,"RACT1.XLS";#N/A,#N/A,FALSE,"RACT2.XLS";#N/A,#N/A,FALSE,"ECCMP";#N/A,#N/A,FALSE,"WELDER.XLS"}</definedName>
    <definedName name="kv_1_4" hidden="1">{#N/A,#N/A,FALSE,"COVER1.XLS ";#N/A,#N/A,FALSE,"RACT1.XLS";#N/A,#N/A,FALSE,"RACT2.XLS";#N/A,#N/A,FALSE,"ECCMP";#N/A,#N/A,FALSE,"WELDER.XLS"}</definedName>
    <definedName name="kv_1_5" hidden="1">{#N/A,#N/A,FALSE,"COVER1.XLS ";#N/A,#N/A,FALSE,"RACT1.XLS";#N/A,#N/A,FALSE,"RACT2.XLS";#N/A,#N/A,FALSE,"ECCMP";#N/A,#N/A,FALSE,"WELDER.XLS"}</definedName>
    <definedName name="kv_2" hidden="1">{#N/A,#N/A,FALSE,"COVER1.XLS ";#N/A,#N/A,FALSE,"RACT1.XLS";#N/A,#N/A,FALSE,"RACT2.XLS";#N/A,#N/A,FALSE,"ECCMP";#N/A,#N/A,FALSE,"WELDER.XLS"}</definedName>
    <definedName name="kv_2_1" hidden="1">{#N/A,#N/A,FALSE,"COVER1.XLS ";#N/A,#N/A,FALSE,"RACT1.XLS";#N/A,#N/A,FALSE,"RACT2.XLS";#N/A,#N/A,FALSE,"ECCMP";#N/A,#N/A,FALSE,"WELDER.XLS"}</definedName>
    <definedName name="kv_2_2" hidden="1">{#N/A,#N/A,FALSE,"COVER1.XLS ";#N/A,#N/A,FALSE,"RACT1.XLS";#N/A,#N/A,FALSE,"RACT2.XLS";#N/A,#N/A,FALSE,"ECCMP";#N/A,#N/A,FALSE,"WELDER.XLS"}</definedName>
    <definedName name="kv_2_3" hidden="1">{#N/A,#N/A,FALSE,"COVER1.XLS ";#N/A,#N/A,FALSE,"RACT1.XLS";#N/A,#N/A,FALSE,"RACT2.XLS";#N/A,#N/A,FALSE,"ECCMP";#N/A,#N/A,FALSE,"WELDER.XLS"}</definedName>
    <definedName name="kv_2_4" hidden="1">{#N/A,#N/A,FALSE,"COVER1.XLS ";#N/A,#N/A,FALSE,"RACT1.XLS";#N/A,#N/A,FALSE,"RACT2.XLS";#N/A,#N/A,FALSE,"ECCMP";#N/A,#N/A,FALSE,"WELDER.XLS"}</definedName>
    <definedName name="kv_2_5" hidden="1">{#N/A,#N/A,FALSE,"COVER1.XLS ";#N/A,#N/A,FALSE,"RACT1.XLS";#N/A,#N/A,FALSE,"RACT2.XLS";#N/A,#N/A,FALSE,"ECCMP";#N/A,#N/A,FALSE,"WELDER.XLS"}</definedName>
    <definedName name="kv_3" hidden="1">{#N/A,#N/A,FALSE,"COVER1.XLS ";#N/A,#N/A,FALSE,"RACT1.XLS";#N/A,#N/A,FALSE,"RACT2.XLS";#N/A,#N/A,FALSE,"ECCMP";#N/A,#N/A,FALSE,"WELDER.XLS"}</definedName>
    <definedName name="kv_4" hidden="1">{#N/A,#N/A,FALSE,"COVER1.XLS ";#N/A,#N/A,FALSE,"RACT1.XLS";#N/A,#N/A,FALSE,"RACT2.XLS";#N/A,#N/A,FALSE,"ECCMP";#N/A,#N/A,FALSE,"WELDER.XLS"}</definedName>
    <definedName name="kv_5" hidden="1">{#N/A,#N/A,FALSE,"COVER1.XLS ";#N/A,#N/A,FALSE,"RACT1.XLS";#N/A,#N/A,FALSE,"RACT2.XLS";#N/A,#N/A,FALSE,"ECCMP";#N/A,#N/A,FALSE,"WELDER.XLS"}</definedName>
    <definedName name="kvs" hidden="1">{#N/A,#N/A,FALSE,"COVER1.XLS ";#N/A,#N/A,FALSE,"RACT1.XLS";#N/A,#N/A,FALSE,"RACT2.XLS";#N/A,#N/A,FALSE,"ECCMP";#N/A,#N/A,FALSE,"WELDER.XLS"}</definedName>
    <definedName name="kvs_1" hidden="1">{#N/A,#N/A,FALSE,"COVER1.XLS ";#N/A,#N/A,FALSE,"RACT1.XLS";#N/A,#N/A,FALSE,"RACT2.XLS";#N/A,#N/A,FALSE,"ECCMP";#N/A,#N/A,FALSE,"WELDER.XLS"}</definedName>
    <definedName name="kvs_1_1" hidden="1">{#N/A,#N/A,FALSE,"COVER1.XLS ";#N/A,#N/A,FALSE,"RACT1.XLS";#N/A,#N/A,FALSE,"RACT2.XLS";#N/A,#N/A,FALSE,"ECCMP";#N/A,#N/A,FALSE,"WELDER.XLS"}</definedName>
    <definedName name="kvs_1_2" hidden="1">{#N/A,#N/A,FALSE,"COVER1.XLS ";#N/A,#N/A,FALSE,"RACT1.XLS";#N/A,#N/A,FALSE,"RACT2.XLS";#N/A,#N/A,FALSE,"ECCMP";#N/A,#N/A,FALSE,"WELDER.XLS"}</definedName>
    <definedName name="kvs_1_3" hidden="1">{#N/A,#N/A,FALSE,"COVER1.XLS ";#N/A,#N/A,FALSE,"RACT1.XLS";#N/A,#N/A,FALSE,"RACT2.XLS";#N/A,#N/A,FALSE,"ECCMP";#N/A,#N/A,FALSE,"WELDER.XLS"}</definedName>
    <definedName name="kvs_1_4" hidden="1">{#N/A,#N/A,FALSE,"COVER1.XLS ";#N/A,#N/A,FALSE,"RACT1.XLS";#N/A,#N/A,FALSE,"RACT2.XLS";#N/A,#N/A,FALSE,"ECCMP";#N/A,#N/A,FALSE,"WELDER.XLS"}</definedName>
    <definedName name="kvs_1_5" hidden="1">{#N/A,#N/A,FALSE,"COVER1.XLS ";#N/A,#N/A,FALSE,"RACT1.XLS";#N/A,#N/A,FALSE,"RACT2.XLS";#N/A,#N/A,FALSE,"ECCMP";#N/A,#N/A,FALSE,"WELDER.XLS"}</definedName>
    <definedName name="kvs_2" hidden="1">{#N/A,#N/A,FALSE,"COVER1.XLS ";#N/A,#N/A,FALSE,"RACT1.XLS";#N/A,#N/A,FALSE,"RACT2.XLS";#N/A,#N/A,FALSE,"ECCMP";#N/A,#N/A,FALSE,"WELDER.XLS"}</definedName>
    <definedName name="kvs_2_1" hidden="1">{#N/A,#N/A,FALSE,"COVER1.XLS ";#N/A,#N/A,FALSE,"RACT1.XLS";#N/A,#N/A,FALSE,"RACT2.XLS";#N/A,#N/A,FALSE,"ECCMP";#N/A,#N/A,FALSE,"WELDER.XLS"}</definedName>
    <definedName name="kvs_2_2" hidden="1">{#N/A,#N/A,FALSE,"COVER1.XLS ";#N/A,#N/A,FALSE,"RACT1.XLS";#N/A,#N/A,FALSE,"RACT2.XLS";#N/A,#N/A,FALSE,"ECCMP";#N/A,#N/A,FALSE,"WELDER.XLS"}</definedName>
    <definedName name="kvs_2_3" hidden="1">{#N/A,#N/A,FALSE,"COVER1.XLS ";#N/A,#N/A,FALSE,"RACT1.XLS";#N/A,#N/A,FALSE,"RACT2.XLS";#N/A,#N/A,FALSE,"ECCMP";#N/A,#N/A,FALSE,"WELDER.XLS"}</definedName>
    <definedName name="kvs_2_4" hidden="1">{#N/A,#N/A,FALSE,"COVER1.XLS ";#N/A,#N/A,FALSE,"RACT1.XLS";#N/A,#N/A,FALSE,"RACT2.XLS";#N/A,#N/A,FALSE,"ECCMP";#N/A,#N/A,FALSE,"WELDER.XLS"}</definedName>
    <definedName name="kvs_2_5" hidden="1">{#N/A,#N/A,FALSE,"COVER1.XLS ";#N/A,#N/A,FALSE,"RACT1.XLS";#N/A,#N/A,FALSE,"RACT2.XLS";#N/A,#N/A,FALSE,"ECCMP";#N/A,#N/A,FALSE,"WELDER.XLS"}</definedName>
    <definedName name="kvs_3" hidden="1">{#N/A,#N/A,FALSE,"COVER1.XLS ";#N/A,#N/A,FALSE,"RACT1.XLS";#N/A,#N/A,FALSE,"RACT2.XLS";#N/A,#N/A,FALSE,"ECCMP";#N/A,#N/A,FALSE,"WELDER.XLS"}</definedName>
    <definedName name="kvs_4" hidden="1">{#N/A,#N/A,FALSE,"COVER1.XLS ";#N/A,#N/A,FALSE,"RACT1.XLS";#N/A,#N/A,FALSE,"RACT2.XLS";#N/A,#N/A,FALSE,"ECCMP";#N/A,#N/A,FALSE,"WELDER.XLS"}</definedName>
    <definedName name="kvs_5" hidden="1">{#N/A,#N/A,FALSE,"COVER1.XLS ";#N/A,#N/A,FALSE,"RACT1.XLS";#N/A,#N/A,FALSE,"RACT2.XLS";#N/A,#N/A,FALSE,"ECCMP";#N/A,#N/A,FALSE,"WELDER.XLS"}</definedName>
    <definedName name="kvv" hidden="1">{#N/A,#N/A,FALSE,"COVER.XLS";#N/A,#N/A,FALSE,"RACT1.XLS";#N/A,#N/A,FALSE,"RACT2.XLS";#N/A,#N/A,FALSE,"ECCMP";#N/A,#N/A,FALSE,"WELDER.XLS"}</definedName>
    <definedName name="kvv_1" hidden="1">{#N/A,#N/A,FALSE,"COVER.XLS";#N/A,#N/A,FALSE,"RACT1.XLS";#N/A,#N/A,FALSE,"RACT2.XLS";#N/A,#N/A,FALSE,"ECCMP";#N/A,#N/A,FALSE,"WELDER.XLS"}</definedName>
    <definedName name="kvv_1_1" hidden="1">{#N/A,#N/A,FALSE,"COVER.XLS";#N/A,#N/A,FALSE,"RACT1.XLS";#N/A,#N/A,FALSE,"RACT2.XLS";#N/A,#N/A,FALSE,"ECCMP";#N/A,#N/A,FALSE,"WELDER.XLS"}</definedName>
    <definedName name="kvv_1_2" hidden="1">{#N/A,#N/A,FALSE,"COVER.XLS";#N/A,#N/A,FALSE,"RACT1.XLS";#N/A,#N/A,FALSE,"RACT2.XLS";#N/A,#N/A,FALSE,"ECCMP";#N/A,#N/A,FALSE,"WELDER.XLS"}</definedName>
    <definedName name="kvv_1_3" hidden="1">{#N/A,#N/A,FALSE,"COVER.XLS";#N/A,#N/A,FALSE,"RACT1.XLS";#N/A,#N/A,FALSE,"RACT2.XLS";#N/A,#N/A,FALSE,"ECCMP";#N/A,#N/A,FALSE,"WELDER.XLS"}</definedName>
    <definedName name="kvv_1_4" hidden="1">{#N/A,#N/A,FALSE,"COVER.XLS";#N/A,#N/A,FALSE,"RACT1.XLS";#N/A,#N/A,FALSE,"RACT2.XLS";#N/A,#N/A,FALSE,"ECCMP";#N/A,#N/A,FALSE,"WELDER.XLS"}</definedName>
    <definedName name="kvv_1_5" hidden="1">{#N/A,#N/A,FALSE,"COVER.XLS";#N/A,#N/A,FALSE,"RACT1.XLS";#N/A,#N/A,FALSE,"RACT2.XLS";#N/A,#N/A,FALSE,"ECCMP";#N/A,#N/A,FALSE,"WELDER.XLS"}</definedName>
    <definedName name="kvv_2" hidden="1">{#N/A,#N/A,FALSE,"COVER.XLS";#N/A,#N/A,FALSE,"RACT1.XLS";#N/A,#N/A,FALSE,"RACT2.XLS";#N/A,#N/A,FALSE,"ECCMP";#N/A,#N/A,FALSE,"WELDER.XLS"}</definedName>
    <definedName name="kvv_2_1" hidden="1">{#N/A,#N/A,FALSE,"COVER.XLS";#N/A,#N/A,FALSE,"RACT1.XLS";#N/A,#N/A,FALSE,"RACT2.XLS";#N/A,#N/A,FALSE,"ECCMP";#N/A,#N/A,FALSE,"WELDER.XLS"}</definedName>
    <definedName name="kvv_2_2" hidden="1">{#N/A,#N/A,FALSE,"COVER.XLS";#N/A,#N/A,FALSE,"RACT1.XLS";#N/A,#N/A,FALSE,"RACT2.XLS";#N/A,#N/A,FALSE,"ECCMP";#N/A,#N/A,FALSE,"WELDER.XLS"}</definedName>
    <definedName name="kvv_2_3" hidden="1">{#N/A,#N/A,FALSE,"COVER.XLS";#N/A,#N/A,FALSE,"RACT1.XLS";#N/A,#N/A,FALSE,"RACT2.XLS";#N/A,#N/A,FALSE,"ECCMP";#N/A,#N/A,FALSE,"WELDER.XLS"}</definedName>
    <definedName name="kvv_2_4" hidden="1">{#N/A,#N/A,FALSE,"COVER.XLS";#N/A,#N/A,FALSE,"RACT1.XLS";#N/A,#N/A,FALSE,"RACT2.XLS";#N/A,#N/A,FALSE,"ECCMP";#N/A,#N/A,FALSE,"WELDER.XLS"}</definedName>
    <definedName name="kvv_2_5" hidden="1">{#N/A,#N/A,FALSE,"COVER.XLS";#N/A,#N/A,FALSE,"RACT1.XLS";#N/A,#N/A,FALSE,"RACT2.XLS";#N/A,#N/A,FALSE,"ECCMP";#N/A,#N/A,FALSE,"WELDER.XLS"}</definedName>
    <definedName name="kvv_3" hidden="1">{#N/A,#N/A,FALSE,"COVER.XLS";#N/A,#N/A,FALSE,"RACT1.XLS";#N/A,#N/A,FALSE,"RACT2.XLS";#N/A,#N/A,FALSE,"ECCMP";#N/A,#N/A,FALSE,"WELDER.XLS"}</definedName>
    <definedName name="kvv_4" hidden="1">{#N/A,#N/A,FALSE,"COVER.XLS";#N/A,#N/A,FALSE,"RACT1.XLS";#N/A,#N/A,FALSE,"RACT2.XLS";#N/A,#N/A,FALSE,"ECCMP";#N/A,#N/A,FALSE,"WELDER.XLS"}</definedName>
    <definedName name="kvv_5" hidden="1">{#N/A,#N/A,FALSE,"COVER.XLS";#N/A,#N/A,FALSE,"RACT1.XLS";#N/A,#N/A,FALSE,"RACT2.XLS";#N/A,#N/A,FALSE,"ECCMP";#N/A,#N/A,FALSE,"WELDER.XLS"}</definedName>
    <definedName name="l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imcount" hidden="1">1</definedName>
    <definedName name="lk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k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lll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lll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m" hidden="1">{#N/A,#N/A,FALSE,"COVER1.XLS ";#N/A,#N/A,FALSE,"RACT1.XLS";#N/A,#N/A,FALSE,"RACT2.XLS";#N/A,#N/A,FALSE,"ECCMP";#N/A,#N/A,FALSE,"WELDER.XLS"}</definedName>
    <definedName name="mmm" hidden="1">{#N/A,#N/A,FALSE,"COVER.XLS";#N/A,#N/A,FALSE,"RACT1.XLS";#N/A,#N/A,FALSE,"RACT2.XLS";#N/A,#N/A,FALSE,"ECCMP";#N/A,#N/A,FALSE,"WELDER.XLS"}</definedName>
    <definedName name="mmm_1" hidden="1">{#N/A,#N/A,FALSE,"COVER.XLS";#N/A,#N/A,FALSE,"RACT1.XLS";#N/A,#N/A,FALSE,"RACT2.XLS";#N/A,#N/A,FALSE,"ECCMP";#N/A,#N/A,FALSE,"WELDER.XLS"}</definedName>
    <definedName name="mmm_1_1" hidden="1">{#N/A,#N/A,FALSE,"COVER.XLS";#N/A,#N/A,FALSE,"RACT1.XLS";#N/A,#N/A,FALSE,"RACT2.XLS";#N/A,#N/A,FALSE,"ECCMP";#N/A,#N/A,FALSE,"WELDER.XLS"}</definedName>
    <definedName name="mmm_1_2" hidden="1">{#N/A,#N/A,FALSE,"COVER.XLS";#N/A,#N/A,FALSE,"RACT1.XLS";#N/A,#N/A,FALSE,"RACT2.XLS";#N/A,#N/A,FALSE,"ECCMP";#N/A,#N/A,FALSE,"WELDER.XLS"}</definedName>
    <definedName name="mmm_1_3" hidden="1">{#N/A,#N/A,FALSE,"COVER.XLS";#N/A,#N/A,FALSE,"RACT1.XLS";#N/A,#N/A,FALSE,"RACT2.XLS";#N/A,#N/A,FALSE,"ECCMP";#N/A,#N/A,FALSE,"WELDER.XLS"}</definedName>
    <definedName name="mmm_1_4" hidden="1">{#N/A,#N/A,FALSE,"COVER.XLS";#N/A,#N/A,FALSE,"RACT1.XLS";#N/A,#N/A,FALSE,"RACT2.XLS";#N/A,#N/A,FALSE,"ECCMP";#N/A,#N/A,FALSE,"WELDER.XLS"}</definedName>
    <definedName name="mmm_1_5" hidden="1">{#N/A,#N/A,FALSE,"COVER.XLS";#N/A,#N/A,FALSE,"RACT1.XLS";#N/A,#N/A,FALSE,"RACT2.XLS";#N/A,#N/A,FALSE,"ECCMP";#N/A,#N/A,FALSE,"WELDER.XLS"}</definedName>
    <definedName name="mmm_2" hidden="1">{#N/A,#N/A,FALSE,"COVER.XLS";#N/A,#N/A,FALSE,"RACT1.XLS";#N/A,#N/A,FALSE,"RACT2.XLS";#N/A,#N/A,FALSE,"ECCMP";#N/A,#N/A,FALSE,"WELDER.XLS"}</definedName>
    <definedName name="mmm_2_1" hidden="1">{#N/A,#N/A,FALSE,"COVER.XLS";#N/A,#N/A,FALSE,"RACT1.XLS";#N/A,#N/A,FALSE,"RACT2.XLS";#N/A,#N/A,FALSE,"ECCMP";#N/A,#N/A,FALSE,"WELDER.XLS"}</definedName>
    <definedName name="mmm_2_2" hidden="1">{#N/A,#N/A,FALSE,"COVER.XLS";#N/A,#N/A,FALSE,"RACT1.XLS";#N/A,#N/A,FALSE,"RACT2.XLS";#N/A,#N/A,FALSE,"ECCMP";#N/A,#N/A,FALSE,"WELDER.XLS"}</definedName>
    <definedName name="mmm_2_3" hidden="1">{#N/A,#N/A,FALSE,"COVER.XLS";#N/A,#N/A,FALSE,"RACT1.XLS";#N/A,#N/A,FALSE,"RACT2.XLS";#N/A,#N/A,FALSE,"ECCMP";#N/A,#N/A,FALSE,"WELDER.XLS"}</definedName>
    <definedName name="mmm_2_4" hidden="1">{#N/A,#N/A,FALSE,"COVER.XLS";#N/A,#N/A,FALSE,"RACT1.XLS";#N/A,#N/A,FALSE,"RACT2.XLS";#N/A,#N/A,FALSE,"ECCMP";#N/A,#N/A,FALSE,"WELDER.XLS"}</definedName>
    <definedName name="mmm_2_5" hidden="1">{#N/A,#N/A,FALSE,"COVER.XLS";#N/A,#N/A,FALSE,"RACT1.XLS";#N/A,#N/A,FALSE,"RACT2.XLS";#N/A,#N/A,FALSE,"ECCMP";#N/A,#N/A,FALSE,"WELDER.XLS"}</definedName>
    <definedName name="mmm_3" hidden="1">{#N/A,#N/A,FALSE,"COVER.XLS";#N/A,#N/A,FALSE,"RACT1.XLS";#N/A,#N/A,FALSE,"RACT2.XLS";#N/A,#N/A,FALSE,"ECCMP";#N/A,#N/A,FALSE,"WELDER.XLS"}</definedName>
    <definedName name="mmm_4" hidden="1">{#N/A,#N/A,FALSE,"COVER.XLS";#N/A,#N/A,FALSE,"RACT1.XLS";#N/A,#N/A,FALSE,"RACT2.XLS";#N/A,#N/A,FALSE,"ECCMP";#N/A,#N/A,FALSE,"WELDER.XLS"}</definedName>
    <definedName name="mmm_5" hidden="1">{#N/A,#N/A,FALSE,"COVER.XLS";#N/A,#N/A,FALSE,"RACT1.XLS";#N/A,#N/A,FALSE,"RACT2.XLS";#N/A,#N/A,FALSE,"ECCMP";#N/A,#N/A,FALSE,"WELDER.XLS"}</definedName>
    <definedName name="n" hidden="1">#REF!</definedName>
    <definedName name="n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a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New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EWNA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nikit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nikita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nikita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nikita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nikita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nikita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ns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nss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ok" hidden="1">{#N/A,#N/A,FALSE,"COVER1.XLS ";#N/A,#N/A,FALSE,"RACT1.XLS";#N/A,#N/A,FALSE,"RACT2.XLS";#N/A,#N/A,FALSE,"ECCMP";#N/A,#N/A,FALSE,"WELDER.XLS"}</definedName>
    <definedName name="ok_1" hidden="1">{#N/A,#N/A,FALSE,"COVER1.XLS ";#N/A,#N/A,FALSE,"RACT1.XLS";#N/A,#N/A,FALSE,"RACT2.XLS";#N/A,#N/A,FALSE,"ECCMP";#N/A,#N/A,FALSE,"WELDER.XLS"}</definedName>
    <definedName name="ok_1_1" hidden="1">{#N/A,#N/A,FALSE,"COVER1.XLS ";#N/A,#N/A,FALSE,"RACT1.XLS";#N/A,#N/A,FALSE,"RACT2.XLS";#N/A,#N/A,FALSE,"ECCMP";#N/A,#N/A,FALSE,"WELDER.XLS"}</definedName>
    <definedName name="ok_1_2" hidden="1">{#N/A,#N/A,FALSE,"COVER1.XLS ";#N/A,#N/A,FALSE,"RACT1.XLS";#N/A,#N/A,FALSE,"RACT2.XLS";#N/A,#N/A,FALSE,"ECCMP";#N/A,#N/A,FALSE,"WELDER.XLS"}</definedName>
    <definedName name="ok_1_3" hidden="1">{#N/A,#N/A,FALSE,"COVER1.XLS ";#N/A,#N/A,FALSE,"RACT1.XLS";#N/A,#N/A,FALSE,"RACT2.XLS";#N/A,#N/A,FALSE,"ECCMP";#N/A,#N/A,FALSE,"WELDER.XLS"}</definedName>
    <definedName name="ok_1_4" hidden="1">{#N/A,#N/A,FALSE,"COVER1.XLS ";#N/A,#N/A,FALSE,"RACT1.XLS";#N/A,#N/A,FALSE,"RACT2.XLS";#N/A,#N/A,FALSE,"ECCMP";#N/A,#N/A,FALSE,"WELDER.XLS"}</definedName>
    <definedName name="ok_1_5" hidden="1">{#N/A,#N/A,FALSE,"COVER1.XLS ";#N/A,#N/A,FALSE,"RACT1.XLS";#N/A,#N/A,FALSE,"RACT2.XLS";#N/A,#N/A,FALSE,"ECCMP";#N/A,#N/A,FALSE,"WELDER.XLS"}</definedName>
    <definedName name="ok_2" hidden="1">{#N/A,#N/A,FALSE,"COVER1.XLS ";#N/A,#N/A,FALSE,"RACT1.XLS";#N/A,#N/A,FALSE,"RACT2.XLS";#N/A,#N/A,FALSE,"ECCMP";#N/A,#N/A,FALSE,"WELDER.XLS"}</definedName>
    <definedName name="ok_2_1" hidden="1">{#N/A,#N/A,FALSE,"COVER1.XLS ";#N/A,#N/A,FALSE,"RACT1.XLS";#N/A,#N/A,FALSE,"RACT2.XLS";#N/A,#N/A,FALSE,"ECCMP";#N/A,#N/A,FALSE,"WELDER.XLS"}</definedName>
    <definedName name="ok_2_2" hidden="1">{#N/A,#N/A,FALSE,"COVER1.XLS ";#N/A,#N/A,FALSE,"RACT1.XLS";#N/A,#N/A,FALSE,"RACT2.XLS";#N/A,#N/A,FALSE,"ECCMP";#N/A,#N/A,FALSE,"WELDER.XLS"}</definedName>
    <definedName name="ok_2_3" hidden="1">{#N/A,#N/A,FALSE,"COVER1.XLS ";#N/A,#N/A,FALSE,"RACT1.XLS";#N/A,#N/A,FALSE,"RACT2.XLS";#N/A,#N/A,FALSE,"ECCMP";#N/A,#N/A,FALSE,"WELDER.XLS"}</definedName>
    <definedName name="ok_2_4" hidden="1">{#N/A,#N/A,FALSE,"COVER1.XLS ";#N/A,#N/A,FALSE,"RACT1.XLS";#N/A,#N/A,FALSE,"RACT2.XLS";#N/A,#N/A,FALSE,"ECCMP";#N/A,#N/A,FALSE,"WELDER.XLS"}</definedName>
    <definedName name="ok_2_5" hidden="1">{#N/A,#N/A,FALSE,"COVER1.XLS ";#N/A,#N/A,FALSE,"RACT1.XLS";#N/A,#N/A,FALSE,"RACT2.XLS";#N/A,#N/A,FALSE,"ECCMP";#N/A,#N/A,FALSE,"WELDER.XLS"}</definedName>
    <definedName name="ok_3" hidden="1">{#N/A,#N/A,FALSE,"COVER1.XLS ";#N/A,#N/A,FALSE,"RACT1.XLS";#N/A,#N/A,FALSE,"RACT2.XLS";#N/A,#N/A,FALSE,"ECCMP";#N/A,#N/A,FALSE,"WELDER.XLS"}</definedName>
    <definedName name="ok_4" hidden="1">{#N/A,#N/A,FALSE,"COVER1.XLS ";#N/A,#N/A,FALSE,"RACT1.XLS";#N/A,#N/A,FALSE,"RACT2.XLS";#N/A,#N/A,FALSE,"ECCMP";#N/A,#N/A,FALSE,"WELDER.XLS"}</definedName>
    <definedName name="ok_5" hidden="1">{#N/A,#N/A,FALSE,"COVER1.XLS ";#N/A,#N/A,FALSE,"RACT1.XLS";#N/A,#N/A,FALSE,"RACT2.XLS";#N/A,#N/A,FALSE,"ECCMP";#N/A,#N/A,FALSE,"WELDER.XLS"}</definedName>
    <definedName name="op" hidden="1">{"PMTBUDSM",#N/A,FALSE,"Sheet 1";"PMTBUDSMD",#N/A,FALSE,"Sheet 1"}</definedName>
    <definedName name="op_1" hidden="1">{"PMTBUDSM",#N/A,FALSE,"Sheet 1";"PMTBUDSMD",#N/A,FALSE,"Sheet 1"}</definedName>
    <definedName name="op_2" hidden="1">{"PMTBUDSM",#N/A,FALSE,"Sheet 1";"PMTBUDSMD",#N/A,FALSE,"Sheet 1"}</definedName>
    <definedName name="op_3" hidden="1">{"PMTBUDSM",#N/A,FALSE,"Sheet 1";"PMTBUDSMD",#N/A,FALSE,"Sheet 1"}</definedName>
    <definedName name="op_4" hidden="1">{"PMTBUDSM",#N/A,FALSE,"Sheet 1";"PMTBUDSMD",#N/A,FALSE,"Sheet 1"}</definedName>
    <definedName name="op_5" hidden="1">{"PMTBUDSM",#N/A,FALSE,"Sheet 1";"PMTBUDSMD",#N/A,FALSE,"Sheet 1"}</definedName>
    <definedName name="Others" hidden="1">{#N/A,#N/A,FALSE,"COVER1.XLS ";#N/A,#N/A,FALSE,"RACT1.XLS";#N/A,#N/A,FALSE,"RACT2.XLS";#N/A,#N/A,FALSE,"ECCMP";#N/A,#N/A,FALSE,"WELDER.XLS"}</definedName>
    <definedName name="Others_1" hidden="1">{#N/A,#N/A,FALSE,"COVER1.XLS ";#N/A,#N/A,FALSE,"RACT1.XLS";#N/A,#N/A,FALSE,"RACT2.XLS";#N/A,#N/A,FALSE,"ECCMP";#N/A,#N/A,FALSE,"WELDER.XLS"}</definedName>
    <definedName name="Others_1_1" hidden="1">{#N/A,#N/A,FALSE,"COVER1.XLS ";#N/A,#N/A,FALSE,"RACT1.XLS";#N/A,#N/A,FALSE,"RACT2.XLS";#N/A,#N/A,FALSE,"ECCMP";#N/A,#N/A,FALSE,"WELDER.XLS"}</definedName>
    <definedName name="Others_1_2" hidden="1">{#N/A,#N/A,FALSE,"COVER1.XLS ";#N/A,#N/A,FALSE,"RACT1.XLS";#N/A,#N/A,FALSE,"RACT2.XLS";#N/A,#N/A,FALSE,"ECCMP";#N/A,#N/A,FALSE,"WELDER.XLS"}</definedName>
    <definedName name="Others_1_3" hidden="1">{#N/A,#N/A,FALSE,"COVER1.XLS ";#N/A,#N/A,FALSE,"RACT1.XLS";#N/A,#N/A,FALSE,"RACT2.XLS";#N/A,#N/A,FALSE,"ECCMP";#N/A,#N/A,FALSE,"WELDER.XLS"}</definedName>
    <definedName name="Others_1_4" hidden="1">{#N/A,#N/A,FALSE,"COVER1.XLS ";#N/A,#N/A,FALSE,"RACT1.XLS";#N/A,#N/A,FALSE,"RACT2.XLS";#N/A,#N/A,FALSE,"ECCMP";#N/A,#N/A,FALSE,"WELDER.XLS"}</definedName>
    <definedName name="Others_1_5" hidden="1">{#N/A,#N/A,FALSE,"COVER1.XLS ";#N/A,#N/A,FALSE,"RACT1.XLS";#N/A,#N/A,FALSE,"RACT2.XLS";#N/A,#N/A,FALSE,"ECCMP";#N/A,#N/A,FALSE,"WELDER.XLS"}</definedName>
    <definedName name="Others_2" hidden="1">{#N/A,#N/A,FALSE,"COVER1.XLS ";#N/A,#N/A,FALSE,"RACT1.XLS";#N/A,#N/A,FALSE,"RACT2.XLS";#N/A,#N/A,FALSE,"ECCMP";#N/A,#N/A,FALSE,"WELDER.XLS"}</definedName>
    <definedName name="Others_2_1" hidden="1">{#N/A,#N/A,FALSE,"COVER1.XLS ";#N/A,#N/A,FALSE,"RACT1.XLS";#N/A,#N/A,FALSE,"RACT2.XLS";#N/A,#N/A,FALSE,"ECCMP";#N/A,#N/A,FALSE,"WELDER.XLS"}</definedName>
    <definedName name="Others_2_2" hidden="1">{#N/A,#N/A,FALSE,"COVER1.XLS ";#N/A,#N/A,FALSE,"RACT1.XLS";#N/A,#N/A,FALSE,"RACT2.XLS";#N/A,#N/A,FALSE,"ECCMP";#N/A,#N/A,FALSE,"WELDER.XLS"}</definedName>
    <definedName name="Others_2_3" hidden="1">{#N/A,#N/A,FALSE,"COVER1.XLS ";#N/A,#N/A,FALSE,"RACT1.XLS";#N/A,#N/A,FALSE,"RACT2.XLS";#N/A,#N/A,FALSE,"ECCMP";#N/A,#N/A,FALSE,"WELDER.XLS"}</definedName>
    <definedName name="Others_2_4" hidden="1">{#N/A,#N/A,FALSE,"COVER1.XLS ";#N/A,#N/A,FALSE,"RACT1.XLS";#N/A,#N/A,FALSE,"RACT2.XLS";#N/A,#N/A,FALSE,"ECCMP";#N/A,#N/A,FALSE,"WELDER.XLS"}</definedName>
    <definedName name="Others_2_5" hidden="1">{#N/A,#N/A,FALSE,"COVER1.XLS ";#N/A,#N/A,FALSE,"RACT1.XLS";#N/A,#N/A,FALSE,"RACT2.XLS";#N/A,#N/A,FALSE,"ECCMP";#N/A,#N/A,FALSE,"WELDER.XLS"}</definedName>
    <definedName name="Others_3" hidden="1">{#N/A,#N/A,FALSE,"COVER1.XLS ";#N/A,#N/A,FALSE,"RACT1.XLS";#N/A,#N/A,FALSE,"RACT2.XLS";#N/A,#N/A,FALSE,"ECCMP";#N/A,#N/A,FALSE,"WELDER.XLS"}</definedName>
    <definedName name="Others_4" hidden="1">{#N/A,#N/A,FALSE,"COVER1.XLS ";#N/A,#N/A,FALSE,"RACT1.XLS";#N/A,#N/A,FALSE,"RACT2.XLS";#N/A,#N/A,FALSE,"ECCMP";#N/A,#N/A,FALSE,"WELDER.XLS"}</definedName>
    <definedName name="Others_5" hidden="1">{#N/A,#N/A,FALSE,"COVER1.XLS ";#N/A,#N/A,FALSE,"RACT1.XLS";#N/A,#N/A,FALSE,"RACT2.XLS";#N/A,#N/A,FALSE,"ECCMP";#N/A,#N/A,FALSE,"WELDER.XLS"}</definedName>
    <definedName name="P_loans" hidden="1">{"'kpi2-1'!$E$4"}</definedName>
    <definedName name="PF" hidden="1">{#N/A,#N/A,FALSE,"COVER.XLS";#N/A,#N/A,FALSE,"RACT1.XLS";#N/A,#N/A,FALSE,"RACT2.XLS";#N/A,#N/A,FALSE,"ECCMP";#N/A,#N/A,FALSE,"WELDER.XLS"}</definedName>
    <definedName name="PF_1" hidden="1">{#N/A,#N/A,FALSE,"COVER.XLS";#N/A,#N/A,FALSE,"RACT1.XLS";#N/A,#N/A,FALSE,"RACT2.XLS";#N/A,#N/A,FALSE,"ECCMP";#N/A,#N/A,FALSE,"WELDER.XLS"}</definedName>
    <definedName name="PF_1_1" hidden="1">{#N/A,#N/A,FALSE,"COVER.XLS";#N/A,#N/A,FALSE,"RACT1.XLS";#N/A,#N/A,FALSE,"RACT2.XLS";#N/A,#N/A,FALSE,"ECCMP";#N/A,#N/A,FALSE,"WELDER.XLS"}</definedName>
    <definedName name="PF_1_2" hidden="1">{#N/A,#N/A,FALSE,"COVER.XLS";#N/A,#N/A,FALSE,"RACT1.XLS";#N/A,#N/A,FALSE,"RACT2.XLS";#N/A,#N/A,FALSE,"ECCMP";#N/A,#N/A,FALSE,"WELDER.XLS"}</definedName>
    <definedName name="PF_1_3" hidden="1">{#N/A,#N/A,FALSE,"COVER.XLS";#N/A,#N/A,FALSE,"RACT1.XLS";#N/A,#N/A,FALSE,"RACT2.XLS";#N/A,#N/A,FALSE,"ECCMP";#N/A,#N/A,FALSE,"WELDER.XLS"}</definedName>
    <definedName name="PF_1_4" hidden="1">{#N/A,#N/A,FALSE,"COVER.XLS";#N/A,#N/A,FALSE,"RACT1.XLS";#N/A,#N/A,FALSE,"RACT2.XLS";#N/A,#N/A,FALSE,"ECCMP";#N/A,#N/A,FALSE,"WELDER.XLS"}</definedName>
    <definedName name="PF_1_5" hidden="1">{#N/A,#N/A,FALSE,"COVER.XLS";#N/A,#N/A,FALSE,"RACT1.XLS";#N/A,#N/A,FALSE,"RACT2.XLS";#N/A,#N/A,FALSE,"ECCMP";#N/A,#N/A,FALSE,"WELDER.XLS"}</definedName>
    <definedName name="PF_2" hidden="1">{#N/A,#N/A,FALSE,"COVER.XLS";#N/A,#N/A,FALSE,"RACT1.XLS";#N/A,#N/A,FALSE,"RACT2.XLS";#N/A,#N/A,FALSE,"ECCMP";#N/A,#N/A,FALSE,"WELDER.XLS"}</definedName>
    <definedName name="PF_2_1" hidden="1">{#N/A,#N/A,FALSE,"COVER.XLS";#N/A,#N/A,FALSE,"RACT1.XLS";#N/A,#N/A,FALSE,"RACT2.XLS";#N/A,#N/A,FALSE,"ECCMP";#N/A,#N/A,FALSE,"WELDER.XLS"}</definedName>
    <definedName name="PF_2_2" hidden="1">{#N/A,#N/A,FALSE,"COVER.XLS";#N/A,#N/A,FALSE,"RACT1.XLS";#N/A,#N/A,FALSE,"RACT2.XLS";#N/A,#N/A,FALSE,"ECCMP";#N/A,#N/A,FALSE,"WELDER.XLS"}</definedName>
    <definedName name="PF_2_3" hidden="1">{#N/A,#N/A,FALSE,"COVER.XLS";#N/A,#N/A,FALSE,"RACT1.XLS";#N/A,#N/A,FALSE,"RACT2.XLS";#N/A,#N/A,FALSE,"ECCMP";#N/A,#N/A,FALSE,"WELDER.XLS"}</definedName>
    <definedName name="PF_2_4" hidden="1">{#N/A,#N/A,FALSE,"COVER.XLS";#N/A,#N/A,FALSE,"RACT1.XLS";#N/A,#N/A,FALSE,"RACT2.XLS";#N/A,#N/A,FALSE,"ECCMP";#N/A,#N/A,FALSE,"WELDER.XLS"}</definedName>
    <definedName name="PF_2_5" hidden="1">{#N/A,#N/A,FALSE,"COVER.XLS";#N/A,#N/A,FALSE,"RACT1.XLS";#N/A,#N/A,FALSE,"RACT2.XLS";#N/A,#N/A,FALSE,"ECCMP";#N/A,#N/A,FALSE,"WELDER.XLS"}</definedName>
    <definedName name="PF_3" hidden="1">{#N/A,#N/A,FALSE,"COVER.XLS";#N/A,#N/A,FALSE,"RACT1.XLS";#N/A,#N/A,FALSE,"RACT2.XLS";#N/A,#N/A,FALSE,"ECCMP";#N/A,#N/A,FALSE,"WELDER.XLS"}</definedName>
    <definedName name="PF_4" hidden="1">{#N/A,#N/A,FALSE,"COVER.XLS";#N/A,#N/A,FALSE,"RACT1.XLS";#N/A,#N/A,FALSE,"RACT2.XLS";#N/A,#N/A,FALSE,"ECCMP";#N/A,#N/A,FALSE,"WELDER.XLS"}</definedName>
    <definedName name="PF_5" hidden="1">{#N/A,#N/A,FALSE,"COVER.XLS";#N/A,#N/A,FALSE,"RACT1.XLS";#N/A,#N/A,FALSE,"RACT2.XLS";#N/A,#N/A,FALSE,"ECCMP";#N/A,#N/A,FALSE,"WELDER.XLS"}</definedName>
    <definedName name="plm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PMT" hidden="1">{#N/A,#N/A,FALSE,"Audit Program";#N/A,#N/A,FALSE,"T&amp;D Total";#N/A,#N/A,FALSE,"LNG Total";#N/A,#N/A,FALSE,"Power Total";#N/A,#N/A,FALSE,"Other Total";#N/A,#N/A,FALSE,"E&amp;P Total"}</definedName>
    <definedName name="PMT_1" hidden="1">{#N/A,#N/A,FALSE,"Audit Program";#N/A,#N/A,FALSE,"T&amp;D Total";#N/A,#N/A,FALSE,"LNG Total";#N/A,#N/A,FALSE,"Power Total";#N/A,#N/A,FALSE,"Other Total";#N/A,#N/A,FALSE,"E&amp;P Total"}</definedName>
    <definedName name="PMT_2" hidden="1">{#N/A,#N/A,FALSE,"Audit Program";#N/A,#N/A,FALSE,"T&amp;D Total";#N/A,#N/A,FALSE,"LNG Total";#N/A,#N/A,FALSE,"Power Total";#N/A,#N/A,FALSE,"Other Total";#N/A,#N/A,FALSE,"E&amp;P Total"}</definedName>
    <definedName name="PMT_3" hidden="1">{#N/A,#N/A,FALSE,"Audit Program";#N/A,#N/A,FALSE,"T&amp;D Total";#N/A,#N/A,FALSE,"LNG Total";#N/A,#N/A,FALSE,"Power Total";#N/A,#N/A,FALSE,"Other Total";#N/A,#N/A,FALSE,"E&amp;P Total"}</definedName>
    <definedName name="PMT_4" hidden="1">{#N/A,#N/A,FALSE,"Audit Program";#N/A,#N/A,FALSE,"T&amp;D Total";#N/A,#N/A,FALSE,"LNG Total";#N/A,#N/A,FALSE,"Power Total";#N/A,#N/A,FALSE,"Other Total";#N/A,#N/A,FALSE,"E&amp;P Total"}</definedName>
    <definedName name="PMT_5" hidden="1">{#N/A,#N/A,FALSE,"Audit Program";#N/A,#N/A,FALSE,"T&amp;D Total";#N/A,#N/A,FALSE,"LNG Total";#N/A,#N/A,FALSE,"Power Total";#N/A,#N/A,FALSE,"Other Total";#N/A,#N/A,FALSE,"E&amp;P Total"}</definedName>
    <definedName name="po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q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qq" hidden="1">{#N/A,#N/A,FALSE,"COVER1.XLS ";#N/A,#N/A,FALSE,"RACT1.XLS";#N/A,#N/A,FALSE,"RACT2.XLS";#N/A,#N/A,FALSE,"ECCMP";#N/A,#N/A,FALSE,"WELDER.XLS"}</definedName>
    <definedName name="qq_1" hidden="1">{#N/A,#N/A,FALSE,"COVER1.XLS ";#N/A,#N/A,FALSE,"RACT1.XLS";#N/A,#N/A,FALSE,"RACT2.XLS";#N/A,#N/A,FALSE,"ECCMP";#N/A,#N/A,FALSE,"WELDER.XLS"}</definedName>
    <definedName name="qq_1_1" hidden="1">{#N/A,#N/A,FALSE,"COVER1.XLS ";#N/A,#N/A,FALSE,"RACT1.XLS";#N/A,#N/A,FALSE,"RACT2.XLS";#N/A,#N/A,FALSE,"ECCMP";#N/A,#N/A,FALSE,"WELDER.XLS"}</definedName>
    <definedName name="qq_1_2" hidden="1">{#N/A,#N/A,FALSE,"COVER1.XLS ";#N/A,#N/A,FALSE,"RACT1.XLS";#N/A,#N/A,FALSE,"RACT2.XLS";#N/A,#N/A,FALSE,"ECCMP";#N/A,#N/A,FALSE,"WELDER.XLS"}</definedName>
    <definedName name="qq_1_3" hidden="1">{#N/A,#N/A,FALSE,"COVER1.XLS ";#N/A,#N/A,FALSE,"RACT1.XLS";#N/A,#N/A,FALSE,"RACT2.XLS";#N/A,#N/A,FALSE,"ECCMP";#N/A,#N/A,FALSE,"WELDER.XLS"}</definedName>
    <definedName name="qq_1_4" hidden="1">{#N/A,#N/A,FALSE,"COVER1.XLS ";#N/A,#N/A,FALSE,"RACT1.XLS";#N/A,#N/A,FALSE,"RACT2.XLS";#N/A,#N/A,FALSE,"ECCMP";#N/A,#N/A,FALSE,"WELDER.XLS"}</definedName>
    <definedName name="qq_1_5" hidden="1">{#N/A,#N/A,FALSE,"COVER1.XLS ";#N/A,#N/A,FALSE,"RACT1.XLS";#N/A,#N/A,FALSE,"RACT2.XLS";#N/A,#N/A,FALSE,"ECCMP";#N/A,#N/A,FALSE,"WELDER.XLS"}</definedName>
    <definedName name="qq_2" hidden="1">{#N/A,#N/A,FALSE,"COVER1.XLS ";#N/A,#N/A,FALSE,"RACT1.XLS";#N/A,#N/A,FALSE,"RACT2.XLS";#N/A,#N/A,FALSE,"ECCMP";#N/A,#N/A,FALSE,"WELDER.XLS"}</definedName>
    <definedName name="qq_2_1" hidden="1">{#N/A,#N/A,FALSE,"COVER1.XLS ";#N/A,#N/A,FALSE,"RACT1.XLS";#N/A,#N/A,FALSE,"RACT2.XLS";#N/A,#N/A,FALSE,"ECCMP";#N/A,#N/A,FALSE,"WELDER.XLS"}</definedName>
    <definedName name="qq_2_2" hidden="1">{#N/A,#N/A,FALSE,"COVER1.XLS ";#N/A,#N/A,FALSE,"RACT1.XLS";#N/A,#N/A,FALSE,"RACT2.XLS";#N/A,#N/A,FALSE,"ECCMP";#N/A,#N/A,FALSE,"WELDER.XLS"}</definedName>
    <definedName name="qq_2_3" hidden="1">{#N/A,#N/A,FALSE,"COVER1.XLS ";#N/A,#N/A,FALSE,"RACT1.XLS";#N/A,#N/A,FALSE,"RACT2.XLS";#N/A,#N/A,FALSE,"ECCMP";#N/A,#N/A,FALSE,"WELDER.XLS"}</definedName>
    <definedName name="qq_2_4" hidden="1">{#N/A,#N/A,FALSE,"COVER1.XLS ";#N/A,#N/A,FALSE,"RACT1.XLS";#N/A,#N/A,FALSE,"RACT2.XLS";#N/A,#N/A,FALSE,"ECCMP";#N/A,#N/A,FALSE,"WELDER.XLS"}</definedName>
    <definedName name="qq_2_5" hidden="1">{#N/A,#N/A,FALSE,"COVER1.XLS ";#N/A,#N/A,FALSE,"RACT1.XLS";#N/A,#N/A,FALSE,"RACT2.XLS";#N/A,#N/A,FALSE,"ECCMP";#N/A,#N/A,FALSE,"WELDER.XLS"}</definedName>
    <definedName name="qq_3" hidden="1">{#N/A,#N/A,FALSE,"COVER1.XLS ";#N/A,#N/A,FALSE,"RACT1.XLS";#N/A,#N/A,FALSE,"RACT2.XLS";#N/A,#N/A,FALSE,"ECCMP";#N/A,#N/A,FALSE,"WELDER.XLS"}</definedName>
    <definedName name="qq_4" hidden="1">{#N/A,#N/A,FALSE,"COVER1.XLS ";#N/A,#N/A,FALSE,"RACT1.XLS";#N/A,#N/A,FALSE,"RACT2.XLS";#N/A,#N/A,FALSE,"ECCMP";#N/A,#N/A,FALSE,"WELDER.XLS"}</definedName>
    <definedName name="qq_5" hidden="1">{#N/A,#N/A,FALSE,"COVER1.XLS ";#N/A,#N/A,FALSE,"RACT1.XLS";#N/A,#N/A,FALSE,"RACT2.XLS";#N/A,#N/A,FALSE,"ECCMP";#N/A,#N/A,FALSE,"WELDER.XLS"}</definedName>
    <definedName name="qqqqqqqqqqqqqqqq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qqqqqqqqqqqqqqqq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RDN" hidden="1">{#N/A,#N/A,FALSE,"COVER.XLS";#N/A,#N/A,FALSE,"RACT1.XLS";#N/A,#N/A,FALSE,"RACT2.XLS";#N/A,#N/A,FALSE,"ECCMP";#N/A,#N/A,FALSE,"WELDER.XLS"}</definedName>
    <definedName name="RDN_1" hidden="1">{#N/A,#N/A,FALSE,"COVER.XLS";#N/A,#N/A,FALSE,"RACT1.XLS";#N/A,#N/A,FALSE,"RACT2.XLS";#N/A,#N/A,FALSE,"ECCMP";#N/A,#N/A,FALSE,"WELDER.XLS"}</definedName>
    <definedName name="RDN_1_1" hidden="1">{#N/A,#N/A,FALSE,"COVER.XLS";#N/A,#N/A,FALSE,"RACT1.XLS";#N/A,#N/A,FALSE,"RACT2.XLS";#N/A,#N/A,FALSE,"ECCMP";#N/A,#N/A,FALSE,"WELDER.XLS"}</definedName>
    <definedName name="RDN_1_2" hidden="1">{#N/A,#N/A,FALSE,"COVER.XLS";#N/A,#N/A,FALSE,"RACT1.XLS";#N/A,#N/A,FALSE,"RACT2.XLS";#N/A,#N/A,FALSE,"ECCMP";#N/A,#N/A,FALSE,"WELDER.XLS"}</definedName>
    <definedName name="RDN_1_3" hidden="1">{#N/A,#N/A,FALSE,"COVER.XLS";#N/A,#N/A,FALSE,"RACT1.XLS";#N/A,#N/A,FALSE,"RACT2.XLS";#N/A,#N/A,FALSE,"ECCMP";#N/A,#N/A,FALSE,"WELDER.XLS"}</definedName>
    <definedName name="RDN_1_4" hidden="1">{#N/A,#N/A,FALSE,"COVER.XLS";#N/A,#N/A,FALSE,"RACT1.XLS";#N/A,#N/A,FALSE,"RACT2.XLS";#N/A,#N/A,FALSE,"ECCMP";#N/A,#N/A,FALSE,"WELDER.XLS"}</definedName>
    <definedName name="RDN_1_5" hidden="1">{#N/A,#N/A,FALSE,"COVER.XLS";#N/A,#N/A,FALSE,"RACT1.XLS";#N/A,#N/A,FALSE,"RACT2.XLS";#N/A,#N/A,FALSE,"ECCMP";#N/A,#N/A,FALSE,"WELDER.XLS"}</definedName>
    <definedName name="RDN_2" hidden="1">{#N/A,#N/A,FALSE,"COVER.XLS";#N/A,#N/A,FALSE,"RACT1.XLS";#N/A,#N/A,FALSE,"RACT2.XLS";#N/A,#N/A,FALSE,"ECCMP";#N/A,#N/A,FALSE,"WELDER.XLS"}</definedName>
    <definedName name="RDN_2_1" hidden="1">{#N/A,#N/A,FALSE,"COVER.XLS";#N/A,#N/A,FALSE,"RACT1.XLS";#N/A,#N/A,FALSE,"RACT2.XLS";#N/A,#N/A,FALSE,"ECCMP";#N/A,#N/A,FALSE,"WELDER.XLS"}</definedName>
    <definedName name="RDN_2_2" hidden="1">{#N/A,#N/A,FALSE,"COVER.XLS";#N/A,#N/A,FALSE,"RACT1.XLS";#N/A,#N/A,FALSE,"RACT2.XLS";#N/A,#N/A,FALSE,"ECCMP";#N/A,#N/A,FALSE,"WELDER.XLS"}</definedName>
    <definedName name="RDN_2_3" hidden="1">{#N/A,#N/A,FALSE,"COVER.XLS";#N/A,#N/A,FALSE,"RACT1.XLS";#N/A,#N/A,FALSE,"RACT2.XLS";#N/A,#N/A,FALSE,"ECCMP";#N/A,#N/A,FALSE,"WELDER.XLS"}</definedName>
    <definedName name="RDN_2_4" hidden="1">{#N/A,#N/A,FALSE,"COVER.XLS";#N/A,#N/A,FALSE,"RACT1.XLS";#N/A,#N/A,FALSE,"RACT2.XLS";#N/A,#N/A,FALSE,"ECCMP";#N/A,#N/A,FALSE,"WELDER.XLS"}</definedName>
    <definedName name="RDN_2_5" hidden="1">{#N/A,#N/A,FALSE,"COVER.XLS";#N/A,#N/A,FALSE,"RACT1.XLS";#N/A,#N/A,FALSE,"RACT2.XLS";#N/A,#N/A,FALSE,"ECCMP";#N/A,#N/A,FALSE,"WELDER.XLS"}</definedName>
    <definedName name="RDN_3" hidden="1">{#N/A,#N/A,FALSE,"COVER.XLS";#N/A,#N/A,FALSE,"RACT1.XLS";#N/A,#N/A,FALSE,"RACT2.XLS";#N/A,#N/A,FALSE,"ECCMP";#N/A,#N/A,FALSE,"WELDER.XLS"}</definedName>
    <definedName name="RDN_4" hidden="1">{#N/A,#N/A,FALSE,"COVER.XLS";#N/A,#N/A,FALSE,"RACT1.XLS";#N/A,#N/A,FALSE,"RACT2.XLS";#N/A,#N/A,FALSE,"ECCMP";#N/A,#N/A,FALSE,"WELDER.XLS"}</definedName>
    <definedName name="RDN_5" hidden="1">{#N/A,#N/A,FALSE,"COVER.XLS";#N/A,#N/A,FALSE,"RACT1.XLS";#N/A,#N/A,FALSE,"RACT2.XLS";#N/A,#N/A,FALSE,"ECCMP";#N/A,#N/A,FALSE,"WELDER.XLS"}</definedName>
    <definedName name="RegionList" hidden="1">[13]Information!$E$1:$E$16</definedName>
    <definedName name="RES" hidden="1">{#N/A,#N/A,FALSE,"COVER1.XLS ";#N/A,#N/A,FALSE,"RACT1.XLS";#N/A,#N/A,FALSE,"RACT2.XLS";#N/A,#N/A,FALSE,"ECCMP";#N/A,#N/A,FALSE,"WELDER.XLS"}</definedName>
    <definedName name="res_1" hidden="1">{#N/A,#N/A,FALSE,"COVER1.XLS ";#N/A,#N/A,FALSE,"RACT1.XLS";#N/A,#N/A,FALSE,"RACT2.XLS";#N/A,#N/A,FALSE,"ECCMP";#N/A,#N/A,FALSE,"WELDER.XLS"}</definedName>
    <definedName name="res_1_1" hidden="1">{#N/A,#N/A,FALSE,"COVER1.XLS ";#N/A,#N/A,FALSE,"RACT1.XLS";#N/A,#N/A,FALSE,"RACT2.XLS";#N/A,#N/A,FALSE,"ECCMP";#N/A,#N/A,FALSE,"WELDER.XLS"}</definedName>
    <definedName name="res_1_2" hidden="1">{#N/A,#N/A,FALSE,"COVER1.XLS ";#N/A,#N/A,FALSE,"RACT1.XLS";#N/A,#N/A,FALSE,"RACT2.XLS";#N/A,#N/A,FALSE,"ECCMP";#N/A,#N/A,FALSE,"WELDER.XLS"}</definedName>
    <definedName name="res_1_3" hidden="1">{#N/A,#N/A,FALSE,"COVER1.XLS ";#N/A,#N/A,FALSE,"RACT1.XLS";#N/A,#N/A,FALSE,"RACT2.XLS";#N/A,#N/A,FALSE,"ECCMP";#N/A,#N/A,FALSE,"WELDER.XLS"}</definedName>
    <definedName name="res_1_4" hidden="1">{#N/A,#N/A,FALSE,"COVER1.XLS ";#N/A,#N/A,FALSE,"RACT1.XLS";#N/A,#N/A,FALSE,"RACT2.XLS";#N/A,#N/A,FALSE,"ECCMP";#N/A,#N/A,FALSE,"WELDER.XLS"}</definedName>
    <definedName name="res_1_5" hidden="1">{#N/A,#N/A,FALSE,"COVER1.XLS ";#N/A,#N/A,FALSE,"RACT1.XLS";#N/A,#N/A,FALSE,"RACT2.XLS";#N/A,#N/A,FALSE,"ECCMP";#N/A,#N/A,FALSE,"WELDER.XLS"}</definedName>
    <definedName name="res_2" hidden="1">{#N/A,#N/A,FALSE,"COVER1.XLS ";#N/A,#N/A,FALSE,"RACT1.XLS";#N/A,#N/A,FALSE,"RACT2.XLS";#N/A,#N/A,FALSE,"ECCMP";#N/A,#N/A,FALSE,"WELDER.XLS"}</definedName>
    <definedName name="res_2_1" hidden="1">{#N/A,#N/A,FALSE,"COVER1.XLS ";#N/A,#N/A,FALSE,"RACT1.XLS";#N/A,#N/A,FALSE,"RACT2.XLS";#N/A,#N/A,FALSE,"ECCMP";#N/A,#N/A,FALSE,"WELDER.XLS"}</definedName>
    <definedName name="res_2_2" hidden="1">{#N/A,#N/A,FALSE,"COVER1.XLS ";#N/A,#N/A,FALSE,"RACT1.XLS";#N/A,#N/A,FALSE,"RACT2.XLS";#N/A,#N/A,FALSE,"ECCMP";#N/A,#N/A,FALSE,"WELDER.XLS"}</definedName>
    <definedName name="res_2_3" hidden="1">{#N/A,#N/A,FALSE,"COVER1.XLS ";#N/A,#N/A,FALSE,"RACT1.XLS";#N/A,#N/A,FALSE,"RACT2.XLS";#N/A,#N/A,FALSE,"ECCMP";#N/A,#N/A,FALSE,"WELDER.XLS"}</definedName>
    <definedName name="res_2_4" hidden="1">{#N/A,#N/A,FALSE,"COVER1.XLS ";#N/A,#N/A,FALSE,"RACT1.XLS";#N/A,#N/A,FALSE,"RACT2.XLS";#N/A,#N/A,FALSE,"ECCMP";#N/A,#N/A,FALSE,"WELDER.XLS"}</definedName>
    <definedName name="res_2_5" hidden="1">{#N/A,#N/A,FALSE,"COVER1.XLS ";#N/A,#N/A,FALSE,"RACT1.XLS";#N/A,#N/A,FALSE,"RACT2.XLS";#N/A,#N/A,FALSE,"ECCMP";#N/A,#N/A,FALSE,"WELDER.XLS"}</definedName>
    <definedName name="RES_3" hidden="1">{#N/A,#N/A,FALSE,"COVER1.XLS ";#N/A,#N/A,FALSE,"RACT1.XLS";#N/A,#N/A,FALSE,"RACT2.XLS";#N/A,#N/A,FALSE,"ECCMP";#N/A,#N/A,FALSE,"WELDER.XLS"}</definedName>
    <definedName name="RES_4" hidden="1">{#N/A,#N/A,FALSE,"COVER1.XLS ";#N/A,#N/A,FALSE,"RACT1.XLS";#N/A,#N/A,FALSE,"RACT2.XLS";#N/A,#N/A,FALSE,"ECCMP";#N/A,#N/A,FALSE,"WELDER.XLS"}</definedName>
    <definedName name="RES_5" hidden="1">{#N/A,#N/A,FALSE,"COVER1.XLS ";#N/A,#N/A,FALSE,"RACT1.XLS";#N/A,#N/A,FALSE,"RACT2.XLS";#N/A,#N/A,FALSE,"ECCMP";#N/A,#N/A,FALSE,"WELDER.XLS"}</definedName>
    <definedName name="res_sum" hidden="1">{#N/A,#N/A,FALSE,"COVER1.XLS ";#N/A,#N/A,FALSE,"RACT1.XLS";#N/A,#N/A,FALSE,"RACT2.XLS";#N/A,#N/A,FALSE,"ECCMP";#N/A,#N/A,FALSE,"WELDER.XLS"}</definedName>
    <definedName name="res_sum_1" hidden="1">{#N/A,#N/A,FALSE,"COVER1.XLS ";#N/A,#N/A,FALSE,"RACT1.XLS";#N/A,#N/A,FALSE,"RACT2.XLS";#N/A,#N/A,FALSE,"ECCMP";#N/A,#N/A,FALSE,"WELDER.XLS"}</definedName>
    <definedName name="res_sum_1_1" hidden="1">{#N/A,#N/A,FALSE,"COVER1.XLS ";#N/A,#N/A,FALSE,"RACT1.XLS";#N/A,#N/A,FALSE,"RACT2.XLS";#N/A,#N/A,FALSE,"ECCMP";#N/A,#N/A,FALSE,"WELDER.XLS"}</definedName>
    <definedName name="res_sum_1_2" hidden="1">{#N/A,#N/A,FALSE,"COVER1.XLS ";#N/A,#N/A,FALSE,"RACT1.XLS";#N/A,#N/A,FALSE,"RACT2.XLS";#N/A,#N/A,FALSE,"ECCMP";#N/A,#N/A,FALSE,"WELDER.XLS"}</definedName>
    <definedName name="res_sum_1_3" hidden="1">{#N/A,#N/A,FALSE,"COVER1.XLS ";#N/A,#N/A,FALSE,"RACT1.XLS";#N/A,#N/A,FALSE,"RACT2.XLS";#N/A,#N/A,FALSE,"ECCMP";#N/A,#N/A,FALSE,"WELDER.XLS"}</definedName>
    <definedName name="res_sum_1_4" hidden="1">{#N/A,#N/A,FALSE,"COVER1.XLS ";#N/A,#N/A,FALSE,"RACT1.XLS";#N/A,#N/A,FALSE,"RACT2.XLS";#N/A,#N/A,FALSE,"ECCMP";#N/A,#N/A,FALSE,"WELDER.XLS"}</definedName>
    <definedName name="res_sum_1_5" hidden="1">{#N/A,#N/A,FALSE,"COVER1.XLS ";#N/A,#N/A,FALSE,"RACT1.XLS";#N/A,#N/A,FALSE,"RACT2.XLS";#N/A,#N/A,FALSE,"ECCMP";#N/A,#N/A,FALSE,"WELDER.XLS"}</definedName>
    <definedName name="res_sum_2" hidden="1">{#N/A,#N/A,FALSE,"COVER1.XLS ";#N/A,#N/A,FALSE,"RACT1.XLS";#N/A,#N/A,FALSE,"RACT2.XLS";#N/A,#N/A,FALSE,"ECCMP";#N/A,#N/A,FALSE,"WELDER.XLS"}</definedName>
    <definedName name="res_sum_2_1" hidden="1">{#N/A,#N/A,FALSE,"COVER1.XLS ";#N/A,#N/A,FALSE,"RACT1.XLS";#N/A,#N/A,FALSE,"RACT2.XLS";#N/A,#N/A,FALSE,"ECCMP";#N/A,#N/A,FALSE,"WELDER.XLS"}</definedName>
    <definedName name="res_sum_2_2" hidden="1">{#N/A,#N/A,FALSE,"COVER1.XLS ";#N/A,#N/A,FALSE,"RACT1.XLS";#N/A,#N/A,FALSE,"RACT2.XLS";#N/A,#N/A,FALSE,"ECCMP";#N/A,#N/A,FALSE,"WELDER.XLS"}</definedName>
    <definedName name="res_sum_2_3" hidden="1">{#N/A,#N/A,FALSE,"COVER1.XLS ";#N/A,#N/A,FALSE,"RACT1.XLS";#N/A,#N/A,FALSE,"RACT2.XLS";#N/A,#N/A,FALSE,"ECCMP";#N/A,#N/A,FALSE,"WELDER.XLS"}</definedName>
    <definedName name="res_sum_2_4" hidden="1">{#N/A,#N/A,FALSE,"COVER1.XLS ";#N/A,#N/A,FALSE,"RACT1.XLS";#N/A,#N/A,FALSE,"RACT2.XLS";#N/A,#N/A,FALSE,"ECCMP";#N/A,#N/A,FALSE,"WELDER.XLS"}</definedName>
    <definedName name="res_sum_2_5" hidden="1">{#N/A,#N/A,FALSE,"COVER1.XLS ";#N/A,#N/A,FALSE,"RACT1.XLS";#N/A,#N/A,FALSE,"RACT2.XLS";#N/A,#N/A,FALSE,"ECCMP";#N/A,#N/A,FALSE,"WELDER.XLS"}</definedName>
    <definedName name="res_sum_3" hidden="1">{#N/A,#N/A,FALSE,"COVER1.XLS ";#N/A,#N/A,FALSE,"RACT1.XLS";#N/A,#N/A,FALSE,"RACT2.XLS";#N/A,#N/A,FALSE,"ECCMP";#N/A,#N/A,FALSE,"WELDER.XLS"}</definedName>
    <definedName name="res_sum_4" hidden="1">{#N/A,#N/A,FALSE,"COVER1.XLS ";#N/A,#N/A,FALSE,"RACT1.XLS";#N/A,#N/A,FALSE,"RACT2.XLS";#N/A,#N/A,FALSE,"ECCMP";#N/A,#N/A,FALSE,"WELDER.XLS"}</definedName>
    <definedName name="res_sum_5" hidden="1">{#N/A,#N/A,FALSE,"COVER1.XLS ";#N/A,#N/A,FALSE,"RACT1.XLS";#N/A,#N/A,FALSE,"RACT2.XLS";#N/A,#N/A,FALSE,"ECCMP";#N/A,#N/A,FALSE,"WELDER.XLS"}</definedName>
    <definedName name="rg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g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ril" hidden="1">{#N/A,#N/A,FALSE,"COVER1.XLS ";#N/A,#N/A,FALSE,"RACT1.XLS";#N/A,#N/A,FALSE,"RACT2.XLS";#N/A,#N/A,FALSE,"ECCMP";#N/A,#N/A,FALSE,"WELDER.XLS"}</definedName>
    <definedName name="rr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rdsa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rss" hidden="1">{#N/A,#N/A,FALSE,"COVER.XLS";#N/A,#N/A,FALSE,"RACT1.XLS";#N/A,#N/A,FALSE,"RACT2.XLS";#N/A,#N/A,FALSE,"ECCMP";#N/A,#N/A,FALSE,"WELDER.XLS"}</definedName>
    <definedName name="rss_1" hidden="1">{#N/A,#N/A,FALSE,"COVER.XLS";#N/A,#N/A,FALSE,"RACT1.XLS";#N/A,#N/A,FALSE,"RACT2.XLS";#N/A,#N/A,FALSE,"ECCMP";#N/A,#N/A,FALSE,"WELDER.XLS"}</definedName>
    <definedName name="rss_2" hidden="1">{#N/A,#N/A,FALSE,"COVER.XLS";#N/A,#N/A,FALSE,"RACT1.XLS";#N/A,#N/A,FALSE,"RACT2.XLS";#N/A,#N/A,FALSE,"ECCMP";#N/A,#N/A,FALSE,"WELDER.XLS"}</definedName>
    <definedName name="rss_3" hidden="1">{#N/A,#N/A,FALSE,"COVER.XLS";#N/A,#N/A,FALSE,"RACT1.XLS";#N/A,#N/A,FALSE,"RACT2.XLS";#N/A,#N/A,FALSE,"ECCMP";#N/A,#N/A,FALSE,"WELDER.XLS"}</definedName>
    <definedName name="rss_4" hidden="1">{#N/A,#N/A,FALSE,"COVER.XLS";#N/A,#N/A,FALSE,"RACT1.XLS";#N/A,#N/A,FALSE,"RACT2.XLS";#N/A,#N/A,FALSE,"ECCMP";#N/A,#N/A,FALSE,"WELDER.XLS"}</definedName>
    <definedName name="rss_5" hidden="1">{#N/A,#N/A,FALSE,"COVER.XLS";#N/A,#N/A,FALSE,"RACT1.XLS";#N/A,#N/A,FALSE,"RACT2.XLS";#N/A,#N/A,FALSE,"ECCMP";#N/A,#N/A,FALSE,"WELDER.XLS"}</definedName>
    <definedName name="RTTRTRTR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TRTR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TRTR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TRTR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TRTR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TTRTRTR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rw" hidden="1">{#N/A,#N/A,FALSE,"COVER1.XLS ";#N/A,#N/A,FALSE,"RACT1.XLS";#N/A,#N/A,FALSE,"RACT2.XLS";#N/A,#N/A,FALSE,"ECCMP";#N/A,#N/A,FALSE,"WELDER.XLS"}</definedName>
    <definedName name="rw_1" hidden="1">{#N/A,#N/A,FALSE,"COVER1.XLS ";#N/A,#N/A,FALSE,"RACT1.XLS";#N/A,#N/A,FALSE,"RACT2.XLS";#N/A,#N/A,FALSE,"ECCMP";#N/A,#N/A,FALSE,"WELDER.XLS"}</definedName>
    <definedName name="rw_1_1" hidden="1">{#N/A,#N/A,FALSE,"COVER1.XLS ";#N/A,#N/A,FALSE,"RACT1.XLS";#N/A,#N/A,FALSE,"RACT2.XLS";#N/A,#N/A,FALSE,"ECCMP";#N/A,#N/A,FALSE,"WELDER.XLS"}</definedName>
    <definedName name="rw_1_2" hidden="1">{#N/A,#N/A,FALSE,"COVER1.XLS ";#N/A,#N/A,FALSE,"RACT1.XLS";#N/A,#N/A,FALSE,"RACT2.XLS";#N/A,#N/A,FALSE,"ECCMP";#N/A,#N/A,FALSE,"WELDER.XLS"}</definedName>
    <definedName name="rw_1_3" hidden="1">{#N/A,#N/A,FALSE,"COVER1.XLS ";#N/A,#N/A,FALSE,"RACT1.XLS";#N/A,#N/A,FALSE,"RACT2.XLS";#N/A,#N/A,FALSE,"ECCMP";#N/A,#N/A,FALSE,"WELDER.XLS"}</definedName>
    <definedName name="rw_1_4" hidden="1">{#N/A,#N/A,FALSE,"COVER1.XLS ";#N/A,#N/A,FALSE,"RACT1.XLS";#N/A,#N/A,FALSE,"RACT2.XLS";#N/A,#N/A,FALSE,"ECCMP";#N/A,#N/A,FALSE,"WELDER.XLS"}</definedName>
    <definedName name="rw_1_5" hidden="1">{#N/A,#N/A,FALSE,"COVER1.XLS ";#N/A,#N/A,FALSE,"RACT1.XLS";#N/A,#N/A,FALSE,"RACT2.XLS";#N/A,#N/A,FALSE,"ECCMP";#N/A,#N/A,FALSE,"WELDER.XLS"}</definedName>
    <definedName name="rw_2" hidden="1">{#N/A,#N/A,FALSE,"COVER1.XLS ";#N/A,#N/A,FALSE,"RACT1.XLS";#N/A,#N/A,FALSE,"RACT2.XLS";#N/A,#N/A,FALSE,"ECCMP";#N/A,#N/A,FALSE,"WELDER.XLS"}</definedName>
    <definedName name="rw_2_1" hidden="1">{#N/A,#N/A,FALSE,"COVER1.XLS ";#N/A,#N/A,FALSE,"RACT1.XLS";#N/A,#N/A,FALSE,"RACT2.XLS";#N/A,#N/A,FALSE,"ECCMP";#N/A,#N/A,FALSE,"WELDER.XLS"}</definedName>
    <definedName name="rw_2_2" hidden="1">{#N/A,#N/A,FALSE,"COVER1.XLS ";#N/A,#N/A,FALSE,"RACT1.XLS";#N/A,#N/A,FALSE,"RACT2.XLS";#N/A,#N/A,FALSE,"ECCMP";#N/A,#N/A,FALSE,"WELDER.XLS"}</definedName>
    <definedName name="rw_2_3" hidden="1">{#N/A,#N/A,FALSE,"COVER1.XLS ";#N/A,#N/A,FALSE,"RACT1.XLS";#N/A,#N/A,FALSE,"RACT2.XLS";#N/A,#N/A,FALSE,"ECCMP";#N/A,#N/A,FALSE,"WELDER.XLS"}</definedName>
    <definedName name="rw_2_4" hidden="1">{#N/A,#N/A,FALSE,"COVER1.XLS ";#N/A,#N/A,FALSE,"RACT1.XLS";#N/A,#N/A,FALSE,"RACT2.XLS";#N/A,#N/A,FALSE,"ECCMP";#N/A,#N/A,FALSE,"WELDER.XLS"}</definedName>
    <definedName name="rw_2_5" hidden="1">{#N/A,#N/A,FALSE,"COVER1.XLS ";#N/A,#N/A,FALSE,"RACT1.XLS";#N/A,#N/A,FALSE,"RACT2.XLS";#N/A,#N/A,FALSE,"ECCMP";#N/A,#N/A,FALSE,"WELDER.XLS"}</definedName>
    <definedName name="rw_3" hidden="1">{#N/A,#N/A,FALSE,"COVER1.XLS ";#N/A,#N/A,FALSE,"RACT1.XLS";#N/A,#N/A,FALSE,"RACT2.XLS";#N/A,#N/A,FALSE,"ECCMP";#N/A,#N/A,FALSE,"WELDER.XLS"}</definedName>
    <definedName name="rw_4" hidden="1">{#N/A,#N/A,FALSE,"COVER1.XLS ";#N/A,#N/A,FALSE,"RACT1.XLS";#N/A,#N/A,FALSE,"RACT2.XLS";#N/A,#N/A,FALSE,"ECCMP";#N/A,#N/A,FALSE,"WELDER.XLS"}</definedName>
    <definedName name="rw_5" hidden="1">{#N/A,#N/A,FALSE,"COVER1.XLS ";#N/A,#N/A,FALSE,"RACT1.XLS";#N/A,#N/A,FALSE,"RACT2.XLS";#N/A,#N/A,FALSE,"ECCMP";#N/A,#N/A,FALSE,"WELDER.XLS"}</definedName>
    <definedName name="rwere" hidden="1">{#N/A,#N/A,FALSE,"COVER1.XLS ";#N/A,#N/A,FALSE,"RACT1.XLS";#N/A,#N/A,FALSE,"RACT2.XLS";#N/A,#N/A,FALSE,"ECCMP";#N/A,#N/A,FALSE,"WELDER.XLS"}</definedName>
    <definedName name="rwere_1" hidden="1">{#N/A,#N/A,FALSE,"COVER1.XLS ";#N/A,#N/A,FALSE,"RACT1.XLS";#N/A,#N/A,FALSE,"RACT2.XLS";#N/A,#N/A,FALSE,"ECCMP";#N/A,#N/A,FALSE,"WELDER.XLS"}</definedName>
    <definedName name="rwere_1_1" hidden="1">{#N/A,#N/A,FALSE,"COVER1.XLS ";#N/A,#N/A,FALSE,"RACT1.XLS";#N/A,#N/A,FALSE,"RACT2.XLS";#N/A,#N/A,FALSE,"ECCMP";#N/A,#N/A,FALSE,"WELDER.XLS"}</definedName>
    <definedName name="rwere_1_2" hidden="1">{#N/A,#N/A,FALSE,"COVER1.XLS ";#N/A,#N/A,FALSE,"RACT1.XLS";#N/A,#N/A,FALSE,"RACT2.XLS";#N/A,#N/A,FALSE,"ECCMP";#N/A,#N/A,FALSE,"WELDER.XLS"}</definedName>
    <definedName name="rwere_1_3" hidden="1">{#N/A,#N/A,FALSE,"COVER1.XLS ";#N/A,#N/A,FALSE,"RACT1.XLS";#N/A,#N/A,FALSE,"RACT2.XLS";#N/A,#N/A,FALSE,"ECCMP";#N/A,#N/A,FALSE,"WELDER.XLS"}</definedName>
    <definedName name="rwere_1_4" hidden="1">{#N/A,#N/A,FALSE,"COVER1.XLS ";#N/A,#N/A,FALSE,"RACT1.XLS";#N/A,#N/A,FALSE,"RACT2.XLS";#N/A,#N/A,FALSE,"ECCMP";#N/A,#N/A,FALSE,"WELDER.XLS"}</definedName>
    <definedName name="rwere_1_5" hidden="1">{#N/A,#N/A,FALSE,"COVER1.XLS ";#N/A,#N/A,FALSE,"RACT1.XLS";#N/A,#N/A,FALSE,"RACT2.XLS";#N/A,#N/A,FALSE,"ECCMP";#N/A,#N/A,FALSE,"WELDER.XLS"}</definedName>
    <definedName name="rwere_2" hidden="1">{#N/A,#N/A,FALSE,"COVER1.XLS ";#N/A,#N/A,FALSE,"RACT1.XLS";#N/A,#N/A,FALSE,"RACT2.XLS";#N/A,#N/A,FALSE,"ECCMP";#N/A,#N/A,FALSE,"WELDER.XLS"}</definedName>
    <definedName name="rwere_2_1" hidden="1">{#N/A,#N/A,FALSE,"COVER1.XLS ";#N/A,#N/A,FALSE,"RACT1.XLS";#N/A,#N/A,FALSE,"RACT2.XLS";#N/A,#N/A,FALSE,"ECCMP";#N/A,#N/A,FALSE,"WELDER.XLS"}</definedName>
    <definedName name="rwere_2_2" hidden="1">{#N/A,#N/A,FALSE,"COVER1.XLS ";#N/A,#N/A,FALSE,"RACT1.XLS";#N/A,#N/A,FALSE,"RACT2.XLS";#N/A,#N/A,FALSE,"ECCMP";#N/A,#N/A,FALSE,"WELDER.XLS"}</definedName>
    <definedName name="rwere_2_3" hidden="1">{#N/A,#N/A,FALSE,"COVER1.XLS ";#N/A,#N/A,FALSE,"RACT1.XLS";#N/A,#N/A,FALSE,"RACT2.XLS";#N/A,#N/A,FALSE,"ECCMP";#N/A,#N/A,FALSE,"WELDER.XLS"}</definedName>
    <definedName name="rwere_2_4" hidden="1">{#N/A,#N/A,FALSE,"COVER1.XLS ";#N/A,#N/A,FALSE,"RACT1.XLS";#N/A,#N/A,FALSE,"RACT2.XLS";#N/A,#N/A,FALSE,"ECCMP";#N/A,#N/A,FALSE,"WELDER.XLS"}</definedName>
    <definedName name="rwere_2_5" hidden="1">{#N/A,#N/A,FALSE,"COVER1.XLS ";#N/A,#N/A,FALSE,"RACT1.XLS";#N/A,#N/A,FALSE,"RACT2.XLS";#N/A,#N/A,FALSE,"ECCMP";#N/A,#N/A,FALSE,"WELDER.XLS"}</definedName>
    <definedName name="rwere_3" hidden="1">{#N/A,#N/A,FALSE,"COVER1.XLS ";#N/A,#N/A,FALSE,"RACT1.XLS";#N/A,#N/A,FALSE,"RACT2.XLS";#N/A,#N/A,FALSE,"ECCMP";#N/A,#N/A,FALSE,"WELDER.XLS"}</definedName>
    <definedName name="rwere_4" hidden="1">{#N/A,#N/A,FALSE,"COVER1.XLS ";#N/A,#N/A,FALSE,"RACT1.XLS";#N/A,#N/A,FALSE,"RACT2.XLS";#N/A,#N/A,FALSE,"ECCMP";#N/A,#N/A,FALSE,"WELDER.XLS"}</definedName>
    <definedName name="rwere_5" hidden="1">{#N/A,#N/A,FALSE,"COVER1.XLS ";#N/A,#N/A,FALSE,"RACT1.XLS";#N/A,#N/A,FALSE,"RACT2.XLS";#N/A,#N/A,FALSE,"ECCMP";#N/A,#N/A,FALSE,"WELDER.XLS"}</definedName>
    <definedName name="Rwvu.otr." hidden="1">[14]ORIGINAL!#REF!</definedName>
    <definedName name="Rwvu.Overhead._.detail." hidden="1">#REF!,#REF!</definedName>
    <definedName name="Rwvu.Profit._.report._.detailed." hidden="1">#REF!,#REF!</definedName>
    <definedName name="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a" hidden="1">{#N/A,#N/A,FALSE,"COVER1.XLS ";#N/A,#N/A,FALSE,"RACT1.XLS";#N/A,#N/A,FALSE,"RACT2.XLS";#N/A,#N/A,FALSE,"ECCMP";#N/A,#N/A,FALSE,"WELDER.XLS"}</definedName>
    <definedName name="Sa_1" hidden="1">{#N/A,#N/A,FALSE,"COVER1.XLS ";#N/A,#N/A,FALSE,"RACT1.XLS";#N/A,#N/A,FALSE,"RACT2.XLS";#N/A,#N/A,FALSE,"ECCMP";#N/A,#N/A,FALSE,"WELDER.XLS"}</definedName>
    <definedName name="Sa_2" hidden="1">{#N/A,#N/A,FALSE,"COVER1.XLS ";#N/A,#N/A,FALSE,"RACT1.XLS";#N/A,#N/A,FALSE,"RACT2.XLS";#N/A,#N/A,FALSE,"ECCMP";#N/A,#N/A,FALSE,"WELDER.XLS"}</definedName>
    <definedName name="Sa_3" hidden="1">{#N/A,#N/A,FALSE,"COVER1.XLS ";#N/A,#N/A,FALSE,"RACT1.XLS";#N/A,#N/A,FALSE,"RACT2.XLS";#N/A,#N/A,FALSE,"ECCMP";#N/A,#N/A,FALSE,"WELDER.XLS"}</definedName>
    <definedName name="Sa_4" hidden="1">{#N/A,#N/A,FALSE,"COVER1.XLS ";#N/A,#N/A,FALSE,"RACT1.XLS";#N/A,#N/A,FALSE,"RACT2.XLS";#N/A,#N/A,FALSE,"ECCMP";#N/A,#N/A,FALSE,"WELDER.XLS"}</definedName>
    <definedName name="Sa_5" hidden="1">{#N/A,#N/A,FALSE,"COVER1.XLS ";#N/A,#N/A,FALSE,"RACT1.XLS";#N/A,#N/A,FALSE,"RACT2.XLS";#N/A,#N/A,FALSE,"ECCMP";#N/A,#N/A,FALSE,"WELDER.XLS"}</definedName>
    <definedName name="SAFSD" hidden="1">#REF!</definedName>
    <definedName name="sagdhag" hidden="1">{#N/A,#N/A,FALSE,"COVER1.XLS ";#N/A,#N/A,FALSE,"RACT1.XLS";#N/A,#N/A,FALSE,"RACT2.XLS";#N/A,#N/A,FALSE,"ECCMP";#N/A,#N/A,FALSE,"WELDER.XLS"}</definedName>
    <definedName name="sagdhag_1" hidden="1">{#N/A,#N/A,FALSE,"COVER1.XLS ";#N/A,#N/A,FALSE,"RACT1.XLS";#N/A,#N/A,FALSE,"RACT2.XLS";#N/A,#N/A,FALSE,"ECCMP";#N/A,#N/A,FALSE,"WELDER.XLS"}</definedName>
    <definedName name="sagdhag_1_1" hidden="1">{#N/A,#N/A,FALSE,"COVER1.XLS ";#N/A,#N/A,FALSE,"RACT1.XLS";#N/A,#N/A,FALSE,"RACT2.XLS";#N/A,#N/A,FALSE,"ECCMP";#N/A,#N/A,FALSE,"WELDER.XLS"}</definedName>
    <definedName name="sagdhag_1_2" hidden="1">{#N/A,#N/A,FALSE,"COVER1.XLS ";#N/A,#N/A,FALSE,"RACT1.XLS";#N/A,#N/A,FALSE,"RACT2.XLS";#N/A,#N/A,FALSE,"ECCMP";#N/A,#N/A,FALSE,"WELDER.XLS"}</definedName>
    <definedName name="sagdhag_1_3" hidden="1">{#N/A,#N/A,FALSE,"COVER1.XLS ";#N/A,#N/A,FALSE,"RACT1.XLS";#N/A,#N/A,FALSE,"RACT2.XLS";#N/A,#N/A,FALSE,"ECCMP";#N/A,#N/A,FALSE,"WELDER.XLS"}</definedName>
    <definedName name="sagdhag_1_4" hidden="1">{#N/A,#N/A,FALSE,"COVER1.XLS ";#N/A,#N/A,FALSE,"RACT1.XLS";#N/A,#N/A,FALSE,"RACT2.XLS";#N/A,#N/A,FALSE,"ECCMP";#N/A,#N/A,FALSE,"WELDER.XLS"}</definedName>
    <definedName name="sagdhag_1_5" hidden="1">{#N/A,#N/A,FALSE,"COVER1.XLS ";#N/A,#N/A,FALSE,"RACT1.XLS";#N/A,#N/A,FALSE,"RACT2.XLS";#N/A,#N/A,FALSE,"ECCMP";#N/A,#N/A,FALSE,"WELDER.XLS"}</definedName>
    <definedName name="sagdhag_2" hidden="1">{#N/A,#N/A,FALSE,"COVER1.XLS ";#N/A,#N/A,FALSE,"RACT1.XLS";#N/A,#N/A,FALSE,"RACT2.XLS";#N/A,#N/A,FALSE,"ECCMP";#N/A,#N/A,FALSE,"WELDER.XLS"}</definedName>
    <definedName name="sagdhag_2_1" hidden="1">{#N/A,#N/A,FALSE,"COVER1.XLS ";#N/A,#N/A,FALSE,"RACT1.XLS";#N/A,#N/A,FALSE,"RACT2.XLS";#N/A,#N/A,FALSE,"ECCMP";#N/A,#N/A,FALSE,"WELDER.XLS"}</definedName>
    <definedName name="sagdhag_2_2" hidden="1">{#N/A,#N/A,FALSE,"COVER1.XLS ";#N/A,#N/A,FALSE,"RACT1.XLS";#N/A,#N/A,FALSE,"RACT2.XLS";#N/A,#N/A,FALSE,"ECCMP";#N/A,#N/A,FALSE,"WELDER.XLS"}</definedName>
    <definedName name="sagdhag_2_3" hidden="1">{#N/A,#N/A,FALSE,"COVER1.XLS ";#N/A,#N/A,FALSE,"RACT1.XLS";#N/A,#N/A,FALSE,"RACT2.XLS";#N/A,#N/A,FALSE,"ECCMP";#N/A,#N/A,FALSE,"WELDER.XLS"}</definedName>
    <definedName name="sagdhag_2_4" hidden="1">{#N/A,#N/A,FALSE,"COVER1.XLS ";#N/A,#N/A,FALSE,"RACT1.XLS";#N/A,#N/A,FALSE,"RACT2.XLS";#N/A,#N/A,FALSE,"ECCMP";#N/A,#N/A,FALSE,"WELDER.XLS"}</definedName>
    <definedName name="sagdhag_2_5" hidden="1">{#N/A,#N/A,FALSE,"COVER1.XLS ";#N/A,#N/A,FALSE,"RACT1.XLS";#N/A,#N/A,FALSE,"RACT2.XLS";#N/A,#N/A,FALSE,"ECCMP";#N/A,#N/A,FALSE,"WELDER.XLS"}</definedName>
    <definedName name="sagdhag_3" hidden="1">{#N/A,#N/A,FALSE,"COVER1.XLS ";#N/A,#N/A,FALSE,"RACT1.XLS";#N/A,#N/A,FALSE,"RACT2.XLS";#N/A,#N/A,FALSE,"ECCMP";#N/A,#N/A,FALSE,"WELDER.XLS"}</definedName>
    <definedName name="sagdhag_4" hidden="1">{#N/A,#N/A,FALSE,"COVER1.XLS ";#N/A,#N/A,FALSE,"RACT1.XLS";#N/A,#N/A,FALSE,"RACT2.XLS";#N/A,#N/A,FALSE,"ECCMP";#N/A,#N/A,FALSE,"WELDER.XLS"}</definedName>
    <definedName name="sagdhag_5" hidden="1">{#N/A,#N/A,FALSE,"COVER1.XLS ";#N/A,#N/A,FALSE,"RACT1.XLS";#N/A,#N/A,FALSE,"RACT2.XLS";#N/A,#N/A,FALSE,"ECCMP";#N/A,#N/A,FALSE,"WELDER.XLS"}</definedName>
    <definedName name="san" hidden="1">{"'Sheet1'!$L$16"}</definedName>
    <definedName name="san_1" hidden="1">{"'Sheet1'!$L$16"}</definedName>
    <definedName name="san_2" hidden="1">{"'Sheet1'!$L$16"}</definedName>
    <definedName name="san_3" hidden="1">{"'Sheet1'!$L$16"}</definedName>
    <definedName name="san_4" hidden="1">{"'Sheet1'!$L$16"}</definedName>
    <definedName name="san_5" hidden="1">{"'Sheet1'!$L$16"}</definedName>
    <definedName name="SAPBEXdnldView" hidden="1">"43HUVQ068KTZOIV9ZONW1N77R"</definedName>
    <definedName name="SAPBEXhrIndnt" hidden="1">"Wide"</definedName>
    <definedName name="SAPBEXsysID" hidden="1">"BD2"</definedName>
    <definedName name="SAPsysID" hidden="1">"708C5W7SBKP804JT78WJ0JNKI"</definedName>
    <definedName name="SAPwbID" hidden="1">"ARS"</definedName>
    <definedName name="SD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df" hidden="1">{#N/A,#N/A,FALSE,"COVER.XLS";#N/A,#N/A,FALSE,"RACT1.XLS";#N/A,#N/A,FALSE,"RACT2.XLS";#N/A,#N/A,FALSE,"ECCMP";#N/A,#N/A,FALSE,"WELDER.XLS"}</definedName>
    <definedName name="sdf_1" hidden="1">{#N/A,#N/A,FALSE,"COVER.XLS";#N/A,#N/A,FALSE,"RACT1.XLS";#N/A,#N/A,FALSE,"RACT2.XLS";#N/A,#N/A,FALSE,"ECCMP";#N/A,#N/A,FALSE,"WELDER.XLS"}</definedName>
    <definedName name="sdf_1_1" hidden="1">{#N/A,#N/A,FALSE,"COVER.XLS";#N/A,#N/A,FALSE,"RACT1.XLS";#N/A,#N/A,FALSE,"RACT2.XLS";#N/A,#N/A,FALSE,"ECCMP";#N/A,#N/A,FALSE,"WELDER.XLS"}</definedName>
    <definedName name="sdf_1_2" hidden="1">{#N/A,#N/A,FALSE,"COVER.XLS";#N/A,#N/A,FALSE,"RACT1.XLS";#N/A,#N/A,FALSE,"RACT2.XLS";#N/A,#N/A,FALSE,"ECCMP";#N/A,#N/A,FALSE,"WELDER.XLS"}</definedName>
    <definedName name="sdf_1_3" hidden="1">{#N/A,#N/A,FALSE,"COVER.XLS";#N/A,#N/A,FALSE,"RACT1.XLS";#N/A,#N/A,FALSE,"RACT2.XLS";#N/A,#N/A,FALSE,"ECCMP";#N/A,#N/A,FALSE,"WELDER.XLS"}</definedName>
    <definedName name="sdf_1_4" hidden="1">{#N/A,#N/A,FALSE,"COVER.XLS";#N/A,#N/A,FALSE,"RACT1.XLS";#N/A,#N/A,FALSE,"RACT2.XLS";#N/A,#N/A,FALSE,"ECCMP";#N/A,#N/A,FALSE,"WELDER.XLS"}</definedName>
    <definedName name="sdf_1_5" hidden="1">{#N/A,#N/A,FALSE,"COVER.XLS";#N/A,#N/A,FALSE,"RACT1.XLS";#N/A,#N/A,FALSE,"RACT2.XLS";#N/A,#N/A,FALSE,"ECCMP";#N/A,#N/A,FALSE,"WELDER.XLS"}</definedName>
    <definedName name="sdf_2" hidden="1">{#N/A,#N/A,FALSE,"COVER.XLS";#N/A,#N/A,FALSE,"RACT1.XLS";#N/A,#N/A,FALSE,"RACT2.XLS";#N/A,#N/A,FALSE,"ECCMP";#N/A,#N/A,FALSE,"WELDER.XLS"}</definedName>
    <definedName name="sdf_2_1" hidden="1">{#N/A,#N/A,FALSE,"COVER.XLS";#N/A,#N/A,FALSE,"RACT1.XLS";#N/A,#N/A,FALSE,"RACT2.XLS";#N/A,#N/A,FALSE,"ECCMP";#N/A,#N/A,FALSE,"WELDER.XLS"}</definedName>
    <definedName name="sdf_2_2" hidden="1">{#N/A,#N/A,FALSE,"COVER.XLS";#N/A,#N/A,FALSE,"RACT1.XLS";#N/A,#N/A,FALSE,"RACT2.XLS";#N/A,#N/A,FALSE,"ECCMP";#N/A,#N/A,FALSE,"WELDER.XLS"}</definedName>
    <definedName name="sdf_2_3" hidden="1">{#N/A,#N/A,FALSE,"COVER.XLS";#N/A,#N/A,FALSE,"RACT1.XLS";#N/A,#N/A,FALSE,"RACT2.XLS";#N/A,#N/A,FALSE,"ECCMP";#N/A,#N/A,FALSE,"WELDER.XLS"}</definedName>
    <definedName name="sdf_2_4" hidden="1">{#N/A,#N/A,FALSE,"COVER.XLS";#N/A,#N/A,FALSE,"RACT1.XLS";#N/A,#N/A,FALSE,"RACT2.XLS";#N/A,#N/A,FALSE,"ECCMP";#N/A,#N/A,FALSE,"WELDER.XLS"}</definedName>
    <definedName name="sdf_2_5" hidden="1">{#N/A,#N/A,FALSE,"COVER.XLS";#N/A,#N/A,FALSE,"RACT1.XLS";#N/A,#N/A,FALSE,"RACT2.XLS";#N/A,#N/A,FALSE,"ECCMP";#N/A,#N/A,FALSE,"WELDER.XLS"}</definedName>
    <definedName name="sdf_3" hidden="1">{#N/A,#N/A,FALSE,"COVER.XLS";#N/A,#N/A,FALSE,"RACT1.XLS";#N/A,#N/A,FALSE,"RACT2.XLS";#N/A,#N/A,FALSE,"ECCMP";#N/A,#N/A,FALSE,"WELDER.XLS"}</definedName>
    <definedName name="sdf_4" hidden="1">{#N/A,#N/A,FALSE,"COVER.XLS";#N/A,#N/A,FALSE,"RACT1.XLS";#N/A,#N/A,FALSE,"RACT2.XLS";#N/A,#N/A,FALSE,"ECCMP";#N/A,#N/A,FALSE,"WELDER.XLS"}</definedName>
    <definedName name="sdf_5" hidden="1">{#N/A,#N/A,FALSE,"COVER.XLS";#N/A,#N/A,FALSE,"RACT1.XLS";#N/A,#N/A,FALSE,"RACT2.XLS";#N/A,#N/A,FALSE,"ECCMP";#N/A,#N/A,FALSE,"WELDER.XLS"}</definedName>
    <definedName name="sdfsdf" hidden="1">#REF!</definedName>
    <definedName name="sdggrsgrsgtrsg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e" hidden="1">{#N/A,#N/A,FALSE,"Aging Summary";#N/A,#N/A,FALSE,"Ratio Analysis";#N/A,#N/A,FALSE,"Test 120 Day Accts";#N/A,#N/A,FALSE,"Tickmarks"}</definedName>
    <definedName name="sencount" hidden="1">5</definedName>
    <definedName name="short" hidden="1">{#N/A,#N/A,FALSE,"COVER1.XLS ";#N/A,#N/A,FALSE,"RACT1.XLS";#N/A,#N/A,FALSE,"RACT2.XLS";#N/A,#N/A,FALSE,"ECCMP";#N/A,#N/A,FALSE,"WELDER.XLS"}</definedName>
    <definedName name="short_1" hidden="1">{#N/A,#N/A,FALSE,"COVER1.XLS ";#N/A,#N/A,FALSE,"RACT1.XLS";#N/A,#N/A,FALSE,"RACT2.XLS";#N/A,#N/A,FALSE,"ECCMP";#N/A,#N/A,FALSE,"WELDER.XLS"}</definedName>
    <definedName name="short_1_1" hidden="1">{#N/A,#N/A,FALSE,"COVER1.XLS ";#N/A,#N/A,FALSE,"RACT1.XLS";#N/A,#N/A,FALSE,"RACT2.XLS";#N/A,#N/A,FALSE,"ECCMP";#N/A,#N/A,FALSE,"WELDER.XLS"}</definedName>
    <definedName name="short_1_2" hidden="1">{#N/A,#N/A,FALSE,"COVER1.XLS ";#N/A,#N/A,FALSE,"RACT1.XLS";#N/A,#N/A,FALSE,"RACT2.XLS";#N/A,#N/A,FALSE,"ECCMP";#N/A,#N/A,FALSE,"WELDER.XLS"}</definedName>
    <definedName name="short_1_3" hidden="1">{#N/A,#N/A,FALSE,"COVER1.XLS ";#N/A,#N/A,FALSE,"RACT1.XLS";#N/A,#N/A,FALSE,"RACT2.XLS";#N/A,#N/A,FALSE,"ECCMP";#N/A,#N/A,FALSE,"WELDER.XLS"}</definedName>
    <definedName name="short_1_4" hidden="1">{#N/A,#N/A,FALSE,"COVER1.XLS ";#N/A,#N/A,FALSE,"RACT1.XLS";#N/A,#N/A,FALSE,"RACT2.XLS";#N/A,#N/A,FALSE,"ECCMP";#N/A,#N/A,FALSE,"WELDER.XLS"}</definedName>
    <definedName name="short_1_5" hidden="1">{#N/A,#N/A,FALSE,"COVER1.XLS ";#N/A,#N/A,FALSE,"RACT1.XLS";#N/A,#N/A,FALSE,"RACT2.XLS";#N/A,#N/A,FALSE,"ECCMP";#N/A,#N/A,FALSE,"WELDER.XLS"}</definedName>
    <definedName name="short_2" hidden="1">{#N/A,#N/A,FALSE,"COVER1.XLS ";#N/A,#N/A,FALSE,"RACT1.XLS";#N/A,#N/A,FALSE,"RACT2.XLS";#N/A,#N/A,FALSE,"ECCMP";#N/A,#N/A,FALSE,"WELDER.XLS"}</definedName>
    <definedName name="short_2_1" hidden="1">{#N/A,#N/A,FALSE,"COVER1.XLS ";#N/A,#N/A,FALSE,"RACT1.XLS";#N/A,#N/A,FALSE,"RACT2.XLS";#N/A,#N/A,FALSE,"ECCMP";#N/A,#N/A,FALSE,"WELDER.XLS"}</definedName>
    <definedName name="short_2_2" hidden="1">{#N/A,#N/A,FALSE,"COVER1.XLS ";#N/A,#N/A,FALSE,"RACT1.XLS";#N/A,#N/A,FALSE,"RACT2.XLS";#N/A,#N/A,FALSE,"ECCMP";#N/A,#N/A,FALSE,"WELDER.XLS"}</definedName>
    <definedName name="short_2_3" hidden="1">{#N/A,#N/A,FALSE,"COVER1.XLS ";#N/A,#N/A,FALSE,"RACT1.XLS";#N/A,#N/A,FALSE,"RACT2.XLS";#N/A,#N/A,FALSE,"ECCMP";#N/A,#N/A,FALSE,"WELDER.XLS"}</definedName>
    <definedName name="short_2_4" hidden="1">{#N/A,#N/A,FALSE,"COVER1.XLS ";#N/A,#N/A,FALSE,"RACT1.XLS";#N/A,#N/A,FALSE,"RACT2.XLS";#N/A,#N/A,FALSE,"ECCMP";#N/A,#N/A,FALSE,"WELDER.XLS"}</definedName>
    <definedName name="short_2_5" hidden="1">{#N/A,#N/A,FALSE,"COVER1.XLS ";#N/A,#N/A,FALSE,"RACT1.XLS";#N/A,#N/A,FALSE,"RACT2.XLS";#N/A,#N/A,FALSE,"ECCMP";#N/A,#N/A,FALSE,"WELDER.XLS"}</definedName>
    <definedName name="short_3" hidden="1">{#N/A,#N/A,FALSE,"COVER1.XLS ";#N/A,#N/A,FALSE,"RACT1.XLS";#N/A,#N/A,FALSE,"RACT2.XLS";#N/A,#N/A,FALSE,"ECCMP";#N/A,#N/A,FALSE,"WELDER.XLS"}</definedName>
    <definedName name="short_4" hidden="1">{#N/A,#N/A,FALSE,"COVER1.XLS ";#N/A,#N/A,FALSE,"RACT1.XLS";#N/A,#N/A,FALSE,"RACT2.XLS";#N/A,#N/A,FALSE,"ECCMP";#N/A,#N/A,FALSE,"WELDER.XLS"}</definedName>
    <definedName name="short_5" hidden="1">{#N/A,#N/A,FALSE,"COVER1.XLS ";#N/A,#N/A,FALSE,"RACT1.XLS";#N/A,#N/A,FALSE,"RACT2.XLS";#N/A,#N/A,FALSE,"ECCMP";#N/A,#N/A,FALSE,"WELDER.XLS"}</definedName>
    <definedName name="sht" hidden="1">{#N/A,#N/A,FALSE,"COVER1.XLS ";#N/A,#N/A,FALSE,"RACT1.XLS";#N/A,#N/A,FALSE,"RACT2.XLS";#N/A,#N/A,FALSE,"ECCMP";#N/A,#N/A,FALSE,"WELDER.XLS"}</definedName>
    <definedName name="srs" hidden="1">{#N/A,#N/A,FALSE,"COVER.XLS";#N/A,#N/A,FALSE,"RACT1.XLS";#N/A,#N/A,FALSE,"RACT2.XLS";#N/A,#N/A,FALSE,"ECCMP";#N/A,#N/A,FALSE,"WELDER.XLS"}</definedName>
    <definedName name="srs_1" hidden="1">{#N/A,#N/A,FALSE,"COVER.XLS";#N/A,#N/A,FALSE,"RACT1.XLS";#N/A,#N/A,FALSE,"RACT2.XLS";#N/A,#N/A,FALSE,"ECCMP";#N/A,#N/A,FALSE,"WELDER.XLS"}</definedName>
    <definedName name="srs_2" hidden="1">{#N/A,#N/A,FALSE,"COVER.XLS";#N/A,#N/A,FALSE,"RACT1.XLS";#N/A,#N/A,FALSE,"RACT2.XLS";#N/A,#N/A,FALSE,"ECCMP";#N/A,#N/A,FALSE,"WELDER.XLS"}</definedName>
    <definedName name="srs_3" hidden="1">{#N/A,#N/A,FALSE,"COVER.XLS";#N/A,#N/A,FALSE,"RACT1.XLS";#N/A,#N/A,FALSE,"RACT2.XLS";#N/A,#N/A,FALSE,"ECCMP";#N/A,#N/A,FALSE,"WELDER.XLS"}</definedName>
    <definedName name="srs_4" hidden="1">{#N/A,#N/A,FALSE,"COVER.XLS";#N/A,#N/A,FALSE,"RACT1.XLS";#N/A,#N/A,FALSE,"RACT2.XLS";#N/A,#N/A,FALSE,"ECCMP";#N/A,#N/A,FALSE,"WELDER.XLS"}</definedName>
    <definedName name="srs_5" hidden="1">{#N/A,#N/A,FALSE,"COVER.XLS";#N/A,#N/A,FALSE,"RACT1.XLS";#N/A,#N/A,FALSE,"RACT2.XLS";#N/A,#N/A,FALSE,"ECCMP";#N/A,#N/A,FALSE,"WELDER.XLS"}</definedName>
    <definedName name="ss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_1" hidden="1">{#N/A,#N/A,FALSE,"COVER.XLS";#N/A,#N/A,FALSE,"RACT1.XLS";#N/A,#N/A,FALSE,"RACT2.XLS";#N/A,#N/A,FALSE,"ECCMP";#N/A,#N/A,FALSE,"WELDER.XLS"}</definedName>
    <definedName name="ss_1_1" hidden="1">{#N/A,#N/A,FALSE,"COVER.XLS";#N/A,#N/A,FALSE,"RACT1.XLS";#N/A,#N/A,FALSE,"RACT2.XLS";#N/A,#N/A,FALSE,"ECCMP";#N/A,#N/A,FALSE,"WELDER.XLS"}</definedName>
    <definedName name="ss_1_2" hidden="1">{#N/A,#N/A,FALSE,"COVER.XLS";#N/A,#N/A,FALSE,"RACT1.XLS";#N/A,#N/A,FALSE,"RACT2.XLS";#N/A,#N/A,FALSE,"ECCMP";#N/A,#N/A,FALSE,"WELDER.XLS"}</definedName>
    <definedName name="ss_1_3" hidden="1">{#N/A,#N/A,FALSE,"COVER.XLS";#N/A,#N/A,FALSE,"RACT1.XLS";#N/A,#N/A,FALSE,"RACT2.XLS";#N/A,#N/A,FALSE,"ECCMP";#N/A,#N/A,FALSE,"WELDER.XLS"}</definedName>
    <definedName name="ss_1_4" hidden="1">{#N/A,#N/A,FALSE,"COVER.XLS";#N/A,#N/A,FALSE,"RACT1.XLS";#N/A,#N/A,FALSE,"RACT2.XLS";#N/A,#N/A,FALSE,"ECCMP";#N/A,#N/A,FALSE,"WELDER.XLS"}</definedName>
    <definedName name="ss_1_5" hidden="1">{#N/A,#N/A,FALSE,"COVER.XLS";#N/A,#N/A,FALSE,"RACT1.XLS";#N/A,#N/A,FALSE,"RACT2.XLS";#N/A,#N/A,FALSE,"ECCMP";#N/A,#N/A,FALSE,"WELDER.XLS"}</definedName>
    <definedName name="ss_2" hidden="1">{#N/A,#N/A,FALSE,"COVER.XLS";#N/A,#N/A,FALSE,"RACT1.XLS";#N/A,#N/A,FALSE,"RACT2.XLS";#N/A,#N/A,FALSE,"ECCMP";#N/A,#N/A,FALSE,"WELDER.XLS"}</definedName>
    <definedName name="ss_2_1" hidden="1">{#N/A,#N/A,FALSE,"COVER.XLS";#N/A,#N/A,FALSE,"RACT1.XLS";#N/A,#N/A,FALSE,"RACT2.XLS";#N/A,#N/A,FALSE,"ECCMP";#N/A,#N/A,FALSE,"WELDER.XLS"}</definedName>
    <definedName name="ss_2_2" hidden="1">{#N/A,#N/A,FALSE,"COVER.XLS";#N/A,#N/A,FALSE,"RACT1.XLS";#N/A,#N/A,FALSE,"RACT2.XLS";#N/A,#N/A,FALSE,"ECCMP";#N/A,#N/A,FALSE,"WELDER.XLS"}</definedName>
    <definedName name="ss_2_3" hidden="1">{#N/A,#N/A,FALSE,"COVER.XLS";#N/A,#N/A,FALSE,"RACT1.XLS";#N/A,#N/A,FALSE,"RACT2.XLS";#N/A,#N/A,FALSE,"ECCMP";#N/A,#N/A,FALSE,"WELDER.XLS"}</definedName>
    <definedName name="ss_2_4" hidden="1">{#N/A,#N/A,FALSE,"COVER.XLS";#N/A,#N/A,FALSE,"RACT1.XLS";#N/A,#N/A,FALSE,"RACT2.XLS";#N/A,#N/A,FALSE,"ECCMP";#N/A,#N/A,FALSE,"WELDER.XLS"}</definedName>
    <definedName name="ss_2_5" hidden="1">{#N/A,#N/A,FALSE,"COVER.XLS";#N/A,#N/A,FALSE,"RACT1.XLS";#N/A,#N/A,FALSE,"RACT2.XLS";#N/A,#N/A,FALSE,"ECCMP";#N/A,#N/A,FALSE,"WELDER.XLS"}</definedName>
    <definedName name="ss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a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aa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aa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aa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aa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aa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ddfase" hidden="1">{#N/A,#N/A,FALSE,"COVER.XLS";#N/A,#N/A,FALSE,"RACT1.XLS";#N/A,#N/A,FALSE,"RACT2.XLS";#N/A,#N/A,FALSE,"ECCMP";#N/A,#N/A,FALSE,"WELDER.XLS"}</definedName>
    <definedName name="sss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1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1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1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1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1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2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2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2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2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2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sssdfdf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dfdf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dfdf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dfdf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dfdf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sdfdf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ssv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sv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sv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sv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sv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sv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ucc" hidden="1">{#N/A,#N/A,FALSE,"COVER1.XLS ";#N/A,#N/A,FALSE,"RACT1.XLS";#N/A,#N/A,FALSE,"RACT2.XLS";#N/A,#N/A,FALSE,"ECCMP";#N/A,#N/A,FALSE,"WELDER.XLS"}</definedName>
    <definedName name="succ_1" hidden="1">{#N/A,#N/A,FALSE,"COVER1.XLS ";#N/A,#N/A,FALSE,"RACT1.XLS";#N/A,#N/A,FALSE,"RACT2.XLS";#N/A,#N/A,FALSE,"ECCMP";#N/A,#N/A,FALSE,"WELDER.XLS"}</definedName>
    <definedName name="succ_1_1" hidden="1">{#N/A,#N/A,FALSE,"COVER1.XLS ";#N/A,#N/A,FALSE,"RACT1.XLS";#N/A,#N/A,FALSE,"RACT2.XLS";#N/A,#N/A,FALSE,"ECCMP";#N/A,#N/A,FALSE,"WELDER.XLS"}</definedName>
    <definedName name="succ_1_2" hidden="1">{#N/A,#N/A,FALSE,"COVER1.XLS ";#N/A,#N/A,FALSE,"RACT1.XLS";#N/A,#N/A,FALSE,"RACT2.XLS";#N/A,#N/A,FALSE,"ECCMP";#N/A,#N/A,FALSE,"WELDER.XLS"}</definedName>
    <definedName name="succ_1_3" hidden="1">{#N/A,#N/A,FALSE,"COVER1.XLS ";#N/A,#N/A,FALSE,"RACT1.XLS";#N/A,#N/A,FALSE,"RACT2.XLS";#N/A,#N/A,FALSE,"ECCMP";#N/A,#N/A,FALSE,"WELDER.XLS"}</definedName>
    <definedName name="succ_1_4" hidden="1">{#N/A,#N/A,FALSE,"COVER1.XLS ";#N/A,#N/A,FALSE,"RACT1.XLS";#N/A,#N/A,FALSE,"RACT2.XLS";#N/A,#N/A,FALSE,"ECCMP";#N/A,#N/A,FALSE,"WELDER.XLS"}</definedName>
    <definedName name="succ_1_5" hidden="1">{#N/A,#N/A,FALSE,"COVER1.XLS ";#N/A,#N/A,FALSE,"RACT1.XLS";#N/A,#N/A,FALSE,"RACT2.XLS";#N/A,#N/A,FALSE,"ECCMP";#N/A,#N/A,FALSE,"WELDER.XLS"}</definedName>
    <definedName name="succ_2" hidden="1">{#N/A,#N/A,FALSE,"COVER1.XLS ";#N/A,#N/A,FALSE,"RACT1.XLS";#N/A,#N/A,FALSE,"RACT2.XLS";#N/A,#N/A,FALSE,"ECCMP";#N/A,#N/A,FALSE,"WELDER.XLS"}</definedName>
    <definedName name="succ_2_1" hidden="1">{#N/A,#N/A,FALSE,"COVER1.XLS ";#N/A,#N/A,FALSE,"RACT1.XLS";#N/A,#N/A,FALSE,"RACT2.XLS";#N/A,#N/A,FALSE,"ECCMP";#N/A,#N/A,FALSE,"WELDER.XLS"}</definedName>
    <definedName name="succ_2_2" hidden="1">{#N/A,#N/A,FALSE,"COVER1.XLS ";#N/A,#N/A,FALSE,"RACT1.XLS";#N/A,#N/A,FALSE,"RACT2.XLS";#N/A,#N/A,FALSE,"ECCMP";#N/A,#N/A,FALSE,"WELDER.XLS"}</definedName>
    <definedName name="succ_2_3" hidden="1">{#N/A,#N/A,FALSE,"COVER1.XLS ";#N/A,#N/A,FALSE,"RACT1.XLS";#N/A,#N/A,FALSE,"RACT2.XLS";#N/A,#N/A,FALSE,"ECCMP";#N/A,#N/A,FALSE,"WELDER.XLS"}</definedName>
    <definedName name="succ_2_4" hidden="1">{#N/A,#N/A,FALSE,"COVER1.XLS ";#N/A,#N/A,FALSE,"RACT1.XLS";#N/A,#N/A,FALSE,"RACT2.XLS";#N/A,#N/A,FALSE,"ECCMP";#N/A,#N/A,FALSE,"WELDER.XLS"}</definedName>
    <definedName name="succ_2_5" hidden="1">{#N/A,#N/A,FALSE,"COVER1.XLS ";#N/A,#N/A,FALSE,"RACT1.XLS";#N/A,#N/A,FALSE,"RACT2.XLS";#N/A,#N/A,FALSE,"ECCMP";#N/A,#N/A,FALSE,"WELDER.XLS"}</definedName>
    <definedName name="succ_3" hidden="1">{#N/A,#N/A,FALSE,"COVER1.XLS ";#N/A,#N/A,FALSE,"RACT1.XLS";#N/A,#N/A,FALSE,"RACT2.XLS";#N/A,#N/A,FALSE,"ECCMP";#N/A,#N/A,FALSE,"WELDER.XLS"}</definedName>
    <definedName name="succ_4" hidden="1">{#N/A,#N/A,FALSE,"COVER1.XLS ";#N/A,#N/A,FALSE,"RACT1.XLS";#N/A,#N/A,FALSE,"RACT2.XLS";#N/A,#N/A,FALSE,"ECCMP";#N/A,#N/A,FALSE,"WELDER.XLS"}</definedName>
    <definedName name="succ_5" hidden="1">{#N/A,#N/A,FALSE,"COVER1.XLS ";#N/A,#N/A,FALSE,"RACT1.XLS";#N/A,#N/A,FALSE,"RACT2.XLS";#N/A,#N/A,FALSE,"ECCMP";#N/A,#N/A,FALSE,"WELDER.XLS"}</definedName>
    <definedName name="suj" hidden="1">{"UKOPEX",#N/A,FALSE,"Summary"}</definedName>
    <definedName name="suj_1" hidden="1">{"UKOPEX",#N/A,FALSE,"Summary"}</definedName>
    <definedName name="suj_2" hidden="1">{"UKOPEX",#N/A,FALSE,"Summary"}</definedName>
    <definedName name="suj_3" hidden="1">{"UKOPEX",#N/A,FALSE,"Summary"}</definedName>
    <definedName name="suj_4" hidden="1">{"UKOPEX",#N/A,FALSE,"Summary"}</definedName>
    <definedName name="suj_5" hidden="1">{"UKOPEX",#N/A,FALSE,"Summary"}</definedName>
    <definedName name="Summery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Swvu.Overhead._.detail." hidden="1">#REF!</definedName>
    <definedName name="Swvu.Profit._.report._.detailed." hidden="1">#REF!</definedName>
    <definedName name="t" hidden="1">{#N/A,#N/A,FALSE,"COVER.XLS";#N/A,#N/A,FALSE,"RACT1.XLS";#N/A,#N/A,FALSE,"RACT2.XLS";#N/A,#N/A,FALSE,"ECCMP";#N/A,#N/A,FALSE,"WELDER.XLS"}</definedName>
    <definedName name="t_1" hidden="1">{#N/A,#N/A,FALSE,"COVER.XLS";#N/A,#N/A,FALSE,"RACT1.XLS";#N/A,#N/A,FALSE,"RACT2.XLS";#N/A,#N/A,FALSE,"ECCMP";#N/A,#N/A,FALSE,"WELDER.XLS"}</definedName>
    <definedName name="t_1_1" hidden="1">{#N/A,#N/A,FALSE,"COVER.XLS";#N/A,#N/A,FALSE,"RACT1.XLS";#N/A,#N/A,FALSE,"RACT2.XLS";#N/A,#N/A,FALSE,"ECCMP";#N/A,#N/A,FALSE,"WELDER.XLS"}</definedName>
    <definedName name="t_1_2" hidden="1">{#N/A,#N/A,FALSE,"COVER.XLS";#N/A,#N/A,FALSE,"RACT1.XLS";#N/A,#N/A,FALSE,"RACT2.XLS";#N/A,#N/A,FALSE,"ECCMP";#N/A,#N/A,FALSE,"WELDER.XLS"}</definedName>
    <definedName name="t_1_3" hidden="1">{#N/A,#N/A,FALSE,"COVER.XLS";#N/A,#N/A,FALSE,"RACT1.XLS";#N/A,#N/A,FALSE,"RACT2.XLS";#N/A,#N/A,FALSE,"ECCMP";#N/A,#N/A,FALSE,"WELDER.XLS"}</definedName>
    <definedName name="t_1_4" hidden="1">{#N/A,#N/A,FALSE,"COVER.XLS";#N/A,#N/A,FALSE,"RACT1.XLS";#N/A,#N/A,FALSE,"RACT2.XLS";#N/A,#N/A,FALSE,"ECCMP";#N/A,#N/A,FALSE,"WELDER.XLS"}</definedName>
    <definedName name="t_1_5" hidden="1">{#N/A,#N/A,FALSE,"COVER.XLS";#N/A,#N/A,FALSE,"RACT1.XLS";#N/A,#N/A,FALSE,"RACT2.XLS";#N/A,#N/A,FALSE,"ECCMP";#N/A,#N/A,FALSE,"WELDER.XLS"}</definedName>
    <definedName name="t_2" hidden="1">{#N/A,#N/A,FALSE,"COVER.XLS";#N/A,#N/A,FALSE,"RACT1.XLS";#N/A,#N/A,FALSE,"RACT2.XLS";#N/A,#N/A,FALSE,"ECCMP";#N/A,#N/A,FALSE,"WELDER.XLS"}</definedName>
    <definedName name="t_2_1" hidden="1">{#N/A,#N/A,FALSE,"COVER.XLS";#N/A,#N/A,FALSE,"RACT1.XLS";#N/A,#N/A,FALSE,"RACT2.XLS";#N/A,#N/A,FALSE,"ECCMP";#N/A,#N/A,FALSE,"WELDER.XLS"}</definedName>
    <definedName name="t_2_2" hidden="1">{#N/A,#N/A,FALSE,"COVER.XLS";#N/A,#N/A,FALSE,"RACT1.XLS";#N/A,#N/A,FALSE,"RACT2.XLS";#N/A,#N/A,FALSE,"ECCMP";#N/A,#N/A,FALSE,"WELDER.XLS"}</definedName>
    <definedName name="t_2_3" hidden="1">{#N/A,#N/A,FALSE,"COVER.XLS";#N/A,#N/A,FALSE,"RACT1.XLS";#N/A,#N/A,FALSE,"RACT2.XLS";#N/A,#N/A,FALSE,"ECCMP";#N/A,#N/A,FALSE,"WELDER.XLS"}</definedName>
    <definedName name="t_2_4" hidden="1">{#N/A,#N/A,FALSE,"COVER.XLS";#N/A,#N/A,FALSE,"RACT1.XLS";#N/A,#N/A,FALSE,"RACT2.XLS";#N/A,#N/A,FALSE,"ECCMP";#N/A,#N/A,FALSE,"WELDER.XLS"}</definedName>
    <definedName name="t_2_5" hidden="1">{#N/A,#N/A,FALSE,"COVER.XLS";#N/A,#N/A,FALSE,"RACT1.XLS";#N/A,#N/A,FALSE,"RACT2.XLS";#N/A,#N/A,FALSE,"ECCMP";#N/A,#N/A,FALSE,"WELDER.XLS"}</definedName>
    <definedName name="t_3" hidden="1">{#N/A,#N/A,FALSE,"COVER.XLS";#N/A,#N/A,FALSE,"RACT1.XLS";#N/A,#N/A,FALSE,"RACT2.XLS";#N/A,#N/A,FALSE,"ECCMP";#N/A,#N/A,FALSE,"WELDER.XLS"}</definedName>
    <definedName name="t_4" hidden="1">{#N/A,#N/A,FALSE,"COVER.XLS";#N/A,#N/A,FALSE,"RACT1.XLS";#N/A,#N/A,FALSE,"RACT2.XLS";#N/A,#N/A,FALSE,"ECCMP";#N/A,#N/A,FALSE,"WELDER.XLS"}</definedName>
    <definedName name="t_5" hidden="1">{#N/A,#N/A,FALSE,"COVER.XLS";#N/A,#N/A,FALSE,"RACT1.XLS";#N/A,#N/A,FALSE,"RACT2.XLS";#N/A,#N/A,FALSE,"ECCMP";#N/A,#N/A,FALSE,"WELDER.XLS"}</definedName>
    <definedName name="temp" hidden="1">#REF!</definedName>
    <definedName name="test" hidden="1">{#N/A,#N/A,FALSE,"COVER1.XLS ";#N/A,#N/A,FALSE,"RACT1.XLS";#N/A,#N/A,FALSE,"RACT2.XLS";#N/A,#N/A,FALSE,"ECCMP";#N/A,#N/A,FALSE,"WELDER.XLS"}</definedName>
    <definedName name="test_1" hidden="1">{#N/A,#N/A,FALSE,"COVER1.XLS ";#N/A,#N/A,FALSE,"RACT1.XLS";#N/A,#N/A,FALSE,"RACT2.XLS";#N/A,#N/A,FALSE,"ECCMP";#N/A,#N/A,FALSE,"WELDER.XLS"}</definedName>
    <definedName name="test_1_1" hidden="1">{#N/A,#N/A,FALSE,"COVER1.XLS ";#N/A,#N/A,FALSE,"RACT1.XLS";#N/A,#N/A,FALSE,"RACT2.XLS";#N/A,#N/A,FALSE,"ECCMP";#N/A,#N/A,FALSE,"WELDER.XLS"}</definedName>
    <definedName name="test_1_2" hidden="1">{#N/A,#N/A,FALSE,"COVER1.XLS ";#N/A,#N/A,FALSE,"RACT1.XLS";#N/A,#N/A,FALSE,"RACT2.XLS";#N/A,#N/A,FALSE,"ECCMP";#N/A,#N/A,FALSE,"WELDER.XLS"}</definedName>
    <definedName name="test_1_3" hidden="1">{#N/A,#N/A,FALSE,"COVER1.XLS ";#N/A,#N/A,FALSE,"RACT1.XLS";#N/A,#N/A,FALSE,"RACT2.XLS";#N/A,#N/A,FALSE,"ECCMP";#N/A,#N/A,FALSE,"WELDER.XLS"}</definedName>
    <definedName name="test_1_4" hidden="1">{#N/A,#N/A,FALSE,"COVER1.XLS ";#N/A,#N/A,FALSE,"RACT1.XLS";#N/A,#N/A,FALSE,"RACT2.XLS";#N/A,#N/A,FALSE,"ECCMP";#N/A,#N/A,FALSE,"WELDER.XLS"}</definedName>
    <definedName name="test_1_5" hidden="1">{#N/A,#N/A,FALSE,"COVER1.XLS ";#N/A,#N/A,FALSE,"RACT1.XLS";#N/A,#N/A,FALSE,"RACT2.XLS";#N/A,#N/A,FALSE,"ECCMP";#N/A,#N/A,FALSE,"WELDER.XLS"}</definedName>
    <definedName name="test_2" hidden="1">{#N/A,#N/A,FALSE,"COVER1.XLS ";#N/A,#N/A,FALSE,"RACT1.XLS";#N/A,#N/A,FALSE,"RACT2.XLS";#N/A,#N/A,FALSE,"ECCMP";#N/A,#N/A,FALSE,"WELDER.XLS"}</definedName>
    <definedName name="test_2_1" hidden="1">{#N/A,#N/A,FALSE,"COVER1.XLS ";#N/A,#N/A,FALSE,"RACT1.XLS";#N/A,#N/A,FALSE,"RACT2.XLS";#N/A,#N/A,FALSE,"ECCMP";#N/A,#N/A,FALSE,"WELDER.XLS"}</definedName>
    <definedName name="test_2_2" hidden="1">{#N/A,#N/A,FALSE,"COVER1.XLS ";#N/A,#N/A,FALSE,"RACT1.XLS";#N/A,#N/A,FALSE,"RACT2.XLS";#N/A,#N/A,FALSE,"ECCMP";#N/A,#N/A,FALSE,"WELDER.XLS"}</definedName>
    <definedName name="test_2_3" hidden="1">{#N/A,#N/A,FALSE,"COVER1.XLS ";#N/A,#N/A,FALSE,"RACT1.XLS";#N/A,#N/A,FALSE,"RACT2.XLS";#N/A,#N/A,FALSE,"ECCMP";#N/A,#N/A,FALSE,"WELDER.XLS"}</definedName>
    <definedName name="test_2_4" hidden="1">{#N/A,#N/A,FALSE,"COVER1.XLS ";#N/A,#N/A,FALSE,"RACT1.XLS";#N/A,#N/A,FALSE,"RACT2.XLS";#N/A,#N/A,FALSE,"ECCMP";#N/A,#N/A,FALSE,"WELDER.XLS"}</definedName>
    <definedName name="test_2_5" hidden="1">{#N/A,#N/A,FALSE,"COVER1.XLS ";#N/A,#N/A,FALSE,"RACT1.XLS";#N/A,#N/A,FALSE,"RACT2.XLS";#N/A,#N/A,FALSE,"ECCMP";#N/A,#N/A,FALSE,"WELDER.XLS"}</definedName>
    <definedName name="test_3" hidden="1">{#N/A,#N/A,FALSE,"COVER1.XLS ";#N/A,#N/A,FALSE,"RACT1.XLS";#N/A,#N/A,FALSE,"RACT2.XLS";#N/A,#N/A,FALSE,"ECCMP";#N/A,#N/A,FALSE,"WELDER.XLS"}</definedName>
    <definedName name="test_4" hidden="1">{#N/A,#N/A,FALSE,"COVER1.XLS ";#N/A,#N/A,FALSE,"RACT1.XLS";#N/A,#N/A,FALSE,"RACT2.XLS";#N/A,#N/A,FALSE,"ECCMP";#N/A,#N/A,FALSE,"WELDER.XLS"}</definedName>
    <definedName name="test_5" hidden="1">{#N/A,#N/A,FALSE,"COVER1.XLS ";#N/A,#N/A,FALSE,"RACT1.XLS";#N/A,#N/A,FALSE,"RACT2.XLS";#N/A,#N/A,FALSE,"ECCMP";#N/A,#N/A,FALSE,"WELDER.XLS"}</definedName>
    <definedName name="TextRefCopyRangeCount" hidden="1">1</definedName>
    <definedName name="tr" hidden="1">{#N/A,#N/A,FALSE,"COVER.XLS";#N/A,#N/A,FALSE,"RACT1.XLS";#N/A,#N/A,FALSE,"RACT2.XLS";#N/A,#N/A,FALSE,"ECCMP";#N/A,#N/A,FALSE,"WELDER.XLS"}</definedName>
    <definedName name="tr_1" hidden="1">{#N/A,#N/A,FALSE,"COVER.XLS";#N/A,#N/A,FALSE,"RACT1.XLS";#N/A,#N/A,FALSE,"RACT2.XLS";#N/A,#N/A,FALSE,"ECCMP";#N/A,#N/A,FALSE,"WELDER.XLS"}</definedName>
    <definedName name="tr_1_1" hidden="1">{#N/A,#N/A,FALSE,"COVER.XLS";#N/A,#N/A,FALSE,"RACT1.XLS";#N/A,#N/A,FALSE,"RACT2.XLS";#N/A,#N/A,FALSE,"ECCMP";#N/A,#N/A,FALSE,"WELDER.XLS"}</definedName>
    <definedName name="tr_1_2" hidden="1">{#N/A,#N/A,FALSE,"COVER.XLS";#N/A,#N/A,FALSE,"RACT1.XLS";#N/A,#N/A,FALSE,"RACT2.XLS";#N/A,#N/A,FALSE,"ECCMP";#N/A,#N/A,FALSE,"WELDER.XLS"}</definedName>
    <definedName name="tr_1_3" hidden="1">{#N/A,#N/A,FALSE,"COVER.XLS";#N/A,#N/A,FALSE,"RACT1.XLS";#N/A,#N/A,FALSE,"RACT2.XLS";#N/A,#N/A,FALSE,"ECCMP";#N/A,#N/A,FALSE,"WELDER.XLS"}</definedName>
    <definedName name="tr_1_4" hidden="1">{#N/A,#N/A,FALSE,"COVER.XLS";#N/A,#N/A,FALSE,"RACT1.XLS";#N/A,#N/A,FALSE,"RACT2.XLS";#N/A,#N/A,FALSE,"ECCMP";#N/A,#N/A,FALSE,"WELDER.XLS"}</definedName>
    <definedName name="tr_1_5" hidden="1">{#N/A,#N/A,FALSE,"COVER.XLS";#N/A,#N/A,FALSE,"RACT1.XLS";#N/A,#N/A,FALSE,"RACT2.XLS";#N/A,#N/A,FALSE,"ECCMP";#N/A,#N/A,FALSE,"WELDER.XLS"}</definedName>
    <definedName name="tr_2" hidden="1">{#N/A,#N/A,FALSE,"COVER.XLS";#N/A,#N/A,FALSE,"RACT1.XLS";#N/A,#N/A,FALSE,"RACT2.XLS";#N/A,#N/A,FALSE,"ECCMP";#N/A,#N/A,FALSE,"WELDER.XLS"}</definedName>
    <definedName name="tr_2_1" hidden="1">{#N/A,#N/A,FALSE,"COVER.XLS";#N/A,#N/A,FALSE,"RACT1.XLS";#N/A,#N/A,FALSE,"RACT2.XLS";#N/A,#N/A,FALSE,"ECCMP";#N/A,#N/A,FALSE,"WELDER.XLS"}</definedName>
    <definedName name="tr_2_2" hidden="1">{#N/A,#N/A,FALSE,"COVER.XLS";#N/A,#N/A,FALSE,"RACT1.XLS";#N/A,#N/A,FALSE,"RACT2.XLS";#N/A,#N/A,FALSE,"ECCMP";#N/A,#N/A,FALSE,"WELDER.XLS"}</definedName>
    <definedName name="tr_2_3" hidden="1">{#N/A,#N/A,FALSE,"COVER.XLS";#N/A,#N/A,FALSE,"RACT1.XLS";#N/A,#N/A,FALSE,"RACT2.XLS";#N/A,#N/A,FALSE,"ECCMP";#N/A,#N/A,FALSE,"WELDER.XLS"}</definedName>
    <definedName name="tr_2_4" hidden="1">{#N/A,#N/A,FALSE,"COVER.XLS";#N/A,#N/A,FALSE,"RACT1.XLS";#N/A,#N/A,FALSE,"RACT2.XLS";#N/A,#N/A,FALSE,"ECCMP";#N/A,#N/A,FALSE,"WELDER.XLS"}</definedName>
    <definedName name="tr_2_5" hidden="1">{#N/A,#N/A,FALSE,"COVER.XLS";#N/A,#N/A,FALSE,"RACT1.XLS";#N/A,#N/A,FALSE,"RACT2.XLS";#N/A,#N/A,FALSE,"ECCMP";#N/A,#N/A,FALSE,"WELDER.XLS"}</definedName>
    <definedName name="tr_3" hidden="1">{#N/A,#N/A,FALSE,"COVER.XLS";#N/A,#N/A,FALSE,"RACT1.XLS";#N/A,#N/A,FALSE,"RACT2.XLS";#N/A,#N/A,FALSE,"ECCMP";#N/A,#N/A,FALSE,"WELDER.XLS"}</definedName>
    <definedName name="tr_4" hidden="1">{#N/A,#N/A,FALSE,"COVER.XLS";#N/A,#N/A,FALSE,"RACT1.XLS";#N/A,#N/A,FALSE,"RACT2.XLS";#N/A,#N/A,FALSE,"ECCMP";#N/A,#N/A,FALSE,"WELDER.XLS"}</definedName>
    <definedName name="tr_5" hidden="1">{#N/A,#N/A,FALSE,"COVER.XLS";#N/A,#N/A,FALSE,"RACT1.XLS";#N/A,#N/A,FALSE,"RACT2.XLS";#N/A,#N/A,FALSE,"ECCMP";#N/A,#N/A,FALSE,"WELDER.XLS"}</definedName>
    <definedName name="tt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tt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UKE" hidden="1">#REF!</definedName>
    <definedName name="Vinod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inod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inod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inod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inod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inod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vsasgfsghxas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asgfsghxas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ss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VV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V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V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V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V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VV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1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1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1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1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1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2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2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2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2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2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" hidden="1">{#N/A,#N/A,FALSE,"17MAY";#N/A,#N/A,FALSE,"24MAY"}</definedName>
    <definedName name="wr.Brookfield._.Notes." hidden="1">{#N/A,#N/A,FALSE,"Note 2";#N/A,#N/A,FALSE,"Note 3";#N/A,#N/A,FALSE,"Note 4";#N/A,#N/A,FALSE,"Note 5";#N/A,#N/A,FALSE,"Note 6";#N/A,#N/A,FALSE,"Note 10"}</definedName>
    <definedName name="wr_1" hidden="1">{#N/A,#N/A,FALSE,"17MAY";#N/A,#N/A,FALSE,"24MAY"}</definedName>
    <definedName name="wr_1_1" hidden="1">{#N/A,#N/A,FALSE,"17MAY";#N/A,#N/A,FALSE,"24MAY"}</definedName>
    <definedName name="wr_1_2" hidden="1">{#N/A,#N/A,FALSE,"17MAY";#N/A,#N/A,FALSE,"24MAY"}</definedName>
    <definedName name="wr_1_3" hidden="1">{#N/A,#N/A,FALSE,"17MAY";#N/A,#N/A,FALSE,"24MAY"}</definedName>
    <definedName name="wr_1_4" hidden="1">{#N/A,#N/A,FALSE,"17MAY";#N/A,#N/A,FALSE,"24MAY"}</definedName>
    <definedName name="wr_1_5" hidden="1">{#N/A,#N/A,FALSE,"17MAY";#N/A,#N/A,FALSE,"24MAY"}</definedName>
    <definedName name="wr_2" hidden="1">{#N/A,#N/A,FALSE,"17MAY";#N/A,#N/A,FALSE,"24MAY"}</definedName>
    <definedName name="wr_2_1" hidden="1">{#N/A,#N/A,FALSE,"17MAY";#N/A,#N/A,FALSE,"24MAY"}</definedName>
    <definedName name="wr_2_2" hidden="1">{#N/A,#N/A,FALSE,"17MAY";#N/A,#N/A,FALSE,"24MAY"}</definedName>
    <definedName name="wr_2_3" hidden="1">{#N/A,#N/A,FALSE,"17MAY";#N/A,#N/A,FALSE,"24MAY"}</definedName>
    <definedName name="wr_2_4" hidden="1">{#N/A,#N/A,FALSE,"17MAY";#N/A,#N/A,FALSE,"24MAY"}</definedName>
    <definedName name="wr_2_5" hidden="1">{#N/A,#N/A,FALSE,"17MAY";#N/A,#N/A,FALSE,"24MAY"}</definedName>
    <definedName name="wr_3" hidden="1">{#N/A,#N/A,FALSE,"17MAY";#N/A,#N/A,FALSE,"24MAY"}</definedName>
    <definedName name="wr_4" hidden="1">{#N/A,#N/A,FALSE,"17MAY";#N/A,#N/A,FALSE,"24MAY"}</definedName>
    <definedName name="wr_5" hidden="1">{#N/A,#N/A,FALSE,"17MAY";#N/A,#N/A,FALSE,"24MAY"}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1._1" hidden="1">{#N/A,#N/A,FALSE,"17MAY";#N/A,#N/A,FALSE,"24MAY"}</definedName>
    <definedName name="wrn.1._1_1" hidden="1">{#N/A,#N/A,FALSE,"17MAY";#N/A,#N/A,FALSE,"24MAY"}</definedName>
    <definedName name="wrn.1._1_2" hidden="1">{#N/A,#N/A,FALSE,"17MAY";#N/A,#N/A,FALSE,"24MAY"}</definedName>
    <definedName name="wrn.1._1_3" hidden="1">{#N/A,#N/A,FALSE,"17MAY";#N/A,#N/A,FALSE,"24MAY"}</definedName>
    <definedName name="wrn.1._1_4" hidden="1">{#N/A,#N/A,FALSE,"17MAY";#N/A,#N/A,FALSE,"24MAY"}</definedName>
    <definedName name="wrn.1._1_5" hidden="1">{#N/A,#N/A,FALSE,"17MAY";#N/A,#N/A,FALSE,"24MAY"}</definedName>
    <definedName name="wrn.1._2" hidden="1">{#N/A,#N/A,FALSE,"17MAY";#N/A,#N/A,FALSE,"24MAY"}</definedName>
    <definedName name="wrn.1._2_1" hidden="1">{#N/A,#N/A,FALSE,"17MAY";#N/A,#N/A,FALSE,"24MAY"}</definedName>
    <definedName name="wrn.1._2_2" hidden="1">{#N/A,#N/A,FALSE,"17MAY";#N/A,#N/A,FALSE,"24MAY"}</definedName>
    <definedName name="wrn.1._2_3" hidden="1">{#N/A,#N/A,FALSE,"17MAY";#N/A,#N/A,FALSE,"24MAY"}</definedName>
    <definedName name="wrn.1._2_4" hidden="1">{#N/A,#N/A,FALSE,"17MAY";#N/A,#N/A,FALSE,"24MAY"}</definedName>
    <definedName name="wrn.1._2_5" hidden="1">{#N/A,#N/A,FALSE,"17MAY";#N/A,#N/A,FALSE,"24MAY"}</definedName>
    <definedName name="wrn.1._3" hidden="1">{#N/A,#N/A,FALSE,"17MAY";#N/A,#N/A,FALSE,"24MAY"}</definedName>
    <definedName name="wrn.1._4" hidden="1">{#N/A,#N/A,FALSE,"17MAY";#N/A,#N/A,FALSE,"24MAY"}</definedName>
    <definedName name="wrn.1._5" hidden="1">{#N/A,#N/A,FALSE,"17MAY";#N/A,#N/A,FALSE,"24MAY"}</definedName>
    <definedName name="wrn.2.2" hidden="1">{#N/A,#N/A,FALSE,"17MAY";#N/A,#N/A,FALSE,"24MAY"}</definedName>
    <definedName name="wrn.2.2_1" hidden="1">{#N/A,#N/A,FALSE,"17MAY";#N/A,#N/A,FALSE,"24MAY"}</definedName>
    <definedName name="wrn.2.2_1_1" hidden="1">{#N/A,#N/A,FALSE,"17MAY";#N/A,#N/A,FALSE,"24MAY"}</definedName>
    <definedName name="wrn.2.2_1_2" hidden="1">{#N/A,#N/A,FALSE,"17MAY";#N/A,#N/A,FALSE,"24MAY"}</definedName>
    <definedName name="wrn.2.2_1_3" hidden="1">{#N/A,#N/A,FALSE,"17MAY";#N/A,#N/A,FALSE,"24MAY"}</definedName>
    <definedName name="wrn.2.2_1_4" hidden="1">{#N/A,#N/A,FALSE,"17MAY";#N/A,#N/A,FALSE,"24MAY"}</definedName>
    <definedName name="wrn.2.2_1_5" hidden="1">{#N/A,#N/A,FALSE,"17MAY";#N/A,#N/A,FALSE,"24MAY"}</definedName>
    <definedName name="wrn.2.2_2" hidden="1">{#N/A,#N/A,FALSE,"17MAY";#N/A,#N/A,FALSE,"24MAY"}</definedName>
    <definedName name="wrn.2.2_2_1" hidden="1">{#N/A,#N/A,FALSE,"17MAY";#N/A,#N/A,FALSE,"24MAY"}</definedName>
    <definedName name="wrn.2.2_2_2" hidden="1">{#N/A,#N/A,FALSE,"17MAY";#N/A,#N/A,FALSE,"24MAY"}</definedName>
    <definedName name="wrn.2.2_2_3" hidden="1">{#N/A,#N/A,FALSE,"17MAY";#N/A,#N/A,FALSE,"24MAY"}</definedName>
    <definedName name="wrn.2.2_2_4" hidden="1">{#N/A,#N/A,FALSE,"17MAY";#N/A,#N/A,FALSE,"24MAY"}</definedName>
    <definedName name="wrn.2.2_2_5" hidden="1">{#N/A,#N/A,FALSE,"17MAY";#N/A,#N/A,FALSE,"24MAY"}</definedName>
    <definedName name="wrn.2.2_3" hidden="1">{#N/A,#N/A,FALSE,"17MAY";#N/A,#N/A,FALSE,"24MAY"}</definedName>
    <definedName name="wrn.2.2_4" hidden="1">{#N/A,#N/A,FALSE,"17MAY";#N/A,#N/A,FALSE,"24MAY"}</definedName>
    <definedName name="wrn.2.2_5" hidden="1">{#N/A,#N/A,FALSE,"17MAY";#N/A,#N/A,FALSE,"24MAY"}</definedName>
    <definedName name="wrn.access." hidden="1">{"Access",#N/A,FALSE,"Access"}</definedName>
    <definedName name="wrn.Aging._.and._.Trend._.Analysis." hidden="1">{#N/A,#N/A,FALSE,"Aging Summary";#N/A,#N/A,FALSE,"Ratio Analysis";#N/A,#N/A,FALSE,"Test 120 Day Accts";#N/A,#N/A,FALSE,"Tickmarks"}</definedName>
    <definedName name="wrn.Aging._.and._.Trend._.Analysis._1" hidden="1">{#N/A,#N/A,FALSE,"Aging Summary";#N/A,#N/A,FALSE,"Ratio Analysis";#N/A,#N/A,FALSE,"Test 120 Day Accts";#N/A,#N/A,FALSE,"Tickmarks"}</definedName>
    <definedName name="wrn.Aging._.and._.Trend._.Analysis._2" hidden="1">{#N/A,#N/A,FALSE,"Aging Summary";#N/A,#N/A,FALSE,"Ratio Analysis";#N/A,#N/A,FALSE,"Test 120 Day Accts";#N/A,#N/A,FALSE,"Tickmarks"}</definedName>
    <definedName name="wrn.Aging._.and._.Trend._.Analysis._3" hidden="1">{#N/A,#N/A,FALSE,"Aging Summary";#N/A,#N/A,FALSE,"Ratio Analysis";#N/A,#N/A,FALSE,"Test 120 Day Accts";#N/A,#N/A,FALSE,"Tickmarks"}</definedName>
    <definedName name="wrn.Aging._.and._.Trend._.Analysis._4" hidden="1">{#N/A,#N/A,FALSE,"Aging Summary";#N/A,#N/A,FALSE,"Ratio Analysis";#N/A,#N/A,FALSE,"Test 120 Day Accts";#N/A,#N/A,FALSE,"Tickmarks"}</definedName>
    <definedName name="wrn.Aging._.and._.Trend._.Analysis._5" hidden="1">{#N/A,#N/A,FALSE,"Aging Summary";#N/A,#N/A,FALSE,"Ratio Analysis";#N/A,#N/A,FALSE,"Test 120 Day Accts";#N/A,#N/A,FALSE,"Tickmarks"}</definedName>
    <definedName name="wrn.Audit._.Prog.." hidden="1">{#N/A,#N/A,FALSE,"Sheet5";#N/A,#N/A,FALSE,"Sheet5";#N/A,#N/A,FALSE,"Sheet5"}</definedName>
    <definedName name="wrn.Brookfield._.Notes." hidden="1">{#N/A,#N/A,FALSE,"Note 2";#N/A,#N/A,FALSE,"Note 3";#N/A,#N/A,FALSE,"Note 4";#N/A,#N/A,FALSE,"Note 5";#N/A,#N/A,FALSE,"Note 6";#N/A,#N/A,FALSE,"Note 10"}</definedName>
    <definedName name="wrn.Budget._.Report." hidden="1">{#N/A,#N/A,FALSE,"Cover Page";#N/A,#N/A,FALSE,"Brookfield Consolidated";#N/A,#N/A,FALSE,"Marketable Sec.";#N/A,#N/A,FALSE,"Acct. &amp; Loans Rec.";#N/A,#N/A,FALSE,"Brookfield Homes";#N/A,#N/A,FALSE,"Carma Developers";#N/A,#N/A,FALSE,"Brookfield CP";#N/A,#N/A,FALSE,"World Financial Center Props.";#N/A,#N/A,FALSE,"Other Assets";#N/A,#N/A,FALSE,"Accounts Payable";#N/A,#N/A,FALSE,"Liabilities";#N/A,#N/A,FALSE,"Minority Interests";#N/A,#N/A,FALSE,"Conv Debs";#N/A,#N/A,FALSE,"Preferred Shares";#N/A,#N/A,FALSE,"Assumptions"}</definedName>
    <definedName name="wrn.checks." hidden="1">{"Checks",#N/A,FALSE,"Checks"}</definedName>
    <definedName name="wrn.Complete._.Model." hidden="1">{#N/A,#N/A,FALSE,"Assumptions";#N/A,#N/A,FALSE,"AcqShares";#N/A,#N/A,FALSE,"TgtShares";#N/A,#N/A,FALSE,"Acq IS";#N/A,#N/A,FALSE,"Tgt IS";#N/A,#N/A,FALSE,"PFIS";#N/A,#N/A,FALSE,"MergerAnalysis";#N/A,#N/A,FALSE,"Contribution";#N/A,#N/A,FALSE,"SumStat"}</definedName>
    <definedName name="wrn.Complete._.report." hidden="1">{"Plant Parameters",#N/A,FALSE,"Total Project Economics";"summary1",#N/A,FALSE,"Total Project Economics";"Tariffs_Unit Prices_Costs",#N/A,FALSE,"Total Project Economics";"Financials",#N/A,FALSE,"Total Project Economics"}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1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1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1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1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1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2_1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2_2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2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2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2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3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4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sumable._5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ntvar." hidden="1">{#N/A,"ContVar for 00-01",FALSE,"Contribution";#N/A,"ContVar for QI",FALSE,"Contribution";#N/A,"Contvar for Mon",FALSE,"Contribution"}</definedName>
    <definedName name="wrn.contvar._1" hidden="1">{#N/A,"ContVar for 00-01",FALSE,"Contribution";#N/A,"ContVar for QI",FALSE,"Contribution";#N/A,"Contvar for Mon",FALSE,"Contribution"}</definedName>
    <definedName name="wrn.contvar._1_1" hidden="1">{#N/A,"ContVar for 00-01",FALSE,"Contribution";#N/A,"ContVar for QI",FALSE,"Contribution";#N/A,"Contvar for Mon",FALSE,"Contribution"}</definedName>
    <definedName name="wrn.contvar._1_2" hidden="1">{#N/A,"ContVar for 00-01",FALSE,"Contribution";#N/A,"ContVar for QI",FALSE,"Contribution";#N/A,"Contvar for Mon",FALSE,"Contribution"}</definedName>
    <definedName name="wrn.contvar._1_3" hidden="1">{#N/A,"ContVar for 00-01",FALSE,"Contribution";#N/A,"ContVar for QI",FALSE,"Contribution";#N/A,"Contvar for Mon",FALSE,"Contribution"}</definedName>
    <definedName name="wrn.contvar._1_4" hidden="1">{#N/A,"ContVar for 00-01",FALSE,"Contribution";#N/A,"ContVar for QI",FALSE,"Contribution";#N/A,"Contvar for Mon",FALSE,"Contribution"}</definedName>
    <definedName name="wrn.contvar._1_5" hidden="1">{#N/A,"ContVar for 00-01",FALSE,"Contribution";#N/A,"ContVar for QI",FALSE,"Contribution";#N/A,"Contvar for Mon",FALSE,"Contribution"}</definedName>
    <definedName name="wrn.contvar._2" hidden="1">{#N/A,"ContVar for 00-01",FALSE,"Contribution";#N/A,"ContVar for QI",FALSE,"Contribution";#N/A,"Contvar for Mon",FALSE,"Contribution"}</definedName>
    <definedName name="wrn.contvar._2_1" hidden="1">{#N/A,"ContVar for 00-01",FALSE,"Contribution";#N/A,"ContVar for QI",FALSE,"Contribution";#N/A,"Contvar for Mon",FALSE,"Contribution"}</definedName>
    <definedName name="wrn.contvar._2_2" hidden="1">{#N/A,"ContVar for 00-01",FALSE,"Contribution";#N/A,"ContVar for QI",FALSE,"Contribution";#N/A,"Contvar for Mon",FALSE,"Contribution"}</definedName>
    <definedName name="wrn.contvar._2_3" hidden="1">{#N/A,"ContVar for 00-01",FALSE,"Contribution";#N/A,"ContVar for QI",FALSE,"Contribution";#N/A,"Contvar for Mon",FALSE,"Contribution"}</definedName>
    <definedName name="wrn.contvar._2_4" hidden="1">{#N/A,"ContVar for 00-01",FALSE,"Contribution";#N/A,"ContVar for QI",FALSE,"Contribution";#N/A,"Contvar for Mon",FALSE,"Contribution"}</definedName>
    <definedName name="wrn.contvar._2_5" hidden="1">{#N/A,"ContVar for 00-01",FALSE,"Contribution";#N/A,"ContVar for QI",FALSE,"Contribution";#N/A,"Contvar for Mon",FALSE,"Contribution"}</definedName>
    <definedName name="wrn.contvar._3" hidden="1">{#N/A,"ContVar for 00-01",FALSE,"Contribution";#N/A,"ContVar for QI",FALSE,"Contribution";#N/A,"Contvar for Mon",FALSE,"Contribution"}</definedName>
    <definedName name="wrn.contvar._4" hidden="1">{#N/A,"ContVar for 00-01",FALSE,"Contribution";#N/A,"ContVar for QI",FALSE,"Contribution";#N/A,"Contvar for Mon",FALSE,"Contribution"}</definedName>
    <definedName name="wrn.contvar._5" hidden="1">{#N/A,"ContVar for 00-01",FALSE,"Contribution";#N/A,"ContVar for QI",FALSE,"Contribution";#N/A,"Contvar for Mon",FALSE,"Contribution"}</definedName>
    <definedName name="wrn.DCF." hidden="1">{#N/A,#N/A,FALSE,"DCF-COM";#N/A,#N/A,FALSE,"VAC-COM"}</definedName>
    <definedName name="wrn.dg." hidden="1">{#N/A,#N/A,FALSE,"LVM JAN04";#N/A,#N/A,FALSE,"LVM CashFlow"}</definedName>
    <definedName name="wrn.dg._1" hidden="1">{#N/A,#N/A,FALSE,"LVM JAN04";#N/A,#N/A,FALSE,"LVM CashFlow"}</definedName>
    <definedName name="wrn.dg._2" hidden="1">{#N/A,#N/A,FALSE,"LVM JAN04";#N/A,#N/A,FALSE,"LVM CashFlow"}</definedName>
    <definedName name="wrn.dg._3" hidden="1">{#N/A,#N/A,FALSE,"LVM JAN04";#N/A,#N/A,FALSE,"LVM CashFlow"}</definedName>
    <definedName name="wrn.dg._4" hidden="1">{#N/A,#N/A,FALSE,"LVM JAN04";#N/A,#N/A,FALSE,"LVM CashFlow"}</definedName>
    <definedName name="wrn.dg._5" hidden="1">{#N/A,#N/A,FALSE,"LVM JAN04";#N/A,#N/A,FALSE,"LVM CashFlow"}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1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1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1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1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1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2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2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2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2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2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elect.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inance._.Meeting._.1." hidden="1">{"Index",#N/A,FALSE,"Index";"Assumptions_country",#N/A,FALSE,"Assump";"Ebit_division_direct",#N/A,FALSE,"P&amp;L";"Reserves",#N/A,FALSE,"Reserves"}</definedName>
    <definedName name="wrn.Finance._.Meeting._.2." hidden="1">{"Reconciliation",#N/A,FALSE,"Rec";"Ebit_detail",#N/A,FALSE,"P&amp;L";"Cash_summary",#N/A,FALSE,"Cash"}</definedName>
    <definedName name="wrn.Financial._.Results." hidden="1">{"Financial Results",#N/A,FALSE,"Total Project Economics"}</definedName>
    <definedName name="wrn.FS._.Notes." hidden="1">{#N/A,#N/A,FALSE,"Note 2";#N/A,#N/A,FALSE,"Note 3";#N/A,#N/A,FALSE,"Note 4";#N/A,#N/A,FALSE,"Note 5";#N/A,#N/A,FALSE,"Note 6";#N/A,#N/A,FALSE,"Note 10"}</definedName>
    <definedName name="wrn.III." hidden="1">{"CASHFLOW",#N/A,FALSE,"Northpointe"}</definedName>
    <definedName name="wrn.III1." hidden="1">{"CASHFLOW",#N/A,FALSE,"Northpointe"}</definedName>
    <definedName name="wrn.IIII" hidden="1">{"CASHFLOW",#N/A,FALSE,"Northpointe"}</definedName>
    <definedName name="wrn.Ilijan._.Print." hidden="1">{#N/A,#N/A,TRUE,"CoverLetter";#N/A,#N/A,TRUE,"Scope";#N/A,#N/A,TRUE,"Table of Contents";#N/A,#N/A,TRUE,"Summary";#N/A,#N/A,TRUE,"Assumptions";#N/A,#N/A,TRUE,"OrgChart";#N/A,#N/A,TRUE,"Schedule";#N/A,#N/A,TRUE,"Mob";#N/A,#N/A,TRUE,"Spares";#N/A,#N/A,TRUE,"MobStaff";#N/A,#N/A,TRUE,"Training";#N/A,#N/A,TRUE,"MobBackup";#N/A,#N/A,TRUE,"ComOps";#N/A,#N/A,TRUE,"Staff_Yrs1,3";#N/A,#N/A,TRUE,"Staff_Yrs4,5";#N/A,#N/A,TRUE,"Staff_Yrs6+";#N/A,#N/A,TRUE,"ExpatBenefits";#N/A,#N/A,TRUE,"ContractStaff";#N/A,#N/A,TRUE,"CommOpnsBackup";#N/A,#N/A,TRUE,"MR";#N/A,#N/A,TRUE,"CTG L&amp;E";#N/A,#N/A,TRUE,"STG L&amp;E";#N/A,#N/A,TRUE,"Rotation";#N/A,#N/A,TRUE,"AvailModl";#N/A,#N/A,TRUE,"Data";#N/A,#N/A,TRUE,"Comparisons";#N/A,#N/A,TRUE,"ScopeSplit"}</definedName>
    <definedName name="wrn.irving._.report." hidden="1">{#N/A,#N/A,FALSE,"Summary";#N/A,#N/A,FALSE,"Total Project Economics"}</definedName>
    <definedName name="wrn.jp." hidden="1">{#N/A,#N/A,FALSE,"LVM JAN04";#N/A,#N/A,FALSE,"LVM CashFlow"}</definedName>
    <definedName name="wrn.jp._1" hidden="1">{#N/A,#N/A,FALSE,"LVM JAN04";#N/A,#N/A,FALSE,"LVM CashFlow"}</definedName>
    <definedName name="wrn.jp._2" hidden="1">{#N/A,#N/A,FALSE,"LVM JAN04";#N/A,#N/A,FALSE,"LVM CashFlow"}</definedName>
    <definedName name="wrn.jp._3" hidden="1">{#N/A,#N/A,FALSE,"LVM JAN04";#N/A,#N/A,FALSE,"LVM CashFlow"}</definedName>
    <definedName name="wrn.jp._4" hidden="1">{#N/A,#N/A,FALSE,"LVM JAN04";#N/A,#N/A,FALSE,"LVM CashFlow"}</definedName>
    <definedName name="wrn.jp._5" hidden="1">{#N/A,#N/A,FALSE,"LVM JAN04";#N/A,#N/A,FALSE,"LVM CashFlow"}</definedName>
    <definedName name="wrn.misc." hidden="1">{#N/A,#N/A,FALSE,"Sheet10"}</definedName>
    <definedName name="wrn.O._.and._.M._.and._.Fuel." hidden="1">{"Fuel",#N/A,FALSE,"O and M and Fuel Incremental";"O and M",#N/A,FALSE,"O and M and Fuel Incremental"}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rint." hidden="1">{"Print Area",#N/A,FALSE,"Title Page";"Summary",#N/A,FALSE,"Total Project Economics";"Unit prices and costs p1",#N/A,FALSE,"Total Project Economics";"Unit prices and Costs p2",#N/A,FALSE,"Total Project Economics";"Op Income p 1",#N/A,FALSE,"Total Project Economics";"Op Incoem p 2",#N/A,FALSE,"Total Project Economics";"Income stat p 1",#N/A,FALSE,"Total Project Economics";"Incoem stat p 2",#N/A,FALSE,"Total Project Economics";"Equity CF p 1",#N/A,FALSE,"Total Project Economics";"Equity CF p 2",#N/A,FALSE,"Total Project Economics";"B Sheet p 1",#N/A,FALSE,"Total Project Economics";"B Sheet p 2",#N/A,FALSE,"Total Project Economics";"Cash Taxes p 1",#N/A,FALSE,"Total Project Economics";"Cash Taxes p 2",#N/A,FALSE,"Total Project Economics";"Unlevered CF p 1",#N/A,FALSE,"Total Project Economics";"Unlevered CF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All." hidden="1">{"Title",#N/A,FALSE,"Title";"Page 1",#N/A,FALSE,"Summary";"page 2",#N/A,FALSE,"Summary";"Statements",#N/A,FALSE,"Total Project Economics"}</definedName>
    <definedName name="wrn.Print._.Econ." hidden="1">{"One",#N/A,FALSE,"Summary ";"Two",#N/A,FALSE,"Summary ";"Monthly Outputs",#N/A,FALSE,"Total Project Economics";"Outputs p 1",#N/A,FALSE,"Total Project Economics";"Outputs p 2",#N/A,FALSE,"Total Project Economics";"Pricing P 1",#N/A,FALSE,"Total Project Economics";"Pricing p 2",#N/A,FALSE,"Total Project Economics";"Costs p 1",#N/A,FALSE,"Total Project Economics";"Costs p 2",#N/A,FALSE,"Total Project Economics";"Op Income p 1",#N/A,FALSE,"Total Project Economics";"Op Income p 2",#N/A,FALSE,"Total Project Economics";"Income p 1",#N/A,FALSE,"Total Project Economics";"Income p 2",#N/A,FALSE,"Total Project Economics";"B Sheet p 1",#N/A,FALSE,"Total Project Economics";"B Sheet p 2",#N/A,FALSE,"Total Project Economics";"Cash Taxes p 1",#N/A,FALSE,"Total Project Economics";"Cash Taxes p 2",#N/A,FALSE,"Total Project Economics";"Unlevered p 1",#N/A,FALSE,"Total Project Economics";"Unlevered p 2",#N/A,FALSE,"Total Project Economics";"Unlevered Taxes p 1",#N/A,FALSE,"Total Project Economics";"Unlevered Taxes p 2",#N/A,FALSE,"Total Project Economics";"Fin Ind p 1",#N/A,FALSE,"Total Project Economics";"Fin Ind p 2",#N/A,FALSE,"Total Project Economics"}</definedName>
    <definedName name="wrn.Print._.Economics." hidden="1">{"Print Area",#N/A,FALSE,"Summary";"Plant Outputs",#N/A,FALSE,"Total Project Economics";"Unit Prices Page 1",#N/A,FALSE,"Total Project Economics";"Unit Prices Page 2",#N/A,FALSE,"Total Project Economics";"Op Income PAge 1",#N/A,FALSE,"Total Project Economics";"Op Income Page 2",#N/A,FALSE,"Total Project Economics";"Income Statement PAge 1",#N/A,FALSE,"Total Project Economics";"Income Statement Page 2",#N/A,FALSE,"Total Project Economics";"Equity Cash Flow Page 1",#N/A,FALSE,"Total Project Economics";"Equity Cash Flow Page 2",#N/A,FALSE,"Total Project Economics";"B Sheet Page 1",#N/A,FALSE,"Total Project Economics";"B Sheet Page 2",#N/A,FALSE,"Total Project Economics";"Taxes Page 1",#N/A,FALSE,"Total Project Economics";"Taxes Page 2",#N/A,FALSE,"Total Project Economics";"Unlevered Cal page 1",#N/A,FALSE,"Total Project Economics";"Unlevered Calc page 2",#N/A,FALSE,"Total Project Economics"}</definedName>
    <definedName name="wrn.Print._.Summary." hidden="1">{"One",#N/A,FALSE,"Summary ";"Two",#N/A,FALSE,"Summary "}</definedName>
    <definedName name="wrn.print._.tenaska." hidden="1">{"Summary",#N/A,FALSE,"Total Project Economics";"Stmts",#N/A,FALSE,"Total Project Economics";#N/A,#N/A,FALSE,"WA Fwd Curve";#N/A,#N/A,FALSE,"O&amp;M, Fuel"}</definedName>
    <definedName name="wrn.Profit_and_Loss." hidden="1">{"Profit_Summary",#N/A,FALSE,"Monthly";"Profit_P2",#N/A,FALSE,"Monthly";"Profit_P3",#N/A,FALSE,"Monthly";"Profit_P4",#N/A,FALSE,"Monthly";"Profit_P5",#N/A,FALSE,"Monthly";"Profit_P6",#N/A,FALSE,"Monthly";"Profit_P7",#N/A,FALSE,"Monthly";"Profit_P8",#N/A,FALSE,"Monthly";"Profit_P9",#N/A,FALSE,"Monthly";"Profit_P10",#N/A,FALSE,"Monthly";"Profit_P11",#N/A,FALSE,"Monthly";"Profit_P12",#N/A,FALSE,"Monthly";"Profit_P13",#N/A,FALSE,"Monthly";"Profit_P14",#N/A,FALSE,"Monthly";"pROFIT_p15",#N/A,FALSE,"Monthly"}</definedName>
    <definedName name="wrn.Projects._.1." hidden="1">{"Project_details",#N/A,FALSE,"Projects";"Project_checks",#N/A,FALSE,"Projects";"Project_completion",#N/A,FALSE,"Projects"}</definedName>
    <definedName name="wrn.Projects._.2." hidden="1">{"Project_profit",#N/A,FALSE,"Projects";"Project_reserves",#N/A,FALSE,"Project Reserves"}</definedName>
    <definedName name="wrn.Rapport." hidden="1">{#N/A,#N/A,FALSE,"SHEET1";#N/A,#N/A,FALSE,"SHEET2";#N/A,#N/A,FALSE,"SHEET3";#N/A,#N/A,FALSE,"SHEET4"}</definedName>
    <definedName name="wrn.RCC.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1_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1_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1_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1_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1_5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2_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2_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2_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2_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2_5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_5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hidden="1">{#N/A,#N/A,FALSE,"COVER.XLS";#N/A,#N/A,FALSE,"RACT1.XLS";#N/A,#N/A,FALSE,"RACT2.XLS";#N/A,#N/A,FALSE,"ECCMP";#N/A,#N/A,FALSE,"WELDER.XLS"}</definedName>
    <definedName name="wrn.report._1" hidden="1">{#N/A,#N/A,FALSE,"COVER.XLS";#N/A,#N/A,FALSE,"RACT1.XLS";#N/A,#N/A,FALSE,"RACT2.XLS";#N/A,#N/A,FALSE,"ECCMP";#N/A,#N/A,FALSE,"WELDER.XLS"}</definedName>
    <definedName name="wrn.report._1_1" hidden="1">{#N/A,#N/A,FALSE,"COVER.XLS";#N/A,#N/A,FALSE,"RACT1.XLS";#N/A,#N/A,FALSE,"RACT2.XLS";#N/A,#N/A,FALSE,"ECCMP";#N/A,#N/A,FALSE,"WELDER.XLS"}</definedName>
    <definedName name="wrn.report._1_2" hidden="1">{#N/A,#N/A,FALSE,"COVER.XLS";#N/A,#N/A,FALSE,"RACT1.XLS";#N/A,#N/A,FALSE,"RACT2.XLS";#N/A,#N/A,FALSE,"ECCMP";#N/A,#N/A,FALSE,"WELDER.XLS"}</definedName>
    <definedName name="wrn.report._1_3" hidden="1">{#N/A,#N/A,FALSE,"COVER.XLS";#N/A,#N/A,FALSE,"RACT1.XLS";#N/A,#N/A,FALSE,"RACT2.XLS";#N/A,#N/A,FALSE,"ECCMP";#N/A,#N/A,FALSE,"WELDER.XLS"}</definedName>
    <definedName name="wrn.report._1_4" hidden="1">{#N/A,#N/A,FALSE,"COVER.XLS";#N/A,#N/A,FALSE,"RACT1.XLS";#N/A,#N/A,FALSE,"RACT2.XLS";#N/A,#N/A,FALSE,"ECCMP";#N/A,#N/A,FALSE,"WELDER.XLS"}</definedName>
    <definedName name="wrn.report._1_5" hidden="1">{#N/A,#N/A,FALSE,"COVER.XLS";#N/A,#N/A,FALSE,"RACT1.XLS";#N/A,#N/A,FALSE,"RACT2.XLS";#N/A,#N/A,FALSE,"ECCMP";#N/A,#N/A,FALSE,"WELDER.XLS"}</definedName>
    <definedName name="wrn.report._2" hidden="1">{#N/A,#N/A,FALSE,"COVER.XLS";#N/A,#N/A,FALSE,"RACT1.XLS";#N/A,#N/A,FALSE,"RACT2.XLS";#N/A,#N/A,FALSE,"ECCMP";#N/A,#N/A,FALSE,"WELDER.XLS"}</definedName>
    <definedName name="wrn.report._2_1" hidden="1">{#N/A,#N/A,FALSE,"COVER.XLS";#N/A,#N/A,FALSE,"RACT1.XLS";#N/A,#N/A,FALSE,"RACT2.XLS";#N/A,#N/A,FALSE,"ECCMP";#N/A,#N/A,FALSE,"WELDER.XLS"}</definedName>
    <definedName name="wrn.report._2_2" hidden="1">{#N/A,#N/A,FALSE,"COVER.XLS";#N/A,#N/A,FALSE,"RACT1.XLS";#N/A,#N/A,FALSE,"RACT2.XLS";#N/A,#N/A,FALSE,"ECCMP";#N/A,#N/A,FALSE,"WELDER.XLS"}</definedName>
    <definedName name="wrn.report._2_3" hidden="1">{#N/A,#N/A,FALSE,"COVER.XLS";#N/A,#N/A,FALSE,"RACT1.XLS";#N/A,#N/A,FALSE,"RACT2.XLS";#N/A,#N/A,FALSE,"ECCMP";#N/A,#N/A,FALSE,"WELDER.XLS"}</definedName>
    <definedName name="wrn.report._2_4" hidden="1">{#N/A,#N/A,FALSE,"COVER.XLS";#N/A,#N/A,FALSE,"RACT1.XLS";#N/A,#N/A,FALSE,"RACT2.XLS";#N/A,#N/A,FALSE,"ECCMP";#N/A,#N/A,FALSE,"WELDER.XLS"}</definedName>
    <definedName name="wrn.report._2_5" hidden="1">{#N/A,#N/A,FALSE,"COVER.XLS";#N/A,#N/A,FALSE,"RACT1.XLS";#N/A,#N/A,FALSE,"RACT2.XLS";#N/A,#N/A,FALSE,"ECCMP";#N/A,#N/A,FALSE,"WELDER.XLS"}</definedName>
    <definedName name="wrn.report._3" hidden="1">{#N/A,#N/A,FALSE,"COVER.XLS";#N/A,#N/A,FALSE,"RACT1.XLS";#N/A,#N/A,FALSE,"RACT2.XLS";#N/A,#N/A,FALSE,"ECCMP";#N/A,#N/A,FALSE,"WELDER.XLS"}</definedName>
    <definedName name="wrn.report._4" hidden="1">{#N/A,#N/A,FALSE,"COVER.XLS";#N/A,#N/A,FALSE,"RACT1.XLS";#N/A,#N/A,FALSE,"RACT2.XLS";#N/A,#N/A,FALSE,"ECCMP";#N/A,#N/A,FALSE,"WELDER.XLS"}</definedName>
    <definedName name="wrn.report._5" hidden="1">{#N/A,#N/A,FALSE,"COVER.XLS";#N/A,#N/A,FALSE,"RACT1.XLS";#N/A,#N/A,FALSE,"RACT2.XLS";#N/A,#N/A,FALSE,"ECCMP";#N/A,#N/A,FALSE,"WELDER.XLS"}</definedName>
    <definedName name="wrn.report1" hidden="1">{#N/A,#N/A,FALSE,"COVER.XLS";#N/A,#N/A,FALSE,"RACT1.XLS";#N/A,#N/A,FALSE,"RACT2.XLS";#N/A,#N/A,FALSE,"ECCMP";#N/A,#N/A,FALSE,"WELDER.XLS"}</definedName>
    <definedName name="wrn.report1_1" hidden="1">{#N/A,#N/A,FALSE,"COVER.XLS";#N/A,#N/A,FALSE,"RACT1.XLS";#N/A,#N/A,FALSE,"RACT2.XLS";#N/A,#N/A,FALSE,"ECCMP";#N/A,#N/A,FALSE,"WELDER.XLS"}</definedName>
    <definedName name="wrn.report1_1_1" hidden="1">{#N/A,#N/A,FALSE,"COVER.XLS";#N/A,#N/A,FALSE,"RACT1.XLS";#N/A,#N/A,FALSE,"RACT2.XLS";#N/A,#N/A,FALSE,"ECCMP";#N/A,#N/A,FALSE,"WELDER.XLS"}</definedName>
    <definedName name="wrn.report1_1_2" hidden="1">{#N/A,#N/A,FALSE,"COVER.XLS";#N/A,#N/A,FALSE,"RACT1.XLS";#N/A,#N/A,FALSE,"RACT2.XLS";#N/A,#N/A,FALSE,"ECCMP";#N/A,#N/A,FALSE,"WELDER.XLS"}</definedName>
    <definedName name="wrn.report1_1_3" hidden="1">{#N/A,#N/A,FALSE,"COVER.XLS";#N/A,#N/A,FALSE,"RACT1.XLS";#N/A,#N/A,FALSE,"RACT2.XLS";#N/A,#N/A,FALSE,"ECCMP";#N/A,#N/A,FALSE,"WELDER.XLS"}</definedName>
    <definedName name="wrn.report1_1_4" hidden="1">{#N/A,#N/A,FALSE,"COVER.XLS";#N/A,#N/A,FALSE,"RACT1.XLS";#N/A,#N/A,FALSE,"RACT2.XLS";#N/A,#N/A,FALSE,"ECCMP";#N/A,#N/A,FALSE,"WELDER.XLS"}</definedName>
    <definedName name="wrn.report1_1_5" hidden="1">{#N/A,#N/A,FALSE,"COVER.XLS";#N/A,#N/A,FALSE,"RACT1.XLS";#N/A,#N/A,FALSE,"RACT2.XLS";#N/A,#N/A,FALSE,"ECCMP";#N/A,#N/A,FALSE,"WELDER.XLS"}</definedName>
    <definedName name="wrn.report1_2" hidden="1">{#N/A,#N/A,FALSE,"COVER.XLS";#N/A,#N/A,FALSE,"RACT1.XLS";#N/A,#N/A,FALSE,"RACT2.XLS";#N/A,#N/A,FALSE,"ECCMP";#N/A,#N/A,FALSE,"WELDER.XLS"}</definedName>
    <definedName name="wrn.report1_2_1" hidden="1">{#N/A,#N/A,FALSE,"COVER.XLS";#N/A,#N/A,FALSE,"RACT1.XLS";#N/A,#N/A,FALSE,"RACT2.XLS";#N/A,#N/A,FALSE,"ECCMP";#N/A,#N/A,FALSE,"WELDER.XLS"}</definedName>
    <definedName name="wrn.report1_2_2" hidden="1">{#N/A,#N/A,FALSE,"COVER.XLS";#N/A,#N/A,FALSE,"RACT1.XLS";#N/A,#N/A,FALSE,"RACT2.XLS";#N/A,#N/A,FALSE,"ECCMP";#N/A,#N/A,FALSE,"WELDER.XLS"}</definedName>
    <definedName name="wrn.report1_2_3" hidden="1">{#N/A,#N/A,FALSE,"COVER.XLS";#N/A,#N/A,FALSE,"RACT1.XLS";#N/A,#N/A,FALSE,"RACT2.XLS";#N/A,#N/A,FALSE,"ECCMP";#N/A,#N/A,FALSE,"WELDER.XLS"}</definedName>
    <definedName name="wrn.report1_2_4" hidden="1">{#N/A,#N/A,FALSE,"COVER.XLS";#N/A,#N/A,FALSE,"RACT1.XLS";#N/A,#N/A,FALSE,"RACT2.XLS";#N/A,#N/A,FALSE,"ECCMP";#N/A,#N/A,FALSE,"WELDER.XLS"}</definedName>
    <definedName name="wrn.report1_2_5" hidden="1">{#N/A,#N/A,FALSE,"COVER.XLS";#N/A,#N/A,FALSE,"RACT1.XLS";#N/A,#N/A,FALSE,"RACT2.XLS";#N/A,#N/A,FALSE,"ECCMP";#N/A,#N/A,FALSE,"WELDER.XLS"}</definedName>
    <definedName name="wrn.report1_3" hidden="1">{#N/A,#N/A,FALSE,"COVER.XLS";#N/A,#N/A,FALSE,"RACT1.XLS";#N/A,#N/A,FALSE,"RACT2.XLS";#N/A,#N/A,FALSE,"ECCMP";#N/A,#N/A,FALSE,"WELDER.XLS"}</definedName>
    <definedName name="wrn.report1_4" hidden="1">{#N/A,#N/A,FALSE,"COVER.XLS";#N/A,#N/A,FALSE,"RACT1.XLS";#N/A,#N/A,FALSE,"RACT2.XLS";#N/A,#N/A,FALSE,"ECCMP";#N/A,#N/A,FALSE,"WELDER.XLS"}</definedName>
    <definedName name="wrn.report1_5" hidden="1">{#N/A,#N/A,FALSE,"COVER.XLS";#N/A,#N/A,FALSE,"RACT1.XLS";#N/A,#N/A,FALSE,"RACT2.XLS";#N/A,#N/A,FALSE,"ECCMP";#N/A,#N/A,FALSE,"WELDER.XLS"}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1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1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1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1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1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2_1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2_2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2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2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2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3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_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1" hidden="1">{#N/A,#N/A,FALSE,"COVER1.XLS ";#N/A,#N/A,FALSE,"RACT1.XLS";#N/A,#N/A,FALSE,"RACT2.XLS";#N/A,#N/A,FALSE,"ECCMP";#N/A,#N/A,FALSE,"WELDER.XLS"}</definedName>
    <definedName name="wrn.summ1_1" hidden="1">{#N/A,#N/A,FALSE,"COVER1.XLS ";#N/A,#N/A,FALSE,"RACT1.XLS";#N/A,#N/A,FALSE,"RACT2.XLS";#N/A,#N/A,FALSE,"ECCMP";#N/A,#N/A,FALSE,"WELDER.XLS"}</definedName>
    <definedName name="wrn.summ1_1_1" hidden="1">{#N/A,#N/A,FALSE,"COVER1.XLS ";#N/A,#N/A,FALSE,"RACT1.XLS";#N/A,#N/A,FALSE,"RACT2.XLS";#N/A,#N/A,FALSE,"ECCMP";#N/A,#N/A,FALSE,"WELDER.XLS"}</definedName>
    <definedName name="wrn.summ1_1_2" hidden="1">{#N/A,#N/A,FALSE,"COVER1.XLS ";#N/A,#N/A,FALSE,"RACT1.XLS";#N/A,#N/A,FALSE,"RACT2.XLS";#N/A,#N/A,FALSE,"ECCMP";#N/A,#N/A,FALSE,"WELDER.XLS"}</definedName>
    <definedName name="wrn.summ1_1_3" hidden="1">{#N/A,#N/A,FALSE,"COVER1.XLS ";#N/A,#N/A,FALSE,"RACT1.XLS";#N/A,#N/A,FALSE,"RACT2.XLS";#N/A,#N/A,FALSE,"ECCMP";#N/A,#N/A,FALSE,"WELDER.XLS"}</definedName>
    <definedName name="wrn.summ1_1_4" hidden="1">{#N/A,#N/A,FALSE,"COVER1.XLS ";#N/A,#N/A,FALSE,"RACT1.XLS";#N/A,#N/A,FALSE,"RACT2.XLS";#N/A,#N/A,FALSE,"ECCMP";#N/A,#N/A,FALSE,"WELDER.XLS"}</definedName>
    <definedName name="wrn.summ1_1_5" hidden="1">{#N/A,#N/A,FALSE,"COVER1.XLS ";#N/A,#N/A,FALSE,"RACT1.XLS";#N/A,#N/A,FALSE,"RACT2.XLS";#N/A,#N/A,FALSE,"ECCMP";#N/A,#N/A,FALSE,"WELDER.XLS"}</definedName>
    <definedName name="wrn.summ1_2" hidden="1">{#N/A,#N/A,FALSE,"COVER1.XLS ";#N/A,#N/A,FALSE,"RACT1.XLS";#N/A,#N/A,FALSE,"RACT2.XLS";#N/A,#N/A,FALSE,"ECCMP";#N/A,#N/A,FALSE,"WELDER.XLS"}</definedName>
    <definedName name="wrn.summ1_2_1" hidden="1">{#N/A,#N/A,FALSE,"COVER1.XLS ";#N/A,#N/A,FALSE,"RACT1.XLS";#N/A,#N/A,FALSE,"RACT2.XLS";#N/A,#N/A,FALSE,"ECCMP";#N/A,#N/A,FALSE,"WELDER.XLS"}</definedName>
    <definedName name="wrn.summ1_2_2" hidden="1">{#N/A,#N/A,FALSE,"COVER1.XLS ";#N/A,#N/A,FALSE,"RACT1.XLS";#N/A,#N/A,FALSE,"RACT2.XLS";#N/A,#N/A,FALSE,"ECCMP";#N/A,#N/A,FALSE,"WELDER.XLS"}</definedName>
    <definedName name="wrn.summ1_2_3" hidden="1">{#N/A,#N/A,FALSE,"COVER1.XLS ";#N/A,#N/A,FALSE,"RACT1.XLS";#N/A,#N/A,FALSE,"RACT2.XLS";#N/A,#N/A,FALSE,"ECCMP";#N/A,#N/A,FALSE,"WELDER.XLS"}</definedName>
    <definedName name="wrn.summ1_2_4" hidden="1">{#N/A,#N/A,FALSE,"COVER1.XLS ";#N/A,#N/A,FALSE,"RACT1.XLS";#N/A,#N/A,FALSE,"RACT2.XLS";#N/A,#N/A,FALSE,"ECCMP";#N/A,#N/A,FALSE,"WELDER.XLS"}</definedName>
    <definedName name="wrn.summ1_2_5" hidden="1">{#N/A,#N/A,FALSE,"COVER1.XLS ";#N/A,#N/A,FALSE,"RACT1.XLS";#N/A,#N/A,FALSE,"RACT2.XLS";#N/A,#N/A,FALSE,"ECCMP";#N/A,#N/A,FALSE,"WELDER.XLS"}</definedName>
    <definedName name="wrn.summ1_3" hidden="1">{#N/A,#N/A,FALSE,"COVER1.XLS ";#N/A,#N/A,FALSE,"RACT1.XLS";#N/A,#N/A,FALSE,"RACT2.XLS";#N/A,#N/A,FALSE,"ECCMP";#N/A,#N/A,FALSE,"WELDER.XLS"}</definedName>
    <definedName name="wrn.summ1_4" hidden="1">{#N/A,#N/A,FALSE,"COVER1.XLS ";#N/A,#N/A,FALSE,"RACT1.XLS";#N/A,#N/A,FALSE,"RACT2.XLS";#N/A,#N/A,FALSE,"ECCMP";#N/A,#N/A,FALSE,"WELDER.XLS"}</definedName>
    <definedName name="wrn.summ1_5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summary._1" hidden="1">{#N/A,#N/A,FALSE,"COVER1.XLS ";#N/A,#N/A,FALSE,"RACT1.XLS";#N/A,#N/A,FALSE,"RACT2.XLS";#N/A,#N/A,FALSE,"ECCMP";#N/A,#N/A,FALSE,"WELDER.XLS"}</definedName>
    <definedName name="wrn.summary._1_1" hidden="1">{#N/A,#N/A,FALSE,"COVER1.XLS ";#N/A,#N/A,FALSE,"RACT1.XLS";#N/A,#N/A,FALSE,"RACT2.XLS";#N/A,#N/A,FALSE,"ECCMP";#N/A,#N/A,FALSE,"WELDER.XLS"}</definedName>
    <definedName name="wrn.summary._1_2" hidden="1">{#N/A,#N/A,FALSE,"COVER1.XLS ";#N/A,#N/A,FALSE,"RACT1.XLS";#N/A,#N/A,FALSE,"RACT2.XLS";#N/A,#N/A,FALSE,"ECCMP";#N/A,#N/A,FALSE,"WELDER.XLS"}</definedName>
    <definedName name="wrn.summary._1_3" hidden="1">{#N/A,#N/A,FALSE,"COVER1.XLS ";#N/A,#N/A,FALSE,"RACT1.XLS";#N/A,#N/A,FALSE,"RACT2.XLS";#N/A,#N/A,FALSE,"ECCMP";#N/A,#N/A,FALSE,"WELDER.XLS"}</definedName>
    <definedName name="wrn.summary._1_4" hidden="1">{#N/A,#N/A,FALSE,"COVER1.XLS ";#N/A,#N/A,FALSE,"RACT1.XLS";#N/A,#N/A,FALSE,"RACT2.XLS";#N/A,#N/A,FALSE,"ECCMP";#N/A,#N/A,FALSE,"WELDER.XLS"}</definedName>
    <definedName name="wrn.summary._1_5" hidden="1">{#N/A,#N/A,FALSE,"COVER1.XLS ";#N/A,#N/A,FALSE,"RACT1.XLS";#N/A,#N/A,FALSE,"RACT2.XLS";#N/A,#N/A,FALSE,"ECCMP";#N/A,#N/A,FALSE,"WELDER.XLS"}</definedName>
    <definedName name="wrn.summary._2" hidden="1">{#N/A,#N/A,FALSE,"COVER1.XLS ";#N/A,#N/A,FALSE,"RACT1.XLS";#N/A,#N/A,FALSE,"RACT2.XLS";#N/A,#N/A,FALSE,"ECCMP";#N/A,#N/A,FALSE,"WELDER.XLS"}</definedName>
    <definedName name="wrn.summary._2_1" hidden="1">{#N/A,#N/A,FALSE,"COVER1.XLS ";#N/A,#N/A,FALSE,"RACT1.XLS";#N/A,#N/A,FALSE,"RACT2.XLS";#N/A,#N/A,FALSE,"ECCMP";#N/A,#N/A,FALSE,"WELDER.XLS"}</definedName>
    <definedName name="wrn.summary._2_2" hidden="1">{#N/A,#N/A,FALSE,"COVER1.XLS ";#N/A,#N/A,FALSE,"RACT1.XLS";#N/A,#N/A,FALSE,"RACT2.XLS";#N/A,#N/A,FALSE,"ECCMP";#N/A,#N/A,FALSE,"WELDER.XLS"}</definedName>
    <definedName name="wrn.summary._2_3" hidden="1">{#N/A,#N/A,FALSE,"COVER1.XLS ";#N/A,#N/A,FALSE,"RACT1.XLS";#N/A,#N/A,FALSE,"RACT2.XLS";#N/A,#N/A,FALSE,"ECCMP";#N/A,#N/A,FALSE,"WELDER.XLS"}</definedName>
    <definedName name="wrn.summary._2_4" hidden="1">{#N/A,#N/A,FALSE,"COVER1.XLS ";#N/A,#N/A,FALSE,"RACT1.XLS";#N/A,#N/A,FALSE,"RACT2.XLS";#N/A,#N/A,FALSE,"ECCMP";#N/A,#N/A,FALSE,"WELDER.XLS"}</definedName>
    <definedName name="wrn.summary._2_5" hidden="1">{#N/A,#N/A,FALSE,"COVER1.XLS ";#N/A,#N/A,FALSE,"RACT1.XLS";#N/A,#N/A,FALSE,"RACT2.XLS";#N/A,#N/A,FALSE,"ECCMP";#N/A,#N/A,FALSE,"WELDER.XLS"}</definedName>
    <definedName name="wrn.summary._3" hidden="1">{#N/A,#N/A,FALSE,"COVER1.XLS ";#N/A,#N/A,FALSE,"RACT1.XLS";#N/A,#N/A,FALSE,"RACT2.XLS";#N/A,#N/A,FALSE,"ECCMP";#N/A,#N/A,FALSE,"WELDER.XLS"}</definedName>
    <definedName name="wrn.summary._4" hidden="1">{#N/A,#N/A,FALSE,"COVER1.XLS ";#N/A,#N/A,FALSE,"RACT1.XLS";#N/A,#N/A,FALSE,"RACT2.XLS";#N/A,#N/A,FALSE,"ECCMP";#N/A,#N/A,FALSE,"WELDER.XLS"}</definedName>
    <definedName name="wrn.summary._5" hidden="1">{#N/A,#N/A,FALSE,"COVER1.XLS ";#N/A,#N/A,FALSE,"RACT1.XLS";#N/A,#N/A,FALSE,"RACT2.XLS";#N/A,#N/A,FALSE,"ECCMP";#N/A,#N/A,FALSE,"WELDER.XLS"}</definedName>
    <definedName name="wrn.summary_Parameters_tariffs." hidden="1">{"summary1",#N/A,FALSE,"Total Project Economics";"Plant Parameters",#N/A,FALSE,"Total Project Economics";"Tariffs_Unit Prices_Costs",#N/A,FALSE,"Total Project Economics"}</definedName>
    <definedName name="wrn.to._.print._.corp._.overhead._.report." hidden="1">{"corp profit summary",#N/A,TRUE,"CORPOPS";"corp - profit detailed",#N/A,TRUE,"CORPOPS";"Corp - Overhead detail",#N/A,TRUE,"CORPOPS";"int other - profit summary",#N/A,TRUE,"Internat - Other";"int other - profit detail",#N/A,TRUE,"Internat - Other";"int other - overhead detail",#N/A,TRUE,"Internat - Other";"Malaysia - profit summary",#N/A,TRUE,"Internat - Asia";"Malaysia - profit detailed",#N/A,TRUE,"Internat - Asia";"Malaysia - Overhead detail",#N/A,TRUE,"Internat - Asia"}</definedName>
    <definedName name="wrn.UKOPEX." hidden="1">{"UKOPEX",#N/A,FALSE,"Summary"}</definedName>
    <definedName name="wrn.UKOPEX._1" hidden="1">{"UKOPEX",#N/A,FALSE,"Summary"}</definedName>
    <definedName name="wrn.UKOPEX._2" hidden="1">{"UKOPEX",#N/A,FALSE,"Summary"}</definedName>
    <definedName name="wrn.UKOPEX._3" hidden="1">{"UKOPEX",#N/A,FALSE,"Summary"}</definedName>
    <definedName name="wrn.UKOPEX._4" hidden="1">{"UKOPEX",#N/A,FALSE,"Summary"}</definedName>
    <definedName name="wrn.UKOPEX._5" hidden="1">{"UKOPEX",#N/A,FALSE,"Summary"}</definedName>
    <definedName name="wrn.Variance._.1." hidden="1">{"Ebit_Variance",#N/A,FALSE,"P&amp;L";"Cash_Variance",#N/A,FALSE,"Cash"}</definedName>
    <definedName name="wrn.Variance._.2." hidden="1">{"Reserves_Variance",#N/A,FALSE,"Reserves";"Scm_Variance",#N/A,FALSE,"SCM";"tax_variance",#N/A,FALSE,"Tax"}</definedName>
    <definedName name="wrn.VARIANCE._.ANALYSIS." hidden="1">{#N/A,#N/A,FALSE," VAR ANA FULL YR summ";#N/A,#N/A,FALSE,"YTD VAR";#N/A,#N/A,FALSE,"Var last mth to curr mth"}</definedName>
    <definedName name="wrn.Working._.Papers._.1." hidden="1">{"Assumptions_other",#N/A,FALSE,"Assump";"Ebit_division_indirect",#N/A,FALSE,"P&amp;L";"Ebit_indirect_allocation",#N/A,FALSE,"P&amp;L"}</definedName>
    <definedName name="wrn.Working._.Papers._.2." hidden="1">{"Cash_detail",#N/A,FALSE,"Cash";"Cash_reconciliation",#N/A,FALSE,"Cash";"Scm",#N/A,FALSE,"SCM";"Tax",#N/A,FALSE,"Tax"}</definedName>
    <definedName name="wrn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1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1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1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1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1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2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2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2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2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2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0" hidden="1">{#N/A,#N/A,FALSE,"COVER1.XLS ";#N/A,#N/A,FALSE,"RACT1.XLS";#N/A,#N/A,FALSE,"RACT2.XLS";#N/A,#N/A,FALSE,"ECCMP";#N/A,#N/A,FALSE,"WELDER.XLS"}</definedName>
    <definedName name="WRN0_1" hidden="1">{#N/A,#N/A,FALSE,"COVER1.XLS ";#N/A,#N/A,FALSE,"RACT1.XLS";#N/A,#N/A,FALSE,"RACT2.XLS";#N/A,#N/A,FALSE,"ECCMP";#N/A,#N/A,FALSE,"WELDER.XLS"}</definedName>
    <definedName name="WRN0_2" hidden="1">{#N/A,#N/A,FALSE,"COVER1.XLS ";#N/A,#N/A,FALSE,"RACT1.XLS";#N/A,#N/A,FALSE,"RACT2.XLS";#N/A,#N/A,FALSE,"ECCMP";#N/A,#N/A,FALSE,"WELDER.XLS"}</definedName>
    <definedName name="WRN0_3" hidden="1">{#N/A,#N/A,FALSE,"COVER1.XLS ";#N/A,#N/A,FALSE,"RACT1.XLS";#N/A,#N/A,FALSE,"RACT2.XLS";#N/A,#N/A,FALSE,"ECCMP";#N/A,#N/A,FALSE,"WELDER.XLS"}</definedName>
    <definedName name="WRN0_4" hidden="1">{#N/A,#N/A,FALSE,"COVER1.XLS ";#N/A,#N/A,FALSE,"RACT1.XLS";#N/A,#N/A,FALSE,"RACT2.XLS";#N/A,#N/A,FALSE,"ECCMP";#N/A,#N/A,FALSE,"WELDER.XLS"}</definedName>
    <definedName name="WRN0_5" hidden="1">{#N/A,#N/A,FALSE,"COVER1.XLS ";#N/A,#N/A,FALSE,"RACT1.XLS";#N/A,#N/A,FALSE,"RACT2.XLS";#N/A,#N/A,FALSE,"ECCMP";#N/A,#N/A,FALSE,"WELDER.XLS"}</definedName>
    <definedName name="wsgz" hidden="1">{#N/A,#N/A,FALSE,"COVER1.XLS ";#N/A,#N/A,FALSE,"RACT1.XLS";#N/A,#N/A,FALSE,"RACT2.XLS";#N/A,#N/A,FALSE,"ECCMP";#N/A,#N/A,FALSE,"WELDER.XLS"}</definedName>
    <definedName name="wsgz_1" hidden="1">{#N/A,#N/A,FALSE,"COVER1.XLS ";#N/A,#N/A,FALSE,"RACT1.XLS";#N/A,#N/A,FALSE,"RACT2.XLS";#N/A,#N/A,FALSE,"ECCMP";#N/A,#N/A,FALSE,"WELDER.XLS"}</definedName>
    <definedName name="wsgz_1_1" hidden="1">{#N/A,#N/A,FALSE,"COVER1.XLS ";#N/A,#N/A,FALSE,"RACT1.XLS";#N/A,#N/A,FALSE,"RACT2.XLS";#N/A,#N/A,FALSE,"ECCMP";#N/A,#N/A,FALSE,"WELDER.XLS"}</definedName>
    <definedName name="wsgz_1_2" hidden="1">{#N/A,#N/A,FALSE,"COVER1.XLS ";#N/A,#N/A,FALSE,"RACT1.XLS";#N/A,#N/A,FALSE,"RACT2.XLS";#N/A,#N/A,FALSE,"ECCMP";#N/A,#N/A,FALSE,"WELDER.XLS"}</definedName>
    <definedName name="wsgz_1_3" hidden="1">{#N/A,#N/A,FALSE,"COVER1.XLS ";#N/A,#N/A,FALSE,"RACT1.XLS";#N/A,#N/A,FALSE,"RACT2.XLS";#N/A,#N/A,FALSE,"ECCMP";#N/A,#N/A,FALSE,"WELDER.XLS"}</definedName>
    <definedName name="wsgz_1_4" hidden="1">{#N/A,#N/A,FALSE,"COVER1.XLS ";#N/A,#N/A,FALSE,"RACT1.XLS";#N/A,#N/A,FALSE,"RACT2.XLS";#N/A,#N/A,FALSE,"ECCMP";#N/A,#N/A,FALSE,"WELDER.XLS"}</definedName>
    <definedName name="wsgz_1_5" hidden="1">{#N/A,#N/A,FALSE,"COVER1.XLS ";#N/A,#N/A,FALSE,"RACT1.XLS";#N/A,#N/A,FALSE,"RACT2.XLS";#N/A,#N/A,FALSE,"ECCMP";#N/A,#N/A,FALSE,"WELDER.XLS"}</definedName>
    <definedName name="wsgz_2" hidden="1">{#N/A,#N/A,FALSE,"COVER1.XLS ";#N/A,#N/A,FALSE,"RACT1.XLS";#N/A,#N/A,FALSE,"RACT2.XLS";#N/A,#N/A,FALSE,"ECCMP";#N/A,#N/A,FALSE,"WELDER.XLS"}</definedName>
    <definedName name="wsgz_2_1" hidden="1">{#N/A,#N/A,FALSE,"COVER1.XLS ";#N/A,#N/A,FALSE,"RACT1.XLS";#N/A,#N/A,FALSE,"RACT2.XLS";#N/A,#N/A,FALSE,"ECCMP";#N/A,#N/A,FALSE,"WELDER.XLS"}</definedName>
    <definedName name="wsgz_2_2" hidden="1">{#N/A,#N/A,FALSE,"COVER1.XLS ";#N/A,#N/A,FALSE,"RACT1.XLS";#N/A,#N/A,FALSE,"RACT2.XLS";#N/A,#N/A,FALSE,"ECCMP";#N/A,#N/A,FALSE,"WELDER.XLS"}</definedName>
    <definedName name="wsgz_2_3" hidden="1">{#N/A,#N/A,FALSE,"COVER1.XLS ";#N/A,#N/A,FALSE,"RACT1.XLS";#N/A,#N/A,FALSE,"RACT2.XLS";#N/A,#N/A,FALSE,"ECCMP";#N/A,#N/A,FALSE,"WELDER.XLS"}</definedName>
    <definedName name="wsgz_2_4" hidden="1">{#N/A,#N/A,FALSE,"COVER1.XLS ";#N/A,#N/A,FALSE,"RACT1.XLS";#N/A,#N/A,FALSE,"RACT2.XLS";#N/A,#N/A,FALSE,"ECCMP";#N/A,#N/A,FALSE,"WELDER.XLS"}</definedName>
    <definedName name="wsgz_2_5" hidden="1">{#N/A,#N/A,FALSE,"COVER1.XLS ";#N/A,#N/A,FALSE,"RACT1.XLS";#N/A,#N/A,FALSE,"RACT2.XLS";#N/A,#N/A,FALSE,"ECCMP";#N/A,#N/A,FALSE,"WELDER.XLS"}</definedName>
    <definedName name="wsgz_3" hidden="1">{#N/A,#N/A,FALSE,"COVER1.XLS ";#N/A,#N/A,FALSE,"RACT1.XLS";#N/A,#N/A,FALSE,"RACT2.XLS";#N/A,#N/A,FALSE,"ECCMP";#N/A,#N/A,FALSE,"WELDER.XLS"}</definedName>
    <definedName name="wsgz_4" hidden="1">{#N/A,#N/A,FALSE,"COVER1.XLS ";#N/A,#N/A,FALSE,"RACT1.XLS";#N/A,#N/A,FALSE,"RACT2.XLS";#N/A,#N/A,FALSE,"ECCMP";#N/A,#N/A,FALSE,"WELDER.XLS"}</definedName>
    <definedName name="wsgz_5" hidden="1">{#N/A,#N/A,FALSE,"COVER1.XLS ";#N/A,#N/A,FALSE,"RACT1.XLS";#N/A,#N/A,FALSE,"RACT2.XLS";#N/A,#N/A,FALSE,"ECCMP";#N/A,#N/A,FALSE,"WELDER.XLS"}</definedName>
    <definedName name="wvu.otr." hidden="1">{TRUE,TRUE,-1.25,-15.5,484.5,276.75,FALSE,FALSE,TRUE,TRUE,0,11,#N/A,641,#N/A,7.16304347826087,18.4666666666667,1,FALSE,FALSE,3,TRUE,1,FALSE,75,"Swvu.otr.","ACwvu.otr.",#N/A,FALSE,FALSE,0.54,0.5,0.53,0.25,1,"","",FALSE,FALSE,FALSE,FALSE,1,61,#N/A,#N/A,"=R280C12:R779C19",FALSE,"Rwvu.otr.","Cwvu.otr.",FALSE,FALSE,TRUE,1,180,180,FALSE,FALSE,TRUE,TRUE,TRUE}</definedName>
    <definedName name="wvu.Overhead._.detail." hidden="1">{TRUE,TRUE,-2,-15.2,616.8,379.8,FALSE,TRUE,TRUE,TRUE,15,4,#N/A,22,#N/A,12.3176470588235,29,1,FALSE,FALSE,3,TRUE,1,FALSE,67,"Swvu.Overhead._.detail.","ACwvu.Overhead._.detail.",#N/A,FALSE,FALSE,0.669291338582677,0.275590551181102,0.236220472440945,0.236220472440945,1,"","",FALSE,FALSE,FALSE,FALSE,1,#N/A,1,#N/A,"=R194C4:R674C19","=R45:R49","Rwvu.Overhead._.detail.",#N/A,FALSE,FALSE,FALSE,9,600,600,FALSE,FALSE,TRUE,TRUE,TRUE}</definedName>
    <definedName name="wvu.Profit._.report._.detailed." hidden="1">{TRUE,TRUE,-2,-15.2,616.8,379.8,FALSE,TRUE,TRUE,TRUE,15,4,#N/A,50,#N/A,12.3176470588235,70.7586206896552,1,FALSE,FALSE,3,TRUE,1,FALSE,67,"Swvu.Profit._.report._.detailed.","ACwvu.Profit._.report._.detailed.",#N/A,FALSE,FALSE,0.669291338582677,0.275590551181102,0.236220472440945,0.236220472440945,1,"","",FALSE,FALSE,FALSE,FALSE,1,#N/A,1,#N/A,"=R54C4:R191C19","=R45:R53","Rwvu.Profit._.report._.detailed.","Cwvu.Profit._.report._.detailed.",FALSE,FALSE,FALSE,9,600,600,FALSE,FALSE,TRUE,TRUE,TRUE}</definedName>
    <definedName name="ww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e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e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e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e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e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e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ww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1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1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1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1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1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2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2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2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2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2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WWW" hidden="1">{#N/A,#N/A,FALSE,"COVER.XLS";#N/A,#N/A,FALSE,"RACT1.XLS";#N/A,#N/A,FALSE,"RACT2.XLS";#N/A,#N/A,FALSE,"ECCMP";#N/A,#N/A,FALSE,"WELDER.XLS"}</definedName>
    <definedName name="WWWW_1" hidden="1">{#N/A,#N/A,FALSE,"COVER.XLS";#N/A,#N/A,FALSE,"RACT1.XLS";#N/A,#N/A,FALSE,"RACT2.XLS";#N/A,#N/A,FALSE,"ECCMP";#N/A,#N/A,FALSE,"WELDER.XLS"}</definedName>
    <definedName name="WWWW_2" hidden="1">{#N/A,#N/A,FALSE,"COVER.XLS";#N/A,#N/A,FALSE,"RACT1.XLS";#N/A,#N/A,FALSE,"RACT2.XLS";#N/A,#N/A,FALSE,"ECCMP";#N/A,#N/A,FALSE,"WELDER.XLS"}</definedName>
    <definedName name="WWWW_3" hidden="1">{#N/A,#N/A,FALSE,"COVER.XLS";#N/A,#N/A,FALSE,"RACT1.XLS";#N/A,#N/A,FALSE,"RACT2.XLS";#N/A,#N/A,FALSE,"ECCMP";#N/A,#N/A,FALSE,"WELDER.XLS"}</definedName>
    <definedName name="WWWW_4" hidden="1">{#N/A,#N/A,FALSE,"COVER.XLS";#N/A,#N/A,FALSE,"RACT1.XLS";#N/A,#N/A,FALSE,"RACT2.XLS";#N/A,#N/A,FALSE,"ECCMP";#N/A,#N/A,FALSE,"WELDER.XLS"}</definedName>
    <definedName name="WWWW_5" hidden="1">{#N/A,#N/A,FALSE,"COVER.XLS";#N/A,#N/A,FALSE,"RACT1.XLS";#N/A,#N/A,FALSE,"RACT2.XLS";#N/A,#N/A,FALSE,"ECCMP";#N/A,#N/A,FALSE,"WELDER.XLS"}</definedName>
    <definedName name="X" hidden="1">{#N/A,#N/A,FALSE,"COVER1.XLS ";#N/A,#N/A,FALSE,"RACT1.XLS";#N/A,#N/A,FALSE,"RACT2.XLS";#N/A,#N/A,FALSE,"ECCMP";#N/A,#N/A,FALSE,"WELDER.XLS"}</definedName>
    <definedName name="XREF_COLUMN_1" hidden="1">'[15]BS-Sch-E'!#REF!</definedName>
    <definedName name="XREF_COLUMN_3" hidden="1">[16]LS!#REF!</definedName>
    <definedName name="XREF_COLUMN_40" hidden="1">#REF!</definedName>
    <definedName name="XREF_COLUMN_41" hidden="1">#REF!</definedName>
    <definedName name="XREF_COLUMN_42" hidden="1">#REF!</definedName>
    <definedName name="XREF_COLUMN_43" hidden="1">#REF!</definedName>
    <definedName name="XREF_COLUMN_44" hidden="1">#REF!</definedName>
    <definedName name="XREF_COLUMN_45" hidden="1">#REF!</definedName>
    <definedName name="XRefColumnsCount" hidden="1">48</definedName>
    <definedName name="XRefCopy1" hidden="1">'[15]BS-Sch-E'!#REF!</definedName>
    <definedName name="XRefCopy10" hidden="1">'[15]BS-Sch-E'!#REF!</definedName>
    <definedName name="XRefCopy10Row" hidden="1">#REF!</definedName>
    <definedName name="XRefCopy11" hidden="1">'[15]BS-Sch-E'!#REF!</definedName>
    <definedName name="XRefCopy11Row" hidden="1">#REF!</definedName>
    <definedName name="XRefCopy12" hidden="1">'[15]BS-Sch-E'!#REF!</definedName>
    <definedName name="XRefCopy12Row" hidden="1">#REF!</definedName>
    <definedName name="XRefCopy14" hidden="1">'[15]BS-Sch-E'!#REF!</definedName>
    <definedName name="XRefCopy140" hidden="1">#REF!</definedName>
    <definedName name="XRefCopy141" hidden="1">#REF!</definedName>
    <definedName name="XRefCopy142" hidden="1">#REF!</definedName>
    <definedName name="XRefCopy143" hidden="1">#REF!</definedName>
    <definedName name="XRefCopy144" hidden="1">#REF!</definedName>
    <definedName name="XRefCopy145" hidden="1">#REF!</definedName>
    <definedName name="XRefCopy14Row" hidden="1">#REF!</definedName>
    <definedName name="XRefCopy15" hidden="1">'[15]BS-Sch-E'!#REF!</definedName>
    <definedName name="XRefCopy15Row" hidden="1">#REF!</definedName>
    <definedName name="XRefCopy16" hidden="1">'[15]BS-Sch-E'!#REF!</definedName>
    <definedName name="XRefCopy16Row" hidden="1">#REF!</definedName>
    <definedName name="XRefCopy1Row" hidden="1">#REF!</definedName>
    <definedName name="XRefCopy2" hidden="1">'[15]BS-Sch-E'!#REF!</definedName>
    <definedName name="XRefCopy21Row" hidden="1">[15]XREF!#REF!</definedName>
    <definedName name="XRefCopy22Row" hidden="1">[15]XREF!#REF!</definedName>
    <definedName name="XRefCopy2Row" hidden="1">#REF!</definedName>
    <definedName name="XRefCopy3" hidden="1">'[15]BS-Sch-E'!#REF!</definedName>
    <definedName name="XRefCopy3Row" hidden="1">#REF!</definedName>
    <definedName name="XRefCopy4" hidden="1">'[15]BS-Sch-E'!#REF!</definedName>
    <definedName name="XRefCopy4Row" hidden="1">#REF!</definedName>
    <definedName name="XRefCopy5Row" hidden="1">[16]XREF!#REF!</definedName>
    <definedName name="XRefCopy7" hidden="1">'[15]BS-Sch-E'!#REF!</definedName>
    <definedName name="XRefCopy7Row" hidden="1">#REF!</definedName>
    <definedName name="XRefCopy8" hidden="1">'[15]BS-Sch-E'!#REF!</definedName>
    <definedName name="XRefCopy8Row" hidden="1">#REF!</definedName>
    <definedName name="XRefCopy9" hidden="1">'[15]BS-Sch-E'!#REF!</definedName>
    <definedName name="XRefCopyRangeCount" hidden="1">145</definedName>
    <definedName name="XRefPaste1Row" hidden="1">[16]XREF!#REF!</definedName>
    <definedName name="XRefPaste2Row" hidden="1">[16]XREF!#REF!</definedName>
    <definedName name="XRefPaste3Row" hidden="1">[16]XREF!#REF!</definedName>
    <definedName name="XRefPaste40Row" hidden="1">[15]XREF!#REF!</definedName>
    <definedName name="XRefPasteRangeCount" hidden="1">141</definedName>
    <definedName name="xyz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xyz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xyz1_1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xyz1_2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xyz1_3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xyz1_4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xyz1_5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xyz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yz3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yz3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yz3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yz3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yz3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xyz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yz4_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yz4_2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yz4_3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yz4_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xyz4_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YIAN" hidden="1">#REF!</definedName>
    <definedName name="Z_103EF461_8E0C_11D4_BD19_00C04F7ADBB0_.wvu.PrintTitles" hidden="1">#REF!</definedName>
    <definedName name="Z_1C8A8291_48BB_11D3_BD19_00C04F7ADBB0_.wvu.PrintTitles" hidden="1">#REF!</definedName>
    <definedName name="Z_22616A05_83D1_11D4_BD19_00C04F7ADBB0_.wvu.PrintTitles" hidden="1">#REF!</definedName>
    <definedName name="Z_4D69700F_3E5A_11D2_B93D_00C04F7ADD59_.wvu.Cols" hidden="1">#REF!,#REF!</definedName>
    <definedName name="Z_4D697010_3E5A_11D2_B93D_00C04F7ADD59_.wvu.Cols" hidden="1">#REF!,#REF!</definedName>
    <definedName name="Z_4D697010_3E5A_11D2_B93D_00C04F7ADD59_.wvu.Rows" hidden="1">#REF!,#REF!,#REF!,#REF!,#REF!,#REF!</definedName>
    <definedName name="Z_4D697011_3E5A_11D2_B93D_00C04F7ADD59_.wvu.Cols" hidden="1">#REF!,#REF!</definedName>
    <definedName name="Z_4D697011_3E5A_11D2_B93D_00C04F7ADD59_.wvu.Rows" hidden="1">#REF!,#REF!,#REF!,#REF!,#REF!,#REF!,#REF!,#REF!,#REF!</definedName>
    <definedName name="Z_4D697012_3E5A_11D2_B93D_00C04F7ADD59_.wvu.Cols" hidden="1">#REF!,#REF!</definedName>
    <definedName name="Z_4D697012_3E5A_11D2_B93D_00C04F7ADD59_.wvu.Rows" hidden="1">#REF!,#REF!,#REF!,#REF!,#REF!,#REF!,#REF!,#REF!,#REF!</definedName>
    <definedName name="Z_4D697013_3E5A_11D2_B93D_00C04F7ADD59_.wvu.Cols" hidden="1">#REF!,#REF!</definedName>
    <definedName name="Z_4D697013_3E5A_11D2_B93D_00C04F7ADD59_.wvu.Rows" hidden="1">#REF!,#REF!,#REF!,#REF!,#REF!</definedName>
    <definedName name="Z_4D697014_3E5A_11D2_B93D_00C04F7ADD59_.wvu.Cols" hidden="1">#REF!,#REF!</definedName>
    <definedName name="Z_4D697014_3E5A_11D2_B93D_00C04F7ADD59_.wvu.Rows" hidden="1">#REF!,#REF!,#REF!,#REF!,#REF!,#REF!,#REF!,#REF!,#REF!,#REF!</definedName>
    <definedName name="Z_4D697015_3E5A_11D2_B93D_00C04F7ADD59_.wvu.Cols" hidden="1">#REF!,#REF!</definedName>
    <definedName name="Z_4D697016_3E5A_11D2_B93D_00C04F7ADD59_.wvu.Cols" hidden="1">#REF!,#REF!</definedName>
    <definedName name="Z_4D697016_3E5A_11D2_B93D_00C04F7ADD59_.wvu.Rows" hidden="1">#REF!,#REF!</definedName>
    <definedName name="Z_4D697017_3E5A_11D2_B93D_00C04F7ADD59_.wvu.Cols" hidden="1">#REF!,#REF!</definedName>
    <definedName name="Z_4D697067_3E5A_11D2_B93D_00C04F7ADD59_.wvu.Cols" hidden="1">#REF!,#REF!</definedName>
    <definedName name="Z_4D697068_3E5A_11D2_B93D_00C04F7ADD59_.wvu.Cols" hidden="1">#REF!,#REF!</definedName>
    <definedName name="Z_4D697068_3E5A_11D2_B93D_00C04F7ADD59_.wvu.Rows" hidden="1">#REF!,#REF!,#REF!,#REF!,#REF!,#REF!</definedName>
    <definedName name="Z_4D697069_3E5A_11D2_B93D_00C04F7ADD59_.wvu.Cols" hidden="1">#REF!,#REF!</definedName>
    <definedName name="Z_4D697069_3E5A_11D2_B93D_00C04F7ADD59_.wvu.Rows" hidden="1">#REF!,#REF!,#REF!,#REF!,#REF!,#REF!,#REF!,#REF!,#REF!</definedName>
    <definedName name="Z_4D69706A_3E5A_11D2_B93D_00C04F7ADD59_.wvu.Cols" hidden="1">#REF!,#REF!</definedName>
    <definedName name="Z_4D69706A_3E5A_11D2_B93D_00C04F7ADD59_.wvu.Rows" hidden="1">#REF!,#REF!,#REF!,#REF!,#REF!,#REF!,#REF!,#REF!,#REF!</definedName>
    <definedName name="Z_4D69706B_3E5A_11D2_B93D_00C04F7ADD59_.wvu.Cols" hidden="1">#REF!,#REF!</definedName>
    <definedName name="Z_4D69706B_3E5A_11D2_B93D_00C04F7ADD59_.wvu.Rows" hidden="1">#REF!,#REF!,#REF!,#REF!,#REF!</definedName>
    <definedName name="Z_4D69706C_3E5A_11D2_B93D_00C04F7ADD59_.wvu.Cols" hidden="1">#REF!,#REF!</definedName>
    <definedName name="Z_4D69706C_3E5A_11D2_B93D_00C04F7ADD59_.wvu.Rows" hidden="1">#REF!,#REF!,#REF!,#REF!,#REF!,#REF!,#REF!,#REF!,#REF!,#REF!</definedName>
    <definedName name="Z_4D69706D_3E5A_11D2_B93D_00C04F7ADD59_.wvu.Cols" hidden="1">#REF!,#REF!</definedName>
    <definedName name="Z_4D69706E_3E5A_11D2_B93D_00C04F7ADD59_.wvu.Cols" hidden="1">#REF!,#REF!</definedName>
    <definedName name="Z_4D69706E_3E5A_11D2_B93D_00C04F7ADD59_.wvu.Rows" hidden="1">#REF!,#REF!</definedName>
    <definedName name="Z_4D69706F_3E5A_11D2_B93D_00C04F7ADD59_.wvu.Cols" hidden="1">#REF!,#REF!</definedName>
    <definedName name="Z_56741B30_9E05_11D4_BE09_0050040BF713_.wvu.Cols" hidden="1">#REF!</definedName>
    <definedName name="Z_56741B30_9E05_11D4_BE09_0050040BF713_.wvu.PrintTitles" hidden="1">#REF!</definedName>
    <definedName name="Z_7DE7B4CF_4CBE_11D2_B93D_00C04F7ADD59_.wvu.Cols" hidden="1">#REF!,#REF!</definedName>
    <definedName name="Z_7DE7B4D0_4CBE_11D2_B93D_00C04F7ADD59_.wvu.Cols" hidden="1">#REF!,#REF!</definedName>
    <definedName name="Z_7DE7B4D0_4CBE_11D2_B93D_00C04F7ADD59_.wvu.Rows" hidden="1">#REF!,#REF!,#REF!,#REF!,#REF!,#REF!</definedName>
    <definedName name="Z_7DE7B4D1_4CBE_11D2_B93D_00C04F7ADD59_.wvu.Cols" hidden="1">#REF!,#REF!</definedName>
    <definedName name="Z_7DE7B4D1_4CBE_11D2_B93D_00C04F7ADD59_.wvu.Rows" hidden="1">#REF!,#REF!,#REF!,#REF!,#REF!,#REF!,#REF!,#REF!,#REF!</definedName>
    <definedName name="Z_7DE7B4D2_4CBE_11D2_B93D_00C04F7ADD59_.wvu.Cols" hidden="1">#REF!,#REF!</definedName>
    <definedName name="Z_7DE7B4D2_4CBE_11D2_B93D_00C04F7ADD59_.wvu.Rows" hidden="1">#REF!,#REF!,#REF!,#REF!,#REF!,#REF!,#REF!,#REF!,#REF!</definedName>
    <definedName name="Z_7DE7B4D3_4CBE_11D2_B93D_00C04F7ADD59_.wvu.Cols" hidden="1">#REF!,#REF!</definedName>
    <definedName name="Z_7DE7B4D3_4CBE_11D2_B93D_00C04F7ADD59_.wvu.Rows" hidden="1">#REF!,#REF!,#REF!,#REF!,#REF!</definedName>
    <definedName name="Z_7DE7B4D4_4CBE_11D2_B93D_00C04F7ADD59_.wvu.Cols" hidden="1">#REF!,#REF!</definedName>
    <definedName name="Z_7DE7B4D4_4CBE_11D2_B93D_00C04F7ADD59_.wvu.Rows" hidden="1">#REF!,#REF!,#REF!,#REF!,#REF!,#REF!,#REF!,#REF!,#REF!,#REF!</definedName>
    <definedName name="Z_7DE7B4D5_4CBE_11D2_B93D_00C04F7ADD59_.wvu.Cols" hidden="1">#REF!,#REF!</definedName>
    <definedName name="Z_7DE7B4D6_4CBE_11D2_B93D_00C04F7ADD59_.wvu.Cols" hidden="1">#REF!,#REF!</definedName>
    <definedName name="Z_7DE7B4D6_4CBE_11D2_B93D_00C04F7ADD59_.wvu.Rows" hidden="1">#REF!,#REF!</definedName>
    <definedName name="Z_7DE7B4D7_4CBE_11D2_B93D_00C04F7ADD59_.wvu.Cols" hidden="1">#REF!,#REF!</definedName>
    <definedName name="Z_9C764411_CC6B_11D4_A50D_00010277FBAA_.wvu.PrintArea" hidden="1">#REF!</definedName>
    <definedName name="Z_C207A48F_3DC8_11D2_B93D_00C04F7ADD59_.wvu.Cols" hidden="1">#REF!,#REF!</definedName>
    <definedName name="Z_C207A490_3DC8_11D2_B93D_00C04F7ADD59_.wvu.Cols" hidden="1">#REF!,#REF!</definedName>
    <definedName name="Z_C207A490_3DC8_11D2_B93D_00C04F7ADD59_.wvu.Rows" hidden="1">#REF!,#REF!,#REF!,#REF!,#REF!,#REF!</definedName>
    <definedName name="Z_C207A491_3DC8_11D2_B93D_00C04F7ADD59_.wvu.Cols" hidden="1">#REF!,#REF!</definedName>
    <definedName name="Z_C207A491_3DC8_11D2_B93D_00C04F7ADD59_.wvu.Rows" hidden="1">#REF!,#REF!,#REF!,#REF!,#REF!,#REF!,#REF!,#REF!,#REF!</definedName>
    <definedName name="Z_C207A493_3DC8_11D2_B93D_00C04F7ADD59_.wvu.Cols" hidden="1">#REF!,#REF!</definedName>
    <definedName name="Z_C207A493_3DC8_11D2_B93D_00C04F7ADD59_.wvu.Rows" hidden="1">#REF!,#REF!,#REF!,#REF!,#REF!</definedName>
    <definedName name="Z_C207A494_3DC8_11D2_B93D_00C04F7ADD59_.wvu.Cols" hidden="1">#REF!,#REF!</definedName>
    <definedName name="Z_C207A494_3DC8_11D2_B93D_00C04F7ADD59_.wvu.Rows" hidden="1">#REF!,#REF!,#REF!,#REF!,#REF!,#REF!,#REF!,#REF!,#REF!,#REF!</definedName>
    <definedName name="Z_C207A495_3DC8_11D2_B93D_00C04F7ADD59_.wvu.Cols" hidden="1">#REF!,#REF!</definedName>
    <definedName name="Z_C207A496_3DC8_11D2_B93D_00C04F7ADD59_.wvu.Cols" hidden="1">#REF!,#REF!</definedName>
    <definedName name="Z_C207A496_3DC8_11D2_B93D_00C04F7ADD59_.wvu.Rows" hidden="1">#REF!,#REF!</definedName>
    <definedName name="Z_C207A497_3DC8_11D2_B93D_00C04F7ADD59_.wvu.Cols" hidden="1">#REF!,#REF!</definedName>
    <definedName name="Z_C313B3E8_4D4B_11D2_B93D_00C04F7ADD59_.wvu.Cols" hidden="1">#REF!,#REF!</definedName>
    <definedName name="Z_C313B3E9_4D4B_11D2_B93D_00C04F7ADD59_.wvu.Cols" hidden="1">#REF!,#REF!</definedName>
    <definedName name="Z_C313B3E9_4D4B_11D2_B93D_00C04F7ADD59_.wvu.Rows" hidden="1">#REF!,#REF!,#REF!,#REF!,#REF!,#REF!</definedName>
    <definedName name="Z_C313B3EA_4D4B_11D2_B93D_00C04F7ADD59_.wvu.Cols" hidden="1">#REF!,#REF!</definedName>
    <definedName name="Z_C313B3EA_4D4B_11D2_B93D_00C04F7ADD59_.wvu.Rows" hidden="1">#REF!,#REF!,#REF!,#REF!,#REF!,#REF!,#REF!,#REF!,#REF!</definedName>
    <definedName name="Z_C313B3EB_4D4B_11D2_B93D_00C04F7ADD59_.wvu.Cols" hidden="1">#REF!,#REF!</definedName>
    <definedName name="Z_C313B3EB_4D4B_11D2_B93D_00C04F7ADD59_.wvu.Rows" hidden="1">#REF!,#REF!,#REF!,#REF!,#REF!,#REF!,#REF!,#REF!,#REF!</definedName>
    <definedName name="Z_C313B3EC_4D4B_11D2_B93D_00C04F7ADD59_.wvu.Cols" hidden="1">#REF!,#REF!</definedName>
    <definedName name="Z_C313B3EC_4D4B_11D2_B93D_00C04F7ADD59_.wvu.Rows" hidden="1">#REF!,#REF!,#REF!,#REF!,#REF!</definedName>
    <definedName name="Z_C313B3ED_4D4B_11D2_B93D_00C04F7ADD59_.wvu.Cols" hidden="1">#REF!,#REF!</definedName>
    <definedName name="Z_C313B3ED_4D4B_11D2_B93D_00C04F7ADD59_.wvu.Rows" hidden="1">#REF!,#REF!,#REF!,#REF!,#REF!,#REF!,#REF!,#REF!,#REF!,#REF!</definedName>
    <definedName name="Z_C313B3EE_4D4B_11D2_B93D_00C04F7ADD59_.wvu.Cols" hidden="1">#REF!,#REF!</definedName>
    <definedName name="Z_C313B3EF_4D4B_11D2_B93D_00C04F7ADD59_.wvu.Cols" hidden="1">#REF!,#REF!</definedName>
    <definedName name="Z_C313B3EF_4D4B_11D2_B93D_00C04F7ADD59_.wvu.Rows" hidden="1">#REF!,#REF!</definedName>
    <definedName name="Z_C313B3F0_4D4B_11D2_B93D_00C04F7ADD59_.wvu.Cols" hidden="1">#REF!,#REF!</definedName>
    <definedName name="Z_D76C0740_B992_11D1_B744_006008CA297A_.wvu.FilterData" hidden="1">#REF!</definedName>
    <definedName name="Z_D76C0740_B992_11D1_B744_006008CA297A_.wvu.PrintArea" hidden="1">#REF!</definedName>
    <definedName name="zep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1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1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1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1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1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2_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2_2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2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2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2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3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ep_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zx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1_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1_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1_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1_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1_5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2_1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2_2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2_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2_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2_5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3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4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zx_5" hidden="1">{#N/A,#N/A,FALSE,"RCC_cover";#N/A,#N/A,FALSE,"philoshophy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哈哈" hidden="1">#REF!</definedName>
    <definedName name="射频头安装2" hidden="1">#REF!</definedName>
    <definedName name="工艺流程图" hidden="1">#REF!</definedName>
    <definedName name="我的快乐" hidden="1">#REF!</definedName>
    <definedName name="手机装配图" hidden="1">#REF!</definedName>
    <definedName name="杨" hidden="1">#REF!</definedName>
    <definedName name="杨啦啊" hidden="1">#REF!</definedName>
  </definedNames>
  <calcPr calcId="191029"/>
  <pivotCaches>
    <pivotCache cacheId="0" r:id="rId24"/>
    <pivotCache cacheId="1" r:id="rId2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U4" i="132" l="1"/>
  <c r="Y103" i="132" l="1"/>
  <c r="M103" i="132" l="1"/>
  <c r="M102" i="132"/>
  <c r="Y102" i="132" l="1"/>
  <c r="Z32" i="132" l="1"/>
  <c r="Q108" i="132" l="1"/>
  <c r="Q109" i="132"/>
  <c r="Q110" i="132"/>
  <c r="S108" i="132"/>
  <c r="S109" i="132"/>
  <c r="S110" i="132"/>
  <c r="U108" i="132"/>
  <c r="V108" i="132" s="1"/>
  <c r="U109" i="132"/>
  <c r="V109" i="132" s="1"/>
  <c r="U110" i="132"/>
  <c r="V110" i="132" s="1"/>
  <c r="X108" i="132"/>
  <c r="X109" i="132"/>
  <c r="X110" i="132"/>
  <c r="Z108" i="132"/>
  <c r="Z109" i="132"/>
  <c r="Z110" i="132"/>
  <c r="AC108" i="132"/>
  <c r="AC109" i="132"/>
  <c r="AC110" i="132"/>
  <c r="AI108" i="132"/>
  <c r="AI109" i="132"/>
  <c r="AI110" i="132"/>
  <c r="AJ108" i="132"/>
  <c r="AJ109" i="132"/>
  <c r="AJ110" i="132"/>
  <c r="AK108" i="132"/>
  <c r="AL108" i="132" s="1"/>
  <c r="AK109" i="132"/>
  <c r="AL109" i="132" s="1"/>
  <c r="AK110" i="132"/>
  <c r="AL110" i="132" s="1"/>
  <c r="AB108" i="132" l="1"/>
  <c r="AB110" i="132"/>
  <c r="AB109" i="132"/>
  <c r="Q102" i="132"/>
  <c r="Q103" i="132"/>
  <c r="Q104" i="132"/>
  <c r="Q105" i="132"/>
  <c r="Q106" i="132"/>
  <c r="Q107" i="132"/>
  <c r="S102" i="132"/>
  <c r="S103" i="132"/>
  <c r="S104" i="132"/>
  <c r="S105" i="132"/>
  <c r="S106" i="132"/>
  <c r="S107" i="132"/>
  <c r="U102" i="132"/>
  <c r="V102" i="132" s="1"/>
  <c r="U103" i="132"/>
  <c r="V103" i="132" s="1"/>
  <c r="U104" i="132"/>
  <c r="V104" i="132" s="1"/>
  <c r="U105" i="132"/>
  <c r="V105" i="132" s="1"/>
  <c r="U106" i="132"/>
  <c r="V106" i="132" s="1"/>
  <c r="U107" i="132"/>
  <c r="V107" i="132" s="1"/>
  <c r="X102" i="132"/>
  <c r="X103" i="132"/>
  <c r="X104" i="132"/>
  <c r="X105" i="132"/>
  <c r="X106" i="132"/>
  <c r="X107" i="132"/>
  <c r="Z102" i="132"/>
  <c r="Z103" i="132"/>
  <c r="Z104" i="132"/>
  <c r="Z105" i="132"/>
  <c r="Z106" i="132"/>
  <c r="Z107" i="132"/>
  <c r="AB104" i="132"/>
  <c r="AB105" i="132"/>
  <c r="AB106" i="132"/>
  <c r="AB107" i="132"/>
  <c r="AC102" i="132"/>
  <c r="AC103" i="132"/>
  <c r="AC104" i="132"/>
  <c r="AC105" i="132"/>
  <c r="AC106" i="132"/>
  <c r="AC107" i="132"/>
  <c r="AI102" i="132"/>
  <c r="AI103" i="132"/>
  <c r="AI104" i="132"/>
  <c r="AI105" i="132"/>
  <c r="AI106" i="132"/>
  <c r="AI107" i="132"/>
  <c r="AJ102" i="132"/>
  <c r="AJ103" i="132"/>
  <c r="AJ104" i="132"/>
  <c r="AJ105" i="132"/>
  <c r="AJ106" i="132"/>
  <c r="AJ107" i="132"/>
  <c r="AK102" i="132"/>
  <c r="AL102" i="132" s="1"/>
  <c r="AK103" i="132"/>
  <c r="AL103" i="132" s="1"/>
  <c r="AK104" i="132"/>
  <c r="AL104" i="132" s="1"/>
  <c r="AK105" i="132"/>
  <c r="AL105" i="132" s="1"/>
  <c r="AK106" i="132"/>
  <c r="AL106" i="132" s="1"/>
  <c r="AK107" i="132"/>
  <c r="AL107" i="132" s="1"/>
  <c r="AB102" i="132" l="1"/>
  <c r="AB103" i="132"/>
  <c r="M97" i="132"/>
  <c r="U100" i="132" l="1"/>
  <c r="V100" i="132" s="1"/>
  <c r="Q100" i="132"/>
  <c r="S100" i="132"/>
  <c r="X100" i="132"/>
  <c r="Z100" i="132"/>
  <c r="AC100" i="132"/>
  <c r="AI100" i="132"/>
  <c r="AJ100" i="132"/>
  <c r="AK100" i="132"/>
  <c r="AL100" i="132" s="1"/>
  <c r="AB100" i="132" l="1"/>
  <c r="Q101" i="132"/>
  <c r="S101" i="132"/>
  <c r="U101" i="132"/>
  <c r="V101" i="132" s="1"/>
  <c r="X101" i="132"/>
  <c r="Z101" i="132"/>
  <c r="AC101" i="132"/>
  <c r="AI101" i="132"/>
  <c r="AJ101" i="132"/>
  <c r="AK101" i="132"/>
  <c r="AL101" i="132" s="1"/>
  <c r="AB101" i="132" l="1"/>
  <c r="Q99" i="132" l="1"/>
  <c r="S99" i="132"/>
  <c r="U99" i="132"/>
  <c r="V99" i="132" s="1"/>
  <c r="X99" i="132"/>
  <c r="Z99" i="132"/>
  <c r="AB99" i="132"/>
  <c r="AC99" i="132"/>
  <c r="AI99" i="132"/>
  <c r="AJ99" i="132"/>
  <c r="AK99" i="132"/>
  <c r="AL99" i="132" s="1"/>
  <c r="AC52" i="132" l="1"/>
  <c r="AC53" i="132"/>
  <c r="AC54" i="132"/>
  <c r="AC55" i="132"/>
  <c r="AC56" i="132"/>
  <c r="AP1" i="132" l="1"/>
  <c r="Q98" i="132" l="1"/>
  <c r="S98" i="132"/>
  <c r="U98" i="132"/>
  <c r="V98" i="132" s="1"/>
  <c r="X98" i="132"/>
  <c r="Z98" i="132"/>
  <c r="AB98" i="132"/>
  <c r="AC98" i="132"/>
  <c r="AI98" i="132"/>
  <c r="AJ98" i="132"/>
  <c r="AK98" i="132"/>
  <c r="AL98" i="132" s="1"/>
  <c r="U54" i="132" l="1"/>
  <c r="AB54" i="132" s="1"/>
  <c r="Q97" i="132" l="1"/>
  <c r="S97" i="132"/>
  <c r="U97" i="132"/>
  <c r="V97" i="132" s="1"/>
  <c r="X97" i="132"/>
  <c r="Z97" i="132"/>
  <c r="AC97" i="132"/>
  <c r="AI97" i="132"/>
  <c r="AJ97" i="132"/>
  <c r="AK97" i="132"/>
  <c r="AL97" i="132" s="1"/>
  <c r="Q96" i="132"/>
  <c r="S96" i="132"/>
  <c r="U96" i="132"/>
  <c r="V96" i="132" s="1"/>
  <c r="X96" i="132"/>
  <c r="Z96" i="132"/>
  <c r="AB96" i="132"/>
  <c r="AC96" i="132"/>
  <c r="AI96" i="132"/>
  <c r="AJ96" i="132"/>
  <c r="AK96" i="132"/>
  <c r="AL96" i="132" s="1"/>
  <c r="AB97" i="132" l="1"/>
  <c r="Q87" i="132"/>
  <c r="Q88" i="132"/>
  <c r="Q89" i="132"/>
  <c r="Q90" i="132"/>
  <c r="Q91" i="132"/>
  <c r="Q92" i="132"/>
  <c r="Q93" i="132"/>
  <c r="Q94" i="132"/>
  <c r="Q95" i="132"/>
  <c r="S87" i="132"/>
  <c r="S88" i="132"/>
  <c r="S89" i="132"/>
  <c r="S90" i="132"/>
  <c r="S91" i="132"/>
  <c r="S92" i="132"/>
  <c r="S93" i="132"/>
  <c r="S94" i="132"/>
  <c r="S95" i="132"/>
  <c r="U87" i="132"/>
  <c r="V87" i="132" s="1"/>
  <c r="U88" i="132"/>
  <c r="V88" i="132" s="1"/>
  <c r="U89" i="132"/>
  <c r="V89" i="132" s="1"/>
  <c r="U90" i="132"/>
  <c r="V90" i="132" s="1"/>
  <c r="U91" i="132"/>
  <c r="V91" i="132" s="1"/>
  <c r="U92" i="132"/>
  <c r="V92" i="132" s="1"/>
  <c r="U93" i="132"/>
  <c r="V93" i="132" s="1"/>
  <c r="U94" i="132"/>
  <c r="V94" i="132" s="1"/>
  <c r="U95" i="132"/>
  <c r="V95" i="132" s="1"/>
  <c r="X87" i="132"/>
  <c r="X88" i="132"/>
  <c r="X89" i="132"/>
  <c r="X90" i="132"/>
  <c r="X91" i="132"/>
  <c r="X92" i="132"/>
  <c r="X93" i="132"/>
  <c r="X94" i="132"/>
  <c r="X95" i="132"/>
  <c r="Z87" i="132"/>
  <c r="Z88" i="132"/>
  <c r="Z89" i="132"/>
  <c r="Z90" i="132"/>
  <c r="Z91" i="132"/>
  <c r="Z92" i="132"/>
  <c r="Z93" i="132"/>
  <c r="Z94" i="132"/>
  <c r="Z95" i="132"/>
  <c r="AB87" i="132"/>
  <c r="AB88" i="132"/>
  <c r="AB89" i="132"/>
  <c r="AB90" i="132"/>
  <c r="AB91" i="132"/>
  <c r="AB92" i="132"/>
  <c r="AB93" i="132"/>
  <c r="AB94" i="132"/>
  <c r="AB95" i="132"/>
  <c r="AC87" i="132"/>
  <c r="AC88" i="132"/>
  <c r="AC89" i="132"/>
  <c r="AC90" i="132"/>
  <c r="AC91" i="132"/>
  <c r="AC92" i="132"/>
  <c r="AC93" i="132"/>
  <c r="AC94" i="132"/>
  <c r="AC95" i="132"/>
  <c r="AI87" i="132"/>
  <c r="AI88" i="132"/>
  <c r="AI89" i="132"/>
  <c r="AI90" i="132"/>
  <c r="AI91" i="132"/>
  <c r="AI92" i="132"/>
  <c r="AI93" i="132"/>
  <c r="AI94" i="132"/>
  <c r="AI95" i="132"/>
  <c r="AJ87" i="132"/>
  <c r="AJ88" i="132"/>
  <c r="AJ89" i="132"/>
  <c r="AJ90" i="132"/>
  <c r="AJ91" i="132"/>
  <c r="AJ92" i="132"/>
  <c r="AJ93" i="132"/>
  <c r="AJ94" i="132"/>
  <c r="AJ95" i="132"/>
  <c r="AK87" i="132"/>
  <c r="AL87" i="132" s="1"/>
  <c r="AK88" i="132"/>
  <c r="AL88" i="132" s="1"/>
  <c r="AK89" i="132"/>
  <c r="AL89" i="132" s="1"/>
  <c r="AK90" i="132"/>
  <c r="AL90" i="132" s="1"/>
  <c r="AK91" i="132"/>
  <c r="AL91" i="132" s="1"/>
  <c r="AK92" i="132"/>
  <c r="AL92" i="132" s="1"/>
  <c r="AK93" i="132"/>
  <c r="AL93" i="132" s="1"/>
  <c r="AK94" i="132"/>
  <c r="AL94" i="132" s="1"/>
  <c r="AK95" i="132"/>
  <c r="AL95" i="132" s="1"/>
  <c r="Q81" i="132"/>
  <c r="Q82" i="132"/>
  <c r="Q83" i="132"/>
  <c r="Q84" i="132"/>
  <c r="S81" i="132"/>
  <c r="S82" i="132"/>
  <c r="S83" i="132"/>
  <c r="S84" i="132"/>
  <c r="U81" i="132"/>
  <c r="V81" i="132" s="1"/>
  <c r="U82" i="132"/>
  <c r="V82" i="132" s="1"/>
  <c r="U83" i="132"/>
  <c r="V83" i="132" s="1"/>
  <c r="U84" i="132"/>
  <c r="V84" i="132" s="1"/>
  <c r="X81" i="132"/>
  <c r="X82" i="132"/>
  <c r="X83" i="132"/>
  <c r="X84" i="132"/>
  <c r="Z81" i="132"/>
  <c r="Z82" i="132"/>
  <c r="Z83" i="132"/>
  <c r="Z84" i="132"/>
  <c r="AB81" i="132"/>
  <c r="AB82" i="132"/>
  <c r="AB83" i="132"/>
  <c r="AB84" i="132"/>
  <c r="AC81" i="132"/>
  <c r="AC82" i="132"/>
  <c r="AC83" i="132"/>
  <c r="AC84" i="132"/>
  <c r="AI81" i="132"/>
  <c r="AI82" i="132"/>
  <c r="AI83" i="132"/>
  <c r="AI84" i="132"/>
  <c r="AJ81" i="132"/>
  <c r="AJ82" i="132"/>
  <c r="AJ83" i="132"/>
  <c r="AJ84" i="132"/>
  <c r="AK81" i="132"/>
  <c r="AL81" i="132" s="1"/>
  <c r="AK82" i="132"/>
  <c r="AL82" i="132" s="1"/>
  <c r="AK83" i="132"/>
  <c r="AL83" i="132" s="1"/>
  <c r="AK84" i="132"/>
  <c r="AL84" i="132" s="1"/>
  <c r="Q74" i="132"/>
  <c r="Q75" i="132"/>
  <c r="Q76" i="132"/>
  <c r="Q77" i="132"/>
  <c r="Q78" i="132"/>
  <c r="S74" i="132"/>
  <c r="S75" i="132"/>
  <c r="S76" i="132"/>
  <c r="S77" i="132"/>
  <c r="S78" i="132"/>
  <c r="U74" i="132"/>
  <c r="V74" i="132" s="1"/>
  <c r="U75" i="132"/>
  <c r="V75" i="132" s="1"/>
  <c r="U76" i="132"/>
  <c r="V76" i="132" s="1"/>
  <c r="U77" i="132"/>
  <c r="V77" i="132" s="1"/>
  <c r="U78" i="132"/>
  <c r="V78" i="132" s="1"/>
  <c r="X74" i="132"/>
  <c r="X75" i="132"/>
  <c r="X76" i="132"/>
  <c r="X77" i="132"/>
  <c r="X78" i="132"/>
  <c r="Z74" i="132"/>
  <c r="Z75" i="132"/>
  <c r="Z76" i="132"/>
  <c r="Z77" i="132"/>
  <c r="Z78" i="132"/>
  <c r="AB74" i="132"/>
  <c r="AB75" i="132"/>
  <c r="AB76" i="132"/>
  <c r="AB77" i="132"/>
  <c r="AB78" i="132"/>
  <c r="AC74" i="132"/>
  <c r="AC75" i="132"/>
  <c r="AC76" i="132"/>
  <c r="AC77" i="132"/>
  <c r="AC78" i="132"/>
  <c r="AI74" i="132"/>
  <c r="AI75" i="132"/>
  <c r="AI76" i="132"/>
  <c r="AI77" i="132"/>
  <c r="AI78" i="132"/>
  <c r="AJ74" i="132"/>
  <c r="AJ75" i="132"/>
  <c r="AJ76" i="132"/>
  <c r="AJ77" i="132"/>
  <c r="AJ78" i="132"/>
  <c r="AK74" i="132"/>
  <c r="AL74" i="132" s="1"/>
  <c r="AK75" i="132"/>
  <c r="AL75" i="132" s="1"/>
  <c r="AK76" i="132"/>
  <c r="AL76" i="132" s="1"/>
  <c r="AK77" i="132"/>
  <c r="AL77" i="132" s="1"/>
  <c r="AK78" i="132"/>
  <c r="AL78" i="132" s="1"/>
  <c r="Q70" i="132"/>
  <c r="S70" i="132"/>
  <c r="U70" i="132"/>
  <c r="V70" i="132" s="1"/>
  <c r="X70" i="132"/>
  <c r="Z70" i="132"/>
  <c r="AB70" i="132"/>
  <c r="AC70" i="132"/>
  <c r="AI70" i="132"/>
  <c r="AJ70" i="132"/>
  <c r="AK70" i="132"/>
  <c r="AL70" i="132" s="1"/>
  <c r="Q67" i="132" l="1"/>
  <c r="Q68" i="132"/>
  <c r="S67" i="132"/>
  <c r="S68" i="132"/>
  <c r="U67" i="132"/>
  <c r="V67" i="132" s="1"/>
  <c r="U68" i="132"/>
  <c r="V68" i="132" s="1"/>
  <c r="X67" i="132"/>
  <c r="X68" i="132"/>
  <c r="Z67" i="132"/>
  <c r="Z68" i="132"/>
  <c r="AB67" i="132"/>
  <c r="AB68" i="132"/>
  <c r="AC67" i="132"/>
  <c r="AC68" i="132"/>
  <c r="AI67" i="132"/>
  <c r="AI68" i="132"/>
  <c r="AJ67" i="132"/>
  <c r="AJ68" i="132"/>
  <c r="AK67" i="132"/>
  <c r="AL67" i="132" s="1"/>
  <c r="AK68" i="132"/>
  <c r="AL68" i="132" s="1"/>
  <c r="Q69" i="132"/>
  <c r="S69" i="132"/>
  <c r="U69" i="132"/>
  <c r="V69" i="132" s="1"/>
  <c r="X69" i="132"/>
  <c r="Z69" i="132"/>
  <c r="AB69" i="132"/>
  <c r="AC69" i="132"/>
  <c r="AI69" i="132"/>
  <c r="AJ69" i="132"/>
  <c r="AK69" i="132"/>
  <c r="AL69" i="132" s="1"/>
  <c r="Q71" i="132"/>
  <c r="S71" i="132"/>
  <c r="U71" i="132"/>
  <c r="V71" i="132" s="1"/>
  <c r="X71" i="132"/>
  <c r="Z71" i="132"/>
  <c r="AB71" i="132"/>
  <c r="AC71" i="132"/>
  <c r="AI71" i="132"/>
  <c r="AJ71" i="132"/>
  <c r="AK71" i="132"/>
  <c r="AL71" i="132" s="1"/>
  <c r="Q86" i="132" l="1"/>
  <c r="S86" i="132"/>
  <c r="U86" i="132"/>
  <c r="V86" i="132" s="1"/>
  <c r="X86" i="132"/>
  <c r="Z86" i="132"/>
  <c r="AB86" i="132"/>
  <c r="AC86" i="132"/>
  <c r="AI86" i="132"/>
  <c r="AJ86" i="132"/>
  <c r="AK86" i="132"/>
  <c r="AL86" i="132" s="1"/>
  <c r="Q72" i="132"/>
  <c r="Q73" i="132"/>
  <c r="Q79" i="132"/>
  <c r="Q80" i="132"/>
  <c r="Q85" i="132"/>
  <c r="S72" i="132"/>
  <c r="S73" i="132"/>
  <c r="S79" i="132"/>
  <c r="S80" i="132"/>
  <c r="S85" i="132"/>
  <c r="U72" i="132"/>
  <c r="V72" i="132" s="1"/>
  <c r="U73" i="132"/>
  <c r="V73" i="132" s="1"/>
  <c r="U79" i="132"/>
  <c r="V79" i="132" s="1"/>
  <c r="U80" i="132"/>
  <c r="V80" i="132" s="1"/>
  <c r="U85" i="132"/>
  <c r="V85" i="132" s="1"/>
  <c r="X72" i="132"/>
  <c r="X73" i="132"/>
  <c r="X79" i="132"/>
  <c r="X80" i="132"/>
  <c r="X85" i="132"/>
  <c r="Z72" i="132"/>
  <c r="Z73" i="132"/>
  <c r="Z79" i="132"/>
  <c r="Z80" i="132"/>
  <c r="Z85" i="132"/>
  <c r="AB72" i="132"/>
  <c r="AB73" i="132"/>
  <c r="AB79" i="132"/>
  <c r="AB80" i="132"/>
  <c r="AB85" i="132"/>
  <c r="AC72" i="132"/>
  <c r="AC73" i="132"/>
  <c r="AC79" i="132"/>
  <c r="AC80" i="132"/>
  <c r="AC85" i="132"/>
  <c r="AI72" i="132"/>
  <c r="AI73" i="132"/>
  <c r="AI79" i="132"/>
  <c r="AI80" i="132"/>
  <c r="AI85" i="132"/>
  <c r="AJ72" i="132"/>
  <c r="AJ73" i="132"/>
  <c r="AJ79" i="132"/>
  <c r="AJ80" i="132"/>
  <c r="AJ85" i="132"/>
  <c r="AK72" i="132"/>
  <c r="AL72" i="132" s="1"/>
  <c r="AK73" i="132"/>
  <c r="AL73" i="132" s="1"/>
  <c r="AK79" i="132"/>
  <c r="AL79" i="132" s="1"/>
  <c r="AK80" i="132"/>
  <c r="AL80" i="132" s="1"/>
  <c r="AK85" i="132"/>
  <c r="AL85" i="132" s="1"/>
  <c r="Q66" i="132"/>
  <c r="S66" i="132"/>
  <c r="U66" i="132"/>
  <c r="V66" i="132" s="1"/>
  <c r="X66" i="132"/>
  <c r="Z66" i="132"/>
  <c r="AB66" i="132"/>
  <c r="AC66" i="132"/>
  <c r="AI66" i="132"/>
  <c r="AJ66" i="132"/>
  <c r="AK66" i="132"/>
  <c r="AL66" i="132" s="1"/>
  <c r="Q65" i="132" l="1"/>
  <c r="S65" i="132"/>
  <c r="U65" i="132"/>
  <c r="V65" i="132" s="1"/>
  <c r="X65" i="132"/>
  <c r="Z65" i="132"/>
  <c r="AC65" i="132"/>
  <c r="AI65" i="132"/>
  <c r="AJ65" i="132"/>
  <c r="AK65" i="132"/>
  <c r="AL65" i="132" s="1"/>
  <c r="AB65" i="132" l="1"/>
  <c r="Q64" i="132"/>
  <c r="S64" i="132"/>
  <c r="U64" i="132"/>
  <c r="V64" i="132" s="1"/>
  <c r="X64" i="132"/>
  <c r="Z64" i="132"/>
  <c r="AC64" i="132"/>
  <c r="AI64" i="132"/>
  <c r="AJ64" i="132"/>
  <c r="AK64" i="132"/>
  <c r="AL64" i="132" s="1"/>
  <c r="Q63" i="132"/>
  <c r="S63" i="132"/>
  <c r="U63" i="132"/>
  <c r="V63" i="132" s="1"/>
  <c r="X63" i="132"/>
  <c r="Z63" i="132"/>
  <c r="AB63" i="132"/>
  <c r="AC63" i="132"/>
  <c r="AI63" i="132"/>
  <c r="AJ63" i="132"/>
  <c r="AK63" i="132"/>
  <c r="AL63" i="132" s="1"/>
  <c r="Q62" i="132"/>
  <c r="S62" i="132"/>
  <c r="U62" i="132"/>
  <c r="V62" i="132" s="1"/>
  <c r="X62" i="132"/>
  <c r="Z62" i="132"/>
  <c r="AC62" i="132"/>
  <c r="AI62" i="132"/>
  <c r="AJ62" i="132"/>
  <c r="AK62" i="132"/>
  <c r="AL62" i="132" s="1"/>
  <c r="AB62" i="132" l="1"/>
  <c r="AB64" i="132"/>
  <c r="Y6" i="132"/>
  <c r="U6" i="132"/>
  <c r="AB6" i="132" s="1"/>
  <c r="AC5" i="132" l="1"/>
  <c r="AC7" i="132"/>
  <c r="U56" i="132"/>
  <c r="U55" i="132" l="1"/>
  <c r="Q61" i="132" l="1"/>
  <c r="S61" i="132"/>
  <c r="V61" i="132"/>
  <c r="X61" i="132"/>
  <c r="Z61" i="132"/>
  <c r="AB61" i="132"/>
  <c r="AC61" i="132"/>
  <c r="AI61" i="132"/>
  <c r="AJ61" i="132"/>
  <c r="AK61" i="132"/>
  <c r="AL61" i="132" s="1"/>
  <c r="U53" i="132" l="1"/>
  <c r="Q60" i="132" l="1"/>
  <c r="S60" i="132"/>
  <c r="V60" i="132"/>
  <c r="X60" i="132"/>
  <c r="Z60" i="132"/>
  <c r="AB60" i="132"/>
  <c r="AC60" i="132"/>
  <c r="AI60" i="132"/>
  <c r="AJ60" i="132"/>
  <c r="AK60" i="132"/>
  <c r="AL60" i="132" s="1"/>
  <c r="Q59" i="132"/>
  <c r="S59" i="132"/>
  <c r="V59" i="132"/>
  <c r="X59" i="132"/>
  <c r="Z59" i="132"/>
  <c r="AB59" i="132"/>
  <c r="AC59" i="132"/>
  <c r="AI59" i="132"/>
  <c r="AJ59" i="132"/>
  <c r="AK59" i="132"/>
  <c r="AL59" i="132" s="1"/>
  <c r="Q58" i="132"/>
  <c r="S58" i="132"/>
  <c r="V58" i="132"/>
  <c r="X58" i="132"/>
  <c r="Z58" i="132"/>
  <c r="AB58" i="132"/>
  <c r="AC58" i="132"/>
  <c r="AI58" i="132"/>
  <c r="AJ58" i="132"/>
  <c r="AK58" i="132"/>
  <c r="AL58" i="132" s="1"/>
  <c r="Q57" i="132"/>
  <c r="S57" i="132"/>
  <c r="V57" i="132"/>
  <c r="X57" i="132"/>
  <c r="Z57" i="132"/>
  <c r="AB57" i="132"/>
  <c r="AC57" i="132"/>
  <c r="AI57" i="132"/>
  <c r="AJ57" i="132"/>
  <c r="AK57" i="132"/>
  <c r="AL57" i="132" s="1"/>
  <c r="Q56" i="132" l="1"/>
  <c r="S56" i="132"/>
  <c r="V56" i="132"/>
  <c r="X56" i="132"/>
  <c r="Z56" i="132"/>
  <c r="AB56" i="132"/>
  <c r="AI56" i="132"/>
  <c r="AJ56" i="132"/>
  <c r="AK56" i="132"/>
  <c r="AL56" i="132" s="1"/>
  <c r="Q53" i="132"/>
  <c r="Q54" i="132"/>
  <c r="Q55" i="132"/>
  <c r="S53" i="132"/>
  <c r="S54" i="132"/>
  <c r="S55" i="132"/>
  <c r="V53" i="132"/>
  <c r="V54" i="132"/>
  <c r="V55" i="132"/>
  <c r="X53" i="132"/>
  <c r="X54" i="132"/>
  <c r="X55" i="132"/>
  <c r="Z53" i="132"/>
  <c r="Z54" i="132"/>
  <c r="Z55" i="132"/>
  <c r="AI53" i="132"/>
  <c r="AI54" i="132"/>
  <c r="AI55" i="132"/>
  <c r="AJ53" i="132"/>
  <c r="AJ54" i="132"/>
  <c r="AJ55" i="132"/>
  <c r="AK53" i="132"/>
  <c r="AL53" i="132" s="1"/>
  <c r="AK54" i="132"/>
  <c r="AL54" i="132" s="1"/>
  <c r="AK55" i="132"/>
  <c r="AL55" i="132" s="1"/>
  <c r="AB53" i="132" l="1"/>
  <c r="AB55" i="132"/>
  <c r="Q40" i="132"/>
  <c r="S40" i="132"/>
  <c r="U40" i="132"/>
  <c r="V40" i="132" s="1"/>
  <c r="X40" i="132"/>
  <c r="Z40" i="132"/>
  <c r="AC40" i="132"/>
  <c r="AI40" i="132"/>
  <c r="AJ40" i="132"/>
  <c r="AK40" i="132"/>
  <c r="AL40" i="132" s="1"/>
  <c r="AB40" i="132" l="1"/>
  <c r="Q35" i="132"/>
  <c r="S35" i="132"/>
  <c r="U35" i="132"/>
  <c r="V35" i="132" s="1"/>
  <c r="X35" i="132"/>
  <c r="Z35" i="132"/>
  <c r="AC35" i="132"/>
  <c r="AI35" i="132"/>
  <c r="AJ35" i="132"/>
  <c r="AK35" i="132"/>
  <c r="AL35" i="132" s="1"/>
  <c r="Q22" i="132"/>
  <c r="S22" i="132"/>
  <c r="U22" i="132"/>
  <c r="V22" i="132" s="1"/>
  <c r="X22" i="132"/>
  <c r="Z22" i="132"/>
  <c r="AC22" i="132"/>
  <c r="AI22" i="132"/>
  <c r="AJ22" i="132"/>
  <c r="AK22" i="132"/>
  <c r="AL22" i="132" s="1"/>
  <c r="AB35" i="132" l="1"/>
  <c r="AB22" i="132"/>
  <c r="Q16" i="132"/>
  <c r="S16" i="132"/>
  <c r="V16" i="132"/>
  <c r="X16" i="132"/>
  <c r="Z16" i="132"/>
  <c r="AB16" i="132"/>
  <c r="AC16" i="132"/>
  <c r="AI16" i="132"/>
  <c r="AJ16" i="132"/>
  <c r="AK16" i="132"/>
  <c r="AL16" i="132" s="1"/>
  <c r="Q47" i="132" l="1"/>
  <c r="S47" i="132"/>
  <c r="U47" i="132"/>
  <c r="V47" i="132" s="1"/>
  <c r="X47" i="132"/>
  <c r="Z47" i="132"/>
  <c r="AC47" i="132"/>
  <c r="AI47" i="132"/>
  <c r="AJ47" i="132"/>
  <c r="AK47" i="132"/>
  <c r="AL47" i="132" s="1"/>
  <c r="Q30" i="132"/>
  <c r="S30" i="132"/>
  <c r="U30" i="132"/>
  <c r="V30" i="132" s="1"/>
  <c r="X30" i="132"/>
  <c r="Z30" i="132"/>
  <c r="AC30" i="132"/>
  <c r="AI30" i="132"/>
  <c r="AJ30" i="132"/>
  <c r="AK30" i="132"/>
  <c r="AL30" i="132" s="1"/>
  <c r="Q10" i="132"/>
  <c r="S10" i="132"/>
  <c r="U10" i="132"/>
  <c r="V10" i="132" s="1"/>
  <c r="X10" i="132"/>
  <c r="Z10" i="132"/>
  <c r="AC10" i="132"/>
  <c r="AI10" i="132"/>
  <c r="AJ10" i="132"/>
  <c r="AK10" i="132"/>
  <c r="AL10" i="132" s="1"/>
  <c r="Q41" i="132"/>
  <c r="S41" i="132"/>
  <c r="V41" i="132"/>
  <c r="X41" i="132"/>
  <c r="Z41" i="132"/>
  <c r="AB41" i="132"/>
  <c r="AC41" i="132"/>
  <c r="AI41" i="132"/>
  <c r="AJ41" i="132"/>
  <c r="AK41" i="132"/>
  <c r="AL41" i="132" s="1"/>
  <c r="AB47" i="132" l="1"/>
  <c r="AB10" i="132"/>
  <c r="AB30" i="132"/>
  <c r="Q48" i="132"/>
  <c r="S48" i="132"/>
  <c r="V48" i="132"/>
  <c r="X48" i="132"/>
  <c r="Z48" i="132"/>
  <c r="AB48" i="132"/>
  <c r="AC48" i="132"/>
  <c r="AI48" i="132"/>
  <c r="AJ48" i="132"/>
  <c r="AK48" i="132"/>
  <c r="AL48" i="132" s="1"/>
  <c r="Q43" i="132" l="1"/>
  <c r="S43" i="132"/>
  <c r="U43" i="132"/>
  <c r="V43" i="132" s="1"/>
  <c r="X43" i="132"/>
  <c r="Z43" i="132"/>
  <c r="AC43" i="132"/>
  <c r="AJ43" i="132"/>
  <c r="AK43" i="132"/>
  <c r="AL43" i="132" s="1"/>
  <c r="Q14" i="132"/>
  <c r="S14" i="132"/>
  <c r="U14" i="132"/>
  <c r="V14" i="132" s="1"/>
  <c r="X14" i="132"/>
  <c r="Z14" i="132"/>
  <c r="AC14" i="132"/>
  <c r="AJ14" i="132"/>
  <c r="AK14" i="132"/>
  <c r="AL14" i="132" s="1"/>
  <c r="Q11" i="132"/>
  <c r="Q2" i="132"/>
  <c r="S11" i="132"/>
  <c r="S2" i="132"/>
  <c r="V11" i="132"/>
  <c r="U2" i="132"/>
  <c r="V2" i="132" s="1"/>
  <c r="X11" i="132"/>
  <c r="X2" i="132"/>
  <c r="Z11" i="132"/>
  <c r="Z2" i="132"/>
  <c r="AC11" i="132"/>
  <c r="AC2" i="132"/>
  <c r="AJ11" i="132"/>
  <c r="AJ2" i="132"/>
  <c r="AK11" i="132"/>
  <c r="AL11" i="132" s="1"/>
  <c r="AK2" i="132"/>
  <c r="AL2" i="132" s="1"/>
  <c r="AB11" i="132" l="1"/>
  <c r="AB14" i="132"/>
  <c r="AB43" i="132"/>
  <c r="AB2" i="132"/>
  <c r="Q7" i="132" l="1"/>
  <c r="S7" i="132"/>
  <c r="U7" i="132"/>
  <c r="V7" i="132" s="1"/>
  <c r="X7" i="132"/>
  <c r="Z7" i="132"/>
  <c r="AJ7" i="132"/>
  <c r="AK7" i="132"/>
  <c r="AL7" i="132" s="1"/>
  <c r="AB7" i="132" l="1"/>
  <c r="Q52" i="132"/>
  <c r="S52" i="132"/>
  <c r="U52" i="132"/>
  <c r="AB52" i="132" s="1"/>
  <c r="X52" i="132"/>
  <c r="Z52" i="132"/>
  <c r="AK52" i="132"/>
  <c r="AL52" i="132" s="1"/>
  <c r="Q13" i="132"/>
  <c r="S13" i="132"/>
  <c r="V13" i="132"/>
  <c r="X13" i="132"/>
  <c r="Z13" i="132"/>
  <c r="AB13" i="132"/>
  <c r="AC13" i="132"/>
  <c r="AK13" i="132"/>
  <c r="AL13" i="132"/>
  <c r="Q51" i="132"/>
  <c r="S51" i="132"/>
  <c r="U51" i="132"/>
  <c r="AB51" i="132" s="1"/>
  <c r="X51" i="132"/>
  <c r="Z51" i="132"/>
  <c r="AC51" i="132"/>
  <c r="AL51" i="132"/>
  <c r="Q34" i="132"/>
  <c r="S34" i="132"/>
  <c r="U34" i="132"/>
  <c r="AB34" i="132" s="1"/>
  <c r="X34" i="132"/>
  <c r="Z34" i="132"/>
  <c r="AC34" i="132"/>
  <c r="AK34" i="132"/>
  <c r="AL34" i="132" s="1"/>
  <c r="Q3" i="132"/>
  <c r="S3" i="132"/>
  <c r="U3" i="132"/>
  <c r="AB3" i="132" s="1"/>
  <c r="X3" i="132"/>
  <c r="Z3" i="132"/>
  <c r="AC3" i="132"/>
  <c r="AK3" i="132"/>
  <c r="AL3" i="132" s="1"/>
  <c r="Q36" i="132"/>
  <c r="S36" i="132"/>
  <c r="U36" i="132"/>
  <c r="AB36" i="132" s="1"/>
  <c r="X36" i="132"/>
  <c r="Z36" i="132"/>
  <c r="AC36" i="132"/>
  <c r="AK36" i="132"/>
  <c r="AL36" i="132" s="1"/>
  <c r="Q5" i="132"/>
  <c r="S5" i="132"/>
  <c r="U5" i="132"/>
  <c r="AB5" i="132" s="1"/>
  <c r="X5" i="132"/>
  <c r="Z5" i="132"/>
  <c r="AK5" i="132"/>
  <c r="AL5" i="132" s="1"/>
  <c r="Q50" i="132"/>
  <c r="S50" i="132"/>
  <c r="V50" i="132"/>
  <c r="X50" i="132"/>
  <c r="Z50" i="132"/>
  <c r="AB50" i="132"/>
  <c r="AC50" i="132"/>
  <c r="AJ50" i="132"/>
  <c r="AK50" i="132"/>
  <c r="AL50" i="132"/>
  <c r="Q24" i="132"/>
  <c r="S24" i="132"/>
  <c r="V24" i="132"/>
  <c r="X24" i="132"/>
  <c r="Z24" i="132"/>
  <c r="AB24" i="132"/>
  <c r="AC24" i="132"/>
  <c r="AJ24" i="132"/>
  <c r="AK24" i="132"/>
  <c r="AL24" i="132"/>
  <c r="Q25" i="132"/>
  <c r="S25" i="132"/>
  <c r="V25" i="132"/>
  <c r="X25" i="132"/>
  <c r="Z25" i="132"/>
  <c r="AC25" i="132"/>
  <c r="AJ25" i="132"/>
  <c r="AK25" i="132"/>
  <c r="AL25" i="132" s="1"/>
  <c r="Q23" i="132"/>
  <c r="S23" i="132"/>
  <c r="V23" i="132"/>
  <c r="X23" i="132"/>
  <c r="Z23" i="132"/>
  <c r="AC23" i="132"/>
  <c r="AJ23" i="132"/>
  <c r="AK23" i="132"/>
  <c r="AL23" i="132" s="1"/>
  <c r="Q21" i="132"/>
  <c r="S21" i="132"/>
  <c r="U21" i="132"/>
  <c r="V21" i="132" s="1"/>
  <c r="X21" i="132"/>
  <c r="Z21" i="132"/>
  <c r="AC21" i="132"/>
  <c r="AJ21" i="132"/>
  <c r="AK21" i="132"/>
  <c r="AL21" i="132" s="1"/>
  <c r="Q15" i="132"/>
  <c r="S15" i="132"/>
  <c r="V15" i="132"/>
  <c r="X15" i="132"/>
  <c r="Z15" i="132"/>
  <c r="AC15" i="132"/>
  <c r="AJ15" i="132"/>
  <c r="AK15" i="132"/>
  <c r="AL15" i="132" s="1"/>
  <c r="Q19" i="132"/>
  <c r="S19" i="132"/>
  <c r="U19" i="132"/>
  <c r="V19" i="132" s="1"/>
  <c r="X19" i="132"/>
  <c r="Z19" i="132"/>
  <c r="AC19" i="132"/>
  <c r="AJ19" i="132"/>
  <c r="AK19" i="132"/>
  <c r="AL19" i="132" s="1"/>
  <c r="Q18" i="132"/>
  <c r="S18" i="132"/>
  <c r="U18" i="132"/>
  <c r="V18" i="132" s="1"/>
  <c r="X18" i="132"/>
  <c r="Z18" i="132"/>
  <c r="AC18" i="132"/>
  <c r="AJ18" i="132"/>
  <c r="AK18" i="132"/>
  <c r="AL18" i="132" s="1"/>
  <c r="Q4" i="132"/>
  <c r="S4" i="132"/>
  <c r="V4" i="132"/>
  <c r="X4" i="132"/>
  <c r="Z4" i="132"/>
  <c r="AJ4" i="132"/>
  <c r="AK4" i="132"/>
  <c r="AL4" i="132" s="1"/>
  <c r="Q6" i="132"/>
  <c r="S6" i="132"/>
  <c r="V6" i="132"/>
  <c r="X6" i="132"/>
  <c r="Z6" i="132"/>
  <c r="AJ6" i="132"/>
  <c r="AK6" i="132"/>
  <c r="AL6" i="132" s="1"/>
  <c r="Q9" i="132"/>
  <c r="S9" i="132"/>
  <c r="U9" i="132"/>
  <c r="X9" i="132"/>
  <c r="Z9" i="132"/>
  <c r="AJ9" i="132"/>
  <c r="AK9" i="132"/>
  <c r="AL9" i="132" s="1"/>
  <c r="Q8" i="132"/>
  <c r="S8" i="132"/>
  <c r="V8" i="132"/>
  <c r="X8" i="132"/>
  <c r="Z8" i="132"/>
  <c r="AJ8" i="132"/>
  <c r="AK8" i="132"/>
  <c r="AL8" i="132" s="1"/>
  <c r="Q12" i="132"/>
  <c r="S12" i="132"/>
  <c r="U12" i="132"/>
  <c r="V12" i="132" s="1"/>
  <c r="X12" i="132"/>
  <c r="Z12" i="132"/>
  <c r="AJ12" i="132"/>
  <c r="AK12" i="132"/>
  <c r="AL12" i="132" s="1"/>
  <c r="Q28" i="132"/>
  <c r="S28" i="132"/>
  <c r="U28" i="132"/>
  <c r="V28" i="132" s="1"/>
  <c r="X28" i="132"/>
  <c r="Z28" i="132"/>
  <c r="AC28" i="132"/>
  <c r="AJ28" i="132"/>
  <c r="AK28" i="132"/>
  <c r="AL28" i="132" s="1"/>
  <c r="Q31" i="132"/>
  <c r="S31" i="132"/>
  <c r="U31" i="132"/>
  <c r="V31" i="132" s="1"/>
  <c r="X31" i="132"/>
  <c r="Z31" i="132"/>
  <c r="AC31" i="132"/>
  <c r="AJ31" i="132"/>
  <c r="AK31" i="132"/>
  <c r="AL31" i="132" s="1"/>
  <c r="Q29" i="132"/>
  <c r="S29" i="132"/>
  <c r="U29" i="132"/>
  <c r="V29" i="132" s="1"/>
  <c r="X29" i="132"/>
  <c r="Z29" i="132"/>
  <c r="AC29" i="132"/>
  <c r="AJ29" i="132"/>
  <c r="AK29" i="132"/>
  <c r="AL29" i="132" s="1"/>
  <c r="Q27" i="132"/>
  <c r="S27" i="132"/>
  <c r="V27" i="132"/>
  <c r="X27" i="132"/>
  <c r="Z27" i="132"/>
  <c r="AB27" i="132"/>
  <c r="AC27" i="132"/>
  <c r="AJ27" i="132"/>
  <c r="AK27" i="132"/>
  <c r="AL27" i="132"/>
  <c r="Q33" i="132"/>
  <c r="S33" i="132"/>
  <c r="U33" i="132"/>
  <c r="V33" i="132" s="1"/>
  <c r="X33" i="132"/>
  <c r="Z33" i="132"/>
  <c r="AC33" i="132"/>
  <c r="AJ33" i="132"/>
  <c r="AK33" i="132"/>
  <c r="AL33" i="132" s="1"/>
  <c r="Q39" i="132"/>
  <c r="S39" i="132"/>
  <c r="U39" i="132"/>
  <c r="V39" i="132" s="1"/>
  <c r="X39" i="132"/>
  <c r="Z39" i="132"/>
  <c r="AC39" i="132"/>
  <c r="AJ39" i="132"/>
  <c r="AK39" i="132"/>
  <c r="AL39" i="132" s="1"/>
  <c r="Q38" i="132"/>
  <c r="S38" i="132"/>
  <c r="V38" i="132"/>
  <c r="X38" i="132"/>
  <c r="Z38" i="132"/>
  <c r="AB38" i="132"/>
  <c r="AC38" i="132"/>
  <c r="AJ38" i="132"/>
  <c r="AK38" i="132"/>
  <c r="AL38" i="132"/>
  <c r="Q42" i="132"/>
  <c r="S42" i="132"/>
  <c r="V42" i="132"/>
  <c r="X42" i="132"/>
  <c r="Z42" i="132"/>
  <c r="AB42" i="132"/>
  <c r="AC42" i="132"/>
  <c r="AJ42" i="132"/>
  <c r="AK42" i="132"/>
  <c r="AL42" i="132" s="1"/>
  <c r="Q37" i="132"/>
  <c r="S37" i="132"/>
  <c r="U37" i="132"/>
  <c r="X37" i="132"/>
  <c r="AC37" i="132"/>
  <c r="AJ37" i="132"/>
  <c r="AK37" i="132"/>
  <c r="AL37" i="132" s="1"/>
  <c r="Q45" i="132"/>
  <c r="S45" i="132"/>
  <c r="U45" i="132"/>
  <c r="V45" i="132" s="1"/>
  <c r="X45" i="132"/>
  <c r="Z45" i="132"/>
  <c r="AC45" i="132"/>
  <c r="AJ45" i="132"/>
  <c r="AK45" i="132"/>
  <c r="AL45" i="132" s="1"/>
  <c r="Q46" i="132"/>
  <c r="S46" i="132"/>
  <c r="U46" i="132"/>
  <c r="X46" i="132"/>
  <c r="AC46" i="132"/>
  <c r="AJ46" i="132"/>
  <c r="AK46" i="132"/>
  <c r="AL46" i="132" s="1"/>
  <c r="Q49" i="132"/>
  <c r="S49" i="132"/>
  <c r="U49" i="132"/>
  <c r="V49" i="132" s="1"/>
  <c r="X49" i="132"/>
  <c r="Z49" i="132"/>
  <c r="AC49" i="132"/>
  <c r="AJ49" i="132"/>
  <c r="AK49" i="132"/>
  <c r="AL49" i="132" s="1"/>
  <c r="Q26" i="132"/>
  <c r="S26" i="132"/>
  <c r="U26" i="132"/>
  <c r="V26" i="132" s="1"/>
  <c r="X26" i="132"/>
  <c r="Z26" i="132"/>
  <c r="AC26" i="132"/>
  <c r="AJ26" i="132"/>
  <c r="AK26" i="132"/>
  <c r="AL26" i="132" s="1"/>
  <c r="Q32" i="132"/>
  <c r="S32" i="132"/>
  <c r="U32" i="132"/>
  <c r="V32" i="132" s="1"/>
  <c r="X32" i="132"/>
  <c r="AC32" i="132"/>
  <c r="AJ32" i="132"/>
  <c r="AK32" i="132"/>
  <c r="AL32" i="132" s="1"/>
  <c r="Q44" i="132"/>
  <c r="S44" i="132"/>
  <c r="U44" i="132"/>
  <c r="V44" i="132" s="1"/>
  <c r="X44" i="132"/>
  <c r="Z44" i="132"/>
  <c r="AC44" i="132"/>
  <c r="AJ44" i="132"/>
  <c r="AK44" i="132"/>
  <c r="AL44" i="132" s="1"/>
  <c r="Q17" i="132"/>
  <c r="S17" i="132"/>
  <c r="U17" i="132"/>
  <c r="V17" i="132" s="1"/>
  <c r="X17" i="132"/>
  <c r="Z17" i="132"/>
  <c r="AC17" i="132"/>
  <c r="AJ17" i="132"/>
  <c r="AK17" i="132"/>
  <c r="AL17" i="132" s="1"/>
  <c r="Q20" i="132"/>
  <c r="S20" i="132"/>
  <c r="V20" i="132"/>
  <c r="X20" i="132"/>
  <c r="Z20" i="132"/>
  <c r="AB20" i="132"/>
  <c r="AC20" i="132"/>
  <c r="AJ20" i="132"/>
  <c r="AK20" i="132"/>
  <c r="AL20" i="132"/>
  <c r="V9" i="132" l="1"/>
  <c r="AB9" i="132"/>
  <c r="V46" i="132"/>
  <c r="Y46" i="132"/>
  <c r="Z46" i="132" s="1"/>
  <c r="AB31" i="132"/>
  <c r="V37" i="132"/>
  <c r="Z37" i="132"/>
  <c r="AB49" i="132"/>
  <c r="AB18" i="132"/>
  <c r="AB19" i="132"/>
  <c r="AB15" i="132"/>
  <c r="AB21" i="132"/>
  <c r="AB23" i="132"/>
  <c r="AB25" i="132"/>
  <c r="AB4" i="132"/>
  <c r="AB33" i="132"/>
  <c r="AB17" i="132"/>
  <c r="AB32" i="132"/>
  <c r="AB28" i="132"/>
  <c r="AB44" i="132"/>
  <c r="AB46" i="132"/>
  <c r="AB45" i="132"/>
  <c r="AB29" i="132"/>
  <c r="AB12" i="132"/>
  <c r="AB8" i="132"/>
  <c r="V3" i="132"/>
  <c r="AB37" i="132"/>
  <c r="V34" i="132"/>
  <c r="AB39" i="132"/>
  <c r="V36" i="132"/>
  <c r="V5" i="132"/>
  <c r="V51" i="132"/>
  <c r="V52" i="132"/>
  <c r="AB26" i="132"/>
  <c r="K2923" i="115" l="1"/>
  <c r="I2923" i="115"/>
  <c r="H2923" i="115"/>
  <c r="G2923" i="115"/>
  <c r="F2923" i="115"/>
  <c r="E2923" i="115"/>
  <c r="A2923" i="115"/>
  <c r="K2922" i="115"/>
  <c r="I2922" i="115"/>
  <c r="H2922" i="115"/>
  <c r="G2922" i="115"/>
  <c r="F2922" i="115"/>
  <c r="E2922" i="115"/>
  <c r="A2922" i="115"/>
  <c r="K2921" i="115"/>
  <c r="I2921" i="115"/>
  <c r="H2921" i="115"/>
  <c r="G2921" i="115"/>
  <c r="F2921" i="115"/>
  <c r="E2921" i="115"/>
  <c r="A2921" i="115"/>
  <c r="K2920" i="115"/>
  <c r="I2920" i="115"/>
  <c r="H2920" i="115"/>
  <c r="G2920" i="115"/>
  <c r="F2920" i="115"/>
  <c r="E2920" i="115"/>
  <c r="A2920" i="115"/>
  <c r="K2919" i="115"/>
  <c r="I2919" i="115"/>
  <c r="H2919" i="115"/>
  <c r="G2919" i="115"/>
  <c r="F2919" i="115"/>
  <c r="E2919" i="115"/>
  <c r="A2919" i="115"/>
  <c r="K2918" i="115"/>
  <c r="I2918" i="115"/>
  <c r="H2918" i="115"/>
  <c r="G2918" i="115"/>
  <c r="F2918" i="115"/>
  <c r="E2918" i="115"/>
  <c r="A2918" i="115"/>
  <c r="K2917" i="115"/>
  <c r="I2917" i="115"/>
  <c r="H2917" i="115"/>
  <c r="G2917" i="115"/>
  <c r="F2917" i="115"/>
  <c r="E2917" i="115"/>
  <c r="A2917" i="115"/>
  <c r="K2916" i="115"/>
  <c r="I2916" i="115"/>
  <c r="H2916" i="115"/>
  <c r="G2916" i="115"/>
  <c r="F2916" i="115"/>
  <c r="E2916" i="115"/>
  <c r="A2916" i="115"/>
  <c r="K2915" i="115"/>
  <c r="I2915" i="115"/>
  <c r="H2915" i="115"/>
  <c r="G2915" i="115"/>
  <c r="F2915" i="115"/>
  <c r="E2915" i="115"/>
  <c r="A2915" i="115"/>
  <c r="K2914" i="115"/>
  <c r="I2914" i="115"/>
  <c r="H2914" i="115"/>
  <c r="G2914" i="115"/>
  <c r="F2914" i="115"/>
  <c r="E2914" i="115"/>
  <c r="A2914" i="115"/>
  <c r="K2913" i="115"/>
  <c r="I2913" i="115"/>
  <c r="H2913" i="115"/>
  <c r="G2913" i="115"/>
  <c r="F2913" i="115"/>
  <c r="E2913" i="115"/>
  <c r="A2913" i="115"/>
  <c r="K2912" i="115"/>
  <c r="I2912" i="115"/>
  <c r="H2912" i="115"/>
  <c r="G2912" i="115"/>
  <c r="F2912" i="115"/>
  <c r="E2912" i="115"/>
  <c r="A2912" i="115"/>
  <c r="K2911" i="115"/>
  <c r="I2911" i="115"/>
  <c r="H2911" i="115"/>
  <c r="G2911" i="115"/>
  <c r="F2911" i="115"/>
  <c r="E2911" i="115"/>
  <c r="A2911" i="115"/>
  <c r="K2910" i="115"/>
  <c r="I2910" i="115"/>
  <c r="H2910" i="115"/>
  <c r="G2910" i="115"/>
  <c r="F2910" i="115"/>
  <c r="E2910" i="115"/>
  <c r="A2910" i="115"/>
  <c r="K2909" i="115"/>
  <c r="I2909" i="115"/>
  <c r="H2909" i="115"/>
  <c r="G2909" i="115"/>
  <c r="F2909" i="115"/>
  <c r="E2909" i="115"/>
  <c r="A2909" i="115"/>
  <c r="K2908" i="115"/>
  <c r="I2908" i="115"/>
  <c r="H2908" i="115"/>
  <c r="G2908" i="115"/>
  <c r="F2908" i="115"/>
  <c r="E2908" i="115"/>
  <c r="A2908" i="115"/>
  <c r="K2907" i="115"/>
  <c r="I2907" i="115"/>
  <c r="H2907" i="115"/>
  <c r="G2907" i="115"/>
  <c r="F2907" i="115"/>
  <c r="E2907" i="115"/>
  <c r="A2907" i="115"/>
  <c r="K2906" i="115"/>
  <c r="I2906" i="115"/>
  <c r="H2906" i="115"/>
  <c r="G2906" i="115"/>
  <c r="F2906" i="115"/>
  <c r="E2906" i="115"/>
  <c r="A2906" i="115"/>
  <c r="K2905" i="115"/>
  <c r="I2905" i="115"/>
  <c r="H2905" i="115"/>
  <c r="G2905" i="115"/>
  <c r="F2905" i="115"/>
  <c r="E2905" i="115"/>
  <c r="A2905" i="115"/>
  <c r="K2904" i="115"/>
  <c r="I2904" i="115"/>
  <c r="H2904" i="115"/>
  <c r="G2904" i="115"/>
  <c r="F2904" i="115"/>
  <c r="E2904" i="115"/>
  <c r="A2904" i="115"/>
  <c r="K2903" i="115"/>
  <c r="I2903" i="115"/>
  <c r="H2903" i="115"/>
  <c r="G2903" i="115"/>
  <c r="F2903" i="115"/>
  <c r="E2903" i="115"/>
  <c r="A2903" i="115"/>
  <c r="K2902" i="115"/>
  <c r="I2902" i="115"/>
  <c r="H2902" i="115"/>
  <c r="G2902" i="115"/>
  <c r="F2902" i="115"/>
  <c r="E2902" i="115"/>
  <c r="A2902" i="115"/>
  <c r="K2901" i="115"/>
  <c r="I2901" i="115"/>
  <c r="H2901" i="115"/>
  <c r="G2901" i="115"/>
  <c r="F2901" i="115"/>
  <c r="E2901" i="115"/>
  <c r="A2901" i="115"/>
  <c r="K2900" i="115"/>
  <c r="I2900" i="115"/>
  <c r="H2900" i="115"/>
  <c r="G2900" i="115"/>
  <c r="F2900" i="115"/>
  <c r="E2900" i="115"/>
  <c r="A2900" i="115"/>
  <c r="K2899" i="115"/>
  <c r="I2899" i="115"/>
  <c r="H2899" i="115"/>
  <c r="G2899" i="115"/>
  <c r="F2899" i="115"/>
  <c r="E2899" i="115"/>
  <c r="A2899" i="115"/>
  <c r="K2898" i="115"/>
  <c r="I2898" i="115"/>
  <c r="H2898" i="115"/>
  <c r="G2898" i="115"/>
  <c r="F2898" i="115"/>
  <c r="E2898" i="115"/>
  <c r="A2898" i="115"/>
  <c r="K2897" i="115"/>
  <c r="I2897" i="115"/>
  <c r="H2897" i="115"/>
  <c r="G2897" i="115"/>
  <c r="F2897" i="115"/>
  <c r="E2897" i="115"/>
  <c r="A2897" i="115"/>
  <c r="K2896" i="115"/>
  <c r="I2896" i="115"/>
  <c r="H2896" i="115"/>
  <c r="G2896" i="115"/>
  <c r="F2896" i="115"/>
  <c r="E2896" i="115"/>
  <c r="A2896" i="115"/>
  <c r="K2895" i="115"/>
  <c r="I2895" i="115"/>
  <c r="H2895" i="115"/>
  <c r="G2895" i="115"/>
  <c r="F2895" i="115"/>
  <c r="E2895" i="115"/>
  <c r="A2895" i="115"/>
  <c r="K2894" i="115"/>
  <c r="I2894" i="115"/>
  <c r="H2894" i="115"/>
  <c r="G2894" i="115"/>
  <c r="F2894" i="115"/>
  <c r="E2894" i="115"/>
  <c r="A2894" i="115"/>
  <c r="K2893" i="115"/>
  <c r="I2893" i="115"/>
  <c r="H2893" i="115"/>
  <c r="G2893" i="115"/>
  <c r="F2893" i="115"/>
  <c r="E2893" i="115"/>
  <c r="A2893" i="115"/>
  <c r="K2892" i="115"/>
  <c r="I2892" i="115"/>
  <c r="H2892" i="115"/>
  <c r="G2892" i="115"/>
  <c r="F2892" i="115"/>
  <c r="E2892" i="115"/>
  <c r="A2892" i="115"/>
  <c r="K2891" i="115"/>
  <c r="I2891" i="115"/>
  <c r="H2891" i="115"/>
  <c r="G2891" i="115"/>
  <c r="F2891" i="115"/>
  <c r="E2891" i="115"/>
  <c r="A2891" i="115"/>
  <c r="K2890" i="115"/>
  <c r="I2890" i="115"/>
  <c r="H2890" i="115"/>
  <c r="G2890" i="115"/>
  <c r="F2890" i="115"/>
  <c r="E2890" i="115"/>
  <c r="A2890" i="115"/>
  <c r="K2889" i="115"/>
  <c r="I2889" i="115"/>
  <c r="H2889" i="115"/>
  <c r="G2889" i="115"/>
  <c r="F2889" i="115"/>
  <c r="E2889" i="115"/>
  <c r="A2889" i="115"/>
  <c r="K2888" i="115"/>
  <c r="I2888" i="115"/>
  <c r="H2888" i="115"/>
  <c r="G2888" i="115"/>
  <c r="F2888" i="115"/>
  <c r="E2888" i="115"/>
  <c r="A2888" i="115"/>
  <c r="K2887" i="115"/>
  <c r="I2887" i="115"/>
  <c r="H2887" i="115"/>
  <c r="G2887" i="115"/>
  <c r="F2887" i="115"/>
  <c r="E2887" i="115"/>
  <c r="A2887" i="115"/>
  <c r="K2886" i="115"/>
  <c r="I2886" i="115"/>
  <c r="H2886" i="115"/>
  <c r="G2886" i="115"/>
  <c r="F2886" i="115"/>
  <c r="E2886" i="115"/>
  <c r="A2886" i="115"/>
  <c r="K2885" i="115"/>
  <c r="I2885" i="115"/>
  <c r="H2885" i="115"/>
  <c r="G2885" i="115"/>
  <c r="F2885" i="115"/>
  <c r="E2885" i="115"/>
  <c r="A2885" i="115"/>
  <c r="K2884" i="115"/>
  <c r="I2884" i="115"/>
  <c r="H2884" i="115"/>
  <c r="G2884" i="115"/>
  <c r="F2884" i="115"/>
  <c r="E2884" i="115"/>
  <c r="A2884" i="115"/>
  <c r="K2883" i="115"/>
  <c r="I2883" i="115"/>
  <c r="H2883" i="115"/>
  <c r="G2883" i="115"/>
  <c r="F2883" i="115"/>
  <c r="E2883" i="115"/>
  <c r="A2883" i="115"/>
  <c r="K2882" i="115"/>
  <c r="I2882" i="115"/>
  <c r="H2882" i="115"/>
  <c r="G2882" i="115"/>
  <c r="F2882" i="115"/>
  <c r="E2882" i="115"/>
  <c r="A2882" i="115"/>
  <c r="K2881" i="115"/>
  <c r="I2881" i="115"/>
  <c r="H2881" i="115"/>
  <c r="G2881" i="115"/>
  <c r="F2881" i="115"/>
  <c r="E2881" i="115"/>
  <c r="A2881" i="115"/>
  <c r="K2880" i="115"/>
  <c r="I2880" i="115"/>
  <c r="H2880" i="115"/>
  <c r="G2880" i="115"/>
  <c r="F2880" i="115"/>
  <c r="E2880" i="115"/>
  <c r="A2880" i="115"/>
  <c r="K2879" i="115"/>
  <c r="I2879" i="115"/>
  <c r="H2879" i="115"/>
  <c r="G2879" i="115"/>
  <c r="F2879" i="115"/>
  <c r="E2879" i="115"/>
  <c r="A2879" i="115"/>
  <c r="K2878" i="115"/>
  <c r="I2878" i="115"/>
  <c r="H2878" i="115"/>
  <c r="G2878" i="115"/>
  <c r="F2878" i="115"/>
  <c r="E2878" i="115"/>
  <c r="A2878" i="115"/>
  <c r="K2877" i="115"/>
  <c r="I2877" i="115"/>
  <c r="H2877" i="115"/>
  <c r="G2877" i="115"/>
  <c r="F2877" i="115"/>
  <c r="E2877" i="115"/>
  <c r="A2877" i="115"/>
  <c r="K2876" i="115"/>
  <c r="I2876" i="115"/>
  <c r="H2876" i="115"/>
  <c r="G2876" i="115"/>
  <c r="F2876" i="115"/>
  <c r="E2876" i="115"/>
  <c r="A2876" i="115"/>
  <c r="K2875" i="115"/>
  <c r="I2875" i="115"/>
  <c r="H2875" i="115"/>
  <c r="G2875" i="115"/>
  <c r="F2875" i="115"/>
  <c r="E2875" i="115"/>
  <c r="A2875" i="115"/>
  <c r="K2874" i="115"/>
  <c r="I2874" i="115"/>
  <c r="H2874" i="115"/>
  <c r="G2874" i="115"/>
  <c r="F2874" i="115"/>
  <c r="E2874" i="115"/>
  <c r="A2874" i="115"/>
  <c r="K2873" i="115"/>
  <c r="I2873" i="115"/>
  <c r="H2873" i="115"/>
  <c r="G2873" i="115"/>
  <c r="F2873" i="115"/>
  <c r="E2873" i="115"/>
  <c r="A2873" i="115"/>
  <c r="K2872" i="115"/>
  <c r="I2872" i="115"/>
  <c r="H2872" i="115"/>
  <c r="G2872" i="115"/>
  <c r="F2872" i="115"/>
  <c r="E2872" i="115"/>
  <c r="A2872" i="115"/>
  <c r="K2871" i="115"/>
  <c r="I2871" i="115"/>
  <c r="H2871" i="115"/>
  <c r="G2871" i="115"/>
  <c r="F2871" i="115"/>
  <c r="E2871" i="115"/>
  <c r="A2871" i="115"/>
  <c r="K2870" i="115"/>
  <c r="I2870" i="115"/>
  <c r="H2870" i="115"/>
  <c r="G2870" i="115"/>
  <c r="F2870" i="115"/>
  <c r="E2870" i="115"/>
  <c r="A2870" i="115"/>
  <c r="K2869" i="115"/>
  <c r="I2869" i="115"/>
  <c r="H2869" i="115"/>
  <c r="G2869" i="115"/>
  <c r="F2869" i="115"/>
  <c r="E2869" i="115"/>
  <c r="A2869" i="115"/>
  <c r="K2868" i="115"/>
  <c r="I2868" i="115"/>
  <c r="H2868" i="115"/>
  <c r="G2868" i="115"/>
  <c r="F2868" i="115"/>
  <c r="E2868" i="115"/>
  <c r="A2868" i="115"/>
  <c r="K2867" i="115"/>
  <c r="I2867" i="115"/>
  <c r="H2867" i="115"/>
  <c r="G2867" i="115"/>
  <c r="F2867" i="115"/>
  <c r="E2867" i="115"/>
  <c r="A2867" i="115"/>
  <c r="K2866" i="115"/>
  <c r="I2866" i="115"/>
  <c r="H2866" i="115"/>
  <c r="G2866" i="115"/>
  <c r="F2866" i="115"/>
  <c r="E2866" i="115"/>
  <c r="A2866" i="115"/>
  <c r="K2865" i="115"/>
  <c r="I2865" i="115"/>
  <c r="H2865" i="115"/>
  <c r="G2865" i="115"/>
  <c r="F2865" i="115"/>
  <c r="E2865" i="115"/>
  <c r="A2865" i="115"/>
  <c r="K2864" i="115"/>
  <c r="I2864" i="115"/>
  <c r="H2864" i="115"/>
  <c r="G2864" i="115"/>
  <c r="F2864" i="115"/>
  <c r="E2864" i="115"/>
  <c r="A2864" i="115"/>
  <c r="K2863" i="115"/>
  <c r="I2863" i="115"/>
  <c r="H2863" i="115"/>
  <c r="G2863" i="115"/>
  <c r="F2863" i="115"/>
  <c r="E2863" i="115"/>
  <c r="A2863" i="115"/>
  <c r="K2862" i="115"/>
  <c r="I2862" i="115"/>
  <c r="H2862" i="115"/>
  <c r="G2862" i="115"/>
  <c r="F2862" i="115"/>
  <c r="E2862" i="115"/>
  <c r="A2862" i="115"/>
  <c r="K2861" i="115"/>
  <c r="I2861" i="115"/>
  <c r="H2861" i="115"/>
  <c r="G2861" i="115"/>
  <c r="F2861" i="115"/>
  <c r="E2861" i="115"/>
  <c r="A2861" i="115"/>
  <c r="K2860" i="115"/>
  <c r="I2860" i="115"/>
  <c r="H2860" i="115"/>
  <c r="G2860" i="115"/>
  <c r="F2860" i="115"/>
  <c r="E2860" i="115"/>
  <c r="A2860" i="115"/>
  <c r="K2859" i="115"/>
  <c r="I2859" i="115"/>
  <c r="H2859" i="115"/>
  <c r="G2859" i="115"/>
  <c r="F2859" i="115"/>
  <c r="E2859" i="115"/>
  <c r="A2859" i="115"/>
  <c r="K2858" i="115"/>
  <c r="I2858" i="115"/>
  <c r="H2858" i="115"/>
  <c r="G2858" i="115"/>
  <c r="F2858" i="115"/>
  <c r="E2858" i="115"/>
  <c r="A2858" i="115"/>
  <c r="K2857" i="115"/>
  <c r="I2857" i="115"/>
  <c r="H2857" i="115"/>
  <c r="G2857" i="115"/>
  <c r="F2857" i="115"/>
  <c r="E2857" i="115"/>
  <c r="A2857" i="115"/>
  <c r="K2856" i="115"/>
  <c r="I2856" i="115"/>
  <c r="H2856" i="115"/>
  <c r="G2856" i="115"/>
  <c r="F2856" i="115"/>
  <c r="E2856" i="115"/>
  <c r="A2856" i="115"/>
  <c r="K2855" i="115"/>
  <c r="I2855" i="115"/>
  <c r="H2855" i="115"/>
  <c r="G2855" i="115"/>
  <c r="F2855" i="115"/>
  <c r="E2855" i="115"/>
  <c r="A2855" i="115"/>
  <c r="K2854" i="115"/>
  <c r="I2854" i="115"/>
  <c r="H2854" i="115"/>
  <c r="G2854" i="115"/>
  <c r="F2854" i="115"/>
  <c r="E2854" i="115"/>
  <c r="A2854" i="115"/>
  <c r="K2853" i="115"/>
  <c r="I2853" i="115"/>
  <c r="H2853" i="115"/>
  <c r="G2853" i="115"/>
  <c r="F2853" i="115"/>
  <c r="E2853" i="115"/>
  <c r="A2853" i="115"/>
  <c r="K2852" i="115"/>
  <c r="I2852" i="115"/>
  <c r="H2852" i="115"/>
  <c r="G2852" i="115"/>
  <c r="F2852" i="115"/>
  <c r="E2852" i="115"/>
  <c r="A2852" i="115"/>
  <c r="K2851" i="115"/>
  <c r="I2851" i="115"/>
  <c r="H2851" i="115"/>
  <c r="G2851" i="115"/>
  <c r="F2851" i="115"/>
  <c r="E2851" i="115"/>
  <c r="A2851" i="115"/>
  <c r="K2850" i="115"/>
  <c r="I2850" i="115"/>
  <c r="H2850" i="115"/>
  <c r="G2850" i="115"/>
  <c r="F2850" i="115"/>
  <c r="E2850" i="115"/>
  <c r="A2850" i="115"/>
  <c r="K2849" i="115"/>
  <c r="I2849" i="115"/>
  <c r="H2849" i="115"/>
  <c r="G2849" i="115"/>
  <c r="F2849" i="115"/>
  <c r="E2849" i="115"/>
  <c r="A2849" i="115"/>
  <c r="K2848" i="115"/>
  <c r="I2848" i="115"/>
  <c r="H2848" i="115"/>
  <c r="G2848" i="115"/>
  <c r="F2848" i="115"/>
  <c r="E2848" i="115"/>
  <c r="A2848" i="115"/>
  <c r="K2847" i="115"/>
  <c r="I2847" i="115"/>
  <c r="H2847" i="115"/>
  <c r="G2847" i="115"/>
  <c r="F2847" i="115"/>
  <c r="E2847" i="115"/>
  <c r="A2847" i="115"/>
  <c r="K2846" i="115"/>
  <c r="I2846" i="115"/>
  <c r="H2846" i="115"/>
  <c r="G2846" i="115"/>
  <c r="F2846" i="115"/>
  <c r="E2846" i="115"/>
  <c r="A2846" i="115"/>
  <c r="K2845" i="115"/>
  <c r="I2845" i="115"/>
  <c r="H2845" i="115"/>
  <c r="G2845" i="115"/>
  <c r="F2845" i="115"/>
  <c r="E2845" i="115"/>
  <c r="A2845" i="115"/>
  <c r="K2844" i="115"/>
  <c r="I2844" i="115"/>
  <c r="H2844" i="115"/>
  <c r="G2844" i="115"/>
  <c r="F2844" i="115"/>
  <c r="E2844" i="115"/>
  <c r="A2844" i="115"/>
  <c r="K2843" i="115"/>
  <c r="I2843" i="115"/>
  <c r="H2843" i="115"/>
  <c r="G2843" i="115"/>
  <c r="F2843" i="115"/>
  <c r="E2843" i="115"/>
  <c r="A2843" i="115"/>
  <c r="K2842" i="115"/>
  <c r="I2842" i="115"/>
  <c r="H2842" i="115"/>
  <c r="G2842" i="115"/>
  <c r="F2842" i="115"/>
  <c r="E2842" i="115"/>
  <c r="A2842" i="115"/>
  <c r="K2841" i="115"/>
  <c r="I2841" i="115"/>
  <c r="H2841" i="115"/>
  <c r="G2841" i="115"/>
  <c r="F2841" i="115"/>
  <c r="E2841" i="115"/>
  <c r="A2841" i="115"/>
  <c r="K2840" i="115"/>
  <c r="I2840" i="115"/>
  <c r="H2840" i="115"/>
  <c r="G2840" i="115"/>
  <c r="F2840" i="115"/>
  <c r="E2840" i="115"/>
  <c r="A2840" i="115"/>
  <c r="K2839" i="115"/>
  <c r="I2839" i="115"/>
  <c r="H2839" i="115"/>
  <c r="G2839" i="115"/>
  <c r="F2839" i="115"/>
  <c r="E2839" i="115"/>
  <c r="A2839" i="115"/>
  <c r="K2838" i="115"/>
  <c r="I2838" i="115"/>
  <c r="H2838" i="115"/>
  <c r="G2838" i="115"/>
  <c r="F2838" i="115"/>
  <c r="E2838" i="115"/>
  <c r="A2838" i="115"/>
  <c r="K2837" i="115"/>
  <c r="I2837" i="115"/>
  <c r="H2837" i="115"/>
  <c r="G2837" i="115"/>
  <c r="F2837" i="115"/>
  <c r="E2837" i="115"/>
  <c r="A2837" i="115"/>
  <c r="K2836" i="115"/>
  <c r="I2836" i="115"/>
  <c r="H2836" i="115"/>
  <c r="G2836" i="115"/>
  <c r="F2836" i="115"/>
  <c r="E2836" i="115"/>
  <c r="A2836" i="115"/>
  <c r="K2835" i="115"/>
  <c r="I2835" i="115"/>
  <c r="H2835" i="115"/>
  <c r="G2835" i="115"/>
  <c r="F2835" i="115"/>
  <c r="E2835" i="115"/>
  <c r="A2835" i="115"/>
  <c r="K2834" i="115"/>
  <c r="I2834" i="115"/>
  <c r="H2834" i="115"/>
  <c r="G2834" i="115"/>
  <c r="F2834" i="115"/>
  <c r="E2834" i="115"/>
  <c r="A2834" i="115"/>
  <c r="K2833" i="115"/>
  <c r="I2833" i="115"/>
  <c r="H2833" i="115"/>
  <c r="G2833" i="115"/>
  <c r="F2833" i="115"/>
  <c r="E2833" i="115"/>
  <c r="A2833" i="115"/>
  <c r="K2832" i="115"/>
  <c r="I2832" i="115"/>
  <c r="H2832" i="115"/>
  <c r="G2832" i="115"/>
  <c r="F2832" i="115"/>
  <c r="E2832" i="115"/>
  <c r="A2832" i="115"/>
  <c r="K2831" i="115"/>
  <c r="I2831" i="115"/>
  <c r="H2831" i="115"/>
  <c r="G2831" i="115"/>
  <c r="F2831" i="115"/>
  <c r="E2831" i="115"/>
  <c r="A2831" i="115"/>
  <c r="K2830" i="115"/>
  <c r="I2830" i="115"/>
  <c r="H2830" i="115"/>
  <c r="G2830" i="115"/>
  <c r="F2830" i="115"/>
  <c r="E2830" i="115"/>
  <c r="A2830" i="115"/>
  <c r="K2829" i="115"/>
  <c r="I2829" i="115"/>
  <c r="H2829" i="115"/>
  <c r="G2829" i="115"/>
  <c r="F2829" i="115"/>
  <c r="E2829" i="115"/>
  <c r="A2829" i="115"/>
  <c r="K2828" i="115"/>
  <c r="I2828" i="115"/>
  <c r="H2828" i="115"/>
  <c r="G2828" i="115"/>
  <c r="F2828" i="115"/>
  <c r="E2828" i="115"/>
  <c r="A2828" i="115"/>
  <c r="K2827" i="115"/>
  <c r="I2827" i="115"/>
  <c r="H2827" i="115"/>
  <c r="G2827" i="115"/>
  <c r="F2827" i="115"/>
  <c r="E2827" i="115"/>
  <c r="A2827" i="115"/>
  <c r="K2826" i="115"/>
  <c r="I2826" i="115"/>
  <c r="H2826" i="115"/>
  <c r="G2826" i="115"/>
  <c r="F2826" i="115"/>
  <c r="E2826" i="115"/>
  <c r="A2826" i="115"/>
  <c r="K2825" i="115"/>
  <c r="I2825" i="115"/>
  <c r="H2825" i="115"/>
  <c r="G2825" i="115"/>
  <c r="F2825" i="115"/>
  <c r="E2825" i="115"/>
  <c r="A2825" i="115"/>
  <c r="K2824" i="115"/>
  <c r="I2824" i="115"/>
  <c r="H2824" i="115"/>
  <c r="G2824" i="115"/>
  <c r="F2824" i="115"/>
  <c r="E2824" i="115"/>
  <c r="A2824" i="115"/>
  <c r="K2823" i="115"/>
  <c r="I2823" i="115"/>
  <c r="H2823" i="115"/>
  <c r="G2823" i="115"/>
  <c r="F2823" i="115"/>
  <c r="E2823" i="115"/>
  <c r="A2823" i="115"/>
  <c r="K2822" i="115"/>
  <c r="I2822" i="115"/>
  <c r="H2822" i="115"/>
  <c r="G2822" i="115"/>
  <c r="F2822" i="115"/>
  <c r="E2822" i="115"/>
  <c r="A2822" i="115"/>
  <c r="K2821" i="115"/>
  <c r="I2821" i="115"/>
  <c r="H2821" i="115"/>
  <c r="G2821" i="115"/>
  <c r="F2821" i="115"/>
  <c r="E2821" i="115"/>
  <c r="A2821" i="115"/>
  <c r="K2820" i="115"/>
  <c r="I2820" i="115"/>
  <c r="H2820" i="115"/>
  <c r="G2820" i="115"/>
  <c r="F2820" i="115"/>
  <c r="E2820" i="115"/>
  <c r="A2820" i="115"/>
  <c r="K2819" i="115"/>
  <c r="I2819" i="115"/>
  <c r="H2819" i="115"/>
  <c r="G2819" i="115"/>
  <c r="F2819" i="115"/>
  <c r="E2819" i="115"/>
  <c r="A2819" i="115"/>
  <c r="K2818" i="115"/>
  <c r="I2818" i="115"/>
  <c r="H2818" i="115"/>
  <c r="G2818" i="115"/>
  <c r="F2818" i="115"/>
  <c r="E2818" i="115"/>
  <c r="A2818" i="115"/>
  <c r="K2817" i="115"/>
  <c r="I2817" i="115"/>
  <c r="H2817" i="115"/>
  <c r="G2817" i="115"/>
  <c r="F2817" i="115"/>
  <c r="E2817" i="115"/>
  <c r="A2817" i="115"/>
  <c r="K2816" i="115"/>
  <c r="I2816" i="115"/>
  <c r="H2816" i="115"/>
  <c r="G2816" i="115"/>
  <c r="F2816" i="115"/>
  <c r="E2816" i="115"/>
  <c r="A2816" i="115"/>
  <c r="K2815" i="115"/>
  <c r="I2815" i="115"/>
  <c r="H2815" i="115"/>
  <c r="G2815" i="115"/>
  <c r="F2815" i="115"/>
  <c r="E2815" i="115"/>
  <c r="A2815" i="115"/>
  <c r="K2814" i="115"/>
  <c r="I2814" i="115"/>
  <c r="H2814" i="115"/>
  <c r="G2814" i="115"/>
  <c r="F2814" i="115"/>
  <c r="E2814" i="115"/>
  <c r="A2814" i="115"/>
  <c r="K2813" i="115"/>
  <c r="I2813" i="115"/>
  <c r="H2813" i="115"/>
  <c r="G2813" i="115"/>
  <c r="F2813" i="115"/>
  <c r="E2813" i="115"/>
  <c r="A2813" i="115"/>
  <c r="K2812" i="115"/>
  <c r="I2812" i="115"/>
  <c r="H2812" i="115"/>
  <c r="G2812" i="115"/>
  <c r="F2812" i="115"/>
  <c r="E2812" i="115"/>
  <c r="A2812" i="115"/>
  <c r="K2811" i="115"/>
  <c r="I2811" i="115"/>
  <c r="H2811" i="115"/>
  <c r="G2811" i="115"/>
  <c r="F2811" i="115"/>
  <c r="E2811" i="115"/>
  <c r="A2811" i="115"/>
  <c r="K2810" i="115"/>
  <c r="I2810" i="115"/>
  <c r="H2810" i="115"/>
  <c r="G2810" i="115"/>
  <c r="F2810" i="115"/>
  <c r="E2810" i="115"/>
  <c r="A2810" i="115"/>
  <c r="K2809" i="115"/>
  <c r="I2809" i="115"/>
  <c r="H2809" i="115"/>
  <c r="G2809" i="115"/>
  <c r="F2809" i="115"/>
  <c r="E2809" i="115"/>
  <c r="A2809" i="115"/>
  <c r="K2808" i="115"/>
  <c r="I2808" i="115"/>
  <c r="H2808" i="115"/>
  <c r="G2808" i="115"/>
  <c r="F2808" i="115"/>
  <c r="E2808" i="115"/>
  <c r="A2808" i="115"/>
  <c r="K2807" i="115"/>
  <c r="I2807" i="115"/>
  <c r="H2807" i="115"/>
  <c r="G2807" i="115"/>
  <c r="F2807" i="115"/>
  <c r="E2807" i="115"/>
  <c r="A2807" i="115"/>
  <c r="K2806" i="115"/>
  <c r="I2806" i="115"/>
  <c r="H2806" i="115"/>
  <c r="G2806" i="115"/>
  <c r="F2806" i="115"/>
  <c r="E2806" i="115"/>
  <c r="A2806" i="115"/>
  <c r="K2805" i="115"/>
  <c r="I2805" i="115"/>
  <c r="H2805" i="115"/>
  <c r="G2805" i="115"/>
  <c r="F2805" i="115"/>
  <c r="E2805" i="115"/>
  <c r="A2805" i="115"/>
  <c r="K2804" i="115"/>
  <c r="I2804" i="115"/>
  <c r="H2804" i="115"/>
  <c r="G2804" i="115"/>
  <c r="F2804" i="115"/>
  <c r="E2804" i="115"/>
  <c r="A2804" i="115"/>
  <c r="K2803" i="115"/>
  <c r="I2803" i="115"/>
  <c r="H2803" i="115"/>
  <c r="G2803" i="115"/>
  <c r="F2803" i="115"/>
  <c r="E2803" i="115"/>
  <c r="A2803" i="115"/>
  <c r="K2802" i="115"/>
  <c r="I2802" i="115"/>
  <c r="H2802" i="115"/>
  <c r="G2802" i="115"/>
  <c r="F2802" i="115"/>
  <c r="E2802" i="115"/>
  <c r="A2802" i="115"/>
  <c r="K2801" i="115"/>
  <c r="I2801" i="115"/>
  <c r="H2801" i="115"/>
  <c r="G2801" i="115"/>
  <c r="F2801" i="115"/>
  <c r="E2801" i="115"/>
  <c r="A2801" i="115"/>
  <c r="K2800" i="115"/>
  <c r="I2800" i="115"/>
  <c r="H2800" i="115"/>
  <c r="G2800" i="115"/>
  <c r="F2800" i="115"/>
  <c r="E2800" i="115"/>
  <c r="A2800" i="115"/>
  <c r="K2799" i="115"/>
  <c r="I2799" i="115"/>
  <c r="H2799" i="115"/>
  <c r="G2799" i="115"/>
  <c r="F2799" i="115"/>
  <c r="E2799" i="115"/>
  <c r="A2799" i="115"/>
  <c r="K2798" i="115"/>
  <c r="I2798" i="115"/>
  <c r="H2798" i="115"/>
  <c r="G2798" i="115"/>
  <c r="F2798" i="115"/>
  <c r="E2798" i="115"/>
  <c r="A2798" i="115"/>
  <c r="K2797" i="115"/>
  <c r="I2797" i="115"/>
  <c r="H2797" i="115"/>
  <c r="G2797" i="115"/>
  <c r="F2797" i="115"/>
  <c r="E2797" i="115"/>
  <c r="A2797" i="115"/>
  <c r="K2796" i="115"/>
  <c r="I2796" i="115"/>
  <c r="H2796" i="115"/>
  <c r="G2796" i="115"/>
  <c r="F2796" i="115"/>
  <c r="E2796" i="115"/>
  <c r="A2796" i="115"/>
  <c r="K2795" i="115"/>
  <c r="I2795" i="115"/>
  <c r="H2795" i="115"/>
  <c r="G2795" i="115"/>
  <c r="F2795" i="115"/>
  <c r="E2795" i="115"/>
  <c r="A2795" i="115"/>
  <c r="K2794" i="115"/>
  <c r="I2794" i="115"/>
  <c r="H2794" i="115"/>
  <c r="G2794" i="115"/>
  <c r="F2794" i="115"/>
  <c r="E2794" i="115"/>
  <c r="A2794" i="115"/>
  <c r="K2793" i="115"/>
  <c r="I2793" i="115"/>
  <c r="H2793" i="115"/>
  <c r="G2793" i="115"/>
  <c r="F2793" i="115"/>
  <c r="E2793" i="115"/>
  <c r="A2793" i="115"/>
  <c r="K2792" i="115"/>
  <c r="I2792" i="115"/>
  <c r="H2792" i="115"/>
  <c r="G2792" i="115"/>
  <c r="F2792" i="115"/>
  <c r="E2792" i="115"/>
  <c r="A2792" i="115"/>
  <c r="K2791" i="115"/>
  <c r="I2791" i="115"/>
  <c r="H2791" i="115"/>
  <c r="G2791" i="115"/>
  <c r="F2791" i="115"/>
  <c r="E2791" i="115"/>
  <c r="A2791" i="115"/>
  <c r="K2790" i="115"/>
  <c r="I2790" i="115"/>
  <c r="H2790" i="115"/>
  <c r="G2790" i="115"/>
  <c r="F2790" i="115"/>
  <c r="E2790" i="115"/>
  <c r="A2790" i="115"/>
  <c r="K2789" i="115"/>
  <c r="I2789" i="115"/>
  <c r="H2789" i="115"/>
  <c r="G2789" i="115"/>
  <c r="F2789" i="115"/>
  <c r="E2789" i="115"/>
  <c r="A2789" i="115"/>
  <c r="K2788" i="115"/>
  <c r="I2788" i="115"/>
  <c r="H2788" i="115"/>
  <c r="G2788" i="115"/>
  <c r="F2788" i="115"/>
  <c r="E2788" i="115"/>
  <c r="A2788" i="115"/>
  <c r="K2787" i="115"/>
  <c r="I2787" i="115"/>
  <c r="H2787" i="115"/>
  <c r="G2787" i="115"/>
  <c r="F2787" i="115"/>
  <c r="E2787" i="115"/>
  <c r="A2787" i="115"/>
  <c r="K2786" i="115"/>
  <c r="I2786" i="115"/>
  <c r="H2786" i="115"/>
  <c r="G2786" i="115"/>
  <c r="F2786" i="115"/>
  <c r="E2786" i="115"/>
  <c r="A2786" i="115"/>
  <c r="K2785" i="115"/>
  <c r="I2785" i="115"/>
  <c r="H2785" i="115"/>
  <c r="G2785" i="115"/>
  <c r="F2785" i="115"/>
  <c r="E2785" i="115"/>
  <c r="A2785" i="115"/>
  <c r="K2784" i="115"/>
  <c r="I2784" i="115"/>
  <c r="H2784" i="115"/>
  <c r="G2784" i="115"/>
  <c r="F2784" i="115"/>
  <c r="E2784" i="115"/>
  <c r="A2784" i="115"/>
  <c r="K2783" i="115"/>
  <c r="I2783" i="115"/>
  <c r="H2783" i="115"/>
  <c r="G2783" i="115"/>
  <c r="F2783" i="115"/>
  <c r="E2783" i="115"/>
  <c r="A2783" i="115"/>
  <c r="K2782" i="115"/>
  <c r="I2782" i="115"/>
  <c r="H2782" i="115"/>
  <c r="G2782" i="115"/>
  <c r="F2782" i="115"/>
  <c r="E2782" i="115"/>
  <c r="A2782" i="115"/>
  <c r="K2781" i="115"/>
  <c r="I2781" i="115"/>
  <c r="H2781" i="115"/>
  <c r="G2781" i="115"/>
  <c r="F2781" i="115"/>
  <c r="E2781" i="115"/>
  <c r="A2781" i="115"/>
  <c r="K2780" i="115"/>
  <c r="I2780" i="115"/>
  <c r="H2780" i="115"/>
  <c r="G2780" i="115"/>
  <c r="F2780" i="115"/>
  <c r="E2780" i="115"/>
  <c r="A2780" i="115"/>
  <c r="K2779" i="115"/>
  <c r="I2779" i="115"/>
  <c r="H2779" i="115"/>
  <c r="G2779" i="115"/>
  <c r="F2779" i="115"/>
  <c r="E2779" i="115"/>
  <c r="A2779" i="115"/>
  <c r="K2778" i="115"/>
  <c r="I2778" i="115"/>
  <c r="H2778" i="115"/>
  <c r="G2778" i="115"/>
  <c r="F2778" i="115"/>
  <c r="E2778" i="115"/>
  <c r="A2778" i="115"/>
  <c r="K2777" i="115"/>
  <c r="I2777" i="115"/>
  <c r="H2777" i="115"/>
  <c r="G2777" i="115"/>
  <c r="F2777" i="115"/>
  <c r="E2777" i="115"/>
  <c r="A2777" i="115"/>
  <c r="K2776" i="115"/>
  <c r="I2776" i="115"/>
  <c r="H2776" i="115"/>
  <c r="G2776" i="115"/>
  <c r="F2776" i="115"/>
  <c r="E2776" i="115"/>
  <c r="A2776" i="115"/>
  <c r="K2775" i="115"/>
  <c r="I2775" i="115"/>
  <c r="H2775" i="115"/>
  <c r="G2775" i="115"/>
  <c r="F2775" i="115"/>
  <c r="E2775" i="115"/>
  <c r="A2775" i="115"/>
  <c r="K2774" i="115"/>
  <c r="I2774" i="115"/>
  <c r="H2774" i="115"/>
  <c r="G2774" i="115"/>
  <c r="F2774" i="115"/>
  <c r="E2774" i="115"/>
  <c r="A2774" i="115"/>
  <c r="K2773" i="115"/>
  <c r="I2773" i="115"/>
  <c r="H2773" i="115"/>
  <c r="G2773" i="115"/>
  <c r="F2773" i="115"/>
  <c r="E2773" i="115"/>
  <c r="A2773" i="115"/>
  <c r="K2772" i="115"/>
  <c r="I2772" i="115"/>
  <c r="H2772" i="115"/>
  <c r="G2772" i="115"/>
  <c r="F2772" i="115"/>
  <c r="E2772" i="115"/>
  <c r="A2772" i="115"/>
  <c r="K2771" i="115"/>
  <c r="I2771" i="115"/>
  <c r="H2771" i="115"/>
  <c r="G2771" i="115"/>
  <c r="F2771" i="115"/>
  <c r="E2771" i="115"/>
  <c r="A2771" i="115"/>
  <c r="K2770" i="115"/>
  <c r="I2770" i="115"/>
  <c r="H2770" i="115"/>
  <c r="G2770" i="115"/>
  <c r="F2770" i="115"/>
  <c r="E2770" i="115"/>
  <c r="A2770" i="115"/>
  <c r="K2769" i="115"/>
  <c r="I2769" i="115"/>
  <c r="H2769" i="115"/>
  <c r="G2769" i="115"/>
  <c r="F2769" i="115"/>
  <c r="E2769" i="115"/>
  <c r="A2769" i="115"/>
  <c r="K2768" i="115"/>
  <c r="I2768" i="115"/>
  <c r="H2768" i="115"/>
  <c r="G2768" i="115"/>
  <c r="F2768" i="115"/>
  <c r="E2768" i="115"/>
  <c r="A2768" i="115"/>
  <c r="K2767" i="115"/>
  <c r="I2767" i="115"/>
  <c r="H2767" i="115"/>
  <c r="G2767" i="115"/>
  <c r="F2767" i="115"/>
  <c r="E2767" i="115"/>
  <c r="A2767" i="115"/>
  <c r="K2766" i="115"/>
  <c r="I2766" i="115"/>
  <c r="H2766" i="115"/>
  <c r="G2766" i="115"/>
  <c r="F2766" i="115"/>
  <c r="E2766" i="115"/>
  <c r="A2766" i="115"/>
  <c r="K2765" i="115"/>
  <c r="I2765" i="115"/>
  <c r="H2765" i="115"/>
  <c r="G2765" i="115"/>
  <c r="F2765" i="115"/>
  <c r="E2765" i="115"/>
  <c r="A2765" i="115"/>
  <c r="K2764" i="115"/>
  <c r="I2764" i="115"/>
  <c r="H2764" i="115"/>
  <c r="G2764" i="115"/>
  <c r="F2764" i="115"/>
  <c r="E2764" i="115"/>
  <c r="A2764" i="115"/>
  <c r="K2763" i="115"/>
  <c r="I2763" i="115"/>
  <c r="H2763" i="115"/>
  <c r="G2763" i="115"/>
  <c r="F2763" i="115"/>
  <c r="E2763" i="115"/>
  <c r="A2763" i="115"/>
  <c r="K2762" i="115"/>
  <c r="I2762" i="115"/>
  <c r="H2762" i="115"/>
  <c r="G2762" i="115"/>
  <c r="F2762" i="115"/>
  <c r="E2762" i="115"/>
  <c r="A2762" i="115"/>
  <c r="K2761" i="115"/>
  <c r="I2761" i="115"/>
  <c r="H2761" i="115"/>
  <c r="G2761" i="115"/>
  <c r="F2761" i="115"/>
  <c r="E2761" i="115"/>
  <c r="A2761" i="115"/>
  <c r="K2760" i="115"/>
  <c r="I2760" i="115"/>
  <c r="H2760" i="115"/>
  <c r="G2760" i="115"/>
  <c r="F2760" i="115"/>
  <c r="E2760" i="115"/>
  <c r="A2760" i="115"/>
  <c r="K2759" i="115"/>
  <c r="I2759" i="115"/>
  <c r="H2759" i="115"/>
  <c r="G2759" i="115"/>
  <c r="F2759" i="115"/>
  <c r="E2759" i="115"/>
  <c r="A2759" i="115"/>
  <c r="K2758" i="115"/>
  <c r="I2758" i="115"/>
  <c r="H2758" i="115"/>
  <c r="G2758" i="115"/>
  <c r="F2758" i="115"/>
  <c r="E2758" i="115"/>
  <c r="A2758" i="115"/>
  <c r="K2757" i="115"/>
  <c r="I2757" i="115"/>
  <c r="H2757" i="115"/>
  <c r="G2757" i="115"/>
  <c r="F2757" i="115"/>
  <c r="E2757" i="115"/>
  <c r="A2757" i="115"/>
  <c r="K2756" i="115"/>
  <c r="I2756" i="115"/>
  <c r="H2756" i="115"/>
  <c r="G2756" i="115"/>
  <c r="F2756" i="115"/>
  <c r="E2756" i="115"/>
  <c r="A2756" i="115"/>
  <c r="K2755" i="115"/>
  <c r="I2755" i="115"/>
  <c r="H2755" i="115"/>
  <c r="G2755" i="115"/>
  <c r="F2755" i="115"/>
  <c r="E2755" i="115"/>
  <c r="A2755" i="115"/>
  <c r="K2754" i="115"/>
  <c r="I2754" i="115"/>
  <c r="H2754" i="115"/>
  <c r="G2754" i="115"/>
  <c r="F2754" i="115"/>
  <c r="E2754" i="115"/>
  <c r="A2754" i="115"/>
  <c r="K2753" i="115"/>
  <c r="I2753" i="115"/>
  <c r="H2753" i="115"/>
  <c r="G2753" i="115"/>
  <c r="F2753" i="115"/>
  <c r="E2753" i="115"/>
  <c r="A2753" i="115"/>
  <c r="K2752" i="115"/>
  <c r="I2752" i="115"/>
  <c r="H2752" i="115"/>
  <c r="G2752" i="115"/>
  <c r="F2752" i="115"/>
  <c r="E2752" i="115"/>
  <c r="A2752" i="115"/>
  <c r="K2751" i="115"/>
  <c r="I2751" i="115"/>
  <c r="H2751" i="115"/>
  <c r="G2751" i="115"/>
  <c r="F2751" i="115"/>
  <c r="E2751" i="115"/>
  <c r="A2751" i="115"/>
  <c r="K2750" i="115"/>
  <c r="I2750" i="115"/>
  <c r="H2750" i="115"/>
  <c r="G2750" i="115"/>
  <c r="F2750" i="115"/>
  <c r="E2750" i="115"/>
  <c r="A2750" i="115"/>
  <c r="K2749" i="115"/>
  <c r="I2749" i="115"/>
  <c r="H2749" i="115"/>
  <c r="G2749" i="115"/>
  <c r="F2749" i="115"/>
  <c r="E2749" i="115"/>
  <c r="A2749" i="115"/>
  <c r="K2748" i="115"/>
  <c r="I2748" i="115"/>
  <c r="H2748" i="115"/>
  <c r="G2748" i="115"/>
  <c r="F2748" i="115"/>
  <c r="E2748" i="115"/>
  <c r="A2748" i="115"/>
  <c r="K2747" i="115"/>
  <c r="I2747" i="115"/>
  <c r="H2747" i="115"/>
  <c r="G2747" i="115"/>
  <c r="F2747" i="115"/>
  <c r="E2747" i="115"/>
  <c r="A2747" i="115"/>
  <c r="K2746" i="115"/>
  <c r="I2746" i="115"/>
  <c r="H2746" i="115"/>
  <c r="G2746" i="115"/>
  <c r="F2746" i="115"/>
  <c r="E2746" i="115"/>
  <c r="A2746" i="115"/>
  <c r="K2745" i="115"/>
  <c r="I2745" i="115"/>
  <c r="H2745" i="115"/>
  <c r="G2745" i="115"/>
  <c r="F2745" i="115"/>
  <c r="E2745" i="115"/>
  <c r="A2745" i="115"/>
  <c r="K2744" i="115"/>
  <c r="I2744" i="115"/>
  <c r="H2744" i="115"/>
  <c r="G2744" i="115"/>
  <c r="F2744" i="115"/>
  <c r="E2744" i="115"/>
  <c r="A2744" i="115"/>
  <c r="K2743" i="115"/>
  <c r="I2743" i="115"/>
  <c r="H2743" i="115"/>
  <c r="G2743" i="115"/>
  <c r="F2743" i="115"/>
  <c r="E2743" i="115"/>
  <c r="A2743" i="115"/>
  <c r="K2742" i="115"/>
  <c r="I2742" i="115"/>
  <c r="H2742" i="115"/>
  <c r="G2742" i="115"/>
  <c r="F2742" i="115"/>
  <c r="E2742" i="115"/>
  <c r="A2742" i="115"/>
  <c r="K2741" i="115"/>
  <c r="I2741" i="115"/>
  <c r="H2741" i="115"/>
  <c r="G2741" i="115"/>
  <c r="F2741" i="115"/>
  <c r="E2741" i="115"/>
  <c r="A2741" i="115"/>
  <c r="K2740" i="115"/>
  <c r="I2740" i="115"/>
  <c r="H2740" i="115"/>
  <c r="G2740" i="115"/>
  <c r="F2740" i="115"/>
  <c r="E2740" i="115"/>
  <c r="A2740" i="115"/>
  <c r="K2739" i="115"/>
  <c r="I2739" i="115"/>
  <c r="H2739" i="115"/>
  <c r="G2739" i="115"/>
  <c r="F2739" i="115"/>
  <c r="E2739" i="115"/>
  <c r="A2739" i="115"/>
  <c r="K2738" i="115"/>
  <c r="I2738" i="115"/>
  <c r="H2738" i="115"/>
  <c r="G2738" i="115"/>
  <c r="F2738" i="115"/>
  <c r="E2738" i="115"/>
  <c r="A2738" i="115"/>
  <c r="K2737" i="115"/>
  <c r="I2737" i="115"/>
  <c r="H2737" i="115"/>
  <c r="G2737" i="115"/>
  <c r="F2737" i="115"/>
  <c r="E2737" i="115"/>
  <c r="A2737" i="115"/>
  <c r="K2736" i="115"/>
  <c r="I2736" i="115"/>
  <c r="H2736" i="115"/>
  <c r="G2736" i="115"/>
  <c r="F2736" i="115"/>
  <c r="E2736" i="115"/>
  <c r="A2736" i="115"/>
  <c r="K2735" i="115"/>
  <c r="I2735" i="115"/>
  <c r="H2735" i="115"/>
  <c r="G2735" i="115"/>
  <c r="F2735" i="115"/>
  <c r="E2735" i="115"/>
  <c r="A2735" i="115"/>
  <c r="K2734" i="115"/>
  <c r="I2734" i="115"/>
  <c r="H2734" i="115"/>
  <c r="G2734" i="115"/>
  <c r="F2734" i="115"/>
  <c r="E2734" i="115"/>
  <c r="A2734" i="115"/>
  <c r="K2733" i="115"/>
  <c r="I2733" i="115"/>
  <c r="H2733" i="115"/>
  <c r="G2733" i="115"/>
  <c r="F2733" i="115"/>
  <c r="E2733" i="115"/>
  <c r="A2733" i="115"/>
  <c r="K2732" i="115"/>
  <c r="I2732" i="115"/>
  <c r="H2732" i="115"/>
  <c r="G2732" i="115"/>
  <c r="F2732" i="115"/>
  <c r="E2732" i="115"/>
  <c r="A2732" i="115"/>
  <c r="K2731" i="115"/>
  <c r="I2731" i="115"/>
  <c r="H2731" i="115"/>
  <c r="G2731" i="115"/>
  <c r="F2731" i="115"/>
  <c r="E2731" i="115"/>
  <c r="A2731" i="115"/>
  <c r="K2730" i="115"/>
  <c r="I2730" i="115"/>
  <c r="H2730" i="115"/>
  <c r="G2730" i="115"/>
  <c r="F2730" i="115"/>
  <c r="E2730" i="115"/>
  <c r="A2730" i="115"/>
  <c r="K2729" i="115"/>
  <c r="I2729" i="115"/>
  <c r="H2729" i="115"/>
  <c r="G2729" i="115"/>
  <c r="F2729" i="115"/>
  <c r="E2729" i="115"/>
  <c r="A2729" i="115"/>
  <c r="K2728" i="115"/>
  <c r="I2728" i="115"/>
  <c r="H2728" i="115"/>
  <c r="G2728" i="115"/>
  <c r="F2728" i="115"/>
  <c r="E2728" i="115"/>
  <c r="A2728" i="115"/>
  <c r="K2727" i="115"/>
  <c r="I2727" i="115"/>
  <c r="H2727" i="115"/>
  <c r="G2727" i="115"/>
  <c r="F2727" i="115"/>
  <c r="E2727" i="115"/>
  <c r="A2727" i="115"/>
  <c r="K2726" i="115"/>
  <c r="I2726" i="115"/>
  <c r="H2726" i="115"/>
  <c r="G2726" i="115"/>
  <c r="F2726" i="115"/>
  <c r="E2726" i="115"/>
  <c r="A2726" i="115"/>
  <c r="K2725" i="115"/>
  <c r="I2725" i="115"/>
  <c r="H2725" i="115"/>
  <c r="G2725" i="115"/>
  <c r="F2725" i="115"/>
  <c r="E2725" i="115"/>
  <c r="A2725" i="115"/>
  <c r="K2724" i="115"/>
  <c r="I2724" i="115"/>
  <c r="H2724" i="115"/>
  <c r="G2724" i="115"/>
  <c r="F2724" i="115"/>
  <c r="E2724" i="115"/>
  <c r="A2724" i="115"/>
  <c r="K2723" i="115"/>
  <c r="I2723" i="115"/>
  <c r="H2723" i="115"/>
  <c r="G2723" i="115"/>
  <c r="F2723" i="115"/>
  <c r="E2723" i="115"/>
  <c r="A2723" i="115"/>
  <c r="K2722" i="115"/>
  <c r="I2722" i="115"/>
  <c r="H2722" i="115"/>
  <c r="G2722" i="115"/>
  <c r="F2722" i="115"/>
  <c r="E2722" i="115"/>
  <c r="A2722" i="115"/>
  <c r="K2721" i="115"/>
  <c r="I2721" i="115"/>
  <c r="H2721" i="115"/>
  <c r="G2721" i="115"/>
  <c r="F2721" i="115"/>
  <c r="E2721" i="115"/>
  <c r="A2721" i="115"/>
  <c r="K2720" i="115"/>
  <c r="I2720" i="115"/>
  <c r="H2720" i="115"/>
  <c r="G2720" i="115"/>
  <c r="F2720" i="115"/>
  <c r="E2720" i="115"/>
  <c r="A2720" i="115"/>
  <c r="K2719" i="115"/>
  <c r="I2719" i="115"/>
  <c r="H2719" i="115"/>
  <c r="G2719" i="115"/>
  <c r="F2719" i="115"/>
  <c r="E2719" i="115"/>
  <c r="A2719" i="115"/>
  <c r="K2718" i="115"/>
  <c r="I2718" i="115"/>
  <c r="H2718" i="115"/>
  <c r="G2718" i="115"/>
  <c r="F2718" i="115"/>
  <c r="E2718" i="115"/>
  <c r="A2718" i="115"/>
  <c r="K2717" i="115"/>
  <c r="I2717" i="115"/>
  <c r="H2717" i="115"/>
  <c r="G2717" i="115"/>
  <c r="F2717" i="115"/>
  <c r="E2717" i="115"/>
  <c r="A2717" i="115"/>
  <c r="K2716" i="115"/>
  <c r="I2716" i="115"/>
  <c r="H2716" i="115"/>
  <c r="G2716" i="115"/>
  <c r="F2716" i="115"/>
  <c r="E2716" i="115"/>
  <c r="A2716" i="115"/>
  <c r="K2715" i="115"/>
  <c r="I2715" i="115"/>
  <c r="H2715" i="115"/>
  <c r="G2715" i="115"/>
  <c r="F2715" i="115"/>
  <c r="E2715" i="115"/>
  <c r="A2715" i="115"/>
  <c r="K2714" i="115"/>
  <c r="I2714" i="115"/>
  <c r="H2714" i="115"/>
  <c r="G2714" i="115"/>
  <c r="F2714" i="115"/>
  <c r="E2714" i="115"/>
  <c r="A2714" i="115"/>
  <c r="K2713" i="115"/>
  <c r="I2713" i="115"/>
  <c r="H2713" i="115"/>
  <c r="G2713" i="115"/>
  <c r="F2713" i="115"/>
  <c r="E2713" i="115"/>
  <c r="A2713" i="115"/>
  <c r="K2712" i="115"/>
  <c r="I2712" i="115"/>
  <c r="H2712" i="115"/>
  <c r="G2712" i="115"/>
  <c r="F2712" i="115"/>
  <c r="E2712" i="115"/>
  <c r="A2712" i="115"/>
  <c r="K2711" i="115"/>
  <c r="I2711" i="115"/>
  <c r="H2711" i="115"/>
  <c r="G2711" i="115"/>
  <c r="F2711" i="115"/>
  <c r="E2711" i="115"/>
  <c r="A2711" i="115"/>
  <c r="K2710" i="115"/>
  <c r="I2710" i="115"/>
  <c r="H2710" i="115"/>
  <c r="G2710" i="115"/>
  <c r="F2710" i="115"/>
  <c r="E2710" i="115"/>
  <c r="A2710" i="115"/>
  <c r="K2709" i="115"/>
  <c r="I2709" i="115"/>
  <c r="H2709" i="115"/>
  <c r="G2709" i="115"/>
  <c r="F2709" i="115"/>
  <c r="E2709" i="115"/>
  <c r="A2709" i="115"/>
  <c r="K2708" i="115"/>
  <c r="I2708" i="115"/>
  <c r="H2708" i="115"/>
  <c r="G2708" i="115"/>
  <c r="F2708" i="115"/>
  <c r="E2708" i="115"/>
  <c r="A2708" i="115"/>
  <c r="K2707" i="115"/>
  <c r="I2707" i="115"/>
  <c r="H2707" i="115"/>
  <c r="G2707" i="115"/>
  <c r="F2707" i="115"/>
  <c r="E2707" i="115"/>
  <c r="A2707" i="115"/>
  <c r="K2706" i="115"/>
  <c r="I2706" i="115"/>
  <c r="H2706" i="115"/>
  <c r="G2706" i="115"/>
  <c r="F2706" i="115"/>
  <c r="E2706" i="115"/>
  <c r="A2706" i="115"/>
  <c r="K2705" i="115"/>
  <c r="I2705" i="115"/>
  <c r="H2705" i="115"/>
  <c r="G2705" i="115"/>
  <c r="F2705" i="115"/>
  <c r="E2705" i="115"/>
  <c r="A2705" i="115"/>
  <c r="K2704" i="115"/>
  <c r="I2704" i="115"/>
  <c r="H2704" i="115"/>
  <c r="G2704" i="115"/>
  <c r="F2704" i="115"/>
  <c r="E2704" i="115"/>
  <c r="A2704" i="115"/>
  <c r="K2703" i="115"/>
  <c r="I2703" i="115"/>
  <c r="H2703" i="115"/>
  <c r="G2703" i="115"/>
  <c r="F2703" i="115"/>
  <c r="E2703" i="115"/>
  <c r="A2703" i="115"/>
  <c r="K2702" i="115"/>
  <c r="I2702" i="115"/>
  <c r="H2702" i="115"/>
  <c r="G2702" i="115"/>
  <c r="F2702" i="115"/>
  <c r="E2702" i="115"/>
  <c r="A2702" i="115"/>
  <c r="K2701" i="115"/>
  <c r="I2701" i="115"/>
  <c r="H2701" i="115"/>
  <c r="G2701" i="115"/>
  <c r="F2701" i="115"/>
  <c r="E2701" i="115"/>
  <c r="A2701" i="115"/>
  <c r="K2700" i="115"/>
  <c r="I2700" i="115"/>
  <c r="H2700" i="115"/>
  <c r="G2700" i="115"/>
  <c r="F2700" i="115"/>
  <c r="E2700" i="115"/>
  <c r="A2700" i="115"/>
  <c r="K2699" i="115"/>
  <c r="I2699" i="115"/>
  <c r="H2699" i="115"/>
  <c r="G2699" i="115"/>
  <c r="F2699" i="115"/>
  <c r="E2699" i="115"/>
  <c r="A2699" i="115"/>
  <c r="K2698" i="115"/>
  <c r="I2698" i="115"/>
  <c r="H2698" i="115"/>
  <c r="G2698" i="115"/>
  <c r="F2698" i="115"/>
  <c r="E2698" i="115"/>
  <c r="A2698" i="115"/>
  <c r="K2697" i="115"/>
  <c r="I2697" i="115"/>
  <c r="H2697" i="115"/>
  <c r="G2697" i="115"/>
  <c r="F2697" i="115"/>
  <c r="E2697" i="115"/>
  <c r="A2697" i="115"/>
  <c r="K2696" i="115"/>
  <c r="I2696" i="115"/>
  <c r="H2696" i="115"/>
  <c r="G2696" i="115"/>
  <c r="F2696" i="115"/>
  <c r="E2696" i="115"/>
  <c r="A2696" i="115"/>
  <c r="K2695" i="115"/>
  <c r="I2695" i="115"/>
  <c r="H2695" i="115"/>
  <c r="G2695" i="115"/>
  <c r="F2695" i="115"/>
  <c r="E2695" i="115"/>
  <c r="A2695" i="115"/>
  <c r="K2694" i="115"/>
  <c r="I2694" i="115"/>
  <c r="H2694" i="115"/>
  <c r="G2694" i="115"/>
  <c r="F2694" i="115"/>
  <c r="E2694" i="115"/>
  <c r="A2694" i="115"/>
  <c r="K2693" i="115"/>
  <c r="I2693" i="115"/>
  <c r="H2693" i="115"/>
  <c r="G2693" i="115"/>
  <c r="F2693" i="115"/>
  <c r="E2693" i="115"/>
  <c r="A2693" i="115"/>
  <c r="K2692" i="115"/>
  <c r="I2692" i="115"/>
  <c r="H2692" i="115"/>
  <c r="G2692" i="115"/>
  <c r="F2692" i="115"/>
  <c r="E2692" i="115"/>
  <c r="A2692" i="115"/>
  <c r="K2691" i="115"/>
  <c r="I2691" i="115"/>
  <c r="H2691" i="115"/>
  <c r="G2691" i="115"/>
  <c r="F2691" i="115"/>
  <c r="E2691" i="115"/>
  <c r="A2691" i="115"/>
  <c r="K2690" i="115"/>
  <c r="I2690" i="115"/>
  <c r="H2690" i="115"/>
  <c r="G2690" i="115"/>
  <c r="F2690" i="115"/>
  <c r="E2690" i="115"/>
  <c r="A2690" i="115"/>
  <c r="K2689" i="115"/>
  <c r="I2689" i="115"/>
  <c r="H2689" i="115"/>
  <c r="G2689" i="115"/>
  <c r="F2689" i="115"/>
  <c r="E2689" i="115"/>
  <c r="A2689" i="115"/>
  <c r="K2688" i="115"/>
  <c r="I2688" i="115"/>
  <c r="H2688" i="115"/>
  <c r="G2688" i="115"/>
  <c r="F2688" i="115"/>
  <c r="E2688" i="115"/>
  <c r="A2688" i="115"/>
  <c r="K2687" i="115"/>
  <c r="I2687" i="115"/>
  <c r="H2687" i="115"/>
  <c r="G2687" i="115"/>
  <c r="F2687" i="115"/>
  <c r="E2687" i="115"/>
  <c r="A2687" i="115"/>
  <c r="K2686" i="115"/>
  <c r="I2686" i="115"/>
  <c r="H2686" i="115"/>
  <c r="G2686" i="115"/>
  <c r="F2686" i="115"/>
  <c r="E2686" i="115"/>
  <c r="A2686" i="115"/>
  <c r="K2685" i="115"/>
  <c r="I2685" i="115"/>
  <c r="H2685" i="115"/>
  <c r="G2685" i="115"/>
  <c r="F2685" i="115"/>
  <c r="E2685" i="115"/>
  <c r="A2685" i="115"/>
  <c r="K2684" i="115"/>
  <c r="I2684" i="115"/>
  <c r="H2684" i="115"/>
  <c r="G2684" i="115"/>
  <c r="F2684" i="115"/>
  <c r="E2684" i="115"/>
  <c r="A2684" i="115"/>
  <c r="K2683" i="115"/>
  <c r="I2683" i="115"/>
  <c r="H2683" i="115"/>
  <c r="G2683" i="115"/>
  <c r="F2683" i="115"/>
  <c r="E2683" i="115"/>
  <c r="A2683" i="115"/>
  <c r="K2682" i="115"/>
  <c r="I2682" i="115"/>
  <c r="H2682" i="115"/>
  <c r="G2682" i="115"/>
  <c r="F2682" i="115"/>
  <c r="E2682" i="115"/>
  <c r="A2682" i="115"/>
  <c r="K2681" i="115"/>
  <c r="I2681" i="115"/>
  <c r="H2681" i="115"/>
  <c r="G2681" i="115"/>
  <c r="F2681" i="115"/>
  <c r="E2681" i="115"/>
  <c r="A2681" i="115"/>
  <c r="K2680" i="115"/>
  <c r="I2680" i="115"/>
  <c r="H2680" i="115"/>
  <c r="G2680" i="115"/>
  <c r="F2680" i="115"/>
  <c r="E2680" i="115"/>
  <c r="A2680" i="115"/>
  <c r="K2679" i="115"/>
  <c r="I2679" i="115"/>
  <c r="H2679" i="115"/>
  <c r="G2679" i="115"/>
  <c r="F2679" i="115"/>
  <c r="E2679" i="115"/>
  <c r="A2679" i="115"/>
  <c r="K2678" i="115"/>
  <c r="I2678" i="115"/>
  <c r="H2678" i="115"/>
  <c r="G2678" i="115"/>
  <c r="F2678" i="115"/>
  <c r="E2678" i="115"/>
  <c r="A2678" i="115"/>
  <c r="K2677" i="115"/>
  <c r="I2677" i="115"/>
  <c r="H2677" i="115"/>
  <c r="G2677" i="115"/>
  <c r="F2677" i="115"/>
  <c r="E2677" i="115"/>
  <c r="A2677" i="115"/>
  <c r="K2676" i="115"/>
  <c r="I2676" i="115"/>
  <c r="H2676" i="115"/>
  <c r="G2676" i="115"/>
  <c r="F2676" i="115"/>
  <c r="E2676" i="115"/>
  <c r="A2676" i="115"/>
  <c r="K2675" i="115"/>
  <c r="I2675" i="115"/>
  <c r="H2675" i="115"/>
  <c r="G2675" i="115"/>
  <c r="F2675" i="115"/>
  <c r="E2675" i="115"/>
  <c r="A2675" i="115"/>
  <c r="K2674" i="115"/>
  <c r="I2674" i="115"/>
  <c r="H2674" i="115"/>
  <c r="G2674" i="115"/>
  <c r="F2674" i="115"/>
  <c r="E2674" i="115"/>
  <c r="A2674" i="115"/>
  <c r="K2673" i="115"/>
  <c r="I2673" i="115"/>
  <c r="H2673" i="115"/>
  <c r="G2673" i="115"/>
  <c r="F2673" i="115"/>
  <c r="E2673" i="115"/>
  <c r="A2673" i="115"/>
  <c r="K2672" i="115"/>
  <c r="I2672" i="115"/>
  <c r="H2672" i="115"/>
  <c r="G2672" i="115"/>
  <c r="F2672" i="115"/>
  <c r="E2672" i="115"/>
  <c r="A2672" i="115"/>
  <c r="K2671" i="115"/>
  <c r="I2671" i="115"/>
  <c r="H2671" i="115"/>
  <c r="G2671" i="115"/>
  <c r="F2671" i="115"/>
  <c r="E2671" i="115"/>
  <c r="A2671" i="115"/>
  <c r="K2670" i="115"/>
  <c r="I2670" i="115"/>
  <c r="H2670" i="115"/>
  <c r="G2670" i="115"/>
  <c r="F2670" i="115"/>
  <c r="E2670" i="115"/>
  <c r="A2670" i="115"/>
  <c r="K2669" i="115"/>
  <c r="I2669" i="115"/>
  <c r="H2669" i="115"/>
  <c r="G2669" i="115"/>
  <c r="F2669" i="115"/>
  <c r="E2669" i="115"/>
  <c r="A2669" i="115"/>
  <c r="K2668" i="115"/>
  <c r="I2668" i="115"/>
  <c r="H2668" i="115"/>
  <c r="G2668" i="115"/>
  <c r="F2668" i="115"/>
  <c r="E2668" i="115"/>
  <c r="A2668" i="115"/>
  <c r="K2667" i="115"/>
  <c r="I2667" i="115"/>
  <c r="H2667" i="115"/>
  <c r="G2667" i="115"/>
  <c r="F2667" i="115"/>
  <c r="E2667" i="115"/>
  <c r="A2667" i="115"/>
  <c r="K2666" i="115"/>
  <c r="I2666" i="115"/>
  <c r="H2666" i="115"/>
  <c r="G2666" i="115"/>
  <c r="F2666" i="115"/>
  <c r="E2666" i="115"/>
  <c r="A2666" i="115"/>
  <c r="K2665" i="115"/>
  <c r="I2665" i="115"/>
  <c r="H2665" i="115"/>
  <c r="G2665" i="115"/>
  <c r="F2665" i="115"/>
  <c r="E2665" i="115"/>
  <c r="A2665" i="115"/>
  <c r="K2664" i="115"/>
  <c r="I2664" i="115"/>
  <c r="H2664" i="115"/>
  <c r="G2664" i="115"/>
  <c r="F2664" i="115"/>
  <c r="E2664" i="115"/>
  <c r="A2664" i="115"/>
  <c r="K2663" i="115"/>
  <c r="I2663" i="115"/>
  <c r="H2663" i="115"/>
  <c r="G2663" i="115"/>
  <c r="F2663" i="115"/>
  <c r="E2663" i="115"/>
  <c r="A2663" i="115"/>
  <c r="K2662" i="115"/>
  <c r="I2662" i="115"/>
  <c r="H2662" i="115"/>
  <c r="G2662" i="115"/>
  <c r="F2662" i="115"/>
  <c r="E2662" i="115"/>
  <c r="A2662" i="115"/>
  <c r="K2661" i="115"/>
  <c r="I2661" i="115"/>
  <c r="H2661" i="115"/>
  <c r="G2661" i="115"/>
  <c r="F2661" i="115"/>
  <c r="E2661" i="115"/>
  <c r="A2661" i="115"/>
  <c r="K2660" i="115"/>
  <c r="I2660" i="115"/>
  <c r="H2660" i="115"/>
  <c r="G2660" i="115"/>
  <c r="F2660" i="115"/>
  <c r="E2660" i="115"/>
  <c r="A2660" i="115"/>
  <c r="K2659" i="115"/>
  <c r="I2659" i="115"/>
  <c r="H2659" i="115"/>
  <c r="G2659" i="115"/>
  <c r="F2659" i="115"/>
  <c r="E2659" i="115"/>
  <c r="A2659" i="115"/>
  <c r="K2658" i="115"/>
  <c r="I2658" i="115"/>
  <c r="H2658" i="115"/>
  <c r="G2658" i="115"/>
  <c r="F2658" i="115"/>
  <c r="E2658" i="115"/>
  <c r="A2658" i="115"/>
  <c r="K2657" i="115"/>
  <c r="I2657" i="115"/>
  <c r="H2657" i="115"/>
  <c r="G2657" i="115"/>
  <c r="F2657" i="115"/>
  <c r="E2657" i="115"/>
  <c r="A2657" i="115"/>
  <c r="K2656" i="115"/>
  <c r="I2656" i="115"/>
  <c r="H2656" i="115"/>
  <c r="G2656" i="115"/>
  <c r="F2656" i="115"/>
  <c r="E2656" i="115"/>
  <c r="A2656" i="115"/>
  <c r="K2655" i="115"/>
  <c r="I2655" i="115"/>
  <c r="H2655" i="115"/>
  <c r="G2655" i="115"/>
  <c r="F2655" i="115"/>
  <c r="E2655" i="115"/>
  <c r="A2655" i="115"/>
  <c r="K2654" i="115"/>
  <c r="I2654" i="115"/>
  <c r="H2654" i="115"/>
  <c r="G2654" i="115"/>
  <c r="F2654" i="115"/>
  <c r="E2654" i="115"/>
  <c r="A2654" i="115"/>
  <c r="K2653" i="115"/>
  <c r="I2653" i="115"/>
  <c r="H2653" i="115"/>
  <c r="G2653" i="115"/>
  <c r="F2653" i="115"/>
  <c r="E2653" i="115"/>
  <c r="A2653" i="115"/>
  <c r="K2652" i="115"/>
  <c r="I2652" i="115"/>
  <c r="H2652" i="115"/>
  <c r="G2652" i="115"/>
  <c r="F2652" i="115"/>
  <c r="E2652" i="115"/>
  <c r="A2652" i="115"/>
  <c r="K2651" i="115"/>
  <c r="I2651" i="115"/>
  <c r="H2651" i="115"/>
  <c r="G2651" i="115"/>
  <c r="F2651" i="115"/>
  <c r="E2651" i="115"/>
  <c r="A2651" i="115"/>
  <c r="K2650" i="115"/>
  <c r="I2650" i="115"/>
  <c r="H2650" i="115"/>
  <c r="G2650" i="115"/>
  <c r="F2650" i="115"/>
  <c r="E2650" i="115"/>
  <c r="A2650" i="115"/>
  <c r="K2649" i="115"/>
  <c r="I2649" i="115"/>
  <c r="H2649" i="115"/>
  <c r="G2649" i="115"/>
  <c r="F2649" i="115"/>
  <c r="E2649" i="115"/>
  <c r="A2649" i="115"/>
  <c r="K2648" i="115"/>
  <c r="I2648" i="115"/>
  <c r="H2648" i="115"/>
  <c r="G2648" i="115"/>
  <c r="F2648" i="115"/>
  <c r="E2648" i="115"/>
  <c r="A2648" i="115"/>
  <c r="K2647" i="115"/>
  <c r="I2647" i="115"/>
  <c r="H2647" i="115"/>
  <c r="G2647" i="115"/>
  <c r="F2647" i="115"/>
  <c r="E2647" i="115"/>
  <c r="A2647" i="115"/>
  <c r="K2646" i="115"/>
  <c r="I2646" i="115"/>
  <c r="H2646" i="115"/>
  <c r="G2646" i="115"/>
  <c r="F2646" i="115"/>
  <c r="E2646" i="115"/>
  <c r="A2646" i="115"/>
  <c r="K2645" i="115"/>
  <c r="I2645" i="115"/>
  <c r="H2645" i="115"/>
  <c r="G2645" i="115"/>
  <c r="F2645" i="115"/>
  <c r="E2645" i="115"/>
  <c r="A2645" i="115"/>
  <c r="K2644" i="115"/>
  <c r="I2644" i="115"/>
  <c r="H2644" i="115"/>
  <c r="G2644" i="115"/>
  <c r="F2644" i="115"/>
  <c r="E2644" i="115"/>
  <c r="A2644" i="115"/>
  <c r="K2643" i="115"/>
  <c r="I2643" i="115"/>
  <c r="H2643" i="115"/>
  <c r="G2643" i="115"/>
  <c r="F2643" i="115"/>
  <c r="E2643" i="115"/>
  <c r="A2643" i="115"/>
  <c r="K2642" i="115"/>
  <c r="I2642" i="115"/>
  <c r="H2642" i="115"/>
  <c r="G2642" i="115"/>
  <c r="F2642" i="115"/>
  <c r="E2642" i="115"/>
  <c r="A2642" i="115"/>
  <c r="K2641" i="115"/>
  <c r="I2641" i="115"/>
  <c r="H2641" i="115"/>
  <c r="G2641" i="115"/>
  <c r="F2641" i="115"/>
  <c r="E2641" i="115"/>
  <c r="A2641" i="115"/>
  <c r="K2640" i="115"/>
  <c r="I2640" i="115"/>
  <c r="H2640" i="115"/>
  <c r="G2640" i="115"/>
  <c r="F2640" i="115"/>
  <c r="E2640" i="115"/>
  <c r="A2640" i="115"/>
  <c r="K2639" i="115"/>
  <c r="I2639" i="115"/>
  <c r="H2639" i="115"/>
  <c r="G2639" i="115"/>
  <c r="F2639" i="115"/>
  <c r="E2639" i="115"/>
  <c r="A2639" i="115"/>
  <c r="K2638" i="115"/>
  <c r="I2638" i="115"/>
  <c r="H2638" i="115"/>
  <c r="G2638" i="115"/>
  <c r="F2638" i="115"/>
  <c r="E2638" i="115"/>
  <c r="A2638" i="115"/>
  <c r="K2637" i="115"/>
  <c r="I2637" i="115"/>
  <c r="H2637" i="115"/>
  <c r="G2637" i="115"/>
  <c r="F2637" i="115"/>
  <c r="E2637" i="115"/>
  <c r="A2637" i="115"/>
  <c r="K2636" i="115"/>
  <c r="I2636" i="115"/>
  <c r="H2636" i="115"/>
  <c r="G2636" i="115"/>
  <c r="F2636" i="115"/>
  <c r="E2636" i="115"/>
  <c r="A2636" i="115"/>
  <c r="K2635" i="115"/>
  <c r="I2635" i="115"/>
  <c r="H2635" i="115"/>
  <c r="G2635" i="115"/>
  <c r="F2635" i="115"/>
  <c r="E2635" i="115"/>
  <c r="A2635" i="115"/>
  <c r="K2634" i="115"/>
  <c r="I2634" i="115"/>
  <c r="H2634" i="115"/>
  <c r="G2634" i="115"/>
  <c r="F2634" i="115"/>
  <c r="E2634" i="115"/>
  <c r="A2634" i="115"/>
  <c r="K2633" i="115"/>
  <c r="I2633" i="115"/>
  <c r="H2633" i="115"/>
  <c r="G2633" i="115"/>
  <c r="F2633" i="115"/>
  <c r="E2633" i="115"/>
  <c r="A2633" i="115"/>
  <c r="K2632" i="115"/>
  <c r="I2632" i="115"/>
  <c r="H2632" i="115"/>
  <c r="G2632" i="115"/>
  <c r="F2632" i="115"/>
  <c r="E2632" i="115"/>
  <c r="A2632" i="115"/>
  <c r="K2631" i="115"/>
  <c r="I2631" i="115"/>
  <c r="H2631" i="115"/>
  <c r="G2631" i="115"/>
  <c r="F2631" i="115"/>
  <c r="E2631" i="115"/>
  <c r="A2631" i="115"/>
  <c r="K2630" i="115"/>
  <c r="I2630" i="115"/>
  <c r="H2630" i="115"/>
  <c r="G2630" i="115"/>
  <c r="F2630" i="115"/>
  <c r="E2630" i="115"/>
  <c r="A2630" i="115"/>
  <c r="K2629" i="115"/>
  <c r="I2629" i="115"/>
  <c r="H2629" i="115"/>
  <c r="G2629" i="115"/>
  <c r="F2629" i="115"/>
  <c r="E2629" i="115"/>
  <c r="A2629" i="115"/>
  <c r="K2628" i="115"/>
  <c r="I2628" i="115"/>
  <c r="H2628" i="115"/>
  <c r="G2628" i="115"/>
  <c r="F2628" i="115"/>
  <c r="E2628" i="115"/>
  <c r="A2628" i="115"/>
  <c r="K2627" i="115"/>
  <c r="I2627" i="115"/>
  <c r="H2627" i="115"/>
  <c r="G2627" i="115"/>
  <c r="F2627" i="115"/>
  <c r="E2627" i="115"/>
  <c r="A2627" i="115"/>
  <c r="K2626" i="115"/>
  <c r="I2626" i="115"/>
  <c r="H2626" i="115"/>
  <c r="G2626" i="115"/>
  <c r="F2626" i="115"/>
  <c r="E2626" i="115"/>
  <c r="A2626" i="115"/>
  <c r="K2625" i="115"/>
  <c r="I2625" i="115"/>
  <c r="H2625" i="115"/>
  <c r="G2625" i="115"/>
  <c r="F2625" i="115"/>
  <c r="E2625" i="115"/>
  <c r="A2625" i="115"/>
  <c r="K2624" i="115"/>
  <c r="I2624" i="115"/>
  <c r="H2624" i="115"/>
  <c r="G2624" i="115"/>
  <c r="F2624" i="115"/>
  <c r="E2624" i="115"/>
  <c r="A2624" i="115"/>
  <c r="K2623" i="115"/>
  <c r="I2623" i="115"/>
  <c r="H2623" i="115"/>
  <c r="G2623" i="115"/>
  <c r="F2623" i="115"/>
  <c r="E2623" i="115"/>
  <c r="A2623" i="115"/>
  <c r="K2622" i="115"/>
  <c r="I2622" i="115"/>
  <c r="H2622" i="115"/>
  <c r="G2622" i="115"/>
  <c r="F2622" i="115"/>
  <c r="E2622" i="115"/>
  <c r="A2622" i="115"/>
  <c r="K2621" i="115"/>
  <c r="I2621" i="115"/>
  <c r="H2621" i="115"/>
  <c r="G2621" i="115"/>
  <c r="F2621" i="115"/>
  <c r="E2621" i="115"/>
  <c r="A2621" i="115"/>
  <c r="K2620" i="115"/>
  <c r="I2620" i="115"/>
  <c r="H2620" i="115"/>
  <c r="G2620" i="115"/>
  <c r="F2620" i="115"/>
  <c r="E2620" i="115"/>
  <c r="A2620" i="115"/>
  <c r="K2619" i="115"/>
  <c r="I2619" i="115"/>
  <c r="H2619" i="115"/>
  <c r="G2619" i="115"/>
  <c r="F2619" i="115"/>
  <c r="E2619" i="115"/>
  <c r="A2619" i="115"/>
  <c r="K2618" i="115"/>
  <c r="I2618" i="115"/>
  <c r="H2618" i="115"/>
  <c r="G2618" i="115"/>
  <c r="F2618" i="115"/>
  <c r="E2618" i="115"/>
  <c r="A2618" i="115"/>
  <c r="K2617" i="115"/>
  <c r="I2617" i="115"/>
  <c r="H2617" i="115"/>
  <c r="G2617" i="115"/>
  <c r="F2617" i="115"/>
  <c r="E2617" i="115"/>
  <c r="A2617" i="115"/>
  <c r="K2616" i="115"/>
  <c r="I2616" i="115"/>
  <c r="H2616" i="115"/>
  <c r="G2616" i="115"/>
  <c r="F2616" i="115"/>
  <c r="E2616" i="115"/>
  <c r="A2616" i="115"/>
  <c r="K2615" i="115"/>
  <c r="I2615" i="115"/>
  <c r="H2615" i="115"/>
  <c r="G2615" i="115"/>
  <c r="F2615" i="115"/>
  <c r="E2615" i="115"/>
  <c r="A2615" i="115"/>
  <c r="K2614" i="115"/>
  <c r="I2614" i="115"/>
  <c r="H2614" i="115"/>
  <c r="G2614" i="115"/>
  <c r="F2614" i="115"/>
  <c r="E2614" i="115"/>
  <c r="A2614" i="115"/>
  <c r="K2613" i="115"/>
  <c r="I2613" i="115"/>
  <c r="H2613" i="115"/>
  <c r="G2613" i="115"/>
  <c r="F2613" i="115"/>
  <c r="E2613" i="115"/>
  <c r="A2613" i="115"/>
  <c r="K2612" i="115"/>
  <c r="I2612" i="115"/>
  <c r="H2612" i="115"/>
  <c r="G2612" i="115"/>
  <c r="F2612" i="115"/>
  <c r="E2612" i="115"/>
  <c r="A2612" i="115"/>
  <c r="K2611" i="115"/>
  <c r="I2611" i="115"/>
  <c r="H2611" i="115"/>
  <c r="G2611" i="115"/>
  <c r="F2611" i="115"/>
  <c r="E2611" i="115"/>
  <c r="A2611" i="115"/>
  <c r="K2610" i="115"/>
  <c r="I2610" i="115"/>
  <c r="H2610" i="115"/>
  <c r="G2610" i="115"/>
  <c r="F2610" i="115"/>
  <c r="E2610" i="115"/>
  <c r="A2610" i="115"/>
  <c r="K2609" i="115"/>
  <c r="I2609" i="115"/>
  <c r="H2609" i="115"/>
  <c r="G2609" i="115"/>
  <c r="F2609" i="115"/>
  <c r="E2609" i="115"/>
  <c r="A2609" i="115"/>
  <c r="K2608" i="115"/>
  <c r="I2608" i="115"/>
  <c r="H2608" i="115"/>
  <c r="G2608" i="115"/>
  <c r="F2608" i="115"/>
  <c r="E2608" i="115"/>
  <c r="A2608" i="115"/>
  <c r="K2607" i="115"/>
  <c r="I2607" i="115"/>
  <c r="H2607" i="115"/>
  <c r="G2607" i="115"/>
  <c r="F2607" i="115"/>
  <c r="E2607" i="115"/>
  <c r="A2607" i="115"/>
  <c r="K2606" i="115"/>
  <c r="I2606" i="115"/>
  <c r="H2606" i="115"/>
  <c r="G2606" i="115"/>
  <c r="F2606" i="115"/>
  <c r="E2606" i="115"/>
  <c r="A2606" i="115"/>
  <c r="K2605" i="115"/>
  <c r="I2605" i="115"/>
  <c r="H2605" i="115"/>
  <c r="G2605" i="115"/>
  <c r="F2605" i="115"/>
  <c r="E2605" i="115"/>
  <c r="A2605" i="115"/>
  <c r="K2604" i="115"/>
  <c r="I2604" i="115"/>
  <c r="H2604" i="115"/>
  <c r="G2604" i="115"/>
  <c r="F2604" i="115"/>
  <c r="E2604" i="115"/>
  <c r="A2604" i="115"/>
  <c r="K2603" i="115"/>
  <c r="I2603" i="115"/>
  <c r="H2603" i="115"/>
  <c r="G2603" i="115"/>
  <c r="F2603" i="115"/>
  <c r="E2603" i="115"/>
  <c r="A2603" i="115"/>
  <c r="K2602" i="115"/>
  <c r="I2602" i="115"/>
  <c r="H2602" i="115"/>
  <c r="G2602" i="115"/>
  <c r="F2602" i="115"/>
  <c r="E2602" i="115"/>
  <c r="A2602" i="115"/>
  <c r="K2601" i="115"/>
  <c r="I2601" i="115"/>
  <c r="H2601" i="115"/>
  <c r="G2601" i="115"/>
  <c r="F2601" i="115"/>
  <c r="E2601" i="115"/>
  <c r="A2601" i="115"/>
  <c r="K2600" i="115"/>
  <c r="I2600" i="115"/>
  <c r="H2600" i="115"/>
  <c r="G2600" i="115"/>
  <c r="F2600" i="115"/>
  <c r="E2600" i="115"/>
  <c r="A2600" i="115"/>
  <c r="K2599" i="115"/>
  <c r="I2599" i="115"/>
  <c r="H2599" i="115"/>
  <c r="G2599" i="115"/>
  <c r="F2599" i="115"/>
  <c r="E2599" i="115"/>
  <c r="A2599" i="115"/>
  <c r="K2598" i="115"/>
  <c r="I2598" i="115"/>
  <c r="H2598" i="115"/>
  <c r="G2598" i="115"/>
  <c r="F2598" i="115"/>
  <c r="E2598" i="115"/>
  <c r="A2598" i="115"/>
  <c r="K2597" i="115"/>
  <c r="I2597" i="115"/>
  <c r="H2597" i="115"/>
  <c r="G2597" i="115"/>
  <c r="F2597" i="115"/>
  <c r="E2597" i="115"/>
  <c r="A2597" i="115"/>
  <c r="K2596" i="115"/>
  <c r="I2596" i="115"/>
  <c r="H2596" i="115"/>
  <c r="G2596" i="115"/>
  <c r="F2596" i="115"/>
  <c r="E2596" i="115"/>
  <c r="A2596" i="115"/>
  <c r="K2595" i="115"/>
  <c r="I2595" i="115"/>
  <c r="H2595" i="115"/>
  <c r="G2595" i="115"/>
  <c r="F2595" i="115"/>
  <c r="E2595" i="115"/>
  <c r="A2595" i="115"/>
  <c r="K2594" i="115"/>
  <c r="I2594" i="115"/>
  <c r="H2594" i="115"/>
  <c r="G2594" i="115"/>
  <c r="F2594" i="115"/>
  <c r="E2594" i="115"/>
  <c r="A2594" i="115"/>
  <c r="K2593" i="115"/>
  <c r="I2593" i="115"/>
  <c r="H2593" i="115"/>
  <c r="G2593" i="115"/>
  <c r="F2593" i="115"/>
  <c r="E2593" i="115"/>
  <c r="A2593" i="115"/>
  <c r="K2592" i="115"/>
  <c r="I2592" i="115"/>
  <c r="H2592" i="115"/>
  <c r="G2592" i="115"/>
  <c r="F2592" i="115"/>
  <c r="E2592" i="115"/>
  <c r="A2592" i="115"/>
  <c r="K2591" i="115"/>
  <c r="I2591" i="115"/>
  <c r="H2591" i="115"/>
  <c r="G2591" i="115"/>
  <c r="F2591" i="115"/>
  <c r="E2591" i="115"/>
  <c r="A2591" i="115"/>
  <c r="K2590" i="115"/>
  <c r="I2590" i="115"/>
  <c r="H2590" i="115"/>
  <c r="G2590" i="115"/>
  <c r="F2590" i="115"/>
  <c r="E2590" i="115"/>
  <c r="A2590" i="115"/>
  <c r="K2589" i="115"/>
  <c r="I2589" i="115"/>
  <c r="H2589" i="115"/>
  <c r="G2589" i="115"/>
  <c r="F2589" i="115"/>
  <c r="E2589" i="115"/>
  <c r="A2589" i="115"/>
  <c r="K2588" i="115"/>
  <c r="I2588" i="115"/>
  <c r="H2588" i="115"/>
  <c r="G2588" i="115"/>
  <c r="F2588" i="115"/>
  <c r="E2588" i="115"/>
  <c r="A2588" i="115"/>
  <c r="K2587" i="115"/>
  <c r="I2587" i="115"/>
  <c r="H2587" i="115"/>
  <c r="G2587" i="115"/>
  <c r="F2587" i="115"/>
  <c r="E2587" i="115"/>
  <c r="A2587" i="115"/>
  <c r="K2586" i="115"/>
  <c r="I2586" i="115"/>
  <c r="H2586" i="115"/>
  <c r="G2586" i="115"/>
  <c r="F2586" i="115"/>
  <c r="E2586" i="115"/>
  <c r="A2586" i="115"/>
  <c r="K2585" i="115"/>
  <c r="I2585" i="115"/>
  <c r="H2585" i="115"/>
  <c r="G2585" i="115"/>
  <c r="F2585" i="115"/>
  <c r="E2585" i="115"/>
  <c r="A2585" i="115"/>
  <c r="K2584" i="115"/>
  <c r="I2584" i="115"/>
  <c r="H2584" i="115"/>
  <c r="G2584" i="115"/>
  <c r="F2584" i="115"/>
  <c r="E2584" i="115"/>
  <c r="A2584" i="115"/>
  <c r="K2583" i="115"/>
  <c r="I2583" i="115"/>
  <c r="H2583" i="115"/>
  <c r="G2583" i="115"/>
  <c r="F2583" i="115"/>
  <c r="E2583" i="115"/>
  <c r="A2583" i="115"/>
  <c r="K2582" i="115"/>
  <c r="I2582" i="115"/>
  <c r="H2582" i="115"/>
  <c r="G2582" i="115"/>
  <c r="F2582" i="115"/>
  <c r="E2582" i="115"/>
  <c r="A2582" i="115"/>
  <c r="K2581" i="115"/>
  <c r="I2581" i="115"/>
  <c r="H2581" i="115"/>
  <c r="G2581" i="115"/>
  <c r="F2581" i="115"/>
  <c r="E2581" i="115"/>
  <c r="A2581" i="115"/>
  <c r="K2580" i="115"/>
  <c r="I2580" i="115"/>
  <c r="H2580" i="115"/>
  <c r="G2580" i="115"/>
  <c r="F2580" i="115"/>
  <c r="E2580" i="115"/>
  <c r="A2580" i="115"/>
  <c r="K2579" i="115"/>
  <c r="I2579" i="115"/>
  <c r="H2579" i="115"/>
  <c r="G2579" i="115"/>
  <c r="F2579" i="115"/>
  <c r="E2579" i="115"/>
  <c r="A2579" i="115"/>
  <c r="K2578" i="115"/>
  <c r="I2578" i="115"/>
  <c r="H2578" i="115"/>
  <c r="G2578" i="115"/>
  <c r="F2578" i="115"/>
  <c r="E2578" i="115"/>
  <c r="A2578" i="115"/>
  <c r="K2577" i="115"/>
  <c r="I2577" i="115"/>
  <c r="H2577" i="115"/>
  <c r="G2577" i="115"/>
  <c r="F2577" i="115"/>
  <c r="E2577" i="115"/>
  <c r="A2577" i="115"/>
  <c r="K2576" i="115"/>
  <c r="I2576" i="115"/>
  <c r="H2576" i="115"/>
  <c r="G2576" i="115"/>
  <c r="F2576" i="115"/>
  <c r="E2576" i="115"/>
  <c r="A2576" i="115"/>
  <c r="K2575" i="115"/>
  <c r="I2575" i="115"/>
  <c r="H2575" i="115"/>
  <c r="G2575" i="115"/>
  <c r="F2575" i="115"/>
  <c r="E2575" i="115"/>
  <c r="A2575" i="115"/>
  <c r="K2574" i="115"/>
  <c r="I2574" i="115"/>
  <c r="H2574" i="115"/>
  <c r="G2574" i="115"/>
  <c r="F2574" i="115"/>
  <c r="E2574" i="115"/>
  <c r="A2574" i="115"/>
  <c r="K2573" i="115"/>
  <c r="I2573" i="115"/>
  <c r="H2573" i="115"/>
  <c r="G2573" i="115"/>
  <c r="F2573" i="115"/>
  <c r="E2573" i="115"/>
  <c r="A2573" i="115"/>
  <c r="K2572" i="115"/>
  <c r="I2572" i="115"/>
  <c r="H2572" i="115"/>
  <c r="G2572" i="115"/>
  <c r="F2572" i="115"/>
  <c r="E2572" i="115"/>
  <c r="A2572" i="115"/>
  <c r="K2571" i="115"/>
  <c r="I2571" i="115"/>
  <c r="H2571" i="115"/>
  <c r="G2571" i="115"/>
  <c r="F2571" i="115"/>
  <c r="E2571" i="115"/>
  <c r="A2571" i="115"/>
  <c r="K2570" i="115"/>
  <c r="I2570" i="115"/>
  <c r="H2570" i="115"/>
  <c r="G2570" i="115"/>
  <c r="F2570" i="115"/>
  <c r="E2570" i="115"/>
  <c r="A2570" i="115"/>
  <c r="K2569" i="115"/>
  <c r="I2569" i="115"/>
  <c r="H2569" i="115"/>
  <c r="G2569" i="115"/>
  <c r="F2569" i="115"/>
  <c r="E2569" i="115"/>
  <c r="A2569" i="115"/>
  <c r="K2568" i="115"/>
  <c r="I2568" i="115"/>
  <c r="H2568" i="115"/>
  <c r="G2568" i="115"/>
  <c r="F2568" i="115"/>
  <c r="E2568" i="115"/>
  <c r="A2568" i="115"/>
  <c r="K2567" i="115"/>
  <c r="I2567" i="115"/>
  <c r="H2567" i="115"/>
  <c r="G2567" i="115"/>
  <c r="F2567" i="115"/>
  <c r="E2567" i="115"/>
  <c r="A2567" i="115"/>
  <c r="K2566" i="115"/>
  <c r="I2566" i="115"/>
  <c r="H2566" i="115"/>
  <c r="G2566" i="115"/>
  <c r="F2566" i="115"/>
  <c r="E2566" i="115"/>
  <c r="A2566" i="115"/>
  <c r="K2565" i="115"/>
  <c r="I2565" i="115"/>
  <c r="H2565" i="115"/>
  <c r="G2565" i="115"/>
  <c r="F2565" i="115"/>
  <c r="E2565" i="115"/>
  <c r="A2565" i="115"/>
  <c r="K2564" i="115"/>
  <c r="I2564" i="115"/>
  <c r="H2564" i="115"/>
  <c r="G2564" i="115"/>
  <c r="F2564" i="115"/>
  <c r="E2564" i="115"/>
  <c r="A2564" i="115"/>
  <c r="K2563" i="115"/>
  <c r="I2563" i="115"/>
  <c r="H2563" i="115"/>
  <c r="G2563" i="115"/>
  <c r="F2563" i="115"/>
  <c r="E2563" i="115"/>
  <c r="A2563" i="115"/>
  <c r="K2562" i="115"/>
  <c r="I2562" i="115"/>
  <c r="H2562" i="115"/>
  <c r="G2562" i="115"/>
  <c r="F2562" i="115"/>
  <c r="E2562" i="115"/>
  <c r="A2562" i="115"/>
  <c r="K2561" i="115"/>
  <c r="I2561" i="115"/>
  <c r="H2561" i="115"/>
  <c r="G2561" i="115"/>
  <c r="F2561" i="115"/>
  <c r="E2561" i="115"/>
  <c r="A2561" i="115"/>
  <c r="K2560" i="115"/>
  <c r="I2560" i="115"/>
  <c r="H2560" i="115"/>
  <c r="G2560" i="115"/>
  <c r="F2560" i="115"/>
  <c r="E2560" i="115"/>
  <c r="A2560" i="115"/>
  <c r="K2559" i="115"/>
  <c r="I2559" i="115"/>
  <c r="H2559" i="115"/>
  <c r="G2559" i="115"/>
  <c r="F2559" i="115"/>
  <c r="E2559" i="115"/>
  <c r="A2559" i="115"/>
  <c r="K2558" i="115"/>
  <c r="I2558" i="115"/>
  <c r="H2558" i="115"/>
  <c r="G2558" i="115"/>
  <c r="F2558" i="115"/>
  <c r="E2558" i="115"/>
  <c r="A2558" i="115"/>
  <c r="K2557" i="115"/>
  <c r="I2557" i="115"/>
  <c r="H2557" i="115"/>
  <c r="G2557" i="115"/>
  <c r="F2557" i="115"/>
  <c r="E2557" i="115"/>
  <c r="A2557" i="115"/>
  <c r="K2556" i="115"/>
  <c r="I2556" i="115"/>
  <c r="H2556" i="115"/>
  <c r="G2556" i="115"/>
  <c r="F2556" i="115"/>
  <c r="E2556" i="115"/>
  <c r="A2556" i="115"/>
  <c r="K2555" i="115"/>
  <c r="I2555" i="115"/>
  <c r="H2555" i="115"/>
  <c r="G2555" i="115"/>
  <c r="F2555" i="115"/>
  <c r="E2555" i="115"/>
  <c r="A2555" i="115"/>
  <c r="K2554" i="115"/>
  <c r="I2554" i="115"/>
  <c r="H2554" i="115"/>
  <c r="G2554" i="115"/>
  <c r="F2554" i="115"/>
  <c r="E2554" i="115"/>
  <c r="A2554" i="115"/>
  <c r="K2553" i="115"/>
  <c r="I2553" i="115"/>
  <c r="H2553" i="115"/>
  <c r="G2553" i="115"/>
  <c r="F2553" i="115"/>
  <c r="E2553" i="115"/>
  <c r="A2553" i="115"/>
  <c r="K2552" i="115"/>
  <c r="I2552" i="115"/>
  <c r="H2552" i="115"/>
  <c r="G2552" i="115"/>
  <c r="F2552" i="115"/>
  <c r="E2552" i="115"/>
  <c r="A2552" i="115"/>
  <c r="K2551" i="115"/>
  <c r="I2551" i="115"/>
  <c r="H2551" i="115"/>
  <c r="G2551" i="115"/>
  <c r="F2551" i="115"/>
  <c r="E2551" i="115"/>
  <c r="A2551" i="115"/>
  <c r="K2550" i="115"/>
  <c r="I2550" i="115"/>
  <c r="H2550" i="115"/>
  <c r="G2550" i="115"/>
  <c r="F2550" i="115"/>
  <c r="E2550" i="115"/>
  <c r="A2550" i="115"/>
  <c r="K2549" i="115"/>
  <c r="I2549" i="115"/>
  <c r="H2549" i="115"/>
  <c r="G2549" i="115"/>
  <c r="F2549" i="115"/>
  <c r="E2549" i="115"/>
  <c r="A2549" i="115"/>
  <c r="K2548" i="115"/>
  <c r="I2548" i="115"/>
  <c r="H2548" i="115"/>
  <c r="G2548" i="115"/>
  <c r="F2548" i="115"/>
  <c r="E2548" i="115"/>
  <c r="A2548" i="115"/>
  <c r="K2547" i="115"/>
  <c r="I2547" i="115"/>
  <c r="H2547" i="115"/>
  <c r="G2547" i="115"/>
  <c r="F2547" i="115"/>
  <c r="E2547" i="115"/>
  <c r="A2547" i="115"/>
  <c r="K2546" i="115"/>
  <c r="I2546" i="115"/>
  <c r="H2546" i="115"/>
  <c r="G2546" i="115"/>
  <c r="F2546" i="115"/>
  <c r="E2546" i="115"/>
  <c r="A2546" i="115"/>
  <c r="K2545" i="115"/>
  <c r="I2545" i="115"/>
  <c r="H2545" i="115"/>
  <c r="G2545" i="115"/>
  <c r="F2545" i="115"/>
  <c r="E2545" i="115"/>
  <c r="A2545" i="115"/>
  <c r="K2544" i="115"/>
  <c r="I2544" i="115"/>
  <c r="H2544" i="115"/>
  <c r="G2544" i="115"/>
  <c r="F2544" i="115"/>
  <c r="E2544" i="115"/>
  <c r="A2544" i="115"/>
  <c r="K2543" i="115"/>
  <c r="I2543" i="115"/>
  <c r="H2543" i="115"/>
  <c r="G2543" i="115"/>
  <c r="F2543" i="115"/>
  <c r="E2543" i="115"/>
  <c r="A2543" i="115"/>
  <c r="K2542" i="115"/>
  <c r="I2542" i="115"/>
  <c r="H2542" i="115"/>
  <c r="G2542" i="115"/>
  <c r="F2542" i="115"/>
  <c r="E2542" i="115"/>
  <c r="A2542" i="115"/>
  <c r="K2541" i="115"/>
  <c r="I2541" i="115"/>
  <c r="H2541" i="115"/>
  <c r="G2541" i="115"/>
  <c r="F2541" i="115"/>
  <c r="E2541" i="115"/>
  <c r="A2541" i="115"/>
  <c r="K2540" i="115"/>
  <c r="I2540" i="115"/>
  <c r="H2540" i="115"/>
  <c r="G2540" i="115"/>
  <c r="F2540" i="115"/>
  <c r="E2540" i="115"/>
  <c r="A2540" i="115"/>
  <c r="K2539" i="115"/>
  <c r="I2539" i="115"/>
  <c r="H2539" i="115"/>
  <c r="G2539" i="115"/>
  <c r="F2539" i="115"/>
  <c r="E2539" i="115"/>
  <c r="A2539" i="115"/>
  <c r="K2538" i="115"/>
  <c r="I2538" i="115"/>
  <c r="H2538" i="115"/>
  <c r="G2538" i="115"/>
  <c r="F2538" i="115"/>
  <c r="E2538" i="115"/>
  <c r="A2538" i="115"/>
  <c r="K2537" i="115"/>
  <c r="I2537" i="115"/>
  <c r="H2537" i="115"/>
  <c r="G2537" i="115"/>
  <c r="F2537" i="115"/>
  <c r="E2537" i="115"/>
  <c r="A2537" i="115"/>
  <c r="K2536" i="115"/>
  <c r="I2536" i="115"/>
  <c r="H2536" i="115"/>
  <c r="G2536" i="115"/>
  <c r="F2536" i="115"/>
  <c r="E2536" i="115"/>
  <c r="A2536" i="115"/>
  <c r="K2535" i="115"/>
  <c r="I2535" i="115"/>
  <c r="H2535" i="115"/>
  <c r="G2535" i="115"/>
  <c r="F2535" i="115"/>
  <c r="E2535" i="115"/>
  <c r="A2535" i="115"/>
  <c r="K2534" i="115"/>
  <c r="I2534" i="115"/>
  <c r="H2534" i="115"/>
  <c r="G2534" i="115"/>
  <c r="F2534" i="115"/>
  <c r="E2534" i="115"/>
  <c r="A2534" i="115"/>
  <c r="K2533" i="115"/>
  <c r="I2533" i="115"/>
  <c r="H2533" i="115"/>
  <c r="G2533" i="115"/>
  <c r="F2533" i="115"/>
  <c r="E2533" i="115"/>
  <c r="A2533" i="115"/>
  <c r="K2532" i="115"/>
  <c r="I2532" i="115"/>
  <c r="H2532" i="115"/>
  <c r="G2532" i="115"/>
  <c r="F2532" i="115"/>
  <c r="E2532" i="115"/>
  <c r="A2532" i="115"/>
  <c r="K2531" i="115"/>
  <c r="I2531" i="115"/>
  <c r="H2531" i="115"/>
  <c r="G2531" i="115"/>
  <c r="F2531" i="115"/>
  <c r="E2531" i="115"/>
  <c r="A2531" i="115"/>
  <c r="K2530" i="115"/>
  <c r="I2530" i="115"/>
  <c r="H2530" i="115"/>
  <c r="G2530" i="115"/>
  <c r="F2530" i="115"/>
  <c r="E2530" i="115"/>
  <c r="A2530" i="115"/>
  <c r="K2529" i="115"/>
  <c r="I2529" i="115"/>
  <c r="H2529" i="115"/>
  <c r="G2529" i="115"/>
  <c r="F2529" i="115"/>
  <c r="E2529" i="115"/>
  <c r="A2529" i="115"/>
  <c r="K2528" i="115"/>
  <c r="I2528" i="115"/>
  <c r="H2528" i="115"/>
  <c r="G2528" i="115"/>
  <c r="F2528" i="115"/>
  <c r="E2528" i="115"/>
  <c r="A2528" i="115"/>
  <c r="K2527" i="115"/>
  <c r="I2527" i="115"/>
  <c r="H2527" i="115"/>
  <c r="G2527" i="115"/>
  <c r="F2527" i="115"/>
  <c r="E2527" i="115"/>
  <c r="A2527" i="115"/>
  <c r="K2526" i="115"/>
  <c r="I2526" i="115"/>
  <c r="H2526" i="115"/>
  <c r="G2526" i="115"/>
  <c r="F2526" i="115"/>
  <c r="E2526" i="115"/>
  <c r="A2526" i="115"/>
  <c r="K2525" i="115"/>
  <c r="I2525" i="115"/>
  <c r="H2525" i="115"/>
  <c r="G2525" i="115"/>
  <c r="F2525" i="115"/>
  <c r="E2525" i="115"/>
  <c r="A2525" i="115"/>
  <c r="K2524" i="115"/>
  <c r="I2524" i="115"/>
  <c r="H2524" i="115"/>
  <c r="G2524" i="115"/>
  <c r="F2524" i="115"/>
  <c r="E2524" i="115"/>
  <c r="A2524" i="115"/>
  <c r="K2523" i="115"/>
  <c r="I2523" i="115"/>
  <c r="H2523" i="115"/>
  <c r="G2523" i="115"/>
  <c r="F2523" i="115"/>
  <c r="E2523" i="115"/>
  <c r="A2523" i="115"/>
  <c r="K2522" i="115"/>
  <c r="I2522" i="115"/>
  <c r="H2522" i="115"/>
  <c r="G2522" i="115"/>
  <c r="F2522" i="115"/>
  <c r="E2522" i="115"/>
  <c r="A2522" i="115"/>
  <c r="K2521" i="115"/>
  <c r="I2521" i="115"/>
  <c r="H2521" i="115"/>
  <c r="G2521" i="115"/>
  <c r="F2521" i="115"/>
  <c r="E2521" i="115"/>
  <c r="A2521" i="115"/>
  <c r="K2520" i="115"/>
  <c r="I2520" i="115"/>
  <c r="H2520" i="115"/>
  <c r="G2520" i="115"/>
  <c r="F2520" i="115"/>
  <c r="E2520" i="115"/>
  <c r="A2520" i="115"/>
  <c r="K2519" i="115"/>
  <c r="I2519" i="115"/>
  <c r="H2519" i="115"/>
  <c r="G2519" i="115"/>
  <c r="F2519" i="115"/>
  <c r="E2519" i="115"/>
  <c r="A2519" i="115"/>
  <c r="K2518" i="115"/>
  <c r="I2518" i="115"/>
  <c r="H2518" i="115"/>
  <c r="G2518" i="115"/>
  <c r="F2518" i="115"/>
  <c r="E2518" i="115"/>
  <c r="A2518" i="115"/>
  <c r="K2517" i="115"/>
  <c r="I2517" i="115"/>
  <c r="H2517" i="115"/>
  <c r="G2517" i="115"/>
  <c r="F2517" i="115"/>
  <c r="E2517" i="115"/>
  <c r="A2517" i="115"/>
  <c r="K2516" i="115"/>
  <c r="I2516" i="115"/>
  <c r="H2516" i="115"/>
  <c r="G2516" i="115"/>
  <c r="F2516" i="115"/>
  <c r="E2516" i="115"/>
  <c r="A2516" i="115"/>
  <c r="K2515" i="115"/>
  <c r="I2515" i="115"/>
  <c r="H2515" i="115"/>
  <c r="G2515" i="115"/>
  <c r="F2515" i="115"/>
  <c r="E2515" i="115"/>
  <c r="A2515" i="115"/>
  <c r="K2514" i="115"/>
  <c r="I2514" i="115"/>
  <c r="H2514" i="115"/>
  <c r="G2514" i="115"/>
  <c r="F2514" i="115"/>
  <c r="E2514" i="115"/>
  <c r="A2514" i="115"/>
  <c r="K2513" i="115"/>
  <c r="I2513" i="115"/>
  <c r="H2513" i="115"/>
  <c r="G2513" i="115"/>
  <c r="F2513" i="115"/>
  <c r="E2513" i="115"/>
  <c r="A2513" i="115"/>
  <c r="K2512" i="115"/>
  <c r="I2512" i="115"/>
  <c r="H2512" i="115"/>
  <c r="G2512" i="115"/>
  <c r="F2512" i="115"/>
  <c r="E2512" i="115"/>
  <c r="A2512" i="115"/>
  <c r="K2511" i="115"/>
  <c r="I2511" i="115"/>
  <c r="H2511" i="115"/>
  <c r="G2511" i="115"/>
  <c r="F2511" i="115"/>
  <c r="E2511" i="115"/>
  <c r="A2511" i="115"/>
  <c r="K2510" i="115"/>
  <c r="I2510" i="115"/>
  <c r="H2510" i="115"/>
  <c r="G2510" i="115"/>
  <c r="F2510" i="115"/>
  <c r="E2510" i="115"/>
  <c r="A2510" i="115"/>
  <c r="K2509" i="115"/>
  <c r="I2509" i="115"/>
  <c r="H2509" i="115"/>
  <c r="G2509" i="115"/>
  <c r="F2509" i="115"/>
  <c r="E2509" i="115"/>
  <c r="A2509" i="115"/>
  <c r="K2508" i="115"/>
  <c r="I2508" i="115"/>
  <c r="H2508" i="115"/>
  <c r="G2508" i="115"/>
  <c r="F2508" i="115"/>
  <c r="E2508" i="115"/>
  <c r="A2508" i="115"/>
  <c r="K2507" i="115"/>
  <c r="I2507" i="115"/>
  <c r="H2507" i="115"/>
  <c r="G2507" i="115"/>
  <c r="F2507" i="115"/>
  <c r="E2507" i="115"/>
  <c r="A2507" i="115"/>
  <c r="K2506" i="115"/>
  <c r="I2506" i="115"/>
  <c r="H2506" i="115"/>
  <c r="G2506" i="115"/>
  <c r="F2506" i="115"/>
  <c r="E2506" i="115"/>
  <c r="A2506" i="115"/>
  <c r="K2505" i="115"/>
  <c r="I2505" i="115"/>
  <c r="H2505" i="115"/>
  <c r="G2505" i="115"/>
  <c r="F2505" i="115"/>
  <c r="E2505" i="115"/>
  <c r="A2505" i="115"/>
  <c r="K2504" i="115"/>
  <c r="I2504" i="115"/>
  <c r="H2504" i="115"/>
  <c r="G2504" i="115"/>
  <c r="F2504" i="115"/>
  <c r="E2504" i="115"/>
  <c r="A2504" i="115"/>
  <c r="K2503" i="115"/>
  <c r="I2503" i="115"/>
  <c r="H2503" i="115"/>
  <c r="G2503" i="115"/>
  <c r="F2503" i="115"/>
  <c r="E2503" i="115"/>
  <c r="A2503" i="115"/>
  <c r="K2502" i="115"/>
  <c r="I2502" i="115"/>
  <c r="H2502" i="115"/>
  <c r="G2502" i="115"/>
  <c r="F2502" i="115"/>
  <c r="E2502" i="115"/>
  <c r="A2502" i="115"/>
  <c r="K2501" i="115"/>
  <c r="I2501" i="115"/>
  <c r="H2501" i="115"/>
  <c r="G2501" i="115"/>
  <c r="F2501" i="115"/>
  <c r="E2501" i="115"/>
  <c r="A2501" i="115"/>
  <c r="K2500" i="115"/>
  <c r="I2500" i="115"/>
  <c r="H2500" i="115"/>
  <c r="G2500" i="115"/>
  <c r="F2500" i="115"/>
  <c r="E2500" i="115"/>
  <c r="A2500" i="115"/>
  <c r="K2499" i="115"/>
  <c r="I2499" i="115"/>
  <c r="H2499" i="115"/>
  <c r="G2499" i="115"/>
  <c r="F2499" i="115"/>
  <c r="E2499" i="115"/>
  <c r="A2499" i="115"/>
  <c r="K2498" i="115"/>
  <c r="I2498" i="115"/>
  <c r="H2498" i="115"/>
  <c r="G2498" i="115"/>
  <c r="F2498" i="115"/>
  <c r="E2498" i="115"/>
  <c r="A2498" i="115"/>
  <c r="K2497" i="115"/>
  <c r="I2497" i="115"/>
  <c r="H2497" i="115"/>
  <c r="G2497" i="115"/>
  <c r="F2497" i="115"/>
  <c r="E2497" i="115"/>
  <c r="A2497" i="115"/>
  <c r="K2496" i="115"/>
  <c r="I2496" i="115"/>
  <c r="H2496" i="115"/>
  <c r="G2496" i="115"/>
  <c r="F2496" i="115"/>
  <c r="E2496" i="115"/>
  <c r="A2496" i="115"/>
  <c r="K2495" i="115"/>
  <c r="I2495" i="115"/>
  <c r="H2495" i="115"/>
  <c r="G2495" i="115"/>
  <c r="F2495" i="115"/>
  <c r="E2495" i="115"/>
  <c r="A2495" i="115"/>
  <c r="K2494" i="115"/>
  <c r="I2494" i="115"/>
  <c r="H2494" i="115"/>
  <c r="G2494" i="115"/>
  <c r="F2494" i="115"/>
  <c r="E2494" i="115"/>
  <c r="A2494" i="115"/>
  <c r="K2493" i="115"/>
  <c r="I2493" i="115"/>
  <c r="H2493" i="115"/>
  <c r="G2493" i="115"/>
  <c r="F2493" i="115"/>
  <c r="E2493" i="115"/>
  <c r="A2493" i="115"/>
  <c r="K2492" i="115"/>
  <c r="I2492" i="115"/>
  <c r="H2492" i="115"/>
  <c r="G2492" i="115"/>
  <c r="F2492" i="115"/>
  <c r="E2492" i="115"/>
  <c r="A2492" i="115"/>
  <c r="K2491" i="115"/>
  <c r="I2491" i="115"/>
  <c r="H2491" i="115"/>
  <c r="G2491" i="115"/>
  <c r="F2491" i="115"/>
  <c r="E2491" i="115"/>
  <c r="A2491" i="115"/>
  <c r="K2490" i="115"/>
  <c r="I2490" i="115"/>
  <c r="H2490" i="115"/>
  <c r="G2490" i="115"/>
  <c r="F2490" i="115"/>
  <c r="E2490" i="115"/>
  <c r="A2490" i="115"/>
  <c r="K2489" i="115"/>
  <c r="I2489" i="115"/>
  <c r="H2489" i="115"/>
  <c r="G2489" i="115"/>
  <c r="F2489" i="115"/>
  <c r="E2489" i="115"/>
  <c r="A2489" i="115"/>
  <c r="K2488" i="115"/>
  <c r="I2488" i="115"/>
  <c r="H2488" i="115"/>
  <c r="G2488" i="115"/>
  <c r="F2488" i="115"/>
  <c r="E2488" i="115"/>
  <c r="A2488" i="115"/>
  <c r="K2487" i="115"/>
  <c r="I2487" i="115"/>
  <c r="H2487" i="115"/>
  <c r="G2487" i="115"/>
  <c r="F2487" i="115"/>
  <c r="E2487" i="115"/>
  <c r="A2487" i="115"/>
  <c r="K2486" i="115"/>
  <c r="I2486" i="115"/>
  <c r="H2486" i="115"/>
  <c r="G2486" i="115"/>
  <c r="F2486" i="115"/>
  <c r="E2486" i="115"/>
  <c r="A2486" i="115"/>
  <c r="K2485" i="115"/>
  <c r="I2485" i="115"/>
  <c r="H2485" i="115"/>
  <c r="G2485" i="115"/>
  <c r="F2485" i="115"/>
  <c r="E2485" i="115"/>
  <c r="A2485" i="115"/>
  <c r="K2484" i="115"/>
  <c r="I2484" i="115"/>
  <c r="H2484" i="115"/>
  <c r="G2484" i="115"/>
  <c r="F2484" i="115"/>
  <c r="E2484" i="115"/>
  <c r="A2484" i="115"/>
  <c r="K2483" i="115"/>
  <c r="I2483" i="115"/>
  <c r="H2483" i="115"/>
  <c r="G2483" i="115"/>
  <c r="F2483" i="115"/>
  <c r="E2483" i="115"/>
  <c r="A2483" i="115"/>
  <c r="K2482" i="115"/>
  <c r="I2482" i="115"/>
  <c r="H2482" i="115"/>
  <c r="G2482" i="115"/>
  <c r="F2482" i="115"/>
  <c r="E2482" i="115"/>
  <c r="A2482" i="115"/>
  <c r="K2481" i="115"/>
  <c r="I2481" i="115"/>
  <c r="H2481" i="115"/>
  <c r="G2481" i="115"/>
  <c r="F2481" i="115"/>
  <c r="E2481" i="115"/>
  <c r="A2481" i="115"/>
  <c r="K2480" i="115"/>
  <c r="I2480" i="115"/>
  <c r="H2480" i="115"/>
  <c r="G2480" i="115"/>
  <c r="F2480" i="115"/>
  <c r="E2480" i="115"/>
  <c r="A2480" i="115"/>
  <c r="K2479" i="115"/>
  <c r="I2479" i="115"/>
  <c r="H2479" i="115"/>
  <c r="G2479" i="115"/>
  <c r="F2479" i="115"/>
  <c r="E2479" i="115"/>
  <c r="A2479" i="115"/>
  <c r="K2478" i="115"/>
  <c r="I2478" i="115"/>
  <c r="H2478" i="115"/>
  <c r="G2478" i="115"/>
  <c r="F2478" i="115"/>
  <c r="E2478" i="115"/>
  <c r="A2478" i="115"/>
  <c r="K2477" i="115"/>
  <c r="I2477" i="115"/>
  <c r="H2477" i="115"/>
  <c r="G2477" i="115"/>
  <c r="F2477" i="115"/>
  <c r="E2477" i="115"/>
  <c r="A2477" i="115"/>
  <c r="K2476" i="115"/>
  <c r="I2476" i="115"/>
  <c r="H2476" i="115"/>
  <c r="G2476" i="115"/>
  <c r="F2476" i="115"/>
  <c r="E2476" i="115"/>
  <c r="A2476" i="115"/>
  <c r="K2475" i="115"/>
  <c r="I2475" i="115"/>
  <c r="H2475" i="115"/>
  <c r="G2475" i="115"/>
  <c r="F2475" i="115"/>
  <c r="E2475" i="115"/>
  <c r="A2475" i="115"/>
  <c r="K2474" i="115"/>
  <c r="I2474" i="115"/>
  <c r="H2474" i="115"/>
  <c r="G2474" i="115"/>
  <c r="F2474" i="115"/>
  <c r="E2474" i="115"/>
  <c r="A2474" i="115"/>
  <c r="K2473" i="115"/>
  <c r="I2473" i="115"/>
  <c r="H2473" i="115"/>
  <c r="G2473" i="115"/>
  <c r="F2473" i="115"/>
  <c r="E2473" i="115"/>
  <c r="A2473" i="115"/>
  <c r="K2472" i="115"/>
  <c r="I2472" i="115"/>
  <c r="H2472" i="115"/>
  <c r="G2472" i="115"/>
  <c r="F2472" i="115"/>
  <c r="E2472" i="115"/>
  <c r="A2472" i="115"/>
  <c r="K2471" i="115"/>
  <c r="I2471" i="115"/>
  <c r="H2471" i="115"/>
  <c r="G2471" i="115"/>
  <c r="F2471" i="115"/>
  <c r="E2471" i="115"/>
  <c r="A2471" i="115"/>
  <c r="K2470" i="115"/>
  <c r="I2470" i="115"/>
  <c r="H2470" i="115"/>
  <c r="G2470" i="115"/>
  <c r="F2470" i="115"/>
  <c r="E2470" i="115"/>
  <c r="A2470" i="115"/>
  <c r="K2469" i="115"/>
  <c r="I2469" i="115"/>
  <c r="H2469" i="115"/>
  <c r="G2469" i="115"/>
  <c r="F2469" i="115"/>
  <c r="E2469" i="115"/>
  <c r="A2469" i="115"/>
  <c r="K2468" i="115"/>
  <c r="I2468" i="115"/>
  <c r="H2468" i="115"/>
  <c r="G2468" i="115"/>
  <c r="F2468" i="115"/>
  <c r="E2468" i="115"/>
  <c r="A2468" i="115"/>
  <c r="K2467" i="115"/>
  <c r="I2467" i="115"/>
  <c r="H2467" i="115"/>
  <c r="G2467" i="115"/>
  <c r="F2467" i="115"/>
  <c r="E2467" i="115"/>
  <c r="A2467" i="115"/>
  <c r="K2466" i="115"/>
  <c r="I2466" i="115"/>
  <c r="H2466" i="115"/>
  <c r="G2466" i="115"/>
  <c r="F2466" i="115"/>
  <c r="E2466" i="115"/>
  <c r="A2466" i="115"/>
  <c r="K2465" i="115"/>
  <c r="I2465" i="115"/>
  <c r="H2465" i="115"/>
  <c r="G2465" i="115"/>
  <c r="F2465" i="115"/>
  <c r="E2465" i="115"/>
  <c r="A2465" i="115"/>
  <c r="K2464" i="115"/>
  <c r="I2464" i="115"/>
  <c r="H2464" i="115"/>
  <c r="G2464" i="115"/>
  <c r="F2464" i="115"/>
  <c r="E2464" i="115"/>
  <c r="A2464" i="115"/>
  <c r="K2463" i="115"/>
  <c r="I2463" i="115"/>
  <c r="H2463" i="115"/>
  <c r="G2463" i="115"/>
  <c r="F2463" i="115"/>
  <c r="E2463" i="115"/>
  <c r="A2463" i="115"/>
  <c r="K2462" i="115"/>
  <c r="I2462" i="115"/>
  <c r="H2462" i="115"/>
  <c r="G2462" i="115"/>
  <c r="F2462" i="115"/>
  <c r="E2462" i="115"/>
  <c r="A2462" i="115"/>
  <c r="K2461" i="115"/>
  <c r="I2461" i="115"/>
  <c r="H2461" i="115"/>
  <c r="G2461" i="115"/>
  <c r="F2461" i="115"/>
  <c r="E2461" i="115"/>
  <c r="A2461" i="115"/>
  <c r="K2460" i="115"/>
  <c r="I2460" i="115"/>
  <c r="H2460" i="115"/>
  <c r="G2460" i="115"/>
  <c r="F2460" i="115"/>
  <c r="E2460" i="115"/>
  <c r="A2460" i="115"/>
  <c r="K2459" i="115"/>
  <c r="I2459" i="115"/>
  <c r="H2459" i="115"/>
  <c r="G2459" i="115"/>
  <c r="F2459" i="115"/>
  <c r="E2459" i="115"/>
  <c r="A2459" i="115"/>
  <c r="K2458" i="115"/>
  <c r="I2458" i="115"/>
  <c r="H2458" i="115"/>
  <c r="G2458" i="115"/>
  <c r="F2458" i="115"/>
  <c r="E2458" i="115"/>
  <c r="A2458" i="115"/>
  <c r="K2457" i="115"/>
  <c r="I2457" i="115"/>
  <c r="H2457" i="115"/>
  <c r="G2457" i="115"/>
  <c r="F2457" i="115"/>
  <c r="E2457" i="115"/>
  <c r="A2457" i="115"/>
  <c r="K2456" i="115"/>
  <c r="I2456" i="115"/>
  <c r="H2456" i="115"/>
  <c r="G2456" i="115"/>
  <c r="F2456" i="115"/>
  <c r="E2456" i="115"/>
  <c r="A2456" i="115"/>
  <c r="K2455" i="115"/>
  <c r="I2455" i="115"/>
  <c r="H2455" i="115"/>
  <c r="G2455" i="115"/>
  <c r="F2455" i="115"/>
  <c r="E2455" i="115"/>
  <c r="A2455" i="115"/>
  <c r="K2454" i="115"/>
  <c r="I2454" i="115"/>
  <c r="H2454" i="115"/>
  <c r="G2454" i="115"/>
  <c r="F2454" i="115"/>
  <c r="E2454" i="115"/>
  <c r="A2454" i="115"/>
  <c r="K2453" i="115"/>
  <c r="I2453" i="115"/>
  <c r="H2453" i="115"/>
  <c r="G2453" i="115"/>
  <c r="F2453" i="115"/>
  <c r="E2453" i="115"/>
  <c r="A2453" i="115"/>
  <c r="K2452" i="115"/>
  <c r="I2452" i="115"/>
  <c r="H2452" i="115"/>
  <c r="G2452" i="115"/>
  <c r="F2452" i="115"/>
  <c r="E2452" i="115"/>
  <c r="A2452" i="115"/>
  <c r="K2451" i="115"/>
  <c r="I2451" i="115"/>
  <c r="H2451" i="115"/>
  <c r="G2451" i="115"/>
  <c r="F2451" i="115"/>
  <c r="E2451" i="115"/>
  <c r="A2451" i="115"/>
  <c r="K2450" i="115"/>
  <c r="I2450" i="115"/>
  <c r="H2450" i="115"/>
  <c r="G2450" i="115"/>
  <c r="F2450" i="115"/>
  <c r="E2450" i="115"/>
  <c r="A2450" i="115"/>
  <c r="K2449" i="115"/>
  <c r="I2449" i="115"/>
  <c r="H2449" i="115"/>
  <c r="G2449" i="115"/>
  <c r="F2449" i="115"/>
  <c r="E2449" i="115"/>
  <c r="A2449" i="115"/>
  <c r="K2448" i="115"/>
  <c r="I2448" i="115"/>
  <c r="H2448" i="115"/>
  <c r="G2448" i="115"/>
  <c r="F2448" i="115"/>
  <c r="E2448" i="115"/>
  <c r="A2448" i="115"/>
  <c r="K2447" i="115"/>
  <c r="I2447" i="115"/>
  <c r="H2447" i="115"/>
  <c r="G2447" i="115"/>
  <c r="F2447" i="115"/>
  <c r="E2447" i="115"/>
  <c r="A2447" i="115"/>
  <c r="K2446" i="115"/>
  <c r="I2446" i="115"/>
  <c r="H2446" i="115"/>
  <c r="G2446" i="115"/>
  <c r="F2446" i="115"/>
  <c r="E2446" i="115"/>
  <c r="A2446" i="115"/>
  <c r="K2445" i="115"/>
  <c r="I2445" i="115"/>
  <c r="H2445" i="115"/>
  <c r="G2445" i="115"/>
  <c r="F2445" i="115"/>
  <c r="E2445" i="115"/>
  <c r="A2445" i="115"/>
  <c r="K2444" i="115"/>
  <c r="I2444" i="115"/>
  <c r="H2444" i="115"/>
  <c r="G2444" i="115"/>
  <c r="F2444" i="115"/>
  <c r="E2444" i="115"/>
  <c r="A2444" i="115"/>
  <c r="K2443" i="115"/>
  <c r="I2443" i="115"/>
  <c r="H2443" i="115"/>
  <c r="G2443" i="115"/>
  <c r="F2443" i="115"/>
  <c r="E2443" i="115"/>
  <c r="A2443" i="115"/>
  <c r="K2442" i="115"/>
  <c r="I2442" i="115"/>
  <c r="H2442" i="115"/>
  <c r="G2442" i="115"/>
  <c r="F2442" i="115"/>
  <c r="E2442" i="115"/>
  <c r="A2442" i="115"/>
  <c r="K2441" i="115"/>
  <c r="I2441" i="115"/>
  <c r="H2441" i="115"/>
  <c r="G2441" i="115"/>
  <c r="F2441" i="115"/>
  <c r="E2441" i="115"/>
  <c r="A2441" i="115"/>
  <c r="K2440" i="115"/>
  <c r="I2440" i="115"/>
  <c r="H2440" i="115"/>
  <c r="G2440" i="115"/>
  <c r="F2440" i="115"/>
  <c r="E2440" i="115"/>
  <c r="A2440" i="115"/>
  <c r="K2439" i="115"/>
  <c r="I2439" i="115"/>
  <c r="H2439" i="115"/>
  <c r="G2439" i="115"/>
  <c r="F2439" i="115"/>
  <c r="E2439" i="115"/>
  <c r="A2439" i="115"/>
  <c r="K2438" i="115"/>
  <c r="I2438" i="115"/>
  <c r="H2438" i="115"/>
  <c r="G2438" i="115"/>
  <c r="F2438" i="115"/>
  <c r="E2438" i="115"/>
  <c r="A2438" i="115"/>
  <c r="K2437" i="115"/>
  <c r="I2437" i="115"/>
  <c r="H2437" i="115"/>
  <c r="G2437" i="115"/>
  <c r="F2437" i="115"/>
  <c r="E2437" i="115"/>
  <c r="A2437" i="115"/>
  <c r="K2436" i="115"/>
  <c r="I2436" i="115"/>
  <c r="H2436" i="115"/>
  <c r="G2436" i="115"/>
  <c r="F2436" i="115"/>
  <c r="E2436" i="115"/>
  <c r="A2436" i="115"/>
  <c r="K2435" i="115"/>
  <c r="I2435" i="115"/>
  <c r="H2435" i="115"/>
  <c r="G2435" i="115"/>
  <c r="F2435" i="115"/>
  <c r="E2435" i="115"/>
  <c r="A2435" i="115"/>
  <c r="K2434" i="115"/>
  <c r="I2434" i="115"/>
  <c r="H2434" i="115"/>
  <c r="G2434" i="115"/>
  <c r="F2434" i="115"/>
  <c r="E2434" i="115"/>
  <c r="A2434" i="115"/>
  <c r="K2433" i="115"/>
  <c r="I2433" i="115"/>
  <c r="H2433" i="115"/>
  <c r="G2433" i="115"/>
  <c r="F2433" i="115"/>
  <c r="E2433" i="115"/>
  <c r="A2433" i="115"/>
  <c r="K2432" i="115"/>
  <c r="I2432" i="115"/>
  <c r="H2432" i="115"/>
  <c r="G2432" i="115"/>
  <c r="F2432" i="115"/>
  <c r="E2432" i="115"/>
  <c r="A2432" i="115"/>
  <c r="K2431" i="115"/>
  <c r="I2431" i="115"/>
  <c r="H2431" i="115"/>
  <c r="G2431" i="115"/>
  <c r="F2431" i="115"/>
  <c r="E2431" i="115"/>
  <c r="A2431" i="115"/>
  <c r="K2430" i="115"/>
  <c r="I2430" i="115"/>
  <c r="H2430" i="115"/>
  <c r="G2430" i="115"/>
  <c r="F2430" i="115"/>
  <c r="E2430" i="115"/>
  <c r="A2430" i="115"/>
  <c r="K2429" i="115"/>
  <c r="I2429" i="115"/>
  <c r="H2429" i="115"/>
  <c r="G2429" i="115"/>
  <c r="F2429" i="115"/>
  <c r="E2429" i="115"/>
  <c r="A2429" i="115"/>
  <c r="K2428" i="115"/>
  <c r="I2428" i="115"/>
  <c r="H2428" i="115"/>
  <c r="G2428" i="115"/>
  <c r="F2428" i="115"/>
  <c r="E2428" i="115"/>
  <c r="A2428" i="115"/>
  <c r="K2427" i="115"/>
  <c r="I2427" i="115"/>
  <c r="H2427" i="115"/>
  <c r="G2427" i="115"/>
  <c r="F2427" i="115"/>
  <c r="E2427" i="115"/>
  <c r="A2427" i="115"/>
  <c r="K2426" i="115"/>
  <c r="I2426" i="115"/>
  <c r="H2426" i="115"/>
  <c r="G2426" i="115"/>
  <c r="F2426" i="115"/>
  <c r="E2426" i="115"/>
  <c r="A2426" i="115"/>
  <c r="K2425" i="115"/>
  <c r="I2425" i="115"/>
  <c r="H2425" i="115"/>
  <c r="G2425" i="115"/>
  <c r="F2425" i="115"/>
  <c r="E2425" i="115"/>
  <c r="A2425" i="115"/>
  <c r="K2424" i="115"/>
  <c r="I2424" i="115"/>
  <c r="H2424" i="115"/>
  <c r="G2424" i="115"/>
  <c r="F2424" i="115"/>
  <c r="E2424" i="115"/>
  <c r="A2424" i="115"/>
  <c r="K2423" i="115"/>
  <c r="I2423" i="115"/>
  <c r="H2423" i="115"/>
  <c r="G2423" i="115"/>
  <c r="F2423" i="115"/>
  <c r="E2423" i="115"/>
  <c r="A2423" i="115"/>
  <c r="K2422" i="115"/>
  <c r="I2422" i="115"/>
  <c r="H2422" i="115"/>
  <c r="G2422" i="115"/>
  <c r="F2422" i="115"/>
  <c r="E2422" i="115"/>
  <c r="A2422" i="115"/>
  <c r="K2421" i="115"/>
  <c r="I2421" i="115"/>
  <c r="H2421" i="115"/>
  <c r="G2421" i="115"/>
  <c r="F2421" i="115"/>
  <c r="E2421" i="115"/>
  <c r="A2421" i="115"/>
  <c r="K2420" i="115"/>
  <c r="I2420" i="115"/>
  <c r="H2420" i="115"/>
  <c r="G2420" i="115"/>
  <c r="F2420" i="115"/>
  <c r="E2420" i="115"/>
  <c r="A2420" i="115"/>
  <c r="K2419" i="115"/>
  <c r="I2419" i="115"/>
  <c r="H2419" i="115"/>
  <c r="G2419" i="115"/>
  <c r="F2419" i="115"/>
  <c r="E2419" i="115"/>
  <c r="A2419" i="115"/>
  <c r="K2418" i="115"/>
  <c r="I2418" i="115"/>
  <c r="H2418" i="115"/>
  <c r="G2418" i="115"/>
  <c r="F2418" i="115"/>
  <c r="E2418" i="115"/>
  <c r="A2418" i="115"/>
  <c r="K2417" i="115"/>
  <c r="I2417" i="115"/>
  <c r="H2417" i="115"/>
  <c r="G2417" i="115"/>
  <c r="F2417" i="115"/>
  <c r="E2417" i="115"/>
  <c r="A2417" i="115"/>
  <c r="K2416" i="115"/>
  <c r="I2416" i="115"/>
  <c r="H2416" i="115"/>
  <c r="G2416" i="115"/>
  <c r="F2416" i="115"/>
  <c r="E2416" i="115"/>
  <c r="A2416" i="115"/>
  <c r="K2415" i="115"/>
  <c r="I2415" i="115"/>
  <c r="H2415" i="115"/>
  <c r="G2415" i="115"/>
  <c r="F2415" i="115"/>
  <c r="E2415" i="115"/>
  <c r="A2415" i="115"/>
  <c r="K2414" i="115"/>
  <c r="I2414" i="115"/>
  <c r="H2414" i="115"/>
  <c r="G2414" i="115"/>
  <c r="F2414" i="115"/>
  <c r="E2414" i="115"/>
  <c r="A2414" i="115"/>
  <c r="K2413" i="115"/>
  <c r="I2413" i="115"/>
  <c r="H2413" i="115"/>
  <c r="G2413" i="115"/>
  <c r="F2413" i="115"/>
  <c r="E2413" i="115"/>
  <c r="A2413" i="115"/>
  <c r="K2412" i="115"/>
  <c r="I2412" i="115"/>
  <c r="H2412" i="115"/>
  <c r="G2412" i="115"/>
  <c r="F2412" i="115"/>
  <c r="E2412" i="115"/>
  <c r="A2412" i="115"/>
  <c r="K2411" i="115"/>
  <c r="I2411" i="115"/>
  <c r="H2411" i="115"/>
  <c r="G2411" i="115"/>
  <c r="F2411" i="115"/>
  <c r="E2411" i="115"/>
  <c r="A2411" i="115"/>
  <c r="K2410" i="115"/>
  <c r="I2410" i="115"/>
  <c r="H2410" i="115"/>
  <c r="G2410" i="115"/>
  <c r="F2410" i="115"/>
  <c r="E2410" i="115"/>
  <c r="A2410" i="115"/>
  <c r="K2409" i="115"/>
  <c r="I2409" i="115"/>
  <c r="H2409" i="115"/>
  <c r="G2409" i="115"/>
  <c r="F2409" i="115"/>
  <c r="E2409" i="115"/>
  <c r="A2409" i="115"/>
  <c r="K2408" i="115"/>
  <c r="I2408" i="115"/>
  <c r="H2408" i="115"/>
  <c r="G2408" i="115"/>
  <c r="F2408" i="115"/>
  <c r="E2408" i="115"/>
  <c r="A2408" i="115"/>
  <c r="K2407" i="115"/>
  <c r="I2407" i="115"/>
  <c r="H2407" i="115"/>
  <c r="G2407" i="115"/>
  <c r="F2407" i="115"/>
  <c r="E2407" i="115"/>
  <c r="A2407" i="115"/>
  <c r="K2406" i="115"/>
  <c r="I2406" i="115"/>
  <c r="H2406" i="115"/>
  <c r="G2406" i="115"/>
  <c r="F2406" i="115"/>
  <c r="E2406" i="115"/>
  <c r="A2406" i="115"/>
  <c r="K2405" i="115"/>
  <c r="I2405" i="115"/>
  <c r="H2405" i="115"/>
  <c r="G2405" i="115"/>
  <c r="F2405" i="115"/>
  <c r="E2405" i="115"/>
  <c r="A2405" i="115"/>
  <c r="K2404" i="115"/>
  <c r="I2404" i="115"/>
  <c r="H2404" i="115"/>
  <c r="G2404" i="115"/>
  <c r="F2404" i="115"/>
  <c r="E2404" i="115"/>
  <c r="A2404" i="115"/>
  <c r="K2403" i="115"/>
  <c r="I2403" i="115"/>
  <c r="H2403" i="115"/>
  <c r="G2403" i="115"/>
  <c r="F2403" i="115"/>
  <c r="E2403" i="115"/>
  <c r="A2403" i="115"/>
  <c r="K2402" i="115"/>
  <c r="I2402" i="115"/>
  <c r="H2402" i="115"/>
  <c r="G2402" i="115"/>
  <c r="F2402" i="115"/>
  <c r="E2402" i="115"/>
  <c r="A2402" i="115"/>
  <c r="K2401" i="115"/>
  <c r="I2401" i="115"/>
  <c r="H2401" i="115"/>
  <c r="G2401" i="115"/>
  <c r="F2401" i="115"/>
  <c r="E2401" i="115"/>
  <c r="A2401" i="115"/>
  <c r="K2400" i="115"/>
  <c r="I2400" i="115"/>
  <c r="H2400" i="115"/>
  <c r="G2400" i="115"/>
  <c r="F2400" i="115"/>
  <c r="E2400" i="115"/>
  <c r="A2400" i="115"/>
  <c r="K2399" i="115"/>
  <c r="I2399" i="115"/>
  <c r="H2399" i="115"/>
  <c r="G2399" i="115"/>
  <c r="F2399" i="115"/>
  <c r="E2399" i="115"/>
  <c r="A2399" i="115"/>
  <c r="K2398" i="115"/>
  <c r="I2398" i="115"/>
  <c r="H2398" i="115"/>
  <c r="G2398" i="115"/>
  <c r="F2398" i="115"/>
  <c r="E2398" i="115"/>
  <c r="A2398" i="115"/>
  <c r="K2397" i="115"/>
  <c r="I2397" i="115"/>
  <c r="H2397" i="115"/>
  <c r="G2397" i="115"/>
  <c r="F2397" i="115"/>
  <c r="E2397" i="115"/>
  <c r="A2397" i="115"/>
  <c r="K2396" i="115"/>
  <c r="I2396" i="115"/>
  <c r="H2396" i="115"/>
  <c r="G2396" i="115"/>
  <c r="F2396" i="115"/>
  <c r="E2396" i="115"/>
  <c r="A2396" i="115"/>
  <c r="K2395" i="115"/>
  <c r="I2395" i="115"/>
  <c r="H2395" i="115"/>
  <c r="G2395" i="115"/>
  <c r="F2395" i="115"/>
  <c r="E2395" i="115"/>
  <c r="A2395" i="115"/>
  <c r="K2394" i="115"/>
  <c r="I2394" i="115"/>
  <c r="H2394" i="115"/>
  <c r="G2394" i="115"/>
  <c r="F2394" i="115"/>
  <c r="E2394" i="115"/>
  <c r="A2394" i="115"/>
  <c r="K2393" i="115"/>
  <c r="I2393" i="115"/>
  <c r="H2393" i="115"/>
  <c r="G2393" i="115"/>
  <c r="F2393" i="115"/>
  <c r="E2393" i="115"/>
  <c r="A2393" i="115"/>
  <c r="K2392" i="115"/>
  <c r="I2392" i="115"/>
  <c r="H2392" i="115"/>
  <c r="G2392" i="115"/>
  <c r="F2392" i="115"/>
  <c r="E2392" i="115"/>
  <c r="A2392" i="115"/>
  <c r="K2391" i="115"/>
  <c r="I2391" i="115"/>
  <c r="H2391" i="115"/>
  <c r="G2391" i="115"/>
  <c r="F2391" i="115"/>
  <c r="E2391" i="115"/>
  <c r="A2391" i="115"/>
  <c r="K2390" i="115"/>
  <c r="I2390" i="115"/>
  <c r="H2390" i="115"/>
  <c r="G2390" i="115"/>
  <c r="F2390" i="115"/>
  <c r="E2390" i="115"/>
  <c r="A2390" i="115"/>
  <c r="K2389" i="115"/>
  <c r="I2389" i="115"/>
  <c r="H2389" i="115"/>
  <c r="G2389" i="115"/>
  <c r="F2389" i="115"/>
  <c r="E2389" i="115"/>
  <c r="A2389" i="115"/>
  <c r="K2388" i="115"/>
  <c r="I2388" i="115"/>
  <c r="H2388" i="115"/>
  <c r="G2388" i="115"/>
  <c r="F2388" i="115"/>
  <c r="E2388" i="115"/>
  <c r="A2388" i="115"/>
  <c r="K2387" i="115"/>
  <c r="I2387" i="115"/>
  <c r="H2387" i="115"/>
  <c r="G2387" i="115"/>
  <c r="F2387" i="115"/>
  <c r="E2387" i="115"/>
  <c r="A2387" i="115"/>
  <c r="K2386" i="115"/>
  <c r="I2386" i="115"/>
  <c r="H2386" i="115"/>
  <c r="G2386" i="115"/>
  <c r="F2386" i="115"/>
  <c r="E2386" i="115"/>
  <c r="A2386" i="115"/>
  <c r="K2385" i="115"/>
  <c r="I2385" i="115"/>
  <c r="H2385" i="115"/>
  <c r="G2385" i="115"/>
  <c r="F2385" i="115"/>
  <c r="E2385" i="115"/>
  <c r="A2385" i="115"/>
  <c r="K2384" i="115"/>
  <c r="I2384" i="115"/>
  <c r="H2384" i="115"/>
  <c r="G2384" i="115"/>
  <c r="F2384" i="115"/>
  <c r="E2384" i="115"/>
  <c r="A2384" i="115"/>
  <c r="K2383" i="115"/>
  <c r="I2383" i="115"/>
  <c r="H2383" i="115"/>
  <c r="G2383" i="115"/>
  <c r="F2383" i="115"/>
  <c r="E2383" i="115"/>
  <c r="A2383" i="115"/>
  <c r="K2382" i="115"/>
  <c r="I2382" i="115"/>
  <c r="H2382" i="115"/>
  <c r="G2382" i="115"/>
  <c r="F2382" i="115"/>
  <c r="E2382" i="115"/>
  <c r="A2382" i="115"/>
  <c r="K2381" i="115"/>
  <c r="I2381" i="115"/>
  <c r="H2381" i="115"/>
  <c r="G2381" i="115"/>
  <c r="F2381" i="115"/>
  <c r="E2381" i="115"/>
  <c r="A2381" i="115"/>
  <c r="K2380" i="115"/>
  <c r="I2380" i="115"/>
  <c r="H2380" i="115"/>
  <c r="G2380" i="115"/>
  <c r="F2380" i="115"/>
  <c r="E2380" i="115"/>
  <c r="A2380" i="115"/>
  <c r="K2379" i="115"/>
  <c r="I2379" i="115"/>
  <c r="H2379" i="115"/>
  <c r="G2379" i="115"/>
  <c r="F2379" i="115"/>
  <c r="E2379" i="115"/>
  <c r="A2379" i="115"/>
  <c r="K2378" i="115"/>
  <c r="I2378" i="115"/>
  <c r="H2378" i="115"/>
  <c r="G2378" i="115"/>
  <c r="F2378" i="115"/>
  <c r="E2378" i="115"/>
  <c r="A2378" i="115"/>
  <c r="K2377" i="115"/>
  <c r="I2377" i="115"/>
  <c r="H2377" i="115"/>
  <c r="G2377" i="115"/>
  <c r="F2377" i="115"/>
  <c r="E2377" i="115"/>
  <c r="A2377" i="115"/>
  <c r="K2376" i="115"/>
  <c r="I2376" i="115"/>
  <c r="H2376" i="115"/>
  <c r="G2376" i="115"/>
  <c r="F2376" i="115"/>
  <c r="E2376" i="115"/>
  <c r="A2376" i="115"/>
  <c r="K2375" i="115"/>
  <c r="I2375" i="115"/>
  <c r="H2375" i="115"/>
  <c r="G2375" i="115"/>
  <c r="F2375" i="115"/>
  <c r="E2375" i="115"/>
  <c r="A2375" i="115"/>
  <c r="K2374" i="115"/>
  <c r="I2374" i="115"/>
  <c r="H2374" i="115"/>
  <c r="G2374" i="115"/>
  <c r="F2374" i="115"/>
  <c r="E2374" i="115"/>
  <c r="A2374" i="115"/>
  <c r="K2373" i="115"/>
  <c r="I2373" i="115"/>
  <c r="H2373" i="115"/>
  <c r="G2373" i="115"/>
  <c r="F2373" i="115"/>
  <c r="E2373" i="115"/>
  <c r="A2373" i="115"/>
  <c r="K2372" i="115"/>
  <c r="I2372" i="115"/>
  <c r="H2372" i="115"/>
  <c r="G2372" i="115"/>
  <c r="F2372" i="115"/>
  <c r="E2372" i="115"/>
  <c r="A2372" i="115"/>
  <c r="K2371" i="115"/>
  <c r="I2371" i="115"/>
  <c r="H2371" i="115"/>
  <c r="G2371" i="115"/>
  <c r="F2371" i="115"/>
  <c r="E2371" i="115"/>
  <c r="A2371" i="115"/>
  <c r="K2370" i="115"/>
  <c r="I2370" i="115"/>
  <c r="H2370" i="115"/>
  <c r="G2370" i="115"/>
  <c r="F2370" i="115"/>
  <c r="E2370" i="115"/>
  <c r="A2370" i="115"/>
  <c r="K2369" i="115"/>
  <c r="I2369" i="115"/>
  <c r="H2369" i="115"/>
  <c r="G2369" i="115"/>
  <c r="F2369" i="115"/>
  <c r="E2369" i="115"/>
  <c r="A2369" i="115"/>
  <c r="K2368" i="115"/>
  <c r="I2368" i="115"/>
  <c r="H2368" i="115"/>
  <c r="G2368" i="115"/>
  <c r="F2368" i="115"/>
  <c r="E2368" i="115"/>
  <c r="A2368" i="115"/>
  <c r="K2367" i="115"/>
  <c r="I2367" i="115"/>
  <c r="H2367" i="115"/>
  <c r="G2367" i="115"/>
  <c r="F2367" i="115"/>
  <c r="E2367" i="115"/>
  <c r="A2367" i="115"/>
  <c r="K2366" i="115"/>
  <c r="I2366" i="115"/>
  <c r="H2366" i="115"/>
  <c r="G2366" i="115"/>
  <c r="F2366" i="115"/>
  <c r="E2366" i="115"/>
  <c r="A2366" i="115"/>
  <c r="K2365" i="115"/>
  <c r="I2365" i="115"/>
  <c r="H2365" i="115"/>
  <c r="G2365" i="115"/>
  <c r="F2365" i="115"/>
  <c r="E2365" i="115"/>
  <c r="A2365" i="115"/>
  <c r="K2364" i="115"/>
  <c r="I2364" i="115"/>
  <c r="H2364" i="115"/>
  <c r="G2364" i="115"/>
  <c r="F2364" i="115"/>
  <c r="E2364" i="115"/>
  <c r="A2364" i="115"/>
  <c r="K2363" i="115"/>
  <c r="I2363" i="115"/>
  <c r="H2363" i="115"/>
  <c r="G2363" i="115"/>
  <c r="F2363" i="115"/>
  <c r="E2363" i="115"/>
  <c r="A2363" i="115"/>
  <c r="K2362" i="115"/>
  <c r="I2362" i="115"/>
  <c r="H2362" i="115"/>
  <c r="G2362" i="115"/>
  <c r="F2362" i="115"/>
  <c r="E2362" i="115"/>
  <c r="A2362" i="115"/>
  <c r="K2361" i="115"/>
  <c r="I2361" i="115"/>
  <c r="H2361" i="115"/>
  <c r="G2361" i="115"/>
  <c r="F2361" i="115"/>
  <c r="E2361" i="115"/>
  <c r="A2361" i="115"/>
  <c r="K2360" i="115"/>
  <c r="I2360" i="115"/>
  <c r="H2360" i="115"/>
  <c r="G2360" i="115"/>
  <c r="F2360" i="115"/>
  <c r="E2360" i="115"/>
  <c r="A2360" i="115"/>
  <c r="K2359" i="115"/>
  <c r="I2359" i="115"/>
  <c r="H2359" i="115"/>
  <c r="G2359" i="115"/>
  <c r="F2359" i="115"/>
  <c r="E2359" i="115"/>
  <c r="A2359" i="115"/>
  <c r="K2358" i="115"/>
  <c r="I2358" i="115"/>
  <c r="H2358" i="115"/>
  <c r="G2358" i="115"/>
  <c r="F2358" i="115"/>
  <c r="E2358" i="115"/>
  <c r="A2358" i="115"/>
  <c r="K2357" i="115"/>
  <c r="I2357" i="115"/>
  <c r="H2357" i="115"/>
  <c r="G2357" i="115"/>
  <c r="F2357" i="115"/>
  <c r="E2357" i="115"/>
  <c r="A2357" i="115"/>
  <c r="K2356" i="115"/>
  <c r="I2356" i="115"/>
  <c r="H2356" i="115"/>
  <c r="G2356" i="115"/>
  <c r="F2356" i="115"/>
  <c r="E2356" i="115"/>
  <c r="A2356" i="115"/>
  <c r="K2355" i="115"/>
  <c r="I2355" i="115"/>
  <c r="H2355" i="115"/>
  <c r="G2355" i="115"/>
  <c r="F2355" i="115"/>
  <c r="E2355" i="115"/>
  <c r="A2355" i="115"/>
  <c r="K2354" i="115"/>
  <c r="I2354" i="115"/>
  <c r="H2354" i="115"/>
  <c r="G2354" i="115"/>
  <c r="F2354" i="115"/>
  <c r="E2354" i="115"/>
  <c r="A2354" i="115"/>
  <c r="K2353" i="115"/>
  <c r="I2353" i="115"/>
  <c r="H2353" i="115"/>
  <c r="G2353" i="115"/>
  <c r="F2353" i="115"/>
  <c r="E2353" i="115"/>
  <c r="A2353" i="115"/>
  <c r="K2352" i="115"/>
  <c r="I2352" i="115"/>
  <c r="H2352" i="115"/>
  <c r="G2352" i="115"/>
  <c r="F2352" i="115"/>
  <c r="E2352" i="115"/>
  <c r="A2352" i="115"/>
  <c r="K2351" i="115"/>
  <c r="I2351" i="115"/>
  <c r="H2351" i="115"/>
  <c r="G2351" i="115"/>
  <c r="F2351" i="115"/>
  <c r="E2351" i="115"/>
  <c r="A2351" i="115"/>
  <c r="K2350" i="115"/>
  <c r="I2350" i="115"/>
  <c r="H2350" i="115"/>
  <c r="G2350" i="115"/>
  <c r="F2350" i="115"/>
  <c r="E2350" i="115"/>
  <c r="A2350" i="115"/>
  <c r="K2349" i="115"/>
  <c r="I2349" i="115"/>
  <c r="H2349" i="115"/>
  <c r="G2349" i="115"/>
  <c r="F2349" i="115"/>
  <c r="E2349" i="115"/>
  <c r="A2349" i="115"/>
  <c r="K2348" i="115"/>
  <c r="I2348" i="115"/>
  <c r="H2348" i="115"/>
  <c r="G2348" i="115"/>
  <c r="F2348" i="115"/>
  <c r="E2348" i="115"/>
  <c r="A2348" i="115"/>
  <c r="K2347" i="115"/>
  <c r="I2347" i="115"/>
  <c r="H2347" i="115"/>
  <c r="G2347" i="115"/>
  <c r="F2347" i="115"/>
  <c r="E2347" i="115"/>
  <c r="A2347" i="115"/>
  <c r="K2346" i="115"/>
  <c r="I2346" i="115"/>
  <c r="H2346" i="115"/>
  <c r="G2346" i="115"/>
  <c r="F2346" i="115"/>
  <c r="E2346" i="115"/>
  <c r="A2346" i="115"/>
  <c r="K2345" i="115"/>
  <c r="I2345" i="115"/>
  <c r="H2345" i="115"/>
  <c r="G2345" i="115"/>
  <c r="F2345" i="115"/>
  <c r="E2345" i="115"/>
  <c r="A2345" i="115"/>
  <c r="K2344" i="115"/>
  <c r="I2344" i="115"/>
  <c r="H2344" i="115"/>
  <c r="G2344" i="115"/>
  <c r="F2344" i="115"/>
  <c r="E2344" i="115"/>
  <c r="A2344" i="115"/>
  <c r="K2343" i="115"/>
  <c r="I2343" i="115"/>
  <c r="H2343" i="115"/>
  <c r="G2343" i="115"/>
  <c r="F2343" i="115"/>
  <c r="E2343" i="115"/>
  <c r="A2343" i="115"/>
  <c r="K2342" i="115"/>
  <c r="I2342" i="115"/>
  <c r="H2342" i="115"/>
  <c r="G2342" i="115"/>
  <c r="F2342" i="115"/>
  <c r="E2342" i="115"/>
  <c r="A2342" i="115"/>
  <c r="K2341" i="115"/>
  <c r="I2341" i="115"/>
  <c r="H2341" i="115"/>
  <c r="G2341" i="115"/>
  <c r="F2341" i="115"/>
  <c r="E2341" i="115"/>
  <c r="A2341" i="115"/>
  <c r="K2340" i="115"/>
  <c r="I2340" i="115"/>
  <c r="H2340" i="115"/>
  <c r="G2340" i="115"/>
  <c r="F2340" i="115"/>
  <c r="E2340" i="115"/>
  <c r="A2340" i="115"/>
  <c r="K2339" i="115"/>
  <c r="I2339" i="115"/>
  <c r="H2339" i="115"/>
  <c r="G2339" i="115"/>
  <c r="F2339" i="115"/>
  <c r="E2339" i="115"/>
  <c r="A2339" i="115"/>
  <c r="K2338" i="115"/>
  <c r="I2338" i="115"/>
  <c r="H2338" i="115"/>
  <c r="G2338" i="115"/>
  <c r="F2338" i="115"/>
  <c r="E2338" i="115"/>
  <c r="A2338" i="115"/>
  <c r="K2337" i="115"/>
  <c r="I2337" i="115"/>
  <c r="H2337" i="115"/>
  <c r="G2337" i="115"/>
  <c r="F2337" i="115"/>
  <c r="E2337" i="115"/>
  <c r="A2337" i="115"/>
  <c r="K2336" i="115"/>
  <c r="I2336" i="115"/>
  <c r="H2336" i="115"/>
  <c r="G2336" i="115"/>
  <c r="F2336" i="115"/>
  <c r="E2336" i="115"/>
  <c r="A2336" i="115"/>
  <c r="K2335" i="115"/>
  <c r="I2335" i="115"/>
  <c r="H2335" i="115"/>
  <c r="G2335" i="115"/>
  <c r="F2335" i="115"/>
  <c r="E2335" i="115"/>
  <c r="A2335" i="115"/>
  <c r="K2334" i="115"/>
  <c r="I2334" i="115"/>
  <c r="H2334" i="115"/>
  <c r="G2334" i="115"/>
  <c r="F2334" i="115"/>
  <c r="E2334" i="115"/>
  <c r="A2334" i="115"/>
  <c r="K2333" i="115"/>
  <c r="I2333" i="115"/>
  <c r="H2333" i="115"/>
  <c r="G2333" i="115"/>
  <c r="F2333" i="115"/>
  <c r="E2333" i="115"/>
  <c r="A2333" i="115"/>
  <c r="K2332" i="115"/>
  <c r="I2332" i="115"/>
  <c r="H2332" i="115"/>
  <c r="G2332" i="115"/>
  <c r="F2332" i="115"/>
  <c r="E2332" i="115"/>
  <c r="A2332" i="115"/>
  <c r="K2331" i="115"/>
  <c r="I2331" i="115"/>
  <c r="H2331" i="115"/>
  <c r="G2331" i="115"/>
  <c r="F2331" i="115"/>
  <c r="E2331" i="115"/>
  <c r="A2331" i="115"/>
  <c r="K2330" i="115"/>
  <c r="I2330" i="115"/>
  <c r="H2330" i="115"/>
  <c r="G2330" i="115"/>
  <c r="F2330" i="115"/>
  <c r="E2330" i="115"/>
  <c r="A2330" i="115"/>
  <c r="K2329" i="115"/>
  <c r="I2329" i="115"/>
  <c r="H2329" i="115"/>
  <c r="G2329" i="115"/>
  <c r="F2329" i="115"/>
  <c r="E2329" i="115"/>
  <c r="A2329" i="115"/>
  <c r="K2328" i="115"/>
  <c r="I2328" i="115"/>
  <c r="H2328" i="115"/>
  <c r="G2328" i="115"/>
  <c r="F2328" i="115"/>
  <c r="E2328" i="115"/>
  <c r="A2328" i="115"/>
  <c r="K2327" i="115"/>
  <c r="I2327" i="115"/>
  <c r="H2327" i="115"/>
  <c r="G2327" i="115"/>
  <c r="F2327" i="115"/>
  <c r="E2327" i="115"/>
  <c r="A2327" i="115"/>
  <c r="K2326" i="115"/>
  <c r="I2326" i="115"/>
  <c r="H2326" i="115"/>
  <c r="G2326" i="115"/>
  <c r="F2326" i="115"/>
  <c r="E2326" i="115"/>
  <c r="A2326" i="115"/>
  <c r="K2325" i="115"/>
  <c r="I2325" i="115"/>
  <c r="H2325" i="115"/>
  <c r="G2325" i="115"/>
  <c r="F2325" i="115"/>
  <c r="E2325" i="115"/>
  <c r="A2325" i="115"/>
  <c r="K2324" i="115"/>
  <c r="I2324" i="115"/>
  <c r="H2324" i="115"/>
  <c r="G2324" i="115"/>
  <c r="F2324" i="115"/>
  <c r="E2324" i="115"/>
  <c r="A2324" i="115"/>
  <c r="K2323" i="115"/>
  <c r="I2323" i="115"/>
  <c r="H2323" i="115"/>
  <c r="G2323" i="115"/>
  <c r="F2323" i="115"/>
  <c r="E2323" i="115"/>
  <c r="A2323" i="115"/>
  <c r="K2322" i="115"/>
  <c r="I2322" i="115"/>
  <c r="H2322" i="115"/>
  <c r="G2322" i="115"/>
  <c r="F2322" i="115"/>
  <c r="E2322" i="115"/>
  <c r="A2322" i="115"/>
  <c r="K2321" i="115"/>
  <c r="I2321" i="115"/>
  <c r="H2321" i="115"/>
  <c r="G2321" i="115"/>
  <c r="F2321" i="115"/>
  <c r="E2321" i="115"/>
  <c r="A2321" i="115"/>
  <c r="K2320" i="115"/>
  <c r="I2320" i="115"/>
  <c r="H2320" i="115"/>
  <c r="G2320" i="115"/>
  <c r="F2320" i="115"/>
  <c r="E2320" i="115"/>
  <c r="A2320" i="115"/>
  <c r="K2319" i="115"/>
  <c r="I2319" i="115"/>
  <c r="H2319" i="115"/>
  <c r="G2319" i="115"/>
  <c r="F2319" i="115"/>
  <c r="E2319" i="115"/>
  <c r="A2319" i="115"/>
  <c r="K2318" i="115"/>
  <c r="I2318" i="115"/>
  <c r="H2318" i="115"/>
  <c r="G2318" i="115"/>
  <c r="F2318" i="115"/>
  <c r="E2318" i="115"/>
  <c r="A2318" i="115"/>
  <c r="K2317" i="115"/>
  <c r="I2317" i="115"/>
  <c r="H2317" i="115"/>
  <c r="G2317" i="115"/>
  <c r="F2317" i="115"/>
  <c r="E2317" i="115"/>
  <c r="A2317" i="115"/>
  <c r="K2316" i="115"/>
  <c r="I2316" i="115"/>
  <c r="H2316" i="115"/>
  <c r="G2316" i="115"/>
  <c r="F2316" i="115"/>
  <c r="E2316" i="115"/>
  <c r="A2316" i="115"/>
  <c r="K2315" i="115"/>
  <c r="I2315" i="115"/>
  <c r="H2315" i="115"/>
  <c r="G2315" i="115"/>
  <c r="F2315" i="115"/>
  <c r="E2315" i="115"/>
  <c r="A2315" i="115"/>
  <c r="K2314" i="115"/>
  <c r="I2314" i="115"/>
  <c r="H2314" i="115"/>
  <c r="G2314" i="115"/>
  <c r="F2314" i="115"/>
  <c r="E2314" i="115"/>
  <c r="A2314" i="115"/>
  <c r="K2313" i="115"/>
  <c r="I2313" i="115"/>
  <c r="H2313" i="115"/>
  <c r="G2313" i="115"/>
  <c r="F2313" i="115"/>
  <c r="E2313" i="115"/>
  <c r="A2313" i="115"/>
  <c r="K2312" i="115"/>
  <c r="I2312" i="115"/>
  <c r="H2312" i="115"/>
  <c r="G2312" i="115"/>
  <c r="F2312" i="115"/>
  <c r="E2312" i="115"/>
  <c r="A2312" i="115"/>
  <c r="K2311" i="115"/>
  <c r="I2311" i="115"/>
  <c r="H2311" i="115"/>
  <c r="G2311" i="115"/>
  <c r="F2311" i="115"/>
  <c r="E2311" i="115"/>
  <c r="A2311" i="115"/>
  <c r="K2310" i="115"/>
  <c r="I2310" i="115"/>
  <c r="H2310" i="115"/>
  <c r="G2310" i="115"/>
  <c r="F2310" i="115"/>
  <c r="E2310" i="115"/>
  <c r="A2310" i="115"/>
  <c r="K2309" i="115"/>
  <c r="I2309" i="115"/>
  <c r="H2309" i="115"/>
  <c r="G2309" i="115"/>
  <c r="F2309" i="115"/>
  <c r="E2309" i="115"/>
  <c r="A2309" i="115"/>
  <c r="K2308" i="115"/>
  <c r="I2308" i="115"/>
  <c r="H2308" i="115"/>
  <c r="G2308" i="115"/>
  <c r="F2308" i="115"/>
  <c r="E2308" i="115"/>
  <c r="A2308" i="115"/>
  <c r="K2307" i="115"/>
  <c r="I2307" i="115"/>
  <c r="H2307" i="115"/>
  <c r="G2307" i="115"/>
  <c r="F2307" i="115"/>
  <c r="E2307" i="115"/>
  <c r="A2307" i="115"/>
  <c r="K2306" i="115"/>
  <c r="I2306" i="115"/>
  <c r="H2306" i="115"/>
  <c r="G2306" i="115"/>
  <c r="F2306" i="115"/>
  <c r="E2306" i="115"/>
  <c r="A2306" i="115"/>
  <c r="K2305" i="115"/>
  <c r="I2305" i="115"/>
  <c r="H2305" i="115"/>
  <c r="G2305" i="115"/>
  <c r="F2305" i="115"/>
  <c r="E2305" i="115"/>
  <c r="A2305" i="115"/>
  <c r="K2304" i="115"/>
  <c r="I2304" i="115"/>
  <c r="H2304" i="115"/>
  <c r="G2304" i="115"/>
  <c r="F2304" i="115"/>
  <c r="E2304" i="115"/>
  <c r="A2304" i="115"/>
  <c r="K2303" i="115"/>
  <c r="I2303" i="115"/>
  <c r="H2303" i="115"/>
  <c r="G2303" i="115"/>
  <c r="F2303" i="115"/>
  <c r="E2303" i="115"/>
  <c r="A2303" i="115"/>
  <c r="K2302" i="115"/>
  <c r="I2302" i="115"/>
  <c r="H2302" i="115"/>
  <c r="G2302" i="115"/>
  <c r="F2302" i="115"/>
  <c r="E2302" i="115"/>
  <c r="A2302" i="115"/>
  <c r="K2301" i="115"/>
  <c r="I2301" i="115"/>
  <c r="H2301" i="115"/>
  <c r="G2301" i="115"/>
  <c r="F2301" i="115"/>
  <c r="E2301" i="115"/>
  <c r="A2301" i="115"/>
  <c r="K2300" i="115"/>
  <c r="I2300" i="115"/>
  <c r="H2300" i="115"/>
  <c r="G2300" i="115"/>
  <c r="F2300" i="115"/>
  <c r="E2300" i="115"/>
  <c r="A2300" i="115"/>
  <c r="K2299" i="115"/>
  <c r="I2299" i="115"/>
  <c r="H2299" i="115"/>
  <c r="G2299" i="115"/>
  <c r="F2299" i="115"/>
  <c r="E2299" i="115"/>
  <c r="A2299" i="115"/>
  <c r="K2298" i="115"/>
  <c r="I2298" i="115"/>
  <c r="H2298" i="115"/>
  <c r="G2298" i="115"/>
  <c r="F2298" i="115"/>
  <c r="E2298" i="115"/>
  <c r="A2298" i="115"/>
  <c r="K2297" i="115"/>
  <c r="I2297" i="115"/>
  <c r="H2297" i="115"/>
  <c r="G2297" i="115"/>
  <c r="F2297" i="115"/>
  <c r="E2297" i="115"/>
  <c r="A2297" i="115"/>
  <c r="K2296" i="115"/>
  <c r="I2296" i="115"/>
  <c r="H2296" i="115"/>
  <c r="G2296" i="115"/>
  <c r="F2296" i="115"/>
  <c r="E2296" i="115"/>
  <c r="A2296" i="115"/>
  <c r="K2295" i="115"/>
  <c r="I2295" i="115"/>
  <c r="H2295" i="115"/>
  <c r="G2295" i="115"/>
  <c r="F2295" i="115"/>
  <c r="E2295" i="115"/>
  <c r="A2295" i="115"/>
  <c r="K2294" i="115"/>
  <c r="I2294" i="115"/>
  <c r="H2294" i="115"/>
  <c r="G2294" i="115"/>
  <c r="F2294" i="115"/>
  <c r="E2294" i="115"/>
  <c r="A2294" i="115"/>
  <c r="K2293" i="115"/>
  <c r="I2293" i="115"/>
  <c r="H2293" i="115"/>
  <c r="G2293" i="115"/>
  <c r="F2293" i="115"/>
  <c r="E2293" i="115"/>
  <c r="A2293" i="115"/>
  <c r="K2292" i="115"/>
  <c r="I2292" i="115"/>
  <c r="H2292" i="115"/>
  <c r="G2292" i="115"/>
  <c r="F2292" i="115"/>
  <c r="E2292" i="115"/>
  <c r="A2292" i="115"/>
  <c r="K2291" i="115"/>
  <c r="I2291" i="115"/>
  <c r="H2291" i="115"/>
  <c r="G2291" i="115"/>
  <c r="F2291" i="115"/>
  <c r="E2291" i="115"/>
  <c r="A2291" i="115"/>
  <c r="K2290" i="115"/>
  <c r="I2290" i="115"/>
  <c r="H2290" i="115"/>
  <c r="G2290" i="115"/>
  <c r="F2290" i="115"/>
  <c r="E2290" i="115"/>
  <c r="A2290" i="115"/>
  <c r="K2289" i="115"/>
  <c r="I2289" i="115"/>
  <c r="H2289" i="115"/>
  <c r="G2289" i="115"/>
  <c r="F2289" i="115"/>
  <c r="E2289" i="115"/>
  <c r="A2289" i="115"/>
  <c r="K2288" i="115"/>
  <c r="I2288" i="115"/>
  <c r="H2288" i="115"/>
  <c r="G2288" i="115"/>
  <c r="F2288" i="115"/>
  <c r="E2288" i="115"/>
  <c r="A2288" i="115"/>
  <c r="K2287" i="115"/>
  <c r="I2287" i="115"/>
  <c r="H2287" i="115"/>
  <c r="G2287" i="115"/>
  <c r="F2287" i="115"/>
  <c r="E2287" i="115"/>
  <c r="A2287" i="115"/>
  <c r="K2286" i="115"/>
  <c r="I2286" i="115"/>
  <c r="H2286" i="115"/>
  <c r="G2286" i="115"/>
  <c r="F2286" i="115"/>
  <c r="E2286" i="115"/>
  <c r="A2286" i="115"/>
  <c r="K2285" i="115"/>
  <c r="I2285" i="115"/>
  <c r="H2285" i="115"/>
  <c r="G2285" i="115"/>
  <c r="F2285" i="115"/>
  <c r="E2285" i="115"/>
  <c r="A2285" i="115"/>
  <c r="K2284" i="115"/>
  <c r="I2284" i="115"/>
  <c r="H2284" i="115"/>
  <c r="G2284" i="115"/>
  <c r="F2284" i="115"/>
  <c r="E2284" i="115"/>
  <c r="A2284" i="115"/>
  <c r="K2283" i="115"/>
  <c r="I2283" i="115"/>
  <c r="H2283" i="115"/>
  <c r="G2283" i="115"/>
  <c r="F2283" i="115"/>
  <c r="E2283" i="115"/>
  <c r="A2283" i="115"/>
  <c r="K2282" i="115"/>
  <c r="I2282" i="115"/>
  <c r="H2282" i="115"/>
  <c r="G2282" i="115"/>
  <c r="F2282" i="115"/>
  <c r="E2282" i="115"/>
  <c r="A2282" i="115"/>
  <c r="K2281" i="115"/>
  <c r="I2281" i="115"/>
  <c r="H2281" i="115"/>
  <c r="G2281" i="115"/>
  <c r="F2281" i="115"/>
  <c r="E2281" i="115"/>
  <c r="A2281" i="115"/>
  <c r="K2280" i="115"/>
  <c r="I2280" i="115"/>
  <c r="H2280" i="115"/>
  <c r="G2280" i="115"/>
  <c r="F2280" i="115"/>
  <c r="E2280" i="115"/>
  <c r="A2280" i="115"/>
  <c r="K2279" i="115"/>
  <c r="I2279" i="115"/>
  <c r="H2279" i="115"/>
  <c r="G2279" i="115"/>
  <c r="F2279" i="115"/>
  <c r="E2279" i="115"/>
  <c r="A2279" i="115"/>
  <c r="K2278" i="115"/>
  <c r="I2278" i="115"/>
  <c r="H2278" i="115"/>
  <c r="G2278" i="115"/>
  <c r="F2278" i="115"/>
  <c r="E2278" i="115"/>
  <c r="A2278" i="115"/>
  <c r="K2277" i="115"/>
  <c r="I2277" i="115"/>
  <c r="H2277" i="115"/>
  <c r="G2277" i="115"/>
  <c r="F2277" i="115"/>
  <c r="E2277" i="115"/>
  <c r="A2277" i="115"/>
  <c r="K2276" i="115"/>
  <c r="I2276" i="115"/>
  <c r="H2276" i="115"/>
  <c r="G2276" i="115"/>
  <c r="F2276" i="115"/>
  <c r="E2276" i="115"/>
  <c r="A2276" i="115"/>
  <c r="K2275" i="115"/>
  <c r="I2275" i="115"/>
  <c r="H2275" i="115"/>
  <c r="G2275" i="115"/>
  <c r="F2275" i="115"/>
  <c r="E2275" i="115"/>
  <c r="A2275" i="115"/>
  <c r="K2274" i="115"/>
  <c r="I2274" i="115"/>
  <c r="H2274" i="115"/>
  <c r="G2274" i="115"/>
  <c r="F2274" i="115"/>
  <c r="E2274" i="115"/>
  <c r="A2274" i="115"/>
  <c r="K2273" i="115"/>
  <c r="I2273" i="115"/>
  <c r="H2273" i="115"/>
  <c r="G2273" i="115"/>
  <c r="F2273" i="115"/>
  <c r="E2273" i="115"/>
  <c r="A2273" i="115"/>
  <c r="K2272" i="115"/>
  <c r="I2272" i="115"/>
  <c r="H2272" i="115"/>
  <c r="G2272" i="115"/>
  <c r="F2272" i="115"/>
  <c r="E2272" i="115"/>
  <c r="A2272" i="115"/>
  <c r="K2271" i="115"/>
  <c r="I2271" i="115"/>
  <c r="H2271" i="115"/>
  <c r="G2271" i="115"/>
  <c r="F2271" i="115"/>
  <c r="E2271" i="115"/>
  <c r="A2271" i="115"/>
  <c r="K2270" i="115"/>
  <c r="I2270" i="115"/>
  <c r="H2270" i="115"/>
  <c r="G2270" i="115"/>
  <c r="F2270" i="115"/>
  <c r="E2270" i="115"/>
  <c r="A2270" i="115"/>
  <c r="K2269" i="115"/>
  <c r="I2269" i="115"/>
  <c r="H2269" i="115"/>
  <c r="G2269" i="115"/>
  <c r="F2269" i="115"/>
  <c r="E2269" i="115"/>
  <c r="A2269" i="115"/>
  <c r="K2268" i="115"/>
  <c r="I2268" i="115"/>
  <c r="H2268" i="115"/>
  <c r="G2268" i="115"/>
  <c r="F2268" i="115"/>
  <c r="E2268" i="115"/>
  <c r="A2268" i="115"/>
  <c r="K2267" i="115"/>
  <c r="I2267" i="115"/>
  <c r="H2267" i="115"/>
  <c r="G2267" i="115"/>
  <c r="F2267" i="115"/>
  <c r="E2267" i="115"/>
  <c r="A2267" i="115"/>
  <c r="K2266" i="115"/>
  <c r="I2266" i="115"/>
  <c r="H2266" i="115"/>
  <c r="G2266" i="115"/>
  <c r="F2266" i="115"/>
  <c r="E2266" i="115"/>
  <c r="A2266" i="115"/>
  <c r="K2265" i="115"/>
  <c r="I2265" i="115"/>
  <c r="H2265" i="115"/>
  <c r="G2265" i="115"/>
  <c r="F2265" i="115"/>
  <c r="E2265" i="115"/>
  <c r="A2265" i="115"/>
  <c r="K2264" i="115"/>
  <c r="I2264" i="115"/>
  <c r="H2264" i="115"/>
  <c r="G2264" i="115"/>
  <c r="F2264" i="115"/>
  <c r="E2264" i="115"/>
  <c r="A2264" i="115"/>
  <c r="K2263" i="115"/>
  <c r="I2263" i="115"/>
  <c r="H2263" i="115"/>
  <c r="G2263" i="115"/>
  <c r="F2263" i="115"/>
  <c r="E2263" i="115"/>
  <c r="A2263" i="115"/>
  <c r="K2262" i="115"/>
  <c r="I2262" i="115"/>
  <c r="H2262" i="115"/>
  <c r="G2262" i="115"/>
  <c r="F2262" i="115"/>
  <c r="E2262" i="115"/>
  <c r="A2262" i="115"/>
  <c r="K2261" i="115"/>
  <c r="I2261" i="115"/>
  <c r="H2261" i="115"/>
  <c r="G2261" i="115"/>
  <c r="F2261" i="115"/>
  <c r="E2261" i="115"/>
  <c r="A2261" i="115"/>
  <c r="K2260" i="115"/>
  <c r="I2260" i="115"/>
  <c r="H2260" i="115"/>
  <c r="G2260" i="115"/>
  <c r="F2260" i="115"/>
  <c r="E2260" i="115"/>
  <c r="A2260" i="115"/>
  <c r="K2259" i="115"/>
  <c r="I2259" i="115"/>
  <c r="H2259" i="115"/>
  <c r="G2259" i="115"/>
  <c r="F2259" i="115"/>
  <c r="E2259" i="115"/>
  <c r="A2259" i="115"/>
  <c r="K2258" i="115"/>
  <c r="I2258" i="115"/>
  <c r="H2258" i="115"/>
  <c r="G2258" i="115"/>
  <c r="F2258" i="115"/>
  <c r="E2258" i="115"/>
  <c r="A2258" i="115"/>
  <c r="K2257" i="115"/>
  <c r="I2257" i="115"/>
  <c r="H2257" i="115"/>
  <c r="G2257" i="115"/>
  <c r="F2257" i="115"/>
  <c r="E2257" i="115"/>
  <c r="A2257" i="115"/>
  <c r="K2256" i="115"/>
  <c r="I2256" i="115"/>
  <c r="H2256" i="115"/>
  <c r="G2256" i="115"/>
  <c r="F2256" i="115"/>
  <c r="E2256" i="115"/>
  <c r="A2256" i="115"/>
  <c r="K2255" i="115"/>
  <c r="I2255" i="115"/>
  <c r="H2255" i="115"/>
  <c r="G2255" i="115"/>
  <c r="F2255" i="115"/>
  <c r="E2255" i="115"/>
  <c r="A2255" i="115"/>
  <c r="K2254" i="115"/>
  <c r="I2254" i="115"/>
  <c r="H2254" i="115"/>
  <c r="G2254" i="115"/>
  <c r="F2254" i="115"/>
  <c r="E2254" i="115"/>
  <c r="A2254" i="115"/>
  <c r="K2253" i="115"/>
  <c r="I2253" i="115"/>
  <c r="H2253" i="115"/>
  <c r="G2253" i="115"/>
  <c r="F2253" i="115"/>
  <c r="E2253" i="115"/>
  <c r="A2253" i="115"/>
  <c r="K2252" i="115"/>
  <c r="I2252" i="115"/>
  <c r="H2252" i="115"/>
  <c r="G2252" i="115"/>
  <c r="F2252" i="115"/>
  <c r="E2252" i="115"/>
  <c r="A2252" i="115"/>
  <c r="K2251" i="115"/>
  <c r="I2251" i="115"/>
  <c r="H2251" i="115"/>
  <c r="G2251" i="115"/>
  <c r="F2251" i="115"/>
  <c r="E2251" i="115"/>
  <c r="A2251" i="115"/>
  <c r="K2250" i="115"/>
  <c r="I2250" i="115"/>
  <c r="H2250" i="115"/>
  <c r="G2250" i="115"/>
  <c r="F2250" i="115"/>
  <c r="E2250" i="115"/>
  <c r="A2250" i="115"/>
  <c r="K2249" i="115"/>
  <c r="I2249" i="115"/>
  <c r="H2249" i="115"/>
  <c r="G2249" i="115"/>
  <c r="F2249" i="115"/>
  <c r="E2249" i="115"/>
  <c r="A2249" i="115"/>
  <c r="K2248" i="115"/>
  <c r="I2248" i="115"/>
  <c r="H2248" i="115"/>
  <c r="G2248" i="115"/>
  <c r="F2248" i="115"/>
  <c r="E2248" i="115"/>
  <c r="A2248" i="115"/>
  <c r="K2247" i="115"/>
  <c r="I2247" i="115"/>
  <c r="H2247" i="115"/>
  <c r="G2247" i="115"/>
  <c r="F2247" i="115"/>
  <c r="E2247" i="115"/>
  <c r="A2247" i="115"/>
  <c r="K2246" i="115"/>
  <c r="I2246" i="115"/>
  <c r="H2246" i="115"/>
  <c r="G2246" i="115"/>
  <c r="F2246" i="115"/>
  <c r="E2246" i="115"/>
  <c r="A2246" i="115"/>
  <c r="K2245" i="115"/>
  <c r="I2245" i="115"/>
  <c r="H2245" i="115"/>
  <c r="G2245" i="115"/>
  <c r="F2245" i="115"/>
  <c r="E2245" i="115"/>
  <c r="A2245" i="115"/>
  <c r="K2244" i="115"/>
  <c r="I2244" i="115"/>
  <c r="H2244" i="115"/>
  <c r="G2244" i="115"/>
  <c r="F2244" i="115"/>
  <c r="E2244" i="115"/>
  <c r="A2244" i="115"/>
  <c r="K2243" i="115"/>
  <c r="I2243" i="115"/>
  <c r="H2243" i="115"/>
  <c r="G2243" i="115"/>
  <c r="F2243" i="115"/>
  <c r="E2243" i="115"/>
  <c r="A2243" i="115"/>
  <c r="K2242" i="115"/>
  <c r="I2242" i="115"/>
  <c r="H2242" i="115"/>
  <c r="G2242" i="115"/>
  <c r="F2242" i="115"/>
  <c r="E2242" i="115"/>
  <c r="A2242" i="115"/>
  <c r="K2241" i="115"/>
  <c r="I2241" i="115"/>
  <c r="H2241" i="115"/>
  <c r="G2241" i="115"/>
  <c r="F2241" i="115"/>
  <c r="E2241" i="115"/>
  <c r="A2241" i="115"/>
  <c r="K2240" i="115"/>
  <c r="I2240" i="115"/>
  <c r="H2240" i="115"/>
  <c r="G2240" i="115"/>
  <c r="F2240" i="115"/>
  <c r="E2240" i="115"/>
  <c r="A2240" i="115"/>
  <c r="K2239" i="115"/>
  <c r="I2239" i="115"/>
  <c r="H2239" i="115"/>
  <c r="G2239" i="115"/>
  <c r="F2239" i="115"/>
  <c r="E2239" i="115"/>
  <c r="A2239" i="115"/>
  <c r="K2238" i="115"/>
  <c r="I2238" i="115"/>
  <c r="H2238" i="115"/>
  <c r="G2238" i="115"/>
  <c r="F2238" i="115"/>
  <c r="E2238" i="115"/>
  <c r="A2238" i="115"/>
  <c r="K2237" i="115"/>
  <c r="I2237" i="115"/>
  <c r="H2237" i="115"/>
  <c r="G2237" i="115"/>
  <c r="F2237" i="115"/>
  <c r="E2237" i="115"/>
  <c r="A2237" i="115"/>
  <c r="K2236" i="115"/>
  <c r="I2236" i="115"/>
  <c r="H2236" i="115"/>
  <c r="G2236" i="115"/>
  <c r="F2236" i="115"/>
  <c r="E2236" i="115"/>
  <c r="A2236" i="115"/>
  <c r="K2235" i="115"/>
  <c r="I2235" i="115"/>
  <c r="H2235" i="115"/>
  <c r="G2235" i="115"/>
  <c r="F2235" i="115"/>
  <c r="E2235" i="115"/>
  <c r="A2235" i="115"/>
  <c r="K2234" i="115"/>
  <c r="I2234" i="115"/>
  <c r="H2234" i="115"/>
  <c r="G2234" i="115"/>
  <c r="F2234" i="115"/>
  <c r="E2234" i="115"/>
  <c r="A2234" i="115"/>
  <c r="K2233" i="115"/>
  <c r="I2233" i="115"/>
  <c r="H2233" i="115"/>
  <c r="G2233" i="115"/>
  <c r="F2233" i="115"/>
  <c r="E2233" i="115"/>
  <c r="A2233" i="115"/>
  <c r="K2232" i="115"/>
  <c r="I2232" i="115"/>
  <c r="H2232" i="115"/>
  <c r="G2232" i="115"/>
  <c r="F2232" i="115"/>
  <c r="E2232" i="115"/>
  <c r="A2232" i="115"/>
  <c r="K2231" i="115"/>
  <c r="I2231" i="115"/>
  <c r="H2231" i="115"/>
  <c r="G2231" i="115"/>
  <c r="F2231" i="115"/>
  <c r="E2231" i="115"/>
  <c r="A2231" i="115"/>
  <c r="K2230" i="115"/>
  <c r="I2230" i="115"/>
  <c r="H2230" i="115"/>
  <c r="G2230" i="115"/>
  <c r="F2230" i="115"/>
  <c r="E2230" i="115"/>
  <c r="A2230" i="115"/>
  <c r="K2229" i="115"/>
  <c r="I2229" i="115"/>
  <c r="H2229" i="115"/>
  <c r="G2229" i="115"/>
  <c r="F2229" i="115"/>
  <c r="E2229" i="115"/>
  <c r="A2229" i="115"/>
  <c r="K2228" i="115"/>
  <c r="I2228" i="115"/>
  <c r="H2228" i="115"/>
  <c r="G2228" i="115"/>
  <c r="F2228" i="115"/>
  <c r="E2228" i="115"/>
  <c r="A2228" i="115"/>
  <c r="K2227" i="115"/>
  <c r="I2227" i="115"/>
  <c r="H2227" i="115"/>
  <c r="G2227" i="115"/>
  <c r="F2227" i="115"/>
  <c r="E2227" i="115"/>
  <c r="A2227" i="115"/>
  <c r="K2226" i="115"/>
  <c r="I2226" i="115"/>
  <c r="H2226" i="115"/>
  <c r="G2226" i="115"/>
  <c r="F2226" i="115"/>
  <c r="E2226" i="115"/>
  <c r="A2226" i="115"/>
  <c r="K2225" i="115"/>
  <c r="I2225" i="115"/>
  <c r="H2225" i="115"/>
  <c r="G2225" i="115"/>
  <c r="F2225" i="115"/>
  <c r="E2225" i="115"/>
  <c r="A2225" i="115"/>
  <c r="K2224" i="115"/>
  <c r="I2224" i="115"/>
  <c r="H2224" i="115"/>
  <c r="G2224" i="115"/>
  <c r="F2224" i="115"/>
  <c r="E2224" i="115"/>
  <c r="A2224" i="115"/>
  <c r="K2223" i="115"/>
  <c r="I2223" i="115"/>
  <c r="H2223" i="115"/>
  <c r="G2223" i="115"/>
  <c r="F2223" i="115"/>
  <c r="E2223" i="115"/>
  <c r="A2223" i="115"/>
  <c r="K2222" i="115"/>
  <c r="I2222" i="115"/>
  <c r="H2222" i="115"/>
  <c r="G2222" i="115"/>
  <c r="F2222" i="115"/>
  <c r="E2222" i="115"/>
  <c r="A2222" i="115"/>
  <c r="K2221" i="115"/>
  <c r="I2221" i="115"/>
  <c r="H2221" i="115"/>
  <c r="G2221" i="115"/>
  <c r="F2221" i="115"/>
  <c r="E2221" i="115"/>
  <c r="A2221" i="115"/>
  <c r="K2220" i="115"/>
  <c r="I2220" i="115"/>
  <c r="H2220" i="115"/>
  <c r="G2220" i="115"/>
  <c r="F2220" i="115"/>
  <c r="E2220" i="115"/>
  <c r="A2220" i="115"/>
  <c r="K2219" i="115"/>
  <c r="I2219" i="115"/>
  <c r="H2219" i="115"/>
  <c r="G2219" i="115"/>
  <c r="F2219" i="115"/>
  <c r="E2219" i="115"/>
  <c r="A2219" i="115"/>
  <c r="K2218" i="115"/>
  <c r="I2218" i="115"/>
  <c r="H2218" i="115"/>
  <c r="G2218" i="115"/>
  <c r="F2218" i="115"/>
  <c r="E2218" i="115"/>
  <c r="A2218" i="115"/>
  <c r="K2217" i="115"/>
  <c r="I2217" i="115"/>
  <c r="H2217" i="115"/>
  <c r="G2217" i="115"/>
  <c r="F2217" i="115"/>
  <c r="E2217" i="115"/>
  <c r="A2217" i="115"/>
  <c r="K2216" i="115"/>
  <c r="I2216" i="115"/>
  <c r="H2216" i="115"/>
  <c r="G2216" i="115"/>
  <c r="F2216" i="115"/>
  <c r="E2216" i="115"/>
  <c r="A2216" i="115"/>
  <c r="K2215" i="115"/>
  <c r="I2215" i="115"/>
  <c r="H2215" i="115"/>
  <c r="G2215" i="115"/>
  <c r="F2215" i="115"/>
  <c r="E2215" i="115"/>
  <c r="A2215" i="115"/>
  <c r="K2214" i="115"/>
  <c r="I2214" i="115"/>
  <c r="H2214" i="115"/>
  <c r="G2214" i="115"/>
  <c r="F2214" i="115"/>
  <c r="E2214" i="115"/>
  <c r="A2214" i="115"/>
  <c r="K2213" i="115"/>
  <c r="I2213" i="115"/>
  <c r="H2213" i="115"/>
  <c r="G2213" i="115"/>
  <c r="F2213" i="115"/>
  <c r="E2213" i="115"/>
  <c r="A2213" i="115"/>
  <c r="K2212" i="115"/>
  <c r="I2212" i="115"/>
  <c r="H2212" i="115"/>
  <c r="G2212" i="115"/>
  <c r="F2212" i="115"/>
  <c r="E2212" i="115"/>
  <c r="A2212" i="115"/>
  <c r="K2211" i="115"/>
  <c r="I2211" i="115"/>
  <c r="H2211" i="115"/>
  <c r="G2211" i="115"/>
  <c r="F2211" i="115"/>
  <c r="E2211" i="115"/>
  <c r="A2211" i="115"/>
  <c r="K2210" i="115"/>
  <c r="I2210" i="115"/>
  <c r="H2210" i="115"/>
  <c r="G2210" i="115"/>
  <c r="F2210" i="115"/>
  <c r="E2210" i="115"/>
  <c r="A2210" i="115"/>
  <c r="K2209" i="115"/>
  <c r="I2209" i="115"/>
  <c r="H2209" i="115"/>
  <c r="G2209" i="115"/>
  <c r="F2209" i="115"/>
  <c r="E2209" i="115"/>
  <c r="A2209" i="115"/>
  <c r="K2208" i="115"/>
  <c r="I2208" i="115"/>
  <c r="H2208" i="115"/>
  <c r="G2208" i="115"/>
  <c r="F2208" i="115"/>
  <c r="E2208" i="115"/>
  <c r="A2208" i="115"/>
  <c r="K2207" i="115"/>
  <c r="I2207" i="115"/>
  <c r="H2207" i="115"/>
  <c r="G2207" i="115"/>
  <c r="F2207" i="115"/>
  <c r="E2207" i="115"/>
  <c r="A2207" i="115"/>
  <c r="K2206" i="115"/>
  <c r="I2206" i="115"/>
  <c r="H2206" i="115"/>
  <c r="G2206" i="115"/>
  <c r="F2206" i="115"/>
  <c r="E2206" i="115"/>
  <c r="A2206" i="115"/>
  <c r="K2205" i="115"/>
  <c r="I2205" i="115"/>
  <c r="H2205" i="115"/>
  <c r="G2205" i="115"/>
  <c r="F2205" i="115"/>
  <c r="E2205" i="115"/>
  <c r="A2205" i="115"/>
  <c r="K2204" i="115"/>
  <c r="I2204" i="115"/>
  <c r="H2204" i="115"/>
  <c r="G2204" i="115"/>
  <c r="F2204" i="115"/>
  <c r="E2204" i="115"/>
  <c r="A2204" i="115"/>
  <c r="K2203" i="115"/>
  <c r="I2203" i="115"/>
  <c r="H2203" i="115"/>
  <c r="G2203" i="115"/>
  <c r="F2203" i="115"/>
  <c r="E2203" i="115"/>
  <c r="A2203" i="115"/>
  <c r="K2202" i="115"/>
  <c r="I2202" i="115"/>
  <c r="H2202" i="115"/>
  <c r="G2202" i="115"/>
  <c r="F2202" i="115"/>
  <c r="E2202" i="115"/>
  <c r="A2202" i="115"/>
  <c r="K2201" i="115"/>
  <c r="I2201" i="115"/>
  <c r="H2201" i="115"/>
  <c r="G2201" i="115"/>
  <c r="F2201" i="115"/>
  <c r="E2201" i="115"/>
  <c r="A2201" i="115"/>
  <c r="K2200" i="115"/>
  <c r="I2200" i="115"/>
  <c r="H2200" i="115"/>
  <c r="G2200" i="115"/>
  <c r="F2200" i="115"/>
  <c r="E2200" i="115"/>
  <c r="A2200" i="115"/>
  <c r="K2199" i="115"/>
  <c r="I2199" i="115"/>
  <c r="H2199" i="115"/>
  <c r="G2199" i="115"/>
  <c r="F2199" i="115"/>
  <c r="E2199" i="115"/>
  <c r="A2199" i="115"/>
  <c r="K2198" i="115"/>
  <c r="I2198" i="115"/>
  <c r="H2198" i="115"/>
  <c r="G2198" i="115"/>
  <c r="F2198" i="115"/>
  <c r="E2198" i="115"/>
  <c r="A2198" i="115"/>
  <c r="K2197" i="115"/>
  <c r="I2197" i="115"/>
  <c r="H2197" i="115"/>
  <c r="G2197" i="115"/>
  <c r="F2197" i="115"/>
  <c r="E2197" i="115"/>
  <c r="A2197" i="115"/>
  <c r="K2196" i="115"/>
  <c r="I2196" i="115"/>
  <c r="H2196" i="115"/>
  <c r="G2196" i="115"/>
  <c r="F2196" i="115"/>
  <c r="E2196" i="115"/>
  <c r="A2196" i="115"/>
  <c r="K2195" i="115"/>
  <c r="I2195" i="115"/>
  <c r="H2195" i="115"/>
  <c r="G2195" i="115"/>
  <c r="F2195" i="115"/>
  <c r="E2195" i="115"/>
  <c r="A2195" i="115"/>
  <c r="K2194" i="115"/>
  <c r="I2194" i="115"/>
  <c r="H2194" i="115"/>
  <c r="G2194" i="115"/>
  <c r="F2194" i="115"/>
  <c r="E2194" i="115"/>
  <c r="A2194" i="115"/>
  <c r="K2193" i="115"/>
  <c r="I2193" i="115"/>
  <c r="H2193" i="115"/>
  <c r="G2193" i="115"/>
  <c r="F2193" i="115"/>
  <c r="E2193" i="115"/>
  <c r="A2193" i="115"/>
  <c r="K2192" i="115"/>
  <c r="I2192" i="115"/>
  <c r="H2192" i="115"/>
  <c r="G2192" i="115"/>
  <c r="F2192" i="115"/>
  <c r="E2192" i="115"/>
  <c r="A2192" i="115"/>
  <c r="K2191" i="115"/>
  <c r="I2191" i="115"/>
  <c r="H2191" i="115"/>
  <c r="G2191" i="115"/>
  <c r="F2191" i="115"/>
  <c r="E2191" i="115"/>
  <c r="A2191" i="115"/>
  <c r="K2190" i="115"/>
  <c r="I2190" i="115"/>
  <c r="H2190" i="115"/>
  <c r="G2190" i="115"/>
  <c r="F2190" i="115"/>
  <c r="E2190" i="115"/>
  <c r="A2190" i="115"/>
  <c r="K2189" i="115"/>
  <c r="I2189" i="115"/>
  <c r="H2189" i="115"/>
  <c r="G2189" i="115"/>
  <c r="F2189" i="115"/>
  <c r="E2189" i="115"/>
  <c r="A2189" i="115"/>
  <c r="K2188" i="115"/>
  <c r="I2188" i="115"/>
  <c r="H2188" i="115"/>
  <c r="G2188" i="115"/>
  <c r="F2188" i="115"/>
  <c r="E2188" i="115"/>
  <c r="A2188" i="115"/>
  <c r="K2187" i="115"/>
  <c r="I2187" i="115"/>
  <c r="H2187" i="115"/>
  <c r="G2187" i="115"/>
  <c r="F2187" i="115"/>
  <c r="E2187" i="115"/>
  <c r="A2187" i="115"/>
  <c r="K2186" i="115"/>
  <c r="I2186" i="115"/>
  <c r="H2186" i="115"/>
  <c r="G2186" i="115"/>
  <c r="F2186" i="115"/>
  <c r="E2186" i="115"/>
  <c r="A2186" i="115"/>
  <c r="K2185" i="115"/>
  <c r="I2185" i="115"/>
  <c r="H2185" i="115"/>
  <c r="G2185" i="115"/>
  <c r="F2185" i="115"/>
  <c r="E2185" i="115"/>
  <c r="A2185" i="115"/>
  <c r="K2184" i="115"/>
  <c r="I2184" i="115"/>
  <c r="H2184" i="115"/>
  <c r="G2184" i="115"/>
  <c r="F2184" i="115"/>
  <c r="E2184" i="115"/>
  <c r="A2184" i="115"/>
  <c r="K2183" i="115"/>
  <c r="I2183" i="115"/>
  <c r="H2183" i="115"/>
  <c r="G2183" i="115"/>
  <c r="F2183" i="115"/>
  <c r="E2183" i="115"/>
  <c r="A2183" i="115"/>
  <c r="K2182" i="115"/>
  <c r="I2182" i="115"/>
  <c r="H2182" i="115"/>
  <c r="G2182" i="115"/>
  <c r="F2182" i="115"/>
  <c r="E2182" i="115"/>
  <c r="A2182" i="115"/>
  <c r="K2181" i="115"/>
  <c r="I2181" i="115"/>
  <c r="H2181" i="115"/>
  <c r="G2181" i="115"/>
  <c r="F2181" i="115"/>
  <c r="E2181" i="115"/>
  <c r="A2181" i="115"/>
  <c r="K2180" i="115"/>
  <c r="I2180" i="115"/>
  <c r="H2180" i="115"/>
  <c r="G2180" i="115"/>
  <c r="F2180" i="115"/>
  <c r="E2180" i="115"/>
  <c r="A2180" i="115"/>
  <c r="K2179" i="115"/>
  <c r="I2179" i="115"/>
  <c r="H2179" i="115"/>
  <c r="G2179" i="115"/>
  <c r="F2179" i="115"/>
  <c r="E2179" i="115"/>
  <c r="A2179" i="115"/>
  <c r="K2178" i="115"/>
  <c r="I2178" i="115"/>
  <c r="H2178" i="115"/>
  <c r="G2178" i="115"/>
  <c r="F2178" i="115"/>
  <c r="E2178" i="115"/>
  <c r="A2178" i="115"/>
  <c r="K2177" i="115"/>
  <c r="I2177" i="115"/>
  <c r="H2177" i="115"/>
  <c r="G2177" i="115"/>
  <c r="F2177" i="115"/>
  <c r="E2177" i="115"/>
  <c r="A2177" i="115"/>
  <c r="K2176" i="115"/>
  <c r="I2176" i="115"/>
  <c r="H2176" i="115"/>
  <c r="G2176" i="115"/>
  <c r="F2176" i="115"/>
  <c r="E2176" i="115"/>
  <c r="A2176" i="115"/>
  <c r="K2175" i="115"/>
  <c r="I2175" i="115"/>
  <c r="H2175" i="115"/>
  <c r="G2175" i="115"/>
  <c r="F2175" i="115"/>
  <c r="E2175" i="115"/>
  <c r="A2175" i="115"/>
  <c r="K2174" i="115"/>
  <c r="I2174" i="115"/>
  <c r="H2174" i="115"/>
  <c r="G2174" i="115"/>
  <c r="F2174" i="115"/>
  <c r="E2174" i="115"/>
  <c r="A2174" i="115"/>
  <c r="K2173" i="115"/>
  <c r="I2173" i="115"/>
  <c r="H2173" i="115"/>
  <c r="G2173" i="115"/>
  <c r="F2173" i="115"/>
  <c r="E2173" i="115"/>
  <c r="A2173" i="115"/>
  <c r="K2172" i="115"/>
  <c r="I2172" i="115"/>
  <c r="H2172" i="115"/>
  <c r="G2172" i="115"/>
  <c r="F2172" i="115"/>
  <c r="E2172" i="115"/>
  <c r="A2172" i="115"/>
  <c r="K2171" i="115"/>
  <c r="I2171" i="115"/>
  <c r="H2171" i="115"/>
  <c r="G2171" i="115"/>
  <c r="F2171" i="115"/>
  <c r="E2171" i="115"/>
  <c r="A2171" i="115"/>
  <c r="K2170" i="115"/>
  <c r="I2170" i="115"/>
  <c r="H2170" i="115"/>
  <c r="G2170" i="115"/>
  <c r="F2170" i="115"/>
  <c r="E2170" i="115"/>
  <c r="A2170" i="115"/>
  <c r="K2169" i="115"/>
  <c r="I2169" i="115"/>
  <c r="H2169" i="115"/>
  <c r="G2169" i="115"/>
  <c r="F2169" i="115"/>
  <c r="E2169" i="115"/>
  <c r="A2169" i="115"/>
  <c r="K2168" i="115"/>
  <c r="I2168" i="115"/>
  <c r="H2168" i="115"/>
  <c r="G2168" i="115"/>
  <c r="F2168" i="115"/>
  <c r="E2168" i="115"/>
  <c r="A2168" i="115"/>
  <c r="K2167" i="115"/>
  <c r="I2167" i="115"/>
  <c r="H2167" i="115"/>
  <c r="G2167" i="115"/>
  <c r="F2167" i="115"/>
  <c r="E2167" i="115"/>
  <c r="A2167" i="115"/>
  <c r="K2166" i="115"/>
  <c r="I2166" i="115"/>
  <c r="H2166" i="115"/>
  <c r="G2166" i="115"/>
  <c r="F2166" i="115"/>
  <c r="E2166" i="115"/>
  <c r="A2166" i="115"/>
  <c r="K2165" i="115"/>
  <c r="I2165" i="115"/>
  <c r="H2165" i="115"/>
  <c r="G2165" i="115"/>
  <c r="F2165" i="115"/>
  <c r="E2165" i="115"/>
  <c r="A2165" i="115"/>
  <c r="K2164" i="115"/>
  <c r="I2164" i="115"/>
  <c r="H2164" i="115"/>
  <c r="G2164" i="115"/>
  <c r="F2164" i="115"/>
  <c r="E2164" i="115"/>
  <c r="A2164" i="115"/>
  <c r="K2163" i="115"/>
  <c r="I2163" i="115"/>
  <c r="H2163" i="115"/>
  <c r="G2163" i="115"/>
  <c r="F2163" i="115"/>
  <c r="E2163" i="115"/>
  <c r="A2163" i="115"/>
  <c r="K2162" i="115"/>
  <c r="I2162" i="115"/>
  <c r="H2162" i="115"/>
  <c r="G2162" i="115"/>
  <c r="F2162" i="115"/>
  <c r="E2162" i="115"/>
  <c r="A2162" i="115"/>
  <c r="K2161" i="115"/>
  <c r="I2161" i="115"/>
  <c r="H2161" i="115"/>
  <c r="G2161" i="115"/>
  <c r="F2161" i="115"/>
  <c r="E2161" i="115"/>
  <c r="A2161" i="115"/>
  <c r="K2160" i="115"/>
  <c r="I2160" i="115"/>
  <c r="H2160" i="115"/>
  <c r="G2160" i="115"/>
  <c r="F2160" i="115"/>
  <c r="E2160" i="115"/>
  <c r="A2160" i="115"/>
  <c r="K2159" i="115"/>
  <c r="I2159" i="115"/>
  <c r="H2159" i="115"/>
  <c r="G2159" i="115"/>
  <c r="F2159" i="115"/>
  <c r="E2159" i="115"/>
  <c r="A2159" i="115"/>
  <c r="K2158" i="115"/>
  <c r="I2158" i="115"/>
  <c r="H2158" i="115"/>
  <c r="G2158" i="115"/>
  <c r="F2158" i="115"/>
  <c r="E2158" i="115"/>
  <c r="A2158" i="115"/>
  <c r="K2157" i="115"/>
  <c r="I2157" i="115"/>
  <c r="H2157" i="115"/>
  <c r="G2157" i="115"/>
  <c r="F2157" i="115"/>
  <c r="E2157" i="115"/>
  <c r="A2157" i="115"/>
  <c r="K2156" i="115"/>
  <c r="I2156" i="115"/>
  <c r="H2156" i="115"/>
  <c r="G2156" i="115"/>
  <c r="F2156" i="115"/>
  <c r="E2156" i="115"/>
  <c r="A2156" i="115"/>
  <c r="K2155" i="115"/>
  <c r="I2155" i="115"/>
  <c r="H2155" i="115"/>
  <c r="G2155" i="115"/>
  <c r="F2155" i="115"/>
  <c r="E2155" i="115"/>
  <c r="A2155" i="115"/>
  <c r="K2154" i="115"/>
  <c r="I2154" i="115"/>
  <c r="H2154" i="115"/>
  <c r="G2154" i="115"/>
  <c r="F2154" i="115"/>
  <c r="E2154" i="115"/>
  <c r="A2154" i="115"/>
  <c r="K2153" i="115"/>
  <c r="I2153" i="115"/>
  <c r="H2153" i="115"/>
  <c r="G2153" i="115"/>
  <c r="F2153" i="115"/>
  <c r="E2153" i="115"/>
  <c r="A2153" i="115"/>
  <c r="K2152" i="115"/>
  <c r="I2152" i="115"/>
  <c r="H2152" i="115"/>
  <c r="G2152" i="115"/>
  <c r="F2152" i="115"/>
  <c r="E2152" i="115"/>
  <c r="A2152" i="115"/>
  <c r="K2151" i="115"/>
  <c r="I2151" i="115"/>
  <c r="H2151" i="115"/>
  <c r="G2151" i="115"/>
  <c r="F2151" i="115"/>
  <c r="E2151" i="115"/>
  <c r="A2151" i="115"/>
  <c r="K2150" i="115"/>
  <c r="I2150" i="115"/>
  <c r="H2150" i="115"/>
  <c r="G2150" i="115"/>
  <c r="F2150" i="115"/>
  <c r="E2150" i="115"/>
  <c r="A2150" i="115"/>
  <c r="K2149" i="115"/>
  <c r="I2149" i="115"/>
  <c r="H2149" i="115"/>
  <c r="G2149" i="115"/>
  <c r="F2149" i="115"/>
  <c r="E2149" i="115"/>
  <c r="A2149" i="115"/>
  <c r="K2148" i="115"/>
  <c r="I2148" i="115"/>
  <c r="H2148" i="115"/>
  <c r="G2148" i="115"/>
  <c r="F2148" i="115"/>
  <c r="E2148" i="115"/>
  <c r="A2148" i="115"/>
  <c r="K2147" i="115"/>
  <c r="I2147" i="115"/>
  <c r="H2147" i="115"/>
  <c r="G2147" i="115"/>
  <c r="F2147" i="115"/>
  <c r="E2147" i="115"/>
  <c r="A2147" i="115"/>
  <c r="K2146" i="115"/>
  <c r="I2146" i="115"/>
  <c r="H2146" i="115"/>
  <c r="G2146" i="115"/>
  <c r="F2146" i="115"/>
  <c r="E2146" i="115"/>
  <c r="A2146" i="115"/>
  <c r="K2145" i="115"/>
  <c r="I2145" i="115"/>
  <c r="H2145" i="115"/>
  <c r="G2145" i="115"/>
  <c r="F2145" i="115"/>
  <c r="E2145" i="115"/>
  <c r="A2145" i="115"/>
  <c r="K2144" i="115"/>
  <c r="I2144" i="115"/>
  <c r="H2144" i="115"/>
  <c r="G2144" i="115"/>
  <c r="F2144" i="115"/>
  <c r="E2144" i="115"/>
  <c r="A2144" i="115"/>
  <c r="K2143" i="115"/>
  <c r="I2143" i="115"/>
  <c r="H2143" i="115"/>
  <c r="G2143" i="115"/>
  <c r="F2143" i="115"/>
  <c r="E2143" i="115"/>
  <c r="A2143" i="115"/>
  <c r="K2142" i="115"/>
  <c r="I2142" i="115"/>
  <c r="H2142" i="115"/>
  <c r="G2142" i="115"/>
  <c r="F2142" i="115"/>
  <c r="E2142" i="115"/>
  <c r="A2142" i="115"/>
  <c r="K2141" i="115"/>
  <c r="I2141" i="115"/>
  <c r="H2141" i="115"/>
  <c r="G2141" i="115"/>
  <c r="F2141" i="115"/>
  <c r="E2141" i="115"/>
  <c r="A2141" i="115"/>
  <c r="K2140" i="115"/>
  <c r="I2140" i="115"/>
  <c r="H2140" i="115"/>
  <c r="G2140" i="115"/>
  <c r="F2140" i="115"/>
  <c r="E2140" i="115"/>
  <c r="A2140" i="115"/>
  <c r="K2139" i="115"/>
  <c r="I2139" i="115"/>
  <c r="H2139" i="115"/>
  <c r="G2139" i="115"/>
  <c r="F2139" i="115"/>
  <c r="E2139" i="115"/>
  <c r="A2139" i="115"/>
  <c r="K2138" i="115"/>
  <c r="I2138" i="115"/>
  <c r="H2138" i="115"/>
  <c r="G2138" i="115"/>
  <c r="F2138" i="115"/>
  <c r="E2138" i="115"/>
  <c r="A2138" i="115"/>
  <c r="K2137" i="115"/>
  <c r="I2137" i="115"/>
  <c r="H2137" i="115"/>
  <c r="G2137" i="115"/>
  <c r="F2137" i="115"/>
  <c r="E2137" i="115"/>
  <c r="A2137" i="115"/>
  <c r="K2136" i="115"/>
  <c r="I2136" i="115"/>
  <c r="H2136" i="115"/>
  <c r="G2136" i="115"/>
  <c r="F2136" i="115"/>
  <c r="E2136" i="115"/>
  <c r="A2136" i="115"/>
  <c r="K2135" i="115"/>
  <c r="I2135" i="115"/>
  <c r="H2135" i="115"/>
  <c r="G2135" i="115"/>
  <c r="F2135" i="115"/>
  <c r="E2135" i="115"/>
  <c r="A2135" i="115"/>
  <c r="K2134" i="115"/>
  <c r="I2134" i="115"/>
  <c r="H2134" i="115"/>
  <c r="G2134" i="115"/>
  <c r="F2134" i="115"/>
  <c r="E2134" i="115"/>
  <c r="A2134" i="115"/>
  <c r="K2133" i="115"/>
  <c r="I2133" i="115"/>
  <c r="H2133" i="115"/>
  <c r="G2133" i="115"/>
  <c r="F2133" i="115"/>
  <c r="E2133" i="115"/>
  <c r="A2133" i="115"/>
  <c r="K2132" i="115"/>
  <c r="I2132" i="115"/>
  <c r="H2132" i="115"/>
  <c r="G2132" i="115"/>
  <c r="F2132" i="115"/>
  <c r="E2132" i="115"/>
  <c r="A2132" i="115"/>
  <c r="K2131" i="115"/>
  <c r="I2131" i="115"/>
  <c r="H2131" i="115"/>
  <c r="G2131" i="115"/>
  <c r="F2131" i="115"/>
  <c r="E2131" i="115"/>
  <c r="A2131" i="115"/>
  <c r="K2130" i="115"/>
  <c r="I2130" i="115"/>
  <c r="H2130" i="115"/>
  <c r="G2130" i="115"/>
  <c r="F2130" i="115"/>
  <c r="E2130" i="115"/>
  <c r="A2130" i="115"/>
  <c r="K2129" i="115"/>
  <c r="I2129" i="115"/>
  <c r="H2129" i="115"/>
  <c r="G2129" i="115"/>
  <c r="F2129" i="115"/>
  <c r="E2129" i="115"/>
  <c r="A2129" i="115"/>
  <c r="K2128" i="115"/>
  <c r="I2128" i="115"/>
  <c r="H2128" i="115"/>
  <c r="G2128" i="115"/>
  <c r="F2128" i="115"/>
  <c r="E2128" i="115"/>
  <c r="A2128" i="115"/>
  <c r="K2127" i="115"/>
  <c r="I2127" i="115"/>
  <c r="H2127" i="115"/>
  <c r="G2127" i="115"/>
  <c r="F2127" i="115"/>
  <c r="E2127" i="115"/>
  <c r="A2127" i="115"/>
  <c r="K2126" i="115"/>
  <c r="I2126" i="115"/>
  <c r="H2126" i="115"/>
  <c r="G2126" i="115"/>
  <c r="F2126" i="115"/>
  <c r="E2126" i="115"/>
  <c r="A2126" i="115"/>
  <c r="K2125" i="115"/>
  <c r="I2125" i="115"/>
  <c r="H2125" i="115"/>
  <c r="G2125" i="115"/>
  <c r="F2125" i="115"/>
  <c r="E2125" i="115"/>
  <c r="A2125" i="115"/>
  <c r="K2124" i="115"/>
  <c r="I2124" i="115"/>
  <c r="H2124" i="115"/>
  <c r="G2124" i="115"/>
  <c r="F2124" i="115"/>
  <c r="E2124" i="115"/>
  <c r="A2124" i="115"/>
  <c r="K2123" i="115"/>
  <c r="I2123" i="115"/>
  <c r="H2123" i="115"/>
  <c r="G2123" i="115"/>
  <c r="F2123" i="115"/>
  <c r="E2123" i="115"/>
  <c r="A2123" i="115"/>
  <c r="K2122" i="115"/>
  <c r="I2122" i="115"/>
  <c r="H2122" i="115"/>
  <c r="G2122" i="115"/>
  <c r="F2122" i="115"/>
  <c r="E2122" i="115"/>
  <c r="A2122" i="115"/>
  <c r="K2121" i="115"/>
  <c r="I2121" i="115"/>
  <c r="H2121" i="115"/>
  <c r="G2121" i="115"/>
  <c r="F2121" i="115"/>
  <c r="E2121" i="115"/>
  <c r="A2121" i="115"/>
  <c r="K2120" i="115"/>
  <c r="I2120" i="115"/>
  <c r="H2120" i="115"/>
  <c r="G2120" i="115"/>
  <c r="F2120" i="115"/>
  <c r="E2120" i="115"/>
  <c r="A2120" i="115"/>
  <c r="K2119" i="115"/>
  <c r="I2119" i="115"/>
  <c r="H2119" i="115"/>
  <c r="G2119" i="115"/>
  <c r="F2119" i="115"/>
  <c r="E2119" i="115"/>
  <c r="A2119" i="115"/>
  <c r="K2118" i="115"/>
  <c r="I2118" i="115"/>
  <c r="H2118" i="115"/>
  <c r="G2118" i="115"/>
  <c r="F2118" i="115"/>
  <c r="E2118" i="115"/>
  <c r="A2118" i="115"/>
  <c r="K2117" i="115"/>
  <c r="I2117" i="115"/>
  <c r="H2117" i="115"/>
  <c r="G2117" i="115"/>
  <c r="F2117" i="115"/>
  <c r="E2117" i="115"/>
  <c r="A2117" i="115"/>
  <c r="K2116" i="115"/>
  <c r="I2116" i="115"/>
  <c r="H2116" i="115"/>
  <c r="G2116" i="115"/>
  <c r="F2116" i="115"/>
  <c r="E2116" i="115"/>
  <c r="A2116" i="115"/>
  <c r="K2115" i="115"/>
  <c r="I2115" i="115"/>
  <c r="H2115" i="115"/>
  <c r="G2115" i="115"/>
  <c r="F2115" i="115"/>
  <c r="E2115" i="115"/>
  <c r="A2115" i="115"/>
  <c r="K2114" i="115"/>
  <c r="I2114" i="115"/>
  <c r="H2114" i="115"/>
  <c r="G2114" i="115"/>
  <c r="F2114" i="115"/>
  <c r="E2114" i="115"/>
  <c r="A2114" i="115"/>
  <c r="K2113" i="115"/>
  <c r="I2113" i="115"/>
  <c r="H2113" i="115"/>
  <c r="G2113" i="115"/>
  <c r="F2113" i="115"/>
  <c r="E2113" i="115"/>
  <c r="A2113" i="115"/>
  <c r="K2112" i="115"/>
  <c r="I2112" i="115"/>
  <c r="H2112" i="115"/>
  <c r="G2112" i="115"/>
  <c r="F2112" i="115"/>
  <c r="E2112" i="115"/>
  <c r="A2112" i="115"/>
  <c r="K2111" i="115"/>
  <c r="I2111" i="115"/>
  <c r="H2111" i="115"/>
  <c r="G2111" i="115"/>
  <c r="F2111" i="115"/>
  <c r="E2111" i="115"/>
  <c r="A2111" i="115"/>
  <c r="K2110" i="115"/>
  <c r="I2110" i="115"/>
  <c r="H2110" i="115"/>
  <c r="G2110" i="115"/>
  <c r="F2110" i="115"/>
  <c r="E2110" i="115"/>
  <c r="A2110" i="115"/>
  <c r="K2109" i="115"/>
  <c r="I2109" i="115"/>
  <c r="H2109" i="115"/>
  <c r="G2109" i="115"/>
  <c r="F2109" i="115"/>
  <c r="E2109" i="115"/>
  <c r="A2109" i="115"/>
  <c r="K2108" i="115"/>
  <c r="I2108" i="115"/>
  <c r="H2108" i="115"/>
  <c r="G2108" i="115"/>
  <c r="F2108" i="115"/>
  <c r="E2108" i="115"/>
  <c r="A2108" i="115"/>
  <c r="K2107" i="115"/>
  <c r="I2107" i="115"/>
  <c r="H2107" i="115"/>
  <c r="G2107" i="115"/>
  <c r="F2107" i="115"/>
  <c r="E2107" i="115"/>
  <c r="A2107" i="115"/>
  <c r="K2106" i="115"/>
  <c r="I2106" i="115"/>
  <c r="H2106" i="115"/>
  <c r="G2106" i="115"/>
  <c r="F2106" i="115"/>
  <c r="E2106" i="115"/>
  <c r="A2106" i="115"/>
  <c r="K2105" i="115"/>
  <c r="I2105" i="115"/>
  <c r="H2105" i="115"/>
  <c r="G2105" i="115"/>
  <c r="F2105" i="115"/>
  <c r="E2105" i="115"/>
  <c r="A2105" i="115"/>
  <c r="K2104" i="115"/>
  <c r="I2104" i="115"/>
  <c r="H2104" i="115"/>
  <c r="G2104" i="115"/>
  <c r="F2104" i="115"/>
  <c r="E2104" i="115"/>
  <c r="A2104" i="115"/>
  <c r="K2103" i="115"/>
  <c r="I2103" i="115"/>
  <c r="H2103" i="115"/>
  <c r="G2103" i="115"/>
  <c r="F2103" i="115"/>
  <c r="E2103" i="115"/>
  <c r="A2103" i="115"/>
  <c r="K2102" i="115"/>
  <c r="I2102" i="115"/>
  <c r="H2102" i="115"/>
  <c r="G2102" i="115"/>
  <c r="F2102" i="115"/>
  <c r="E2102" i="115"/>
  <c r="A2102" i="115"/>
  <c r="K2101" i="115"/>
  <c r="I2101" i="115"/>
  <c r="H2101" i="115"/>
  <c r="G2101" i="115"/>
  <c r="F2101" i="115"/>
  <c r="E2101" i="115"/>
  <c r="A2101" i="115"/>
  <c r="K2100" i="115"/>
  <c r="I2100" i="115"/>
  <c r="H2100" i="115"/>
  <c r="G2100" i="115"/>
  <c r="F2100" i="115"/>
  <c r="E2100" i="115"/>
  <c r="A2100" i="115"/>
  <c r="K2099" i="115"/>
  <c r="I2099" i="115"/>
  <c r="H2099" i="115"/>
  <c r="G2099" i="115"/>
  <c r="F2099" i="115"/>
  <c r="E2099" i="115"/>
  <c r="A2099" i="115"/>
  <c r="K2098" i="115"/>
  <c r="I2098" i="115"/>
  <c r="H2098" i="115"/>
  <c r="G2098" i="115"/>
  <c r="F2098" i="115"/>
  <c r="E2098" i="115"/>
  <c r="A2098" i="115"/>
  <c r="K2097" i="115"/>
  <c r="I2097" i="115"/>
  <c r="H2097" i="115"/>
  <c r="G2097" i="115"/>
  <c r="F2097" i="115"/>
  <c r="E2097" i="115"/>
  <c r="A2097" i="115"/>
  <c r="K2096" i="115"/>
  <c r="I2096" i="115"/>
  <c r="H2096" i="115"/>
  <c r="G2096" i="115"/>
  <c r="F2096" i="115"/>
  <c r="E2096" i="115"/>
  <c r="A2096" i="115"/>
  <c r="K2095" i="115"/>
  <c r="I2095" i="115"/>
  <c r="H2095" i="115"/>
  <c r="G2095" i="115"/>
  <c r="F2095" i="115"/>
  <c r="E2095" i="115"/>
  <c r="A2095" i="115"/>
  <c r="K2094" i="115"/>
  <c r="I2094" i="115"/>
  <c r="H2094" i="115"/>
  <c r="G2094" i="115"/>
  <c r="F2094" i="115"/>
  <c r="E2094" i="115"/>
  <c r="A2094" i="115"/>
  <c r="K2093" i="115"/>
  <c r="I2093" i="115"/>
  <c r="H2093" i="115"/>
  <c r="G2093" i="115"/>
  <c r="F2093" i="115"/>
  <c r="E2093" i="115"/>
  <c r="A2093" i="115"/>
  <c r="K2092" i="115"/>
  <c r="I2092" i="115"/>
  <c r="H2092" i="115"/>
  <c r="G2092" i="115"/>
  <c r="F2092" i="115"/>
  <c r="E2092" i="115"/>
  <c r="A2092" i="115"/>
  <c r="K2091" i="115"/>
  <c r="I2091" i="115"/>
  <c r="H2091" i="115"/>
  <c r="G2091" i="115"/>
  <c r="F2091" i="115"/>
  <c r="E2091" i="115"/>
  <c r="A2091" i="115"/>
  <c r="K2090" i="115"/>
  <c r="I2090" i="115"/>
  <c r="H2090" i="115"/>
  <c r="G2090" i="115"/>
  <c r="F2090" i="115"/>
  <c r="E2090" i="115"/>
  <c r="A2090" i="115"/>
  <c r="K2089" i="115"/>
  <c r="I2089" i="115"/>
  <c r="H2089" i="115"/>
  <c r="G2089" i="115"/>
  <c r="F2089" i="115"/>
  <c r="E2089" i="115"/>
  <c r="A2089" i="115"/>
  <c r="K2088" i="115"/>
  <c r="I2088" i="115"/>
  <c r="H2088" i="115"/>
  <c r="G2088" i="115"/>
  <c r="F2088" i="115"/>
  <c r="E2088" i="115"/>
  <c r="A2088" i="115"/>
  <c r="K2087" i="115"/>
  <c r="I2087" i="115"/>
  <c r="H2087" i="115"/>
  <c r="G2087" i="115"/>
  <c r="F2087" i="115"/>
  <c r="E2087" i="115"/>
  <c r="A2087" i="115"/>
  <c r="K2086" i="115"/>
  <c r="I2086" i="115"/>
  <c r="H2086" i="115"/>
  <c r="G2086" i="115"/>
  <c r="F2086" i="115"/>
  <c r="E2086" i="115"/>
  <c r="A2086" i="115"/>
  <c r="K2085" i="115"/>
  <c r="I2085" i="115"/>
  <c r="H2085" i="115"/>
  <c r="G2085" i="115"/>
  <c r="F2085" i="115"/>
  <c r="E2085" i="115"/>
  <c r="A2085" i="115"/>
  <c r="K2084" i="115"/>
  <c r="I2084" i="115"/>
  <c r="H2084" i="115"/>
  <c r="G2084" i="115"/>
  <c r="F2084" i="115"/>
  <c r="E2084" i="115"/>
  <c r="A2084" i="115"/>
  <c r="K2083" i="115"/>
  <c r="I2083" i="115"/>
  <c r="H2083" i="115"/>
  <c r="G2083" i="115"/>
  <c r="F2083" i="115"/>
  <c r="E2083" i="115"/>
  <c r="A2083" i="115"/>
  <c r="K2082" i="115"/>
  <c r="I2082" i="115"/>
  <c r="H2082" i="115"/>
  <c r="G2082" i="115"/>
  <c r="F2082" i="115"/>
  <c r="E2082" i="115"/>
  <c r="A2082" i="115"/>
  <c r="K2081" i="115"/>
  <c r="I2081" i="115"/>
  <c r="H2081" i="115"/>
  <c r="G2081" i="115"/>
  <c r="F2081" i="115"/>
  <c r="E2081" i="115"/>
  <c r="A2081" i="115"/>
  <c r="K2080" i="115"/>
  <c r="I2080" i="115"/>
  <c r="H2080" i="115"/>
  <c r="G2080" i="115"/>
  <c r="F2080" i="115"/>
  <c r="E2080" i="115"/>
  <c r="A2080" i="115"/>
  <c r="K2079" i="115"/>
  <c r="I2079" i="115"/>
  <c r="H2079" i="115"/>
  <c r="G2079" i="115"/>
  <c r="F2079" i="115"/>
  <c r="E2079" i="115"/>
  <c r="A2079" i="115"/>
  <c r="K2078" i="115"/>
  <c r="I2078" i="115"/>
  <c r="H2078" i="115"/>
  <c r="G2078" i="115"/>
  <c r="F2078" i="115"/>
  <c r="E2078" i="115"/>
  <c r="A2078" i="115"/>
  <c r="K2077" i="115"/>
  <c r="I2077" i="115"/>
  <c r="H2077" i="115"/>
  <c r="G2077" i="115"/>
  <c r="F2077" i="115"/>
  <c r="E2077" i="115"/>
  <c r="A2077" i="115"/>
  <c r="K2076" i="115"/>
  <c r="I2076" i="115"/>
  <c r="H2076" i="115"/>
  <c r="G2076" i="115"/>
  <c r="F2076" i="115"/>
  <c r="E2076" i="115"/>
  <c r="A2076" i="115"/>
  <c r="K2075" i="115"/>
  <c r="I2075" i="115"/>
  <c r="H2075" i="115"/>
  <c r="G2075" i="115"/>
  <c r="F2075" i="115"/>
  <c r="E2075" i="115"/>
  <c r="A2075" i="115"/>
  <c r="K2074" i="115"/>
  <c r="I2074" i="115"/>
  <c r="H2074" i="115"/>
  <c r="G2074" i="115"/>
  <c r="F2074" i="115"/>
  <c r="E2074" i="115"/>
  <c r="A2074" i="115"/>
  <c r="K2073" i="115"/>
  <c r="I2073" i="115"/>
  <c r="H2073" i="115"/>
  <c r="G2073" i="115"/>
  <c r="F2073" i="115"/>
  <c r="E2073" i="115"/>
  <c r="A2073" i="115"/>
  <c r="K2072" i="115"/>
  <c r="I2072" i="115"/>
  <c r="H2072" i="115"/>
  <c r="G2072" i="115"/>
  <c r="F2072" i="115"/>
  <c r="E2072" i="115"/>
  <c r="A2072" i="115"/>
  <c r="K2071" i="115"/>
  <c r="I2071" i="115"/>
  <c r="H2071" i="115"/>
  <c r="G2071" i="115"/>
  <c r="F2071" i="115"/>
  <c r="E2071" i="115"/>
  <c r="A2071" i="115"/>
  <c r="K2070" i="115"/>
  <c r="I2070" i="115"/>
  <c r="H2070" i="115"/>
  <c r="G2070" i="115"/>
  <c r="F2070" i="115"/>
  <c r="E2070" i="115"/>
  <c r="A2070" i="115"/>
  <c r="K2069" i="115"/>
  <c r="I2069" i="115"/>
  <c r="H2069" i="115"/>
  <c r="G2069" i="115"/>
  <c r="F2069" i="115"/>
  <c r="E2069" i="115"/>
  <c r="A2069" i="115"/>
  <c r="K2068" i="115"/>
  <c r="I2068" i="115"/>
  <c r="H2068" i="115"/>
  <c r="G2068" i="115"/>
  <c r="F2068" i="115"/>
  <c r="E2068" i="115"/>
  <c r="A2068" i="115"/>
  <c r="K2067" i="115"/>
  <c r="I2067" i="115"/>
  <c r="H2067" i="115"/>
  <c r="G2067" i="115"/>
  <c r="F2067" i="115"/>
  <c r="E2067" i="115"/>
  <c r="A2067" i="115"/>
  <c r="K2066" i="115"/>
  <c r="I2066" i="115"/>
  <c r="H2066" i="115"/>
  <c r="G2066" i="115"/>
  <c r="F2066" i="115"/>
  <c r="E2066" i="115"/>
  <c r="A2066" i="115"/>
  <c r="K2065" i="115"/>
  <c r="I2065" i="115"/>
  <c r="H2065" i="115"/>
  <c r="G2065" i="115"/>
  <c r="F2065" i="115"/>
  <c r="E2065" i="115"/>
  <c r="A2065" i="115"/>
  <c r="K2064" i="115"/>
  <c r="I2064" i="115"/>
  <c r="H2064" i="115"/>
  <c r="G2064" i="115"/>
  <c r="F2064" i="115"/>
  <c r="E2064" i="115"/>
  <c r="A2064" i="115"/>
  <c r="K2063" i="115"/>
  <c r="I2063" i="115"/>
  <c r="H2063" i="115"/>
  <c r="G2063" i="115"/>
  <c r="F2063" i="115"/>
  <c r="E2063" i="115"/>
  <c r="A2063" i="115"/>
  <c r="K2062" i="115"/>
  <c r="I2062" i="115"/>
  <c r="H2062" i="115"/>
  <c r="G2062" i="115"/>
  <c r="F2062" i="115"/>
  <c r="E2062" i="115"/>
  <c r="A2062" i="115"/>
  <c r="K2061" i="115"/>
  <c r="I2061" i="115"/>
  <c r="H2061" i="115"/>
  <c r="G2061" i="115"/>
  <c r="F2061" i="115"/>
  <c r="E2061" i="115"/>
  <c r="A2061" i="115"/>
  <c r="K2060" i="115"/>
  <c r="I2060" i="115"/>
  <c r="H2060" i="115"/>
  <c r="G2060" i="115"/>
  <c r="F2060" i="115"/>
  <c r="E2060" i="115"/>
  <c r="A2060" i="115"/>
  <c r="K2059" i="115"/>
  <c r="I2059" i="115"/>
  <c r="H2059" i="115"/>
  <c r="G2059" i="115"/>
  <c r="F2059" i="115"/>
  <c r="E2059" i="115"/>
  <c r="A2059" i="115"/>
  <c r="K2058" i="115"/>
  <c r="I2058" i="115"/>
  <c r="H2058" i="115"/>
  <c r="G2058" i="115"/>
  <c r="F2058" i="115"/>
  <c r="E2058" i="115"/>
  <c r="A2058" i="115"/>
  <c r="K2057" i="115"/>
  <c r="I2057" i="115"/>
  <c r="H2057" i="115"/>
  <c r="G2057" i="115"/>
  <c r="F2057" i="115"/>
  <c r="E2057" i="115"/>
  <c r="A2057" i="115"/>
  <c r="K2056" i="115"/>
  <c r="I2056" i="115"/>
  <c r="H2056" i="115"/>
  <c r="G2056" i="115"/>
  <c r="F2056" i="115"/>
  <c r="E2056" i="115"/>
  <c r="A2056" i="115"/>
  <c r="K2055" i="115"/>
  <c r="I2055" i="115"/>
  <c r="H2055" i="115"/>
  <c r="G2055" i="115"/>
  <c r="F2055" i="115"/>
  <c r="E2055" i="115"/>
  <c r="A2055" i="115"/>
  <c r="K2054" i="115"/>
  <c r="I2054" i="115"/>
  <c r="H2054" i="115"/>
  <c r="G2054" i="115"/>
  <c r="F2054" i="115"/>
  <c r="E2054" i="115"/>
  <c r="A2054" i="115"/>
  <c r="K2053" i="115"/>
  <c r="I2053" i="115"/>
  <c r="H2053" i="115"/>
  <c r="G2053" i="115"/>
  <c r="F2053" i="115"/>
  <c r="E2053" i="115"/>
  <c r="A2053" i="115"/>
  <c r="K2052" i="115"/>
  <c r="I2052" i="115"/>
  <c r="H2052" i="115"/>
  <c r="G2052" i="115"/>
  <c r="F2052" i="115"/>
  <c r="E2052" i="115"/>
  <c r="A2052" i="115"/>
  <c r="K2051" i="115"/>
  <c r="I2051" i="115"/>
  <c r="H2051" i="115"/>
  <c r="G2051" i="115"/>
  <c r="F2051" i="115"/>
  <c r="E2051" i="115"/>
  <c r="A2051" i="115"/>
  <c r="K2050" i="115"/>
  <c r="I2050" i="115"/>
  <c r="H2050" i="115"/>
  <c r="G2050" i="115"/>
  <c r="F2050" i="115"/>
  <c r="E2050" i="115"/>
  <c r="A2050" i="115"/>
  <c r="K2049" i="115"/>
  <c r="I2049" i="115"/>
  <c r="H2049" i="115"/>
  <c r="G2049" i="115"/>
  <c r="F2049" i="115"/>
  <c r="E2049" i="115"/>
  <c r="A2049" i="115"/>
  <c r="K2048" i="115"/>
  <c r="I2048" i="115"/>
  <c r="H2048" i="115"/>
  <c r="G2048" i="115"/>
  <c r="F2048" i="115"/>
  <c r="E2048" i="115"/>
  <c r="A2048" i="115"/>
  <c r="K2047" i="115"/>
  <c r="I2047" i="115"/>
  <c r="H2047" i="115"/>
  <c r="G2047" i="115"/>
  <c r="F2047" i="115"/>
  <c r="E2047" i="115"/>
  <c r="A2047" i="115"/>
  <c r="K2046" i="115"/>
  <c r="I2046" i="115"/>
  <c r="H2046" i="115"/>
  <c r="G2046" i="115"/>
  <c r="F2046" i="115"/>
  <c r="E2046" i="115"/>
  <c r="A2046" i="115"/>
  <c r="K2045" i="115"/>
  <c r="I2045" i="115"/>
  <c r="H2045" i="115"/>
  <c r="G2045" i="115"/>
  <c r="F2045" i="115"/>
  <c r="E2045" i="115"/>
  <c r="A2045" i="115"/>
  <c r="K2044" i="115"/>
  <c r="I2044" i="115"/>
  <c r="H2044" i="115"/>
  <c r="G2044" i="115"/>
  <c r="F2044" i="115"/>
  <c r="E2044" i="115"/>
  <c r="A2044" i="115"/>
  <c r="K2043" i="115"/>
  <c r="I2043" i="115"/>
  <c r="H2043" i="115"/>
  <c r="G2043" i="115"/>
  <c r="F2043" i="115"/>
  <c r="E2043" i="115"/>
  <c r="A2043" i="115"/>
  <c r="K2042" i="115"/>
  <c r="I2042" i="115"/>
  <c r="H2042" i="115"/>
  <c r="G2042" i="115"/>
  <c r="F2042" i="115"/>
  <c r="E2042" i="115"/>
  <c r="A2042" i="115"/>
  <c r="K2041" i="115"/>
  <c r="I2041" i="115"/>
  <c r="H2041" i="115"/>
  <c r="G2041" i="115"/>
  <c r="F2041" i="115"/>
  <c r="E2041" i="115"/>
  <c r="A2041" i="115"/>
  <c r="K2040" i="115"/>
  <c r="I2040" i="115"/>
  <c r="H2040" i="115"/>
  <c r="G2040" i="115"/>
  <c r="F2040" i="115"/>
  <c r="E2040" i="115"/>
  <c r="A2040" i="115"/>
  <c r="K2039" i="115"/>
  <c r="I2039" i="115"/>
  <c r="H2039" i="115"/>
  <c r="G2039" i="115"/>
  <c r="F2039" i="115"/>
  <c r="E2039" i="115"/>
  <c r="A2039" i="115"/>
  <c r="K2038" i="115"/>
  <c r="I2038" i="115"/>
  <c r="H2038" i="115"/>
  <c r="G2038" i="115"/>
  <c r="F2038" i="115"/>
  <c r="E2038" i="115"/>
  <c r="A2038" i="115"/>
  <c r="K2037" i="115"/>
  <c r="I2037" i="115"/>
  <c r="H2037" i="115"/>
  <c r="G2037" i="115"/>
  <c r="F2037" i="115"/>
  <c r="E2037" i="115"/>
  <c r="A2037" i="115"/>
  <c r="K2036" i="115"/>
  <c r="I2036" i="115"/>
  <c r="H2036" i="115"/>
  <c r="G2036" i="115"/>
  <c r="F2036" i="115"/>
  <c r="E2036" i="115"/>
  <c r="A2036" i="115"/>
  <c r="K2035" i="115"/>
  <c r="I2035" i="115"/>
  <c r="H2035" i="115"/>
  <c r="G2035" i="115"/>
  <c r="F2035" i="115"/>
  <c r="E2035" i="115"/>
  <c r="A2035" i="115"/>
  <c r="K2034" i="115"/>
  <c r="I2034" i="115"/>
  <c r="H2034" i="115"/>
  <c r="G2034" i="115"/>
  <c r="F2034" i="115"/>
  <c r="E2034" i="115"/>
  <c r="A2034" i="115"/>
  <c r="K2033" i="115"/>
  <c r="I2033" i="115"/>
  <c r="H2033" i="115"/>
  <c r="G2033" i="115"/>
  <c r="F2033" i="115"/>
  <c r="E2033" i="115"/>
  <c r="A2033" i="115"/>
  <c r="K2032" i="115"/>
  <c r="I2032" i="115"/>
  <c r="H2032" i="115"/>
  <c r="G2032" i="115"/>
  <c r="F2032" i="115"/>
  <c r="E2032" i="115"/>
  <c r="A2032" i="115"/>
  <c r="K2031" i="115"/>
  <c r="I2031" i="115"/>
  <c r="H2031" i="115"/>
  <c r="G2031" i="115"/>
  <c r="F2031" i="115"/>
  <c r="E2031" i="115"/>
  <c r="A2031" i="115"/>
  <c r="K2030" i="115"/>
  <c r="I2030" i="115"/>
  <c r="H2030" i="115"/>
  <c r="G2030" i="115"/>
  <c r="F2030" i="115"/>
  <c r="E2030" i="115"/>
  <c r="A2030" i="115"/>
  <c r="K2029" i="115"/>
  <c r="I2029" i="115"/>
  <c r="H2029" i="115"/>
  <c r="G2029" i="115"/>
  <c r="F2029" i="115"/>
  <c r="E2029" i="115"/>
  <c r="A2029" i="115"/>
  <c r="K2028" i="115"/>
  <c r="I2028" i="115"/>
  <c r="H2028" i="115"/>
  <c r="G2028" i="115"/>
  <c r="F2028" i="115"/>
  <c r="E2028" i="115"/>
  <c r="A2028" i="115"/>
  <c r="K2027" i="115"/>
  <c r="I2027" i="115"/>
  <c r="H2027" i="115"/>
  <c r="G2027" i="115"/>
  <c r="F2027" i="115"/>
  <c r="E2027" i="115"/>
  <c r="A2027" i="115"/>
  <c r="K2026" i="115"/>
  <c r="I2026" i="115"/>
  <c r="H2026" i="115"/>
  <c r="G2026" i="115"/>
  <c r="F2026" i="115"/>
  <c r="E2026" i="115"/>
  <c r="A2026" i="115"/>
  <c r="K2025" i="115"/>
  <c r="I2025" i="115"/>
  <c r="H2025" i="115"/>
  <c r="G2025" i="115"/>
  <c r="F2025" i="115"/>
  <c r="E2025" i="115"/>
  <c r="A2025" i="115"/>
  <c r="K2024" i="115"/>
  <c r="I2024" i="115"/>
  <c r="H2024" i="115"/>
  <c r="G2024" i="115"/>
  <c r="F2024" i="115"/>
  <c r="E2024" i="115"/>
  <c r="A2024" i="115"/>
  <c r="K2023" i="115"/>
  <c r="I2023" i="115"/>
  <c r="H2023" i="115"/>
  <c r="G2023" i="115"/>
  <c r="F2023" i="115"/>
  <c r="E2023" i="115"/>
  <c r="A2023" i="115"/>
  <c r="K2022" i="115"/>
  <c r="I2022" i="115"/>
  <c r="H2022" i="115"/>
  <c r="G2022" i="115"/>
  <c r="F2022" i="115"/>
  <c r="E2022" i="115"/>
  <c r="A2022" i="115"/>
  <c r="K2021" i="115"/>
  <c r="I2021" i="115"/>
  <c r="H2021" i="115"/>
  <c r="G2021" i="115"/>
  <c r="F2021" i="115"/>
  <c r="E2021" i="115"/>
  <c r="A2021" i="115"/>
  <c r="K2020" i="115"/>
  <c r="I2020" i="115"/>
  <c r="H2020" i="115"/>
  <c r="G2020" i="115"/>
  <c r="F2020" i="115"/>
  <c r="E2020" i="115"/>
  <c r="A2020" i="115"/>
  <c r="K2019" i="115"/>
  <c r="I2019" i="115"/>
  <c r="H2019" i="115"/>
  <c r="G2019" i="115"/>
  <c r="F2019" i="115"/>
  <c r="E2019" i="115"/>
  <c r="A2019" i="115"/>
  <c r="K2018" i="115"/>
  <c r="I2018" i="115"/>
  <c r="H2018" i="115"/>
  <c r="G2018" i="115"/>
  <c r="F2018" i="115"/>
  <c r="E2018" i="115"/>
  <c r="A2018" i="115"/>
  <c r="K2017" i="115"/>
  <c r="I2017" i="115"/>
  <c r="H2017" i="115"/>
  <c r="G2017" i="115"/>
  <c r="F2017" i="115"/>
  <c r="E2017" i="115"/>
  <c r="A2017" i="115"/>
  <c r="K2016" i="115"/>
  <c r="I2016" i="115"/>
  <c r="H2016" i="115"/>
  <c r="G2016" i="115"/>
  <c r="F2016" i="115"/>
  <c r="E2016" i="115"/>
  <c r="A2016" i="115"/>
  <c r="K2015" i="115"/>
  <c r="I2015" i="115"/>
  <c r="H2015" i="115"/>
  <c r="G2015" i="115"/>
  <c r="F2015" i="115"/>
  <c r="E2015" i="115"/>
  <c r="A2015" i="115"/>
  <c r="K2014" i="115"/>
  <c r="I2014" i="115"/>
  <c r="H2014" i="115"/>
  <c r="G2014" i="115"/>
  <c r="F2014" i="115"/>
  <c r="E2014" i="115"/>
  <c r="A2014" i="115"/>
  <c r="K2013" i="115"/>
  <c r="I2013" i="115"/>
  <c r="H2013" i="115"/>
  <c r="G2013" i="115"/>
  <c r="F2013" i="115"/>
  <c r="E2013" i="115"/>
  <c r="A2013" i="115"/>
  <c r="K2012" i="115"/>
  <c r="I2012" i="115"/>
  <c r="H2012" i="115"/>
  <c r="G2012" i="115"/>
  <c r="F2012" i="115"/>
  <c r="E2012" i="115"/>
  <c r="A2012" i="115"/>
  <c r="K2011" i="115"/>
  <c r="I2011" i="115"/>
  <c r="H2011" i="115"/>
  <c r="G2011" i="115"/>
  <c r="F2011" i="115"/>
  <c r="E2011" i="115"/>
  <c r="A2011" i="115"/>
  <c r="K2010" i="115"/>
  <c r="I2010" i="115"/>
  <c r="H2010" i="115"/>
  <c r="G2010" i="115"/>
  <c r="F2010" i="115"/>
  <c r="E2010" i="115"/>
  <c r="A2010" i="115"/>
  <c r="K2009" i="115"/>
  <c r="I2009" i="115"/>
  <c r="H2009" i="115"/>
  <c r="G2009" i="115"/>
  <c r="F2009" i="115"/>
  <c r="E2009" i="115"/>
  <c r="A2009" i="115"/>
  <c r="K2008" i="115"/>
  <c r="I2008" i="115"/>
  <c r="H2008" i="115"/>
  <c r="G2008" i="115"/>
  <c r="F2008" i="115"/>
  <c r="E2008" i="115"/>
  <c r="A2008" i="115"/>
  <c r="K2007" i="115"/>
  <c r="I2007" i="115"/>
  <c r="H2007" i="115"/>
  <c r="G2007" i="115"/>
  <c r="F2007" i="115"/>
  <c r="E2007" i="115"/>
  <c r="A2007" i="115"/>
  <c r="K2006" i="115"/>
  <c r="I2006" i="115"/>
  <c r="H2006" i="115"/>
  <c r="G2006" i="115"/>
  <c r="F2006" i="115"/>
  <c r="E2006" i="115"/>
  <c r="A2006" i="115"/>
  <c r="K2005" i="115"/>
  <c r="I2005" i="115"/>
  <c r="H2005" i="115"/>
  <c r="G2005" i="115"/>
  <c r="F2005" i="115"/>
  <c r="E2005" i="115"/>
  <c r="A2005" i="115"/>
  <c r="K2004" i="115"/>
  <c r="I2004" i="115"/>
  <c r="H2004" i="115"/>
  <c r="G2004" i="115"/>
  <c r="F2004" i="115"/>
  <c r="E2004" i="115"/>
  <c r="A2004" i="115"/>
  <c r="K2003" i="115"/>
  <c r="I2003" i="115"/>
  <c r="H2003" i="115"/>
  <c r="G2003" i="115"/>
  <c r="F2003" i="115"/>
  <c r="E2003" i="115"/>
  <c r="A2003" i="115"/>
  <c r="K2002" i="115"/>
  <c r="I2002" i="115"/>
  <c r="H2002" i="115"/>
  <c r="G2002" i="115"/>
  <c r="F2002" i="115"/>
  <c r="E2002" i="115"/>
  <c r="A2002" i="115"/>
  <c r="K2001" i="115"/>
  <c r="I2001" i="115"/>
  <c r="H2001" i="115"/>
  <c r="G2001" i="115"/>
  <c r="F2001" i="115"/>
  <c r="E2001" i="115"/>
  <c r="A2001" i="115"/>
  <c r="K2000" i="115"/>
  <c r="I2000" i="115"/>
  <c r="H2000" i="115"/>
  <c r="G2000" i="115"/>
  <c r="F2000" i="115"/>
  <c r="E2000" i="115"/>
  <c r="A2000" i="115"/>
  <c r="K1999" i="115"/>
  <c r="I1999" i="115"/>
  <c r="H1999" i="115"/>
  <c r="G1999" i="115"/>
  <c r="F1999" i="115"/>
  <c r="E1999" i="115"/>
  <c r="A1999" i="115"/>
  <c r="K1998" i="115"/>
  <c r="I1998" i="115"/>
  <c r="H1998" i="115"/>
  <c r="G1998" i="115"/>
  <c r="F1998" i="115"/>
  <c r="E1998" i="115"/>
  <c r="A1998" i="115"/>
  <c r="K1997" i="115"/>
  <c r="I1997" i="115"/>
  <c r="H1997" i="115"/>
  <c r="G1997" i="115"/>
  <c r="F1997" i="115"/>
  <c r="E1997" i="115"/>
  <c r="A1997" i="115"/>
  <c r="K1996" i="115"/>
  <c r="I1996" i="115"/>
  <c r="H1996" i="115"/>
  <c r="G1996" i="115"/>
  <c r="F1996" i="115"/>
  <c r="E1996" i="115"/>
  <c r="A1996" i="115"/>
  <c r="K1995" i="115"/>
  <c r="I1995" i="115"/>
  <c r="H1995" i="115"/>
  <c r="G1995" i="115"/>
  <c r="F1995" i="115"/>
  <c r="E1995" i="115"/>
  <c r="A1995" i="115"/>
  <c r="K1994" i="115"/>
  <c r="I1994" i="115"/>
  <c r="H1994" i="115"/>
  <c r="G1994" i="115"/>
  <c r="F1994" i="115"/>
  <c r="E1994" i="115"/>
  <c r="A1994" i="115"/>
  <c r="K1993" i="115"/>
  <c r="I1993" i="115"/>
  <c r="H1993" i="115"/>
  <c r="G1993" i="115"/>
  <c r="F1993" i="115"/>
  <c r="E1993" i="115"/>
  <c r="A1993" i="115"/>
  <c r="K1992" i="115"/>
  <c r="I1992" i="115"/>
  <c r="H1992" i="115"/>
  <c r="G1992" i="115"/>
  <c r="F1992" i="115"/>
  <c r="E1992" i="115"/>
  <c r="A1992" i="115"/>
  <c r="K1991" i="115"/>
  <c r="I1991" i="115"/>
  <c r="H1991" i="115"/>
  <c r="G1991" i="115"/>
  <c r="F1991" i="115"/>
  <c r="E1991" i="115"/>
  <c r="A1991" i="115"/>
  <c r="K1990" i="115"/>
  <c r="I1990" i="115"/>
  <c r="H1990" i="115"/>
  <c r="G1990" i="115"/>
  <c r="F1990" i="115"/>
  <c r="E1990" i="115"/>
  <c r="A1990" i="115"/>
  <c r="K1989" i="115"/>
  <c r="I1989" i="115"/>
  <c r="H1989" i="115"/>
  <c r="G1989" i="115"/>
  <c r="F1989" i="115"/>
  <c r="E1989" i="115"/>
  <c r="A1989" i="115"/>
  <c r="K1988" i="115"/>
  <c r="I1988" i="115"/>
  <c r="H1988" i="115"/>
  <c r="G1988" i="115"/>
  <c r="F1988" i="115"/>
  <c r="E1988" i="115"/>
  <c r="A1988" i="115"/>
  <c r="K1987" i="115"/>
  <c r="I1987" i="115"/>
  <c r="H1987" i="115"/>
  <c r="G1987" i="115"/>
  <c r="F1987" i="115"/>
  <c r="E1987" i="115"/>
  <c r="A1987" i="115"/>
  <c r="K1986" i="115"/>
  <c r="I1986" i="115"/>
  <c r="H1986" i="115"/>
  <c r="G1986" i="115"/>
  <c r="F1986" i="115"/>
  <c r="E1986" i="115"/>
  <c r="A1986" i="115"/>
  <c r="K1985" i="115"/>
  <c r="I1985" i="115"/>
  <c r="H1985" i="115"/>
  <c r="G1985" i="115"/>
  <c r="F1985" i="115"/>
  <c r="E1985" i="115"/>
  <c r="A1985" i="115"/>
  <c r="K1984" i="115"/>
  <c r="I1984" i="115"/>
  <c r="H1984" i="115"/>
  <c r="G1984" i="115"/>
  <c r="F1984" i="115"/>
  <c r="E1984" i="115"/>
  <c r="A1984" i="115"/>
  <c r="K1983" i="115"/>
  <c r="I1983" i="115"/>
  <c r="H1983" i="115"/>
  <c r="G1983" i="115"/>
  <c r="F1983" i="115"/>
  <c r="E1983" i="115"/>
  <c r="A1983" i="115"/>
  <c r="K1982" i="115"/>
  <c r="I1982" i="115"/>
  <c r="H1982" i="115"/>
  <c r="G1982" i="115"/>
  <c r="F1982" i="115"/>
  <c r="E1982" i="115"/>
  <c r="A1982" i="115"/>
  <c r="K1981" i="115"/>
  <c r="I1981" i="115"/>
  <c r="H1981" i="115"/>
  <c r="G1981" i="115"/>
  <c r="F1981" i="115"/>
  <c r="E1981" i="115"/>
  <c r="A1981" i="115"/>
  <c r="K1980" i="115"/>
  <c r="I1980" i="115"/>
  <c r="H1980" i="115"/>
  <c r="G1980" i="115"/>
  <c r="F1980" i="115"/>
  <c r="E1980" i="115"/>
  <c r="A1980" i="115"/>
  <c r="K1979" i="115"/>
  <c r="I1979" i="115"/>
  <c r="H1979" i="115"/>
  <c r="G1979" i="115"/>
  <c r="F1979" i="115"/>
  <c r="E1979" i="115"/>
  <c r="A1979" i="115"/>
  <c r="K1978" i="115"/>
  <c r="I1978" i="115"/>
  <c r="H1978" i="115"/>
  <c r="G1978" i="115"/>
  <c r="F1978" i="115"/>
  <c r="E1978" i="115"/>
  <c r="A1978" i="115"/>
  <c r="K1977" i="115"/>
  <c r="I1977" i="115"/>
  <c r="H1977" i="115"/>
  <c r="G1977" i="115"/>
  <c r="F1977" i="115"/>
  <c r="E1977" i="115"/>
  <c r="A1977" i="115"/>
  <c r="K1976" i="115"/>
  <c r="I1976" i="115"/>
  <c r="H1976" i="115"/>
  <c r="G1976" i="115"/>
  <c r="F1976" i="115"/>
  <c r="E1976" i="115"/>
  <c r="A1976" i="115"/>
  <c r="K1975" i="115"/>
  <c r="I1975" i="115"/>
  <c r="H1975" i="115"/>
  <c r="G1975" i="115"/>
  <c r="F1975" i="115"/>
  <c r="E1975" i="115"/>
  <c r="A1975" i="115"/>
  <c r="K1974" i="115"/>
  <c r="I1974" i="115"/>
  <c r="H1974" i="115"/>
  <c r="G1974" i="115"/>
  <c r="F1974" i="115"/>
  <c r="E1974" i="115"/>
  <c r="A1974" i="115"/>
  <c r="K1973" i="115"/>
  <c r="I1973" i="115"/>
  <c r="H1973" i="115"/>
  <c r="G1973" i="115"/>
  <c r="F1973" i="115"/>
  <c r="E1973" i="115"/>
  <c r="A1973" i="115"/>
  <c r="K1972" i="115"/>
  <c r="I1972" i="115"/>
  <c r="H1972" i="115"/>
  <c r="G1972" i="115"/>
  <c r="F1972" i="115"/>
  <c r="E1972" i="115"/>
  <c r="A1972" i="115"/>
  <c r="K1971" i="115"/>
  <c r="I1971" i="115"/>
  <c r="H1971" i="115"/>
  <c r="G1971" i="115"/>
  <c r="F1971" i="115"/>
  <c r="E1971" i="115"/>
  <c r="A1971" i="115"/>
  <c r="K1970" i="115"/>
  <c r="I1970" i="115"/>
  <c r="H1970" i="115"/>
  <c r="G1970" i="115"/>
  <c r="F1970" i="115"/>
  <c r="E1970" i="115"/>
  <c r="A1970" i="115"/>
  <c r="K1969" i="115"/>
  <c r="I1969" i="115"/>
  <c r="H1969" i="115"/>
  <c r="G1969" i="115"/>
  <c r="F1969" i="115"/>
  <c r="E1969" i="115"/>
  <c r="A1969" i="115"/>
  <c r="K1968" i="115"/>
  <c r="I1968" i="115"/>
  <c r="H1968" i="115"/>
  <c r="G1968" i="115"/>
  <c r="F1968" i="115"/>
  <c r="E1968" i="115"/>
  <c r="A1968" i="115"/>
  <c r="K1967" i="115"/>
  <c r="I1967" i="115"/>
  <c r="H1967" i="115"/>
  <c r="G1967" i="115"/>
  <c r="F1967" i="115"/>
  <c r="E1967" i="115"/>
  <c r="A1967" i="115"/>
  <c r="K1966" i="115"/>
  <c r="I1966" i="115"/>
  <c r="H1966" i="115"/>
  <c r="G1966" i="115"/>
  <c r="F1966" i="115"/>
  <c r="E1966" i="115"/>
  <c r="A1966" i="115"/>
  <c r="K1965" i="115"/>
  <c r="I1965" i="115"/>
  <c r="H1965" i="115"/>
  <c r="G1965" i="115"/>
  <c r="F1965" i="115"/>
  <c r="E1965" i="115"/>
  <c r="A1965" i="115"/>
  <c r="K1964" i="115"/>
  <c r="I1964" i="115"/>
  <c r="H1964" i="115"/>
  <c r="G1964" i="115"/>
  <c r="F1964" i="115"/>
  <c r="E1964" i="115"/>
  <c r="A1964" i="115"/>
  <c r="K1963" i="115"/>
  <c r="I1963" i="115"/>
  <c r="H1963" i="115"/>
  <c r="G1963" i="115"/>
  <c r="F1963" i="115"/>
  <c r="E1963" i="115"/>
  <c r="A1963" i="115"/>
  <c r="K1962" i="115"/>
  <c r="I1962" i="115"/>
  <c r="H1962" i="115"/>
  <c r="G1962" i="115"/>
  <c r="F1962" i="115"/>
  <c r="E1962" i="115"/>
  <c r="A1962" i="115"/>
  <c r="K1961" i="115"/>
  <c r="I1961" i="115"/>
  <c r="H1961" i="115"/>
  <c r="G1961" i="115"/>
  <c r="F1961" i="115"/>
  <c r="E1961" i="115"/>
  <c r="A1961" i="115"/>
  <c r="K1960" i="115"/>
  <c r="I1960" i="115"/>
  <c r="H1960" i="115"/>
  <c r="G1960" i="115"/>
  <c r="F1960" i="115"/>
  <c r="E1960" i="115"/>
  <c r="A1960" i="115"/>
  <c r="K1959" i="115"/>
  <c r="I1959" i="115"/>
  <c r="H1959" i="115"/>
  <c r="G1959" i="115"/>
  <c r="F1959" i="115"/>
  <c r="E1959" i="115"/>
  <c r="A1959" i="115"/>
  <c r="K1958" i="115"/>
  <c r="I1958" i="115"/>
  <c r="H1958" i="115"/>
  <c r="G1958" i="115"/>
  <c r="F1958" i="115"/>
  <c r="E1958" i="115"/>
  <c r="A1958" i="115"/>
  <c r="K1957" i="115"/>
  <c r="I1957" i="115"/>
  <c r="H1957" i="115"/>
  <c r="G1957" i="115"/>
  <c r="F1957" i="115"/>
  <c r="E1957" i="115"/>
  <c r="A1957" i="115"/>
  <c r="K1956" i="115"/>
  <c r="I1956" i="115"/>
  <c r="H1956" i="115"/>
  <c r="G1956" i="115"/>
  <c r="F1956" i="115"/>
  <c r="E1956" i="115"/>
  <c r="A1956" i="115"/>
  <c r="K1955" i="115"/>
  <c r="I1955" i="115"/>
  <c r="H1955" i="115"/>
  <c r="G1955" i="115"/>
  <c r="F1955" i="115"/>
  <c r="E1955" i="115"/>
  <c r="A1955" i="115"/>
  <c r="K1954" i="115"/>
  <c r="I1954" i="115"/>
  <c r="H1954" i="115"/>
  <c r="G1954" i="115"/>
  <c r="F1954" i="115"/>
  <c r="E1954" i="115"/>
  <c r="A1954" i="115"/>
  <c r="K1953" i="115"/>
  <c r="I1953" i="115"/>
  <c r="H1953" i="115"/>
  <c r="G1953" i="115"/>
  <c r="F1953" i="115"/>
  <c r="E1953" i="115"/>
  <c r="A1953" i="115"/>
  <c r="K1952" i="115"/>
  <c r="I1952" i="115"/>
  <c r="H1952" i="115"/>
  <c r="G1952" i="115"/>
  <c r="F1952" i="115"/>
  <c r="E1952" i="115"/>
  <c r="A1952" i="115"/>
  <c r="K1951" i="115"/>
  <c r="I1951" i="115"/>
  <c r="H1951" i="115"/>
  <c r="G1951" i="115"/>
  <c r="F1951" i="115"/>
  <c r="E1951" i="115"/>
  <c r="A1951" i="115"/>
  <c r="K1950" i="115"/>
  <c r="I1950" i="115"/>
  <c r="H1950" i="115"/>
  <c r="G1950" i="115"/>
  <c r="F1950" i="115"/>
  <c r="E1950" i="115"/>
  <c r="A1950" i="115"/>
  <c r="K1949" i="115"/>
  <c r="I1949" i="115"/>
  <c r="H1949" i="115"/>
  <c r="G1949" i="115"/>
  <c r="F1949" i="115"/>
  <c r="E1949" i="115"/>
  <c r="A1949" i="115"/>
  <c r="K1948" i="115"/>
  <c r="I1948" i="115"/>
  <c r="H1948" i="115"/>
  <c r="G1948" i="115"/>
  <c r="F1948" i="115"/>
  <c r="E1948" i="115"/>
  <c r="A1948" i="115"/>
  <c r="K1947" i="115"/>
  <c r="I1947" i="115"/>
  <c r="H1947" i="115"/>
  <c r="G1947" i="115"/>
  <c r="F1947" i="115"/>
  <c r="E1947" i="115"/>
  <c r="A1947" i="115"/>
  <c r="K1946" i="115"/>
  <c r="I1946" i="115"/>
  <c r="H1946" i="115"/>
  <c r="G1946" i="115"/>
  <c r="F1946" i="115"/>
  <c r="E1946" i="115"/>
  <c r="A1946" i="115"/>
  <c r="K1945" i="115"/>
  <c r="I1945" i="115"/>
  <c r="H1945" i="115"/>
  <c r="G1945" i="115"/>
  <c r="F1945" i="115"/>
  <c r="E1945" i="115"/>
  <c r="A1945" i="115"/>
  <c r="K1944" i="115"/>
  <c r="I1944" i="115"/>
  <c r="H1944" i="115"/>
  <c r="G1944" i="115"/>
  <c r="F1944" i="115"/>
  <c r="E1944" i="115"/>
  <c r="A1944" i="115"/>
  <c r="K1943" i="115"/>
  <c r="I1943" i="115"/>
  <c r="H1943" i="115"/>
  <c r="G1943" i="115"/>
  <c r="F1943" i="115"/>
  <c r="E1943" i="115"/>
  <c r="A1943" i="115"/>
  <c r="K1942" i="115"/>
  <c r="I1942" i="115"/>
  <c r="H1942" i="115"/>
  <c r="G1942" i="115"/>
  <c r="F1942" i="115"/>
  <c r="E1942" i="115"/>
  <c r="A1942" i="115"/>
  <c r="K1941" i="115"/>
  <c r="I1941" i="115"/>
  <c r="H1941" i="115"/>
  <c r="G1941" i="115"/>
  <c r="F1941" i="115"/>
  <c r="E1941" i="115"/>
  <c r="A1941" i="115"/>
  <c r="K1940" i="115"/>
  <c r="I1940" i="115"/>
  <c r="H1940" i="115"/>
  <c r="G1940" i="115"/>
  <c r="F1940" i="115"/>
  <c r="E1940" i="115"/>
  <c r="A1940" i="115"/>
  <c r="K1939" i="115"/>
  <c r="I1939" i="115"/>
  <c r="H1939" i="115"/>
  <c r="G1939" i="115"/>
  <c r="F1939" i="115"/>
  <c r="E1939" i="115"/>
  <c r="A1939" i="115"/>
  <c r="K1938" i="115"/>
  <c r="I1938" i="115"/>
  <c r="H1938" i="115"/>
  <c r="G1938" i="115"/>
  <c r="F1938" i="115"/>
  <c r="E1938" i="115"/>
  <c r="A1938" i="115"/>
  <c r="K1937" i="115"/>
  <c r="I1937" i="115"/>
  <c r="H1937" i="115"/>
  <c r="G1937" i="115"/>
  <c r="F1937" i="115"/>
  <c r="E1937" i="115"/>
  <c r="A1937" i="115"/>
  <c r="K1936" i="115"/>
  <c r="I1936" i="115"/>
  <c r="H1936" i="115"/>
  <c r="G1936" i="115"/>
  <c r="F1936" i="115"/>
  <c r="E1936" i="115"/>
  <c r="A1936" i="115"/>
  <c r="K1935" i="115"/>
  <c r="I1935" i="115"/>
  <c r="H1935" i="115"/>
  <c r="G1935" i="115"/>
  <c r="F1935" i="115"/>
  <c r="E1935" i="115"/>
  <c r="A1935" i="115"/>
  <c r="K1934" i="115"/>
  <c r="I1934" i="115"/>
  <c r="H1934" i="115"/>
  <c r="G1934" i="115"/>
  <c r="F1934" i="115"/>
  <c r="E1934" i="115"/>
  <c r="A1934" i="115"/>
  <c r="K1933" i="115"/>
  <c r="I1933" i="115"/>
  <c r="H1933" i="115"/>
  <c r="G1933" i="115"/>
  <c r="F1933" i="115"/>
  <c r="E1933" i="115"/>
  <c r="A1933" i="115"/>
  <c r="K1932" i="115"/>
  <c r="I1932" i="115"/>
  <c r="H1932" i="115"/>
  <c r="G1932" i="115"/>
  <c r="F1932" i="115"/>
  <c r="E1932" i="115"/>
  <c r="A1932" i="115"/>
  <c r="K1931" i="115"/>
  <c r="I1931" i="115"/>
  <c r="H1931" i="115"/>
  <c r="G1931" i="115"/>
  <c r="F1931" i="115"/>
  <c r="E1931" i="115"/>
  <c r="A1931" i="115"/>
  <c r="K1930" i="115"/>
  <c r="I1930" i="115"/>
  <c r="H1930" i="115"/>
  <c r="G1930" i="115"/>
  <c r="F1930" i="115"/>
  <c r="E1930" i="115"/>
  <c r="A1930" i="115"/>
  <c r="K1929" i="115"/>
  <c r="I1929" i="115"/>
  <c r="H1929" i="115"/>
  <c r="G1929" i="115"/>
  <c r="F1929" i="115"/>
  <c r="E1929" i="115"/>
  <c r="A1929" i="115"/>
  <c r="K1928" i="115"/>
  <c r="I1928" i="115"/>
  <c r="H1928" i="115"/>
  <c r="G1928" i="115"/>
  <c r="F1928" i="115"/>
  <c r="E1928" i="115"/>
  <c r="A1928" i="115"/>
  <c r="K1927" i="115"/>
  <c r="I1927" i="115"/>
  <c r="H1927" i="115"/>
  <c r="G1927" i="115"/>
  <c r="F1927" i="115"/>
  <c r="E1927" i="115"/>
  <c r="A1927" i="115"/>
  <c r="K1926" i="115"/>
  <c r="I1926" i="115"/>
  <c r="H1926" i="115"/>
  <c r="G1926" i="115"/>
  <c r="F1926" i="115"/>
  <c r="E1926" i="115"/>
  <c r="A1926" i="115"/>
  <c r="K1925" i="115"/>
  <c r="I1925" i="115"/>
  <c r="H1925" i="115"/>
  <c r="G1925" i="115"/>
  <c r="F1925" i="115"/>
  <c r="E1925" i="115"/>
  <c r="A1925" i="115"/>
  <c r="K1924" i="115"/>
  <c r="I1924" i="115"/>
  <c r="H1924" i="115"/>
  <c r="G1924" i="115"/>
  <c r="F1924" i="115"/>
  <c r="E1924" i="115"/>
  <c r="A1924" i="115"/>
  <c r="K1923" i="115"/>
  <c r="I1923" i="115"/>
  <c r="H1923" i="115"/>
  <c r="G1923" i="115"/>
  <c r="F1923" i="115"/>
  <c r="E1923" i="115"/>
  <c r="A1923" i="115"/>
  <c r="K1922" i="115"/>
  <c r="I1922" i="115"/>
  <c r="H1922" i="115"/>
  <c r="G1922" i="115"/>
  <c r="F1922" i="115"/>
  <c r="E1922" i="115"/>
  <c r="A1922" i="115"/>
  <c r="K1921" i="115"/>
  <c r="I1921" i="115"/>
  <c r="H1921" i="115"/>
  <c r="G1921" i="115"/>
  <c r="F1921" i="115"/>
  <c r="E1921" i="115"/>
  <c r="A1921" i="115"/>
  <c r="K1920" i="115"/>
  <c r="I1920" i="115"/>
  <c r="H1920" i="115"/>
  <c r="G1920" i="115"/>
  <c r="F1920" i="115"/>
  <c r="E1920" i="115"/>
  <c r="A1920" i="115"/>
  <c r="K1919" i="115"/>
  <c r="I1919" i="115"/>
  <c r="H1919" i="115"/>
  <c r="G1919" i="115"/>
  <c r="F1919" i="115"/>
  <c r="E1919" i="115"/>
  <c r="A1919" i="115"/>
  <c r="K1918" i="115"/>
  <c r="I1918" i="115"/>
  <c r="H1918" i="115"/>
  <c r="G1918" i="115"/>
  <c r="F1918" i="115"/>
  <c r="E1918" i="115"/>
  <c r="A1918" i="115"/>
  <c r="K1917" i="115"/>
  <c r="I1917" i="115"/>
  <c r="H1917" i="115"/>
  <c r="G1917" i="115"/>
  <c r="F1917" i="115"/>
  <c r="E1917" i="115"/>
  <c r="A1917" i="115"/>
  <c r="K1916" i="115"/>
  <c r="I1916" i="115"/>
  <c r="H1916" i="115"/>
  <c r="G1916" i="115"/>
  <c r="F1916" i="115"/>
  <c r="E1916" i="115"/>
  <c r="A1916" i="115"/>
  <c r="K1915" i="115"/>
  <c r="I1915" i="115"/>
  <c r="H1915" i="115"/>
  <c r="G1915" i="115"/>
  <c r="F1915" i="115"/>
  <c r="E1915" i="115"/>
  <c r="A1915" i="115"/>
  <c r="K1914" i="115"/>
  <c r="I1914" i="115"/>
  <c r="H1914" i="115"/>
  <c r="G1914" i="115"/>
  <c r="F1914" i="115"/>
  <c r="E1914" i="115"/>
  <c r="A1914" i="115"/>
  <c r="K1913" i="115"/>
  <c r="I1913" i="115"/>
  <c r="H1913" i="115"/>
  <c r="G1913" i="115"/>
  <c r="F1913" i="115"/>
  <c r="E1913" i="115"/>
  <c r="A1913" i="115"/>
  <c r="K1912" i="115"/>
  <c r="I1912" i="115"/>
  <c r="H1912" i="115"/>
  <c r="G1912" i="115"/>
  <c r="F1912" i="115"/>
  <c r="E1912" i="115"/>
  <c r="A1912" i="115"/>
  <c r="K1911" i="115"/>
  <c r="I1911" i="115"/>
  <c r="H1911" i="115"/>
  <c r="G1911" i="115"/>
  <c r="F1911" i="115"/>
  <c r="E1911" i="115"/>
  <c r="A1911" i="115"/>
  <c r="K1910" i="115"/>
  <c r="I1910" i="115"/>
  <c r="H1910" i="115"/>
  <c r="G1910" i="115"/>
  <c r="F1910" i="115"/>
  <c r="E1910" i="115"/>
  <c r="A1910" i="115"/>
  <c r="K1909" i="115"/>
  <c r="I1909" i="115"/>
  <c r="H1909" i="115"/>
  <c r="G1909" i="115"/>
  <c r="F1909" i="115"/>
  <c r="E1909" i="115"/>
  <c r="A1909" i="115"/>
  <c r="K1908" i="115"/>
  <c r="I1908" i="115"/>
  <c r="H1908" i="115"/>
  <c r="G1908" i="115"/>
  <c r="F1908" i="115"/>
  <c r="E1908" i="115"/>
  <c r="A1908" i="115"/>
  <c r="K1907" i="115"/>
  <c r="I1907" i="115"/>
  <c r="H1907" i="115"/>
  <c r="G1907" i="115"/>
  <c r="F1907" i="115"/>
  <c r="E1907" i="115"/>
  <c r="A1907" i="115"/>
  <c r="K1906" i="115"/>
  <c r="I1906" i="115"/>
  <c r="H1906" i="115"/>
  <c r="G1906" i="115"/>
  <c r="F1906" i="115"/>
  <c r="E1906" i="115"/>
  <c r="A1906" i="115"/>
  <c r="K1905" i="115"/>
  <c r="I1905" i="115"/>
  <c r="H1905" i="115"/>
  <c r="G1905" i="115"/>
  <c r="F1905" i="115"/>
  <c r="E1905" i="115"/>
  <c r="A1905" i="115"/>
  <c r="K1904" i="115"/>
  <c r="I1904" i="115"/>
  <c r="H1904" i="115"/>
  <c r="G1904" i="115"/>
  <c r="F1904" i="115"/>
  <c r="E1904" i="115"/>
  <c r="A1904" i="115"/>
  <c r="K1903" i="115"/>
  <c r="I1903" i="115"/>
  <c r="H1903" i="115"/>
  <c r="G1903" i="115"/>
  <c r="F1903" i="115"/>
  <c r="E1903" i="115"/>
  <c r="A1903" i="115"/>
  <c r="K1902" i="115"/>
  <c r="I1902" i="115"/>
  <c r="H1902" i="115"/>
  <c r="G1902" i="115"/>
  <c r="F1902" i="115"/>
  <c r="E1902" i="115"/>
  <c r="A1902" i="115"/>
  <c r="K1901" i="115"/>
  <c r="I1901" i="115"/>
  <c r="H1901" i="115"/>
  <c r="G1901" i="115"/>
  <c r="F1901" i="115"/>
  <c r="E1901" i="115"/>
  <c r="A1901" i="115"/>
  <c r="K1900" i="115"/>
  <c r="I1900" i="115"/>
  <c r="H1900" i="115"/>
  <c r="G1900" i="115"/>
  <c r="F1900" i="115"/>
  <c r="E1900" i="115"/>
  <c r="A1900" i="115"/>
  <c r="K1899" i="115"/>
  <c r="I1899" i="115"/>
  <c r="H1899" i="115"/>
  <c r="G1899" i="115"/>
  <c r="F1899" i="115"/>
  <c r="E1899" i="115"/>
  <c r="A1899" i="115"/>
  <c r="K1898" i="115"/>
  <c r="I1898" i="115"/>
  <c r="H1898" i="115"/>
  <c r="G1898" i="115"/>
  <c r="F1898" i="115"/>
  <c r="E1898" i="115"/>
  <c r="A1898" i="115"/>
  <c r="K1897" i="115"/>
  <c r="I1897" i="115"/>
  <c r="H1897" i="115"/>
  <c r="G1897" i="115"/>
  <c r="F1897" i="115"/>
  <c r="E1897" i="115"/>
  <c r="A1897" i="115"/>
  <c r="K1896" i="115"/>
  <c r="I1896" i="115"/>
  <c r="H1896" i="115"/>
  <c r="G1896" i="115"/>
  <c r="F1896" i="115"/>
  <c r="E1896" i="115"/>
  <c r="A1896" i="115"/>
  <c r="K1895" i="115"/>
  <c r="I1895" i="115"/>
  <c r="H1895" i="115"/>
  <c r="G1895" i="115"/>
  <c r="F1895" i="115"/>
  <c r="E1895" i="115"/>
  <c r="A1895" i="115"/>
  <c r="K1894" i="115"/>
  <c r="I1894" i="115"/>
  <c r="H1894" i="115"/>
  <c r="G1894" i="115"/>
  <c r="F1894" i="115"/>
  <c r="E1894" i="115"/>
  <c r="A1894" i="115"/>
  <c r="K1893" i="115"/>
  <c r="I1893" i="115"/>
  <c r="H1893" i="115"/>
  <c r="G1893" i="115"/>
  <c r="F1893" i="115"/>
  <c r="E1893" i="115"/>
  <c r="A1893" i="115"/>
  <c r="K1892" i="115"/>
  <c r="I1892" i="115"/>
  <c r="H1892" i="115"/>
  <c r="G1892" i="115"/>
  <c r="F1892" i="115"/>
  <c r="E1892" i="115"/>
  <c r="A1892" i="115"/>
  <c r="K1891" i="115"/>
  <c r="I1891" i="115"/>
  <c r="H1891" i="115"/>
  <c r="G1891" i="115"/>
  <c r="F1891" i="115"/>
  <c r="E1891" i="115"/>
  <c r="A1891" i="115"/>
  <c r="K1890" i="115"/>
  <c r="I1890" i="115"/>
  <c r="H1890" i="115"/>
  <c r="G1890" i="115"/>
  <c r="F1890" i="115"/>
  <c r="E1890" i="115"/>
  <c r="A1890" i="115"/>
  <c r="K1889" i="115"/>
  <c r="I1889" i="115"/>
  <c r="H1889" i="115"/>
  <c r="G1889" i="115"/>
  <c r="F1889" i="115"/>
  <c r="E1889" i="115"/>
  <c r="A1889" i="115"/>
  <c r="K1888" i="115"/>
  <c r="I1888" i="115"/>
  <c r="H1888" i="115"/>
  <c r="G1888" i="115"/>
  <c r="F1888" i="115"/>
  <c r="E1888" i="115"/>
  <c r="A1888" i="115"/>
  <c r="K1887" i="115"/>
  <c r="I1887" i="115"/>
  <c r="H1887" i="115"/>
  <c r="G1887" i="115"/>
  <c r="F1887" i="115"/>
  <c r="E1887" i="115"/>
  <c r="A1887" i="115"/>
  <c r="K1886" i="115"/>
  <c r="I1886" i="115"/>
  <c r="H1886" i="115"/>
  <c r="G1886" i="115"/>
  <c r="F1886" i="115"/>
  <c r="E1886" i="115"/>
  <c r="A1886" i="115"/>
  <c r="K1885" i="115"/>
  <c r="I1885" i="115"/>
  <c r="H1885" i="115"/>
  <c r="G1885" i="115"/>
  <c r="F1885" i="115"/>
  <c r="E1885" i="115"/>
  <c r="A1885" i="115"/>
  <c r="K1884" i="115"/>
  <c r="I1884" i="115"/>
  <c r="H1884" i="115"/>
  <c r="G1884" i="115"/>
  <c r="F1884" i="115"/>
  <c r="E1884" i="115"/>
  <c r="A1884" i="115"/>
  <c r="K1883" i="115"/>
  <c r="I1883" i="115"/>
  <c r="H1883" i="115"/>
  <c r="G1883" i="115"/>
  <c r="F1883" i="115"/>
  <c r="E1883" i="115"/>
  <c r="A1883" i="115"/>
  <c r="K1882" i="115"/>
  <c r="I1882" i="115"/>
  <c r="H1882" i="115"/>
  <c r="G1882" i="115"/>
  <c r="F1882" i="115"/>
  <c r="E1882" i="115"/>
  <c r="A1882" i="115"/>
  <c r="K1881" i="115"/>
  <c r="I1881" i="115"/>
  <c r="H1881" i="115"/>
  <c r="G1881" i="115"/>
  <c r="F1881" i="115"/>
  <c r="E1881" i="115"/>
  <c r="A1881" i="115"/>
  <c r="K1880" i="115"/>
  <c r="I1880" i="115"/>
  <c r="H1880" i="115"/>
  <c r="G1880" i="115"/>
  <c r="F1880" i="115"/>
  <c r="E1880" i="115"/>
  <c r="A1880" i="115"/>
  <c r="K1879" i="115"/>
  <c r="I1879" i="115"/>
  <c r="H1879" i="115"/>
  <c r="G1879" i="115"/>
  <c r="F1879" i="115"/>
  <c r="E1879" i="115"/>
  <c r="A1879" i="115"/>
  <c r="K1878" i="115"/>
  <c r="I1878" i="115"/>
  <c r="H1878" i="115"/>
  <c r="G1878" i="115"/>
  <c r="F1878" i="115"/>
  <c r="E1878" i="115"/>
  <c r="A1878" i="115"/>
  <c r="K1877" i="115"/>
  <c r="I1877" i="115"/>
  <c r="H1877" i="115"/>
  <c r="G1877" i="115"/>
  <c r="F1877" i="115"/>
  <c r="E1877" i="115"/>
  <c r="A1877" i="115"/>
  <c r="K1876" i="115"/>
  <c r="I1876" i="115"/>
  <c r="H1876" i="115"/>
  <c r="G1876" i="115"/>
  <c r="F1876" i="115"/>
  <c r="E1876" i="115"/>
  <c r="A1876" i="115"/>
  <c r="K1875" i="115"/>
  <c r="I1875" i="115"/>
  <c r="H1875" i="115"/>
  <c r="G1875" i="115"/>
  <c r="F1875" i="115"/>
  <c r="E1875" i="115"/>
  <c r="A1875" i="115"/>
  <c r="K1874" i="115"/>
  <c r="I1874" i="115"/>
  <c r="H1874" i="115"/>
  <c r="G1874" i="115"/>
  <c r="F1874" i="115"/>
  <c r="E1874" i="115"/>
  <c r="A1874" i="115"/>
  <c r="K1873" i="115"/>
  <c r="I1873" i="115"/>
  <c r="H1873" i="115"/>
  <c r="G1873" i="115"/>
  <c r="F1873" i="115"/>
  <c r="E1873" i="115"/>
  <c r="A1873" i="115"/>
  <c r="K1872" i="115"/>
  <c r="I1872" i="115"/>
  <c r="H1872" i="115"/>
  <c r="G1872" i="115"/>
  <c r="F1872" i="115"/>
  <c r="E1872" i="115"/>
  <c r="A1872" i="115"/>
  <c r="K1871" i="115"/>
  <c r="I1871" i="115"/>
  <c r="H1871" i="115"/>
  <c r="G1871" i="115"/>
  <c r="F1871" i="115"/>
  <c r="E1871" i="115"/>
  <c r="A1871" i="115"/>
  <c r="K1870" i="115"/>
  <c r="I1870" i="115"/>
  <c r="H1870" i="115"/>
  <c r="G1870" i="115"/>
  <c r="F1870" i="115"/>
  <c r="E1870" i="115"/>
  <c r="A1870" i="115"/>
  <c r="K1869" i="115"/>
  <c r="I1869" i="115"/>
  <c r="H1869" i="115"/>
  <c r="G1869" i="115"/>
  <c r="F1869" i="115"/>
  <c r="E1869" i="115"/>
  <c r="A1869" i="115"/>
  <c r="K1868" i="115"/>
  <c r="I1868" i="115"/>
  <c r="H1868" i="115"/>
  <c r="G1868" i="115"/>
  <c r="F1868" i="115"/>
  <c r="E1868" i="115"/>
  <c r="A1868" i="115"/>
  <c r="K1867" i="115"/>
  <c r="I1867" i="115"/>
  <c r="H1867" i="115"/>
  <c r="G1867" i="115"/>
  <c r="F1867" i="115"/>
  <c r="E1867" i="115"/>
  <c r="A1867" i="115"/>
  <c r="K1866" i="115"/>
  <c r="I1866" i="115"/>
  <c r="H1866" i="115"/>
  <c r="G1866" i="115"/>
  <c r="F1866" i="115"/>
  <c r="E1866" i="115"/>
  <c r="A1866" i="115"/>
  <c r="K1865" i="115"/>
  <c r="I1865" i="115"/>
  <c r="H1865" i="115"/>
  <c r="G1865" i="115"/>
  <c r="F1865" i="115"/>
  <c r="E1865" i="115"/>
  <c r="A1865" i="115"/>
  <c r="K1864" i="115"/>
  <c r="I1864" i="115"/>
  <c r="H1864" i="115"/>
  <c r="G1864" i="115"/>
  <c r="F1864" i="115"/>
  <c r="E1864" i="115"/>
  <c r="A1864" i="115"/>
  <c r="K1863" i="115"/>
  <c r="I1863" i="115"/>
  <c r="H1863" i="115"/>
  <c r="G1863" i="115"/>
  <c r="F1863" i="115"/>
  <c r="E1863" i="115"/>
  <c r="A1863" i="115"/>
  <c r="K1862" i="115"/>
  <c r="I1862" i="115"/>
  <c r="H1862" i="115"/>
  <c r="G1862" i="115"/>
  <c r="F1862" i="115"/>
  <c r="E1862" i="115"/>
  <c r="A1862" i="115"/>
  <c r="K1861" i="115"/>
  <c r="I1861" i="115"/>
  <c r="H1861" i="115"/>
  <c r="G1861" i="115"/>
  <c r="F1861" i="115"/>
  <c r="E1861" i="115"/>
  <c r="A1861" i="115"/>
  <c r="K1860" i="115"/>
  <c r="I1860" i="115"/>
  <c r="H1860" i="115"/>
  <c r="G1860" i="115"/>
  <c r="F1860" i="115"/>
  <c r="E1860" i="115"/>
  <c r="A1860" i="115"/>
  <c r="K1859" i="115"/>
  <c r="I1859" i="115"/>
  <c r="H1859" i="115"/>
  <c r="G1859" i="115"/>
  <c r="F1859" i="115"/>
  <c r="E1859" i="115"/>
  <c r="A1859" i="115"/>
  <c r="K1858" i="115"/>
  <c r="I1858" i="115"/>
  <c r="H1858" i="115"/>
  <c r="G1858" i="115"/>
  <c r="F1858" i="115"/>
  <c r="E1858" i="115"/>
  <c r="A1858" i="115"/>
  <c r="K1857" i="115"/>
  <c r="I1857" i="115"/>
  <c r="H1857" i="115"/>
  <c r="G1857" i="115"/>
  <c r="F1857" i="115"/>
  <c r="E1857" i="115"/>
  <c r="A1857" i="115"/>
  <c r="K1856" i="115"/>
  <c r="I1856" i="115"/>
  <c r="H1856" i="115"/>
  <c r="G1856" i="115"/>
  <c r="F1856" i="115"/>
  <c r="E1856" i="115"/>
  <c r="A1856" i="115"/>
  <c r="K1855" i="115"/>
  <c r="I1855" i="115"/>
  <c r="H1855" i="115"/>
  <c r="G1855" i="115"/>
  <c r="F1855" i="115"/>
  <c r="E1855" i="115"/>
  <c r="A1855" i="115"/>
  <c r="K1854" i="115"/>
  <c r="I1854" i="115"/>
  <c r="H1854" i="115"/>
  <c r="G1854" i="115"/>
  <c r="F1854" i="115"/>
  <c r="E1854" i="115"/>
  <c r="A1854" i="115"/>
  <c r="K1853" i="115"/>
  <c r="I1853" i="115"/>
  <c r="H1853" i="115"/>
  <c r="G1853" i="115"/>
  <c r="F1853" i="115"/>
  <c r="E1853" i="115"/>
  <c r="A1853" i="115"/>
  <c r="K1852" i="115"/>
  <c r="I1852" i="115"/>
  <c r="H1852" i="115"/>
  <c r="G1852" i="115"/>
  <c r="F1852" i="115"/>
  <c r="E1852" i="115"/>
  <c r="A1852" i="115"/>
  <c r="K1851" i="115"/>
  <c r="I1851" i="115"/>
  <c r="H1851" i="115"/>
  <c r="G1851" i="115"/>
  <c r="F1851" i="115"/>
  <c r="E1851" i="115"/>
  <c r="A1851" i="115"/>
  <c r="K1850" i="115"/>
  <c r="I1850" i="115"/>
  <c r="H1850" i="115"/>
  <c r="G1850" i="115"/>
  <c r="F1850" i="115"/>
  <c r="E1850" i="115"/>
  <c r="A1850" i="115"/>
  <c r="K1849" i="115"/>
  <c r="I1849" i="115"/>
  <c r="H1849" i="115"/>
  <c r="G1849" i="115"/>
  <c r="F1849" i="115"/>
  <c r="E1849" i="115"/>
  <c r="A1849" i="115"/>
  <c r="K1848" i="115"/>
  <c r="I1848" i="115"/>
  <c r="H1848" i="115"/>
  <c r="G1848" i="115"/>
  <c r="F1848" i="115"/>
  <c r="E1848" i="115"/>
  <c r="A1848" i="115"/>
  <c r="K1847" i="115"/>
  <c r="I1847" i="115"/>
  <c r="H1847" i="115"/>
  <c r="G1847" i="115"/>
  <c r="F1847" i="115"/>
  <c r="E1847" i="115"/>
  <c r="A1847" i="115"/>
  <c r="K1846" i="115"/>
  <c r="I1846" i="115"/>
  <c r="H1846" i="115"/>
  <c r="G1846" i="115"/>
  <c r="F1846" i="115"/>
  <c r="E1846" i="115"/>
  <c r="A1846" i="115"/>
  <c r="K1845" i="115"/>
  <c r="I1845" i="115"/>
  <c r="H1845" i="115"/>
  <c r="G1845" i="115"/>
  <c r="F1845" i="115"/>
  <c r="E1845" i="115"/>
  <c r="A1845" i="115"/>
  <c r="K1844" i="115"/>
  <c r="I1844" i="115"/>
  <c r="H1844" i="115"/>
  <c r="G1844" i="115"/>
  <c r="F1844" i="115"/>
  <c r="E1844" i="115"/>
  <c r="A1844" i="115"/>
  <c r="K1843" i="115"/>
  <c r="I1843" i="115"/>
  <c r="H1843" i="115"/>
  <c r="G1843" i="115"/>
  <c r="F1843" i="115"/>
  <c r="E1843" i="115"/>
  <c r="A1843" i="115"/>
  <c r="K1842" i="115"/>
  <c r="I1842" i="115"/>
  <c r="H1842" i="115"/>
  <c r="G1842" i="115"/>
  <c r="F1842" i="115"/>
  <c r="E1842" i="115"/>
  <c r="A1842" i="115"/>
  <c r="K1841" i="115"/>
  <c r="I1841" i="115"/>
  <c r="H1841" i="115"/>
  <c r="G1841" i="115"/>
  <c r="F1841" i="115"/>
  <c r="E1841" i="115"/>
  <c r="A1841" i="115"/>
  <c r="K1840" i="115"/>
  <c r="I1840" i="115"/>
  <c r="H1840" i="115"/>
  <c r="G1840" i="115"/>
  <c r="F1840" i="115"/>
  <c r="E1840" i="115"/>
  <c r="A1840" i="115"/>
  <c r="K1839" i="115"/>
  <c r="I1839" i="115"/>
  <c r="H1839" i="115"/>
  <c r="G1839" i="115"/>
  <c r="F1839" i="115"/>
  <c r="E1839" i="115"/>
  <c r="A1839" i="115"/>
  <c r="K1838" i="115"/>
  <c r="I1838" i="115"/>
  <c r="H1838" i="115"/>
  <c r="G1838" i="115"/>
  <c r="F1838" i="115"/>
  <c r="E1838" i="115"/>
  <c r="A1838" i="115"/>
  <c r="K1837" i="115"/>
  <c r="I1837" i="115"/>
  <c r="H1837" i="115"/>
  <c r="G1837" i="115"/>
  <c r="F1837" i="115"/>
  <c r="E1837" i="115"/>
  <c r="A1837" i="115"/>
  <c r="K1836" i="115"/>
  <c r="I1836" i="115"/>
  <c r="H1836" i="115"/>
  <c r="G1836" i="115"/>
  <c r="F1836" i="115"/>
  <c r="E1836" i="115"/>
  <c r="A1836" i="115"/>
  <c r="K1835" i="115"/>
  <c r="I1835" i="115"/>
  <c r="H1835" i="115"/>
  <c r="G1835" i="115"/>
  <c r="F1835" i="115"/>
  <c r="E1835" i="115"/>
  <c r="A1835" i="115"/>
  <c r="K1834" i="115"/>
  <c r="I1834" i="115"/>
  <c r="H1834" i="115"/>
  <c r="G1834" i="115"/>
  <c r="F1834" i="115"/>
  <c r="E1834" i="115"/>
  <c r="A1834" i="115"/>
  <c r="K1833" i="115"/>
  <c r="I1833" i="115"/>
  <c r="H1833" i="115"/>
  <c r="G1833" i="115"/>
  <c r="F1833" i="115"/>
  <c r="E1833" i="115"/>
  <c r="A1833" i="115"/>
  <c r="K1832" i="115"/>
  <c r="I1832" i="115"/>
  <c r="H1832" i="115"/>
  <c r="G1832" i="115"/>
  <c r="F1832" i="115"/>
  <c r="E1832" i="115"/>
  <c r="A1832" i="115"/>
  <c r="K1831" i="115"/>
  <c r="I1831" i="115"/>
  <c r="H1831" i="115"/>
  <c r="G1831" i="115"/>
  <c r="F1831" i="115"/>
  <c r="E1831" i="115"/>
  <c r="A1831" i="115"/>
  <c r="K1830" i="115"/>
  <c r="I1830" i="115"/>
  <c r="H1830" i="115"/>
  <c r="G1830" i="115"/>
  <c r="F1830" i="115"/>
  <c r="E1830" i="115"/>
  <c r="A1830" i="115"/>
  <c r="K1829" i="115"/>
  <c r="I1829" i="115"/>
  <c r="H1829" i="115"/>
  <c r="G1829" i="115"/>
  <c r="F1829" i="115"/>
  <c r="E1829" i="115"/>
  <c r="A1829" i="115"/>
  <c r="K1828" i="115"/>
  <c r="I1828" i="115"/>
  <c r="H1828" i="115"/>
  <c r="G1828" i="115"/>
  <c r="F1828" i="115"/>
  <c r="E1828" i="115"/>
  <c r="A1828" i="115"/>
  <c r="K1827" i="115"/>
  <c r="I1827" i="115"/>
  <c r="H1827" i="115"/>
  <c r="G1827" i="115"/>
  <c r="F1827" i="115"/>
  <c r="E1827" i="115"/>
  <c r="A1827" i="115"/>
  <c r="K1826" i="115"/>
  <c r="I1826" i="115"/>
  <c r="H1826" i="115"/>
  <c r="G1826" i="115"/>
  <c r="F1826" i="115"/>
  <c r="E1826" i="115"/>
  <c r="A1826" i="115"/>
  <c r="K1825" i="115"/>
  <c r="I1825" i="115"/>
  <c r="H1825" i="115"/>
  <c r="G1825" i="115"/>
  <c r="F1825" i="115"/>
  <c r="E1825" i="115"/>
  <c r="A1825" i="115"/>
  <c r="K1824" i="115"/>
  <c r="I1824" i="115"/>
  <c r="H1824" i="115"/>
  <c r="G1824" i="115"/>
  <c r="F1824" i="115"/>
  <c r="E1824" i="115"/>
  <c r="A1824" i="115"/>
  <c r="K1823" i="115"/>
  <c r="I1823" i="115"/>
  <c r="H1823" i="115"/>
  <c r="G1823" i="115"/>
  <c r="F1823" i="115"/>
  <c r="E1823" i="115"/>
  <c r="A1823" i="115"/>
  <c r="K1822" i="115"/>
  <c r="I1822" i="115"/>
  <c r="H1822" i="115"/>
  <c r="G1822" i="115"/>
  <c r="F1822" i="115"/>
  <c r="E1822" i="115"/>
  <c r="A1822" i="115"/>
  <c r="K1821" i="115"/>
  <c r="I1821" i="115"/>
  <c r="H1821" i="115"/>
  <c r="G1821" i="115"/>
  <c r="F1821" i="115"/>
  <c r="E1821" i="115"/>
  <c r="A1821" i="115"/>
  <c r="K1820" i="115"/>
  <c r="I1820" i="115"/>
  <c r="H1820" i="115"/>
  <c r="G1820" i="115"/>
  <c r="F1820" i="115"/>
  <c r="E1820" i="115"/>
  <c r="A1820" i="115"/>
  <c r="K1819" i="115"/>
  <c r="I1819" i="115"/>
  <c r="H1819" i="115"/>
  <c r="G1819" i="115"/>
  <c r="F1819" i="115"/>
  <c r="E1819" i="115"/>
  <c r="A1819" i="115"/>
  <c r="K1818" i="115"/>
  <c r="I1818" i="115"/>
  <c r="H1818" i="115"/>
  <c r="G1818" i="115"/>
  <c r="F1818" i="115"/>
  <c r="E1818" i="115"/>
  <c r="A1818" i="115"/>
  <c r="K1817" i="115"/>
  <c r="I1817" i="115"/>
  <c r="H1817" i="115"/>
  <c r="G1817" i="115"/>
  <c r="F1817" i="115"/>
  <c r="E1817" i="115"/>
  <c r="A1817" i="115"/>
  <c r="K1816" i="115"/>
  <c r="I1816" i="115"/>
  <c r="H1816" i="115"/>
  <c r="G1816" i="115"/>
  <c r="F1816" i="115"/>
  <c r="E1816" i="115"/>
  <c r="A1816" i="115"/>
  <c r="K1815" i="115"/>
  <c r="I1815" i="115"/>
  <c r="H1815" i="115"/>
  <c r="G1815" i="115"/>
  <c r="F1815" i="115"/>
  <c r="E1815" i="115"/>
  <c r="A1815" i="115"/>
  <c r="K1814" i="115"/>
  <c r="I1814" i="115"/>
  <c r="H1814" i="115"/>
  <c r="G1814" i="115"/>
  <c r="F1814" i="115"/>
  <c r="E1814" i="115"/>
  <c r="A1814" i="115"/>
  <c r="K1813" i="115"/>
  <c r="I1813" i="115"/>
  <c r="H1813" i="115"/>
  <c r="G1813" i="115"/>
  <c r="F1813" i="115"/>
  <c r="E1813" i="115"/>
  <c r="A1813" i="115"/>
  <c r="K1812" i="115"/>
  <c r="I1812" i="115"/>
  <c r="H1812" i="115"/>
  <c r="G1812" i="115"/>
  <c r="F1812" i="115"/>
  <c r="E1812" i="115"/>
  <c r="A1812" i="115"/>
  <c r="K1811" i="115"/>
  <c r="I1811" i="115"/>
  <c r="H1811" i="115"/>
  <c r="G1811" i="115"/>
  <c r="F1811" i="115"/>
  <c r="E1811" i="115"/>
  <c r="A1811" i="115"/>
  <c r="K1810" i="115"/>
  <c r="I1810" i="115"/>
  <c r="H1810" i="115"/>
  <c r="G1810" i="115"/>
  <c r="F1810" i="115"/>
  <c r="E1810" i="115"/>
  <c r="A1810" i="115"/>
  <c r="K1809" i="115"/>
  <c r="I1809" i="115"/>
  <c r="H1809" i="115"/>
  <c r="G1809" i="115"/>
  <c r="F1809" i="115"/>
  <c r="E1809" i="115"/>
  <c r="A1809" i="115"/>
  <c r="K1808" i="115"/>
  <c r="I1808" i="115"/>
  <c r="H1808" i="115"/>
  <c r="G1808" i="115"/>
  <c r="F1808" i="115"/>
  <c r="E1808" i="115"/>
  <c r="A1808" i="115"/>
  <c r="K1807" i="115"/>
  <c r="I1807" i="115"/>
  <c r="H1807" i="115"/>
  <c r="G1807" i="115"/>
  <c r="F1807" i="115"/>
  <c r="E1807" i="115"/>
  <c r="A1807" i="115"/>
  <c r="K1806" i="115"/>
  <c r="I1806" i="115"/>
  <c r="H1806" i="115"/>
  <c r="G1806" i="115"/>
  <c r="F1806" i="115"/>
  <c r="E1806" i="115"/>
  <c r="A1806" i="115"/>
  <c r="K1805" i="115"/>
  <c r="I1805" i="115"/>
  <c r="H1805" i="115"/>
  <c r="G1805" i="115"/>
  <c r="F1805" i="115"/>
  <c r="E1805" i="115"/>
  <c r="A1805" i="115"/>
  <c r="K1804" i="115"/>
  <c r="I1804" i="115"/>
  <c r="H1804" i="115"/>
  <c r="G1804" i="115"/>
  <c r="F1804" i="115"/>
  <c r="E1804" i="115"/>
  <c r="A1804" i="115"/>
  <c r="K1803" i="115"/>
  <c r="I1803" i="115"/>
  <c r="H1803" i="115"/>
  <c r="G1803" i="115"/>
  <c r="F1803" i="115"/>
  <c r="E1803" i="115"/>
  <c r="A1803" i="115"/>
  <c r="K1802" i="115"/>
  <c r="I1802" i="115"/>
  <c r="H1802" i="115"/>
  <c r="G1802" i="115"/>
  <c r="F1802" i="115"/>
  <c r="E1802" i="115"/>
  <c r="A1802" i="115"/>
  <c r="K1801" i="115"/>
  <c r="I1801" i="115"/>
  <c r="H1801" i="115"/>
  <c r="G1801" i="115"/>
  <c r="F1801" i="115"/>
  <c r="E1801" i="115"/>
  <c r="A1801" i="115"/>
  <c r="K1800" i="115"/>
  <c r="I1800" i="115"/>
  <c r="H1800" i="115"/>
  <c r="G1800" i="115"/>
  <c r="F1800" i="115"/>
  <c r="E1800" i="115"/>
  <c r="A1800" i="115"/>
  <c r="K1799" i="115"/>
  <c r="I1799" i="115"/>
  <c r="H1799" i="115"/>
  <c r="G1799" i="115"/>
  <c r="F1799" i="115"/>
  <c r="E1799" i="115"/>
  <c r="A1799" i="115"/>
  <c r="K1798" i="115"/>
  <c r="I1798" i="115"/>
  <c r="H1798" i="115"/>
  <c r="G1798" i="115"/>
  <c r="F1798" i="115"/>
  <c r="E1798" i="115"/>
  <c r="A1798" i="115"/>
  <c r="K1797" i="115"/>
  <c r="I1797" i="115"/>
  <c r="H1797" i="115"/>
  <c r="G1797" i="115"/>
  <c r="F1797" i="115"/>
  <c r="E1797" i="115"/>
  <c r="A1797" i="115"/>
  <c r="K1796" i="115"/>
  <c r="I1796" i="115"/>
  <c r="H1796" i="115"/>
  <c r="G1796" i="115"/>
  <c r="F1796" i="115"/>
  <c r="E1796" i="115"/>
  <c r="A1796" i="115"/>
  <c r="K1795" i="115"/>
  <c r="I1795" i="115"/>
  <c r="H1795" i="115"/>
  <c r="G1795" i="115"/>
  <c r="F1795" i="115"/>
  <c r="E1795" i="115"/>
  <c r="A1795" i="115"/>
  <c r="K1794" i="115"/>
  <c r="I1794" i="115"/>
  <c r="H1794" i="115"/>
  <c r="G1794" i="115"/>
  <c r="F1794" i="115"/>
  <c r="E1794" i="115"/>
  <c r="A1794" i="115"/>
  <c r="K1793" i="115"/>
  <c r="I1793" i="115"/>
  <c r="H1793" i="115"/>
  <c r="G1793" i="115"/>
  <c r="F1793" i="115"/>
  <c r="E1793" i="115"/>
  <c r="A1793" i="115"/>
  <c r="K1792" i="115"/>
  <c r="I1792" i="115"/>
  <c r="H1792" i="115"/>
  <c r="G1792" i="115"/>
  <c r="F1792" i="115"/>
  <c r="E1792" i="115"/>
  <c r="A1792" i="115"/>
  <c r="K1791" i="115"/>
  <c r="I1791" i="115"/>
  <c r="H1791" i="115"/>
  <c r="G1791" i="115"/>
  <c r="F1791" i="115"/>
  <c r="E1791" i="115"/>
  <c r="A1791" i="115"/>
  <c r="K1790" i="115"/>
  <c r="I1790" i="115"/>
  <c r="H1790" i="115"/>
  <c r="G1790" i="115"/>
  <c r="F1790" i="115"/>
  <c r="E1790" i="115"/>
  <c r="A1790" i="115"/>
  <c r="K1789" i="115"/>
  <c r="I1789" i="115"/>
  <c r="H1789" i="115"/>
  <c r="G1789" i="115"/>
  <c r="F1789" i="115"/>
  <c r="E1789" i="115"/>
  <c r="A1789" i="115"/>
  <c r="K1788" i="115"/>
  <c r="I1788" i="115"/>
  <c r="H1788" i="115"/>
  <c r="G1788" i="115"/>
  <c r="F1788" i="115"/>
  <c r="E1788" i="115"/>
  <c r="A1788" i="115"/>
  <c r="K1787" i="115"/>
  <c r="I1787" i="115"/>
  <c r="H1787" i="115"/>
  <c r="G1787" i="115"/>
  <c r="F1787" i="115"/>
  <c r="E1787" i="115"/>
  <c r="A1787" i="115"/>
  <c r="K1786" i="115"/>
  <c r="I1786" i="115"/>
  <c r="H1786" i="115"/>
  <c r="G1786" i="115"/>
  <c r="F1786" i="115"/>
  <c r="E1786" i="115"/>
  <c r="A1786" i="115"/>
  <c r="K1785" i="115"/>
  <c r="I1785" i="115"/>
  <c r="H1785" i="115"/>
  <c r="G1785" i="115"/>
  <c r="F1785" i="115"/>
  <c r="E1785" i="115"/>
  <c r="A1785" i="115"/>
  <c r="K1784" i="115"/>
  <c r="I1784" i="115"/>
  <c r="H1784" i="115"/>
  <c r="G1784" i="115"/>
  <c r="F1784" i="115"/>
  <c r="E1784" i="115"/>
  <c r="A1784" i="115"/>
  <c r="K1783" i="115"/>
  <c r="I1783" i="115"/>
  <c r="H1783" i="115"/>
  <c r="G1783" i="115"/>
  <c r="F1783" i="115"/>
  <c r="E1783" i="115"/>
  <c r="A1783" i="115"/>
  <c r="K1782" i="115"/>
  <c r="I1782" i="115"/>
  <c r="H1782" i="115"/>
  <c r="G1782" i="115"/>
  <c r="F1782" i="115"/>
  <c r="E1782" i="115"/>
  <c r="A1782" i="115"/>
  <c r="K1781" i="115"/>
  <c r="I1781" i="115"/>
  <c r="H1781" i="115"/>
  <c r="G1781" i="115"/>
  <c r="F1781" i="115"/>
  <c r="E1781" i="115"/>
  <c r="A1781" i="115"/>
  <c r="K1780" i="115"/>
  <c r="I1780" i="115"/>
  <c r="H1780" i="115"/>
  <c r="G1780" i="115"/>
  <c r="F1780" i="115"/>
  <c r="E1780" i="115"/>
  <c r="A1780" i="115"/>
  <c r="K1779" i="115"/>
  <c r="I1779" i="115"/>
  <c r="H1779" i="115"/>
  <c r="G1779" i="115"/>
  <c r="F1779" i="115"/>
  <c r="E1779" i="115"/>
  <c r="A1779" i="115"/>
  <c r="K1778" i="115"/>
  <c r="I1778" i="115"/>
  <c r="H1778" i="115"/>
  <c r="G1778" i="115"/>
  <c r="F1778" i="115"/>
  <c r="E1778" i="115"/>
  <c r="A1778" i="115"/>
  <c r="K1777" i="115"/>
  <c r="I1777" i="115"/>
  <c r="H1777" i="115"/>
  <c r="G1777" i="115"/>
  <c r="F1777" i="115"/>
  <c r="E1777" i="115"/>
  <c r="A1777" i="115"/>
  <c r="K1776" i="115"/>
  <c r="I1776" i="115"/>
  <c r="H1776" i="115"/>
  <c r="G1776" i="115"/>
  <c r="F1776" i="115"/>
  <c r="E1776" i="115"/>
  <c r="A1776" i="115"/>
  <c r="K1775" i="115"/>
  <c r="I1775" i="115"/>
  <c r="H1775" i="115"/>
  <c r="G1775" i="115"/>
  <c r="F1775" i="115"/>
  <c r="E1775" i="115"/>
  <c r="A1775" i="115"/>
  <c r="K1774" i="115"/>
  <c r="I1774" i="115"/>
  <c r="H1774" i="115"/>
  <c r="G1774" i="115"/>
  <c r="F1774" i="115"/>
  <c r="E1774" i="115"/>
  <c r="A1774" i="115"/>
  <c r="K1773" i="115"/>
  <c r="I1773" i="115"/>
  <c r="H1773" i="115"/>
  <c r="G1773" i="115"/>
  <c r="F1773" i="115"/>
  <c r="E1773" i="115"/>
  <c r="A1773" i="115"/>
  <c r="K1772" i="115"/>
  <c r="I1772" i="115"/>
  <c r="H1772" i="115"/>
  <c r="G1772" i="115"/>
  <c r="F1772" i="115"/>
  <c r="E1772" i="115"/>
  <c r="A1772" i="115"/>
  <c r="K1771" i="115"/>
  <c r="I1771" i="115"/>
  <c r="H1771" i="115"/>
  <c r="G1771" i="115"/>
  <c r="F1771" i="115"/>
  <c r="E1771" i="115"/>
  <c r="A1771" i="115"/>
  <c r="K1770" i="115"/>
  <c r="I1770" i="115"/>
  <c r="H1770" i="115"/>
  <c r="G1770" i="115"/>
  <c r="F1770" i="115"/>
  <c r="E1770" i="115"/>
  <c r="A1770" i="115"/>
  <c r="K1769" i="115"/>
  <c r="I1769" i="115"/>
  <c r="H1769" i="115"/>
  <c r="G1769" i="115"/>
  <c r="F1769" i="115"/>
  <c r="E1769" i="115"/>
  <c r="A1769" i="115"/>
  <c r="K1768" i="115"/>
  <c r="I1768" i="115"/>
  <c r="H1768" i="115"/>
  <c r="G1768" i="115"/>
  <c r="F1768" i="115"/>
  <c r="E1768" i="115"/>
  <c r="A1768" i="115"/>
  <c r="K1767" i="115"/>
  <c r="I1767" i="115"/>
  <c r="H1767" i="115"/>
  <c r="G1767" i="115"/>
  <c r="F1767" i="115"/>
  <c r="E1767" i="115"/>
  <c r="A1767" i="115"/>
  <c r="K1766" i="115"/>
  <c r="I1766" i="115"/>
  <c r="H1766" i="115"/>
  <c r="G1766" i="115"/>
  <c r="F1766" i="115"/>
  <c r="E1766" i="115"/>
  <c r="A1766" i="115"/>
  <c r="K1765" i="115"/>
  <c r="I1765" i="115"/>
  <c r="H1765" i="115"/>
  <c r="G1765" i="115"/>
  <c r="F1765" i="115"/>
  <c r="E1765" i="115"/>
  <c r="A1765" i="115"/>
  <c r="K1764" i="115"/>
  <c r="I1764" i="115"/>
  <c r="H1764" i="115"/>
  <c r="G1764" i="115"/>
  <c r="F1764" i="115"/>
  <c r="E1764" i="115"/>
  <c r="A1764" i="115"/>
  <c r="K1763" i="115"/>
  <c r="I1763" i="115"/>
  <c r="H1763" i="115"/>
  <c r="G1763" i="115"/>
  <c r="F1763" i="115"/>
  <c r="E1763" i="115"/>
  <c r="A1763" i="115"/>
  <c r="K1762" i="115"/>
  <c r="I1762" i="115"/>
  <c r="H1762" i="115"/>
  <c r="G1762" i="115"/>
  <c r="F1762" i="115"/>
  <c r="E1762" i="115"/>
  <c r="A1762" i="115"/>
  <c r="K1761" i="115"/>
  <c r="I1761" i="115"/>
  <c r="H1761" i="115"/>
  <c r="G1761" i="115"/>
  <c r="F1761" i="115"/>
  <c r="E1761" i="115"/>
  <c r="A1761" i="115"/>
  <c r="K1760" i="115"/>
  <c r="I1760" i="115"/>
  <c r="H1760" i="115"/>
  <c r="G1760" i="115"/>
  <c r="F1760" i="115"/>
  <c r="E1760" i="115"/>
  <c r="A1760" i="115"/>
  <c r="K1759" i="115"/>
  <c r="I1759" i="115"/>
  <c r="H1759" i="115"/>
  <c r="G1759" i="115"/>
  <c r="F1759" i="115"/>
  <c r="E1759" i="115"/>
  <c r="A1759" i="115"/>
  <c r="K1758" i="115"/>
  <c r="I1758" i="115"/>
  <c r="H1758" i="115"/>
  <c r="G1758" i="115"/>
  <c r="F1758" i="115"/>
  <c r="E1758" i="115"/>
  <c r="A1758" i="115"/>
  <c r="K1757" i="115"/>
  <c r="I1757" i="115"/>
  <c r="H1757" i="115"/>
  <c r="G1757" i="115"/>
  <c r="F1757" i="115"/>
  <c r="E1757" i="115"/>
  <c r="A1757" i="115"/>
  <c r="K1756" i="115"/>
  <c r="I1756" i="115"/>
  <c r="H1756" i="115"/>
  <c r="G1756" i="115"/>
  <c r="F1756" i="115"/>
  <c r="E1756" i="115"/>
  <c r="A1756" i="115"/>
  <c r="K1755" i="115"/>
  <c r="I1755" i="115"/>
  <c r="H1755" i="115"/>
  <c r="G1755" i="115"/>
  <c r="F1755" i="115"/>
  <c r="E1755" i="115"/>
  <c r="A1755" i="115"/>
  <c r="K1754" i="115"/>
  <c r="I1754" i="115"/>
  <c r="H1754" i="115"/>
  <c r="G1754" i="115"/>
  <c r="F1754" i="115"/>
  <c r="E1754" i="115"/>
  <c r="A1754" i="115"/>
  <c r="K1753" i="115"/>
  <c r="I1753" i="115"/>
  <c r="H1753" i="115"/>
  <c r="G1753" i="115"/>
  <c r="F1753" i="115"/>
  <c r="E1753" i="115"/>
  <c r="A1753" i="115"/>
  <c r="K1752" i="115"/>
  <c r="I1752" i="115"/>
  <c r="H1752" i="115"/>
  <c r="G1752" i="115"/>
  <c r="F1752" i="115"/>
  <c r="E1752" i="115"/>
  <c r="A1752" i="115"/>
  <c r="K1751" i="115"/>
  <c r="I1751" i="115"/>
  <c r="H1751" i="115"/>
  <c r="G1751" i="115"/>
  <c r="F1751" i="115"/>
  <c r="E1751" i="115"/>
  <c r="A1751" i="115"/>
  <c r="K1750" i="115"/>
  <c r="I1750" i="115"/>
  <c r="H1750" i="115"/>
  <c r="G1750" i="115"/>
  <c r="F1750" i="115"/>
  <c r="E1750" i="115"/>
  <c r="A1750" i="115"/>
  <c r="K1749" i="115"/>
  <c r="I1749" i="115"/>
  <c r="H1749" i="115"/>
  <c r="G1749" i="115"/>
  <c r="F1749" i="115"/>
  <c r="E1749" i="115"/>
  <c r="A1749" i="115"/>
  <c r="K1748" i="115"/>
  <c r="I1748" i="115"/>
  <c r="H1748" i="115"/>
  <c r="G1748" i="115"/>
  <c r="F1748" i="115"/>
  <c r="E1748" i="115"/>
  <c r="A1748" i="115"/>
  <c r="K1747" i="115"/>
  <c r="I1747" i="115"/>
  <c r="H1747" i="115"/>
  <c r="G1747" i="115"/>
  <c r="F1747" i="115"/>
  <c r="E1747" i="115"/>
  <c r="A1747" i="115"/>
  <c r="K1746" i="115"/>
  <c r="I1746" i="115"/>
  <c r="H1746" i="115"/>
  <c r="G1746" i="115"/>
  <c r="F1746" i="115"/>
  <c r="E1746" i="115"/>
  <c r="A1746" i="115"/>
  <c r="K1745" i="115"/>
  <c r="I1745" i="115"/>
  <c r="H1745" i="115"/>
  <c r="G1745" i="115"/>
  <c r="F1745" i="115"/>
  <c r="E1745" i="115"/>
  <c r="A1745" i="115"/>
  <c r="K1744" i="115"/>
  <c r="I1744" i="115"/>
  <c r="H1744" i="115"/>
  <c r="G1744" i="115"/>
  <c r="F1744" i="115"/>
  <c r="E1744" i="115"/>
  <c r="A1744" i="115"/>
  <c r="K1743" i="115"/>
  <c r="I1743" i="115"/>
  <c r="H1743" i="115"/>
  <c r="G1743" i="115"/>
  <c r="F1743" i="115"/>
  <c r="E1743" i="115"/>
  <c r="A1743" i="115"/>
  <c r="K1742" i="115"/>
  <c r="I1742" i="115"/>
  <c r="H1742" i="115"/>
  <c r="G1742" i="115"/>
  <c r="F1742" i="115"/>
  <c r="E1742" i="115"/>
  <c r="A1742" i="115"/>
  <c r="K1741" i="115"/>
  <c r="I1741" i="115"/>
  <c r="H1741" i="115"/>
  <c r="G1741" i="115"/>
  <c r="F1741" i="115"/>
  <c r="E1741" i="115"/>
  <c r="A1741" i="115"/>
  <c r="K1740" i="115"/>
  <c r="I1740" i="115"/>
  <c r="H1740" i="115"/>
  <c r="G1740" i="115"/>
  <c r="F1740" i="115"/>
  <c r="E1740" i="115"/>
  <c r="A1740" i="115"/>
  <c r="K1739" i="115"/>
  <c r="I1739" i="115"/>
  <c r="H1739" i="115"/>
  <c r="G1739" i="115"/>
  <c r="F1739" i="115"/>
  <c r="E1739" i="115"/>
  <c r="A1739" i="115"/>
  <c r="K1738" i="115"/>
  <c r="I1738" i="115"/>
  <c r="H1738" i="115"/>
  <c r="G1738" i="115"/>
  <c r="F1738" i="115"/>
  <c r="E1738" i="115"/>
  <c r="A1738" i="115"/>
  <c r="K1737" i="115"/>
  <c r="I1737" i="115"/>
  <c r="H1737" i="115"/>
  <c r="G1737" i="115"/>
  <c r="F1737" i="115"/>
  <c r="E1737" i="115"/>
  <c r="A1737" i="115"/>
  <c r="K1736" i="115"/>
  <c r="I1736" i="115"/>
  <c r="H1736" i="115"/>
  <c r="G1736" i="115"/>
  <c r="F1736" i="115"/>
  <c r="E1736" i="115"/>
  <c r="A1736" i="115"/>
  <c r="K1735" i="115"/>
  <c r="I1735" i="115"/>
  <c r="H1735" i="115"/>
  <c r="G1735" i="115"/>
  <c r="F1735" i="115"/>
  <c r="E1735" i="115"/>
  <c r="A1735" i="115"/>
  <c r="K1734" i="115"/>
  <c r="I1734" i="115"/>
  <c r="H1734" i="115"/>
  <c r="G1734" i="115"/>
  <c r="F1734" i="115"/>
  <c r="E1734" i="115"/>
  <c r="A1734" i="115"/>
  <c r="K1733" i="115"/>
  <c r="I1733" i="115"/>
  <c r="H1733" i="115"/>
  <c r="G1733" i="115"/>
  <c r="F1733" i="115"/>
  <c r="E1733" i="115"/>
  <c r="A1733" i="115"/>
  <c r="K1732" i="115"/>
  <c r="I1732" i="115"/>
  <c r="H1732" i="115"/>
  <c r="G1732" i="115"/>
  <c r="F1732" i="115"/>
  <c r="E1732" i="115"/>
  <c r="A1732" i="115"/>
  <c r="K1731" i="115"/>
  <c r="I1731" i="115"/>
  <c r="H1731" i="115"/>
  <c r="G1731" i="115"/>
  <c r="F1731" i="115"/>
  <c r="E1731" i="115"/>
  <c r="A1731" i="115"/>
  <c r="K1730" i="115"/>
  <c r="I1730" i="115"/>
  <c r="H1730" i="115"/>
  <c r="G1730" i="115"/>
  <c r="F1730" i="115"/>
  <c r="E1730" i="115"/>
  <c r="A1730" i="115"/>
  <c r="K1729" i="115"/>
  <c r="I1729" i="115"/>
  <c r="H1729" i="115"/>
  <c r="G1729" i="115"/>
  <c r="F1729" i="115"/>
  <c r="E1729" i="115"/>
  <c r="A1729" i="115"/>
  <c r="K1728" i="115"/>
  <c r="I1728" i="115"/>
  <c r="H1728" i="115"/>
  <c r="G1728" i="115"/>
  <c r="F1728" i="115"/>
  <c r="E1728" i="115"/>
  <c r="A1728" i="115"/>
  <c r="K1727" i="115"/>
  <c r="I1727" i="115"/>
  <c r="H1727" i="115"/>
  <c r="G1727" i="115"/>
  <c r="F1727" i="115"/>
  <c r="E1727" i="115"/>
  <c r="A1727" i="115"/>
  <c r="K1726" i="115"/>
  <c r="I1726" i="115"/>
  <c r="H1726" i="115"/>
  <c r="G1726" i="115"/>
  <c r="F1726" i="115"/>
  <c r="E1726" i="115"/>
  <c r="A1726" i="115"/>
  <c r="K1725" i="115"/>
  <c r="I1725" i="115"/>
  <c r="H1725" i="115"/>
  <c r="G1725" i="115"/>
  <c r="F1725" i="115"/>
  <c r="E1725" i="115"/>
  <c r="A1725" i="115"/>
  <c r="K1724" i="115"/>
  <c r="I1724" i="115"/>
  <c r="H1724" i="115"/>
  <c r="G1724" i="115"/>
  <c r="F1724" i="115"/>
  <c r="E1724" i="115"/>
  <c r="A1724" i="115"/>
  <c r="K1723" i="115"/>
  <c r="I1723" i="115"/>
  <c r="H1723" i="115"/>
  <c r="G1723" i="115"/>
  <c r="F1723" i="115"/>
  <c r="E1723" i="115"/>
  <c r="A1723" i="115"/>
  <c r="K1722" i="115"/>
  <c r="I1722" i="115"/>
  <c r="H1722" i="115"/>
  <c r="G1722" i="115"/>
  <c r="F1722" i="115"/>
  <c r="E1722" i="115"/>
  <c r="A1722" i="115"/>
  <c r="K1721" i="115"/>
  <c r="I1721" i="115"/>
  <c r="H1721" i="115"/>
  <c r="G1721" i="115"/>
  <c r="F1721" i="115"/>
  <c r="E1721" i="115"/>
  <c r="A1721" i="115"/>
  <c r="K1720" i="115"/>
  <c r="I1720" i="115"/>
  <c r="H1720" i="115"/>
  <c r="G1720" i="115"/>
  <c r="F1720" i="115"/>
  <c r="E1720" i="115"/>
  <c r="A1720" i="115"/>
  <c r="K1719" i="115"/>
  <c r="I1719" i="115"/>
  <c r="H1719" i="115"/>
  <c r="G1719" i="115"/>
  <c r="F1719" i="115"/>
  <c r="E1719" i="115"/>
  <c r="A1719" i="115"/>
  <c r="K1718" i="115"/>
  <c r="I1718" i="115"/>
  <c r="H1718" i="115"/>
  <c r="G1718" i="115"/>
  <c r="F1718" i="115"/>
  <c r="E1718" i="115"/>
  <c r="A1718" i="115"/>
  <c r="K1717" i="115"/>
  <c r="I1717" i="115"/>
  <c r="H1717" i="115"/>
  <c r="G1717" i="115"/>
  <c r="F1717" i="115"/>
  <c r="E1717" i="115"/>
  <c r="A1717" i="115"/>
  <c r="K1716" i="115"/>
  <c r="I1716" i="115"/>
  <c r="H1716" i="115"/>
  <c r="G1716" i="115"/>
  <c r="F1716" i="115"/>
  <c r="E1716" i="115"/>
  <c r="A1716" i="115"/>
  <c r="K1715" i="115"/>
  <c r="I1715" i="115"/>
  <c r="H1715" i="115"/>
  <c r="G1715" i="115"/>
  <c r="F1715" i="115"/>
  <c r="E1715" i="115"/>
  <c r="A1715" i="115"/>
  <c r="K1714" i="115"/>
  <c r="I1714" i="115"/>
  <c r="H1714" i="115"/>
  <c r="G1714" i="115"/>
  <c r="F1714" i="115"/>
  <c r="E1714" i="115"/>
  <c r="A1714" i="115"/>
  <c r="K1713" i="115"/>
  <c r="I1713" i="115"/>
  <c r="H1713" i="115"/>
  <c r="G1713" i="115"/>
  <c r="F1713" i="115"/>
  <c r="E1713" i="115"/>
  <c r="A1713" i="115"/>
  <c r="K1712" i="115"/>
  <c r="I1712" i="115"/>
  <c r="H1712" i="115"/>
  <c r="G1712" i="115"/>
  <c r="F1712" i="115"/>
  <c r="E1712" i="115"/>
  <c r="A1712" i="115"/>
  <c r="K1711" i="115"/>
  <c r="I1711" i="115"/>
  <c r="H1711" i="115"/>
  <c r="G1711" i="115"/>
  <c r="F1711" i="115"/>
  <c r="E1711" i="115"/>
  <c r="A1711" i="115"/>
  <c r="K1710" i="115"/>
  <c r="I1710" i="115"/>
  <c r="H1710" i="115"/>
  <c r="G1710" i="115"/>
  <c r="F1710" i="115"/>
  <c r="E1710" i="115"/>
  <c r="A1710" i="115"/>
  <c r="K1709" i="115"/>
  <c r="I1709" i="115"/>
  <c r="H1709" i="115"/>
  <c r="G1709" i="115"/>
  <c r="F1709" i="115"/>
  <c r="E1709" i="115"/>
  <c r="A1709" i="115"/>
  <c r="K1708" i="115"/>
  <c r="I1708" i="115"/>
  <c r="H1708" i="115"/>
  <c r="G1708" i="115"/>
  <c r="F1708" i="115"/>
  <c r="E1708" i="115"/>
  <c r="A1708" i="115"/>
  <c r="K1707" i="115"/>
  <c r="I1707" i="115"/>
  <c r="H1707" i="115"/>
  <c r="G1707" i="115"/>
  <c r="F1707" i="115"/>
  <c r="E1707" i="115"/>
  <c r="A1707" i="115"/>
  <c r="K1706" i="115"/>
  <c r="I1706" i="115"/>
  <c r="H1706" i="115"/>
  <c r="G1706" i="115"/>
  <c r="F1706" i="115"/>
  <c r="E1706" i="115"/>
  <c r="A1706" i="115"/>
  <c r="K1705" i="115"/>
  <c r="I1705" i="115"/>
  <c r="H1705" i="115"/>
  <c r="G1705" i="115"/>
  <c r="F1705" i="115"/>
  <c r="E1705" i="115"/>
  <c r="A1705" i="115"/>
  <c r="K1704" i="115"/>
  <c r="I1704" i="115"/>
  <c r="H1704" i="115"/>
  <c r="G1704" i="115"/>
  <c r="F1704" i="115"/>
  <c r="E1704" i="115"/>
  <c r="A1704" i="115"/>
  <c r="K1703" i="115"/>
  <c r="I1703" i="115"/>
  <c r="H1703" i="115"/>
  <c r="G1703" i="115"/>
  <c r="F1703" i="115"/>
  <c r="E1703" i="115"/>
  <c r="A1703" i="115"/>
  <c r="K1702" i="115"/>
  <c r="I1702" i="115"/>
  <c r="H1702" i="115"/>
  <c r="G1702" i="115"/>
  <c r="F1702" i="115"/>
  <c r="E1702" i="115"/>
  <c r="A1702" i="115"/>
  <c r="K1701" i="115"/>
  <c r="I1701" i="115"/>
  <c r="H1701" i="115"/>
  <c r="G1701" i="115"/>
  <c r="F1701" i="115"/>
  <c r="E1701" i="115"/>
  <c r="A1701" i="115"/>
  <c r="K1700" i="115"/>
  <c r="I1700" i="115"/>
  <c r="H1700" i="115"/>
  <c r="G1700" i="115"/>
  <c r="F1700" i="115"/>
  <c r="E1700" i="115"/>
  <c r="A1700" i="115"/>
  <c r="K1699" i="115"/>
  <c r="I1699" i="115"/>
  <c r="H1699" i="115"/>
  <c r="G1699" i="115"/>
  <c r="F1699" i="115"/>
  <c r="E1699" i="115"/>
  <c r="A1699" i="115"/>
  <c r="K1698" i="115"/>
  <c r="I1698" i="115"/>
  <c r="H1698" i="115"/>
  <c r="G1698" i="115"/>
  <c r="F1698" i="115"/>
  <c r="E1698" i="115"/>
  <c r="A1698" i="115"/>
  <c r="K1697" i="115"/>
  <c r="I1697" i="115"/>
  <c r="H1697" i="115"/>
  <c r="G1697" i="115"/>
  <c r="F1697" i="115"/>
  <c r="E1697" i="115"/>
  <c r="A1697" i="115"/>
  <c r="K1696" i="115"/>
  <c r="I1696" i="115"/>
  <c r="H1696" i="115"/>
  <c r="G1696" i="115"/>
  <c r="F1696" i="115"/>
  <c r="E1696" i="115"/>
  <c r="A1696" i="115"/>
  <c r="K1695" i="115"/>
  <c r="I1695" i="115"/>
  <c r="H1695" i="115"/>
  <c r="G1695" i="115"/>
  <c r="F1695" i="115"/>
  <c r="E1695" i="115"/>
  <c r="A1695" i="115"/>
  <c r="K1694" i="115"/>
  <c r="I1694" i="115"/>
  <c r="H1694" i="115"/>
  <c r="G1694" i="115"/>
  <c r="F1694" i="115"/>
  <c r="E1694" i="115"/>
  <c r="A1694" i="115"/>
  <c r="K1693" i="115"/>
  <c r="I1693" i="115"/>
  <c r="H1693" i="115"/>
  <c r="G1693" i="115"/>
  <c r="F1693" i="115"/>
  <c r="E1693" i="115"/>
  <c r="A1693" i="115"/>
  <c r="K1692" i="115"/>
  <c r="I1692" i="115"/>
  <c r="H1692" i="115"/>
  <c r="G1692" i="115"/>
  <c r="F1692" i="115"/>
  <c r="E1692" i="115"/>
  <c r="A1692" i="115"/>
  <c r="K1691" i="115"/>
  <c r="I1691" i="115"/>
  <c r="H1691" i="115"/>
  <c r="G1691" i="115"/>
  <c r="F1691" i="115"/>
  <c r="E1691" i="115"/>
  <c r="A1691" i="115"/>
  <c r="K1690" i="115"/>
  <c r="I1690" i="115"/>
  <c r="H1690" i="115"/>
  <c r="G1690" i="115"/>
  <c r="F1690" i="115"/>
  <c r="E1690" i="115"/>
  <c r="A1690" i="115"/>
  <c r="K1689" i="115"/>
  <c r="I1689" i="115"/>
  <c r="H1689" i="115"/>
  <c r="G1689" i="115"/>
  <c r="F1689" i="115"/>
  <c r="E1689" i="115"/>
  <c r="A1689" i="115"/>
  <c r="K1688" i="115"/>
  <c r="I1688" i="115"/>
  <c r="H1688" i="115"/>
  <c r="G1688" i="115"/>
  <c r="F1688" i="115"/>
  <c r="E1688" i="115"/>
  <c r="A1688" i="115"/>
  <c r="K1687" i="115"/>
  <c r="I1687" i="115"/>
  <c r="H1687" i="115"/>
  <c r="G1687" i="115"/>
  <c r="F1687" i="115"/>
  <c r="E1687" i="115"/>
  <c r="A1687" i="115"/>
  <c r="K1686" i="115"/>
  <c r="I1686" i="115"/>
  <c r="H1686" i="115"/>
  <c r="G1686" i="115"/>
  <c r="F1686" i="115"/>
  <c r="E1686" i="115"/>
  <c r="A1686" i="115"/>
  <c r="K1685" i="115"/>
  <c r="I1685" i="115"/>
  <c r="H1685" i="115"/>
  <c r="G1685" i="115"/>
  <c r="F1685" i="115"/>
  <c r="E1685" i="115"/>
  <c r="A1685" i="115"/>
  <c r="K1684" i="115"/>
  <c r="I1684" i="115"/>
  <c r="H1684" i="115"/>
  <c r="G1684" i="115"/>
  <c r="F1684" i="115"/>
  <c r="E1684" i="115"/>
  <c r="A1684" i="115"/>
  <c r="K1683" i="115"/>
  <c r="I1683" i="115"/>
  <c r="H1683" i="115"/>
  <c r="G1683" i="115"/>
  <c r="F1683" i="115"/>
  <c r="E1683" i="115"/>
  <c r="A1683" i="115"/>
  <c r="K1682" i="115"/>
  <c r="I1682" i="115"/>
  <c r="H1682" i="115"/>
  <c r="G1682" i="115"/>
  <c r="F1682" i="115"/>
  <c r="E1682" i="115"/>
  <c r="A1682" i="115"/>
  <c r="K1681" i="115"/>
  <c r="I1681" i="115"/>
  <c r="H1681" i="115"/>
  <c r="G1681" i="115"/>
  <c r="F1681" i="115"/>
  <c r="E1681" i="115"/>
  <c r="A1681" i="115"/>
  <c r="K1680" i="115"/>
  <c r="I1680" i="115"/>
  <c r="H1680" i="115"/>
  <c r="G1680" i="115"/>
  <c r="F1680" i="115"/>
  <c r="E1680" i="115"/>
  <c r="A1680" i="115"/>
  <c r="K1679" i="115"/>
  <c r="I1679" i="115"/>
  <c r="H1679" i="115"/>
  <c r="G1679" i="115"/>
  <c r="F1679" i="115"/>
  <c r="E1679" i="115"/>
  <c r="A1679" i="115"/>
  <c r="K1678" i="115"/>
  <c r="I1678" i="115"/>
  <c r="H1678" i="115"/>
  <c r="G1678" i="115"/>
  <c r="F1678" i="115"/>
  <c r="E1678" i="115"/>
  <c r="A1678" i="115"/>
  <c r="K1677" i="115"/>
  <c r="I1677" i="115"/>
  <c r="H1677" i="115"/>
  <c r="G1677" i="115"/>
  <c r="F1677" i="115"/>
  <c r="E1677" i="115"/>
  <c r="A1677" i="115"/>
  <c r="K1676" i="115"/>
  <c r="I1676" i="115"/>
  <c r="H1676" i="115"/>
  <c r="G1676" i="115"/>
  <c r="F1676" i="115"/>
  <c r="E1676" i="115"/>
  <c r="A1676" i="115"/>
  <c r="K1675" i="115"/>
  <c r="I1675" i="115"/>
  <c r="H1675" i="115"/>
  <c r="G1675" i="115"/>
  <c r="F1675" i="115"/>
  <c r="E1675" i="115"/>
  <c r="A1675" i="115"/>
  <c r="K1674" i="115"/>
  <c r="I1674" i="115"/>
  <c r="H1674" i="115"/>
  <c r="G1674" i="115"/>
  <c r="F1674" i="115"/>
  <c r="E1674" i="115"/>
  <c r="A1674" i="115"/>
  <c r="K1673" i="115"/>
  <c r="I1673" i="115"/>
  <c r="H1673" i="115"/>
  <c r="G1673" i="115"/>
  <c r="F1673" i="115"/>
  <c r="E1673" i="115"/>
  <c r="A1673" i="115"/>
  <c r="K1672" i="115"/>
  <c r="I1672" i="115"/>
  <c r="H1672" i="115"/>
  <c r="G1672" i="115"/>
  <c r="F1672" i="115"/>
  <c r="E1672" i="115"/>
  <c r="A1672" i="115"/>
  <c r="K1671" i="115"/>
  <c r="I1671" i="115"/>
  <c r="H1671" i="115"/>
  <c r="G1671" i="115"/>
  <c r="F1671" i="115"/>
  <c r="E1671" i="115"/>
  <c r="A1671" i="115"/>
  <c r="K1670" i="115"/>
  <c r="I1670" i="115"/>
  <c r="H1670" i="115"/>
  <c r="G1670" i="115"/>
  <c r="F1670" i="115"/>
  <c r="E1670" i="115"/>
  <c r="A1670" i="115"/>
  <c r="K1669" i="115"/>
  <c r="I1669" i="115"/>
  <c r="H1669" i="115"/>
  <c r="G1669" i="115"/>
  <c r="F1669" i="115"/>
  <c r="E1669" i="115"/>
  <c r="A1669" i="115"/>
  <c r="K1668" i="115"/>
  <c r="I1668" i="115"/>
  <c r="H1668" i="115"/>
  <c r="G1668" i="115"/>
  <c r="F1668" i="115"/>
  <c r="E1668" i="115"/>
  <c r="A1668" i="115"/>
  <c r="K1667" i="115"/>
  <c r="I1667" i="115"/>
  <c r="H1667" i="115"/>
  <c r="G1667" i="115"/>
  <c r="F1667" i="115"/>
  <c r="E1667" i="115"/>
  <c r="A1667" i="115"/>
  <c r="K1666" i="115"/>
  <c r="I1666" i="115"/>
  <c r="H1666" i="115"/>
  <c r="G1666" i="115"/>
  <c r="F1666" i="115"/>
  <c r="E1666" i="115"/>
  <c r="A1666" i="115"/>
  <c r="K1665" i="115"/>
  <c r="I1665" i="115"/>
  <c r="H1665" i="115"/>
  <c r="G1665" i="115"/>
  <c r="F1665" i="115"/>
  <c r="E1665" i="115"/>
  <c r="A1665" i="115"/>
  <c r="K1664" i="115"/>
  <c r="I1664" i="115"/>
  <c r="H1664" i="115"/>
  <c r="G1664" i="115"/>
  <c r="F1664" i="115"/>
  <c r="E1664" i="115"/>
  <c r="A1664" i="115"/>
  <c r="K1663" i="115"/>
  <c r="I1663" i="115"/>
  <c r="H1663" i="115"/>
  <c r="G1663" i="115"/>
  <c r="F1663" i="115"/>
  <c r="E1663" i="115"/>
  <c r="A1663" i="115"/>
  <c r="K1662" i="115"/>
  <c r="I1662" i="115"/>
  <c r="H1662" i="115"/>
  <c r="G1662" i="115"/>
  <c r="F1662" i="115"/>
  <c r="E1662" i="115"/>
  <c r="A1662" i="115"/>
  <c r="K1661" i="115"/>
  <c r="I1661" i="115"/>
  <c r="H1661" i="115"/>
  <c r="G1661" i="115"/>
  <c r="F1661" i="115"/>
  <c r="E1661" i="115"/>
  <c r="A1661" i="115"/>
  <c r="K1660" i="115"/>
  <c r="I1660" i="115"/>
  <c r="H1660" i="115"/>
  <c r="G1660" i="115"/>
  <c r="F1660" i="115"/>
  <c r="E1660" i="115"/>
  <c r="A1660" i="115"/>
  <c r="K1659" i="115"/>
  <c r="I1659" i="115"/>
  <c r="H1659" i="115"/>
  <c r="G1659" i="115"/>
  <c r="F1659" i="115"/>
  <c r="E1659" i="115"/>
  <c r="A1659" i="115"/>
  <c r="K1658" i="115"/>
  <c r="I1658" i="115"/>
  <c r="H1658" i="115"/>
  <c r="G1658" i="115"/>
  <c r="F1658" i="115"/>
  <c r="E1658" i="115"/>
  <c r="A1658" i="115"/>
  <c r="K1657" i="115"/>
  <c r="I1657" i="115"/>
  <c r="H1657" i="115"/>
  <c r="G1657" i="115"/>
  <c r="F1657" i="115"/>
  <c r="E1657" i="115"/>
  <c r="A1657" i="115"/>
  <c r="K1656" i="115"/>
  <c r="I1656" i="115"/>
  <c r="H1656" i="115"/>
  <c r="G1656" i="115"/>
  <c r="F1656" i="115"/>
  <c r="E1656" i="115"/>
  <c r="A1656" i="115"/>
  <c r="K1655" i="115"/>
  <c r="I1655" i="115"/>
  <c r="H1655" i="115"/>
  <c r="G1655" i="115"/>
  <c r="F1655" i="115"/>
  <c r="E1655" i="115"/>
  <c r="A1655" i="115"/>
  <c r="K1654" i="115"/>
  <c r="I1654" i="115"/>
  <c r="H1654" i="115"/>
  <c r="G1654" i="115"/>
  <c r="F1654" i="115"/>
  <c r="E1654" i="115"/>
  <c r="A1654" i="115"/>
  <c r="K1653" i="115"/>
  <c r="I1653" i="115"/>
  <c r="H1653" i="115"/>
  <c r="G1653" i="115"/>
  <c r="F1653" i="115"/>
  <c r="E1653" i="115"/>
  <c r="A1653" i="115"/>
  <c r="K1652" i="115"/>
  <c r="I1652" i="115"/>
  <c r="H1652" i="115"/>
  <c r="G1652" i="115"/>
  <c r="F1652" i="115"/>
  <c r="E1652" i="115"/>
  <c r="A1652" i="115"/>
  <c r="K1651" i="115"/>
  <c r="I1651" i="115"/>
  <c r="H1651" i="115"/>
  <c r="G1651" i="115"/>
  <c r="F1651" i="115"/>
  <c r="E1651" i="115"/>
  <c r="A1651" i="115"/>
  <c r="K1650" i="115"/>
  <c r="I1650" i="115"/>
  <c r="H1650" i="115"/>
  <c r="G1650" i="115"/>
  <c r="F1650" i="115"/>
  <c r="E1650" i="115"/>
  <c r="A1650" i="115"/>
  <c r="K1649" i="115"/>
  <c r="I1649" i="115"/>
  <c r="H1649" i="115"/>
  <c r="G1649" i="115"/>
  <c r="F1649" i="115"/>
  <c r="E1649" i="115"/>
  <c r="A1649" i="115"/>
  <c r="K1648" i="115"/>
  <c r="I1648" i="115"/>
  <c r="H1648" i="115"/>
  <c r="G1648" i="115"/>
  <c r="F1648" i="115"/>
  <c r="E1648" i="115"/>
  <c r="A1648" i="115"/>
  <c r="K1647" i="115"/>
  <c r="I1647" i="115"/>
  <c r="H1647" i="115"/>
  <c r="G1647" i="115"/>
  <c r="F1647" i="115"/>
  <c r="E1647" i="115"/>
  <c r="A1647" i="115"/>
  <c r="K1646" i="115"/>
  <c r="I1646" i="115"/>
  <c r="H1646" i="115"/>
  <c r="G1646" i="115"/>
  <c r="F1646" i="115"/>
  <c r="E1646" i="115"/>
  <c r="A1646" i="115"/>
  <c r="K1645" i="115"/>
  <c r="I1645" i="115"/>
  <c r="H1645" i="115"/>
  <c r="G1645" i="115"/>
  <c r="F1645" i="115"/>
  <c r="E1645" i="115"/>
  <c r="A1645" i="115"/>
  <c r="K1644" i="115"/>
  <c r="I1644" i="115"/>
  <c r="H1644" i="115"/>
  <c r="G1644" i="115"/>
  <c r="F1644" i="115"/>
  <c r="E1644" i="115"/>
  <c r="A1644" i="115"/>
  <c r="K1643" i="115"/>
  <c r="I1643" i="115"/>
  <c r="H1643" i="115"/>
  <c r="G1643" i="115"/>
  <c r="F1643" i="115"/>
  <c r="E1643" i="115"/>
  <c r="A1643" i="115"/>
  <c r="K1642" i="115"/>
  <c r="I1642" i="115"/>
  <c r="H1642" i="115"/>
  <c r="G1642" i="115"/>
  <c r="F1642" i="115"/>
  <c r="E1642" i="115"/>
  <c r="A1642" i="115"/>
  <c r="K1641" i="115"/>
  <c r="I1641" i="115"/>
  <c r="H1641" i="115"/>
  <c r="G1641" i="115"/>
  <c r="F1641" i="115"/>
  <c r="E1641" i="115"/>
  <c r="A1641" i="115"/>
  <c r="K1640" i="115"/>
  <c r="I1640" i="115"/>
  <c r="H1640" i="115"/>
  <c r="G1640" i="115"/>
  <c r="F1640" i="115"/>
  <c r="E1640" i="115"/>
  <c r="A1640" i="115"/>
  <c r="K1639" i="115"/>
  <c r="I1639" i="115"/>
  <c r="H1639" i="115"/>
  <c r="G1639" i="115"/>
  <c r="F1639" i="115"/>
  <c r="E1639" i="115"/>
  <c r="A1639" i="115"/>
  <c r="K1638" i="115"/>
  <c r="I1638" i="115"/>
  <c r="H1638" i="115"/>
  <c r="G1638" i="115"/>
  <c r="F1638" i="115"/>
  <c r="E1638" i="115"/>
  <c r="A1638" i="115"/>
  <c r="K1637" i="115"/>
  <c r="I1637" i="115"/>
  <c r="H1637" i="115"/>
  <c r="G1637" i="115"/>
  <c r="F1637" i="115"/>
  <c r="E1637" i="115"/>
  <c r="A1637" i="115"/>
  <c r="K1636" i="115"/>
  <c r="I1636" i="115"/>
  <c r="H1636" i="115"/>
  <c r="G1636" i="115"/>
  <c r="F1636" i="115"/>
  <c r="E1636" i="115"/>
  <c r="A1636" i="115"/>
  <c r="K1635" i="115"/>
  <c r="I1635" i="115"/>
  <c r="H1635" i="115"/>
  <c r="G1635" i="115"/>
  <c r="F1635" i="115"/>
  <c r="E1635" i="115"/>
  <c r="A1635" i="115"/>
  <c r="K1634" i="115"/>
  <c r="I1634" i="115"/>
  <c r="H1634" i="115"/>
  <c r="G1634" i="115"/>
  <c r="F1634" i="115"/>
  <c r="E1634" i="115"/>
  <c r="A1634" i="115"/>
  <c r="K1633" i="115"/>
  <c r="I1633" i="115"/>
  <c r="H1633" i="115"/>
  <c r="G1633" i="115"/>
  <c r="F1633" i="115"/>
  <c r="E1633" i="115"/>
  <c r="A1633" i="115"/>
  <c r="K1632" i="115"/>
  <c r="I1632" i="115"/>
  <c r="H1632" i="115"/>
  <c r="G1632" i="115"/>
  <c r="F1632" i="115"/>
  <c r="E1632" i="115"/>
  <c r="A1632" i="115"/>
  <c r="K1631" i="115"/>
  <c r="I1631" i="115"/>
  <c r="H1631" i="115"/>
  <c r="G1631" i="115"/>
  <c r="F1631" i="115"/>
  <c r="E1631" i="115"/>
  <c r="A1631" i="115"/>
  <c r="K1630" i="115"/>
  <c r="I1630" i="115"/>
  <c r="H1630" i="115"/>
  <c r="G1630" i="115"/>
  <c r="F1630" i="115"/>
  <c r="E1630" i="115"/>
  <c r="A1630" i="115"/>
  <c r="K1629" i="115"/>
  <c r="I1629" i="115"/>
  <c r="H1629" i="115"/>
  <c r="G1629" i="115"/>
  <c r="F1629" i="115"/>
  <c r="E1629" i="115"/>
  <c r="A1629" i="115"/>
  <c r="K1628" i="115"/>
  <c r="I1628" i="115"/>
  <c r="H1628" i="115"/>
  <c r="G1628" i="115"/>
  <c r="F1628" i="115"/>
  <c r="E1628" i="115"/>
  <c r="A1628" i="115"/>
  <c r="K1627" i="115"/>
  <c r="I1627" i="115"/>
  <c r="H1627" i="115"/>
  <c r="G1627" i="115"/>
  <c r="F1627" i="115"/>
  <c r="E1627" i="115"/>
  <c r="A1627" i="115"/>
  <c r="K1626" i="115"/>
  <c r="I1626" i="115"/>
  <c r="H1626" i="115"/>
  <c r="G1626" i="115"/>
  <c r="F1626" i="115"/>
  <c r="E1626" i="115"/>
  <c r="A1626" i="115"/>
  <c r="K1625" i="115"/>
  <c r="I1625" i="115"/>
  <c r="H1625" i="115"/>
  <c r="G1625" i="115"/>
  <c r="F1625" i="115"/>
  <c r="E1625" i="115"/>
  <c r="A1625" i="115"/>
  <c r="K1624" i="115"/>
  <c r="I1624" i="115"/>
  <c r="H1624" i="115"/>
  <c r="G1624" i="115"/>
  <c r="F1624" i="115"/>
  <c r="E1624" i="115"/>
  <c r="A1624" i="115"/>
  <c r="K1623" i="115"/>
  <c r="I1623" i="115"/>
  <c r="H1623" i="115"/>
  <c r="G1623" i="115"/>
  <c r="F1623" i="115"/>
  <c r="E1623" i="115"/>
  <c r="A1623" i="115"/>
  <c r="K1622" i="115"/>
  <c r="I1622" i="115"/>
  <c r="H1622" i="115"/>
  <c r="G1622" i="115"/>
  <c r="F1622" i="115"/>
  <c r="E1622" i="115"/>
  <c r="A1622" i="115"/>
  <c r="K1621" i="115"/>
  <c r="I1621" i="115"/>
  <c r="H1621" i="115"/>
  <c r="G1621" i="115"/>
  <c r="F1621" i="115"/>
  <c r="E1621" i="115"/>
  <c r="A1621" i="115"/>
  <c r="K1620" i="115"/>
  <c r="I1620" i="115"/>
  <c r="H1620" i="115"/>
  <c r="G1620" i="115"/>
  <c r="F1620" i="115"/>
  <c r="E1620" i="115"/>
  <c r="A1620" i="115"/>
  <c r="K1619" i="115"/>
  <c r="I1619" i="115"/>
  <c r="H1619" i="115"/>
  <c r="G1619" i="115"/>
  <c r="F1619" i="115"/>
  <c r="E1619" i="115"/>
  <c r="A1619" i="115"/>
  <c r="K1618" i="115"/>
  <c r="I1618" i="115"/>
  <c r="H1618" i="115"/>
  <c r="G1618" i="115"/>
  <c r="F1618" i="115"/>
  <c r="E1618" i="115"/>
  <c r="A1618" i="115"/>
  <c r="K1617" i="115"/>
  <c r="I1617" i="115"/>
  <c r="H1617" i="115"/>
  <c r="G1617" i="115"/>
  <c r="F1617" i="115"/>
  <c r="E1617" i="115"/>
  <c r="A1617" i="115"/>
  <c r="K1616" i="115"/>
  <c r="I1616" i="115"/>
  <c r="H1616" i="115"/>
  <c r="G1616" i="115"/>
  <c r="F1616" i="115"/>
  <c r="E1616" i="115"/>
  <c r="A1616" i="115"/>
  <c r="K1615" i="115"/>
  <c r="I1615" i="115"/>
  <c r="H1615" i="115"/>
  <c r="G1615" i="115"/>
  <c r="F1615" i="115"/>
  <c r="E1615" i="115"/>
  <c r="A1615" i="115"/>
  <c r="K1614" i="115"/>
  <c r="I1614" i="115"/>
  <c r="H1614" i="115"/>
  <c r="G1614" i="115"/>
  <c r="F1614" i="115"/>
  <c r="E1614" i="115"/>
  <c r="A1614" i="115"/>
  <c r="K1613" i="115"/>
  <c r="I1613" i="115"/>
  <c r="H1613" i="115"/>
  <c r="G1613" i="115"/>
  <c r="F1613" i="115"/>
  <c r="E1613" i="115"/>
  <c r="A1613" i="115"/>
  <c r="K1612" i="115"/>
  <c r="I1612" i="115"/>
  <c r="H1612" i="115"/>
  <c r="G1612" i="115"/>
  <c r="F1612" i="115"/>
  <c r="E1612" i="115"/>
  <c r="A1612" i="115"/>
  <c r="K1611" i="115"/>
  <c r="I1611" i="115"/>
  <c r="H1611" i="115"/>
  <c r="G1611" i="115"/>
  <c r="F1611" i="115"/>
  <c r="E1611" i="115"/>
  <c r="A1611" i="115"/>
  <c r="K1610" i="115"/>
  <c r="I1610" i="115"/>
  <c r="H1610" i="115"/>
  <c r="G1610" i="115"/>
  <c r="F1610" i="115"/>
  <c r="E1610" i="115"/>
  <c r="A1610" i="115"/>
  <c r="K1609" i="115"/>
  <c r="I1609" i="115"/>
  <c r="H1609" i="115"/>
  <c r="G1609" i="115"/>
  <c r="F1609" i="115"/>
  <c r="E1609" i="115"/>
  <c r="A1609" i="115"/>
  <c r="K1608" i="115"/>
  <c r="I1608" i="115"/>
  <c r="H1608" i="115"/>
  <c r="G1608" i="115"/>
  <c r="F1608" i="115"/>
  <c r="E1608" i="115"/>
  <c r="A1608" i="115"/>
  <c r="K1607" i="115"/>
  <c r="I1607" i="115"/>
  <c r="H1607" i="115"/>
  <c r="G1607" i="115"/>
  <c r="F1607" i="115"/>
  <c r="E1607" i="115"/>
  <c r="A1607" i="115"/>
  <c r="K1606" i="115"/>
  <c r="I1606" i="115"/>
  <c r="H1606" i="115"/>
  <c r="G1606" i="115"/>
  <c r="F1606" i="115"/>
  <c r="E1606" i="115"/>
  <c r="A1606" i="115"/>
  <c r="K1605" i="115"/>
  <c r="I1605" i="115"/>
  <c r="H1605" i="115"/>
  <c r="G1605" i="115"/>
  <c r="F1605" i="115"/>
  <c r="E1605" i="115"/>
  <c r="A1605" i="115"/>
  <c r="K1604" i="115"/>
  <c r="I1604" i="115"/>
  <c r="H1604" i="115"/>
  <c r="G1604" i="115"/>
  <c r="F1604" i="115"/>
  <c r="E1604" i="115"/>
  <c r="A1604" i="115"/>
  <c r="K1603" i="115"/>
  <c r="I1603" i="115"/>
  <c r="H1603" i="115"/>
  <c r="G1603" i="115"/>
  <c r="F1603" i="115"/>
  <c r="E1603" i="115"/>
  <c r="A1603" i="115"/>
  <c r="K1602" i="115"/>
  <c r="I1602" i="115"/>
  <c r="H1602" i="115"/>
  <c r="G1602" i="115"/>
  <c r="F1602" i="115"/>
  <c r="E1602" i="115"/>
  <c r="A1602" i="115"/>
  <c r="K1601" i="115"/>
  <c r="I1601" i="115"/>
  <c r="H1601" i="115"/>
  <c r="G1601" i="115"/>
  <c r="F1601" i="115"/>
  <c r="E1601" i="115"/>
  <c r="A1601" i="115"/>
  <c r="K1600" i="115"/>
  <c r="I1600" i="115"/>
  <c r="H1600" i="115"/>
  <c r="G1600" i="115"/>
  <c r="F1600" i="115"/>
  <c r="E1600" i="115"/>
  <c r="A1600" i="115"/>
  <c r="K1599" i="115"/>
  <c r="I1599" i="115"/>
  <c r="H1599" i="115"/>
  <c r="G1599" i="115"/>
  <c r="F1599" i="115"/>
  <c r="E1599" i="115"/>
  <c r="A1599" i="115"/>
  <c r="K1598" i="115"/>
  <c r="I1598" i="115"/>
  <c r="H1598" i="115"/>
  <c r="G1598" i="115"/>
  <c r="F1598" i="115"/>
  <c r="E1598" i="115"/>
  <c r="A1598" i="115"/>
  <c r="K1597" i="115"/>
  <c r="I1597" i="115"/>
  <c r="H1597" i="115"/>
  <c r="G1597" i="115"/>
  <c r="F1597" i="115"/>
  <c r="E1597" i="115"/>
  <c r="A1597" i="115"/>
  <c r="K1596" i="115"/>
  <c r="I1596" i="115"/>
  <c r="H1596" i="115"/>
  <c r="G1596" i="115"/>
  <c r="F1596" i="115"/>
  <c r="E1596" i="115"/>
  <c r="A1596" i="115"/>
  <c r="K1595" i="115"/>
  <c r="I1595" i="115"/>
  <c r="H1595" i="115"/>
  <c r="G1595" i="115"/>
  <c r="F1595" i="115"/>
  <c r="E1595" i="115"/>
  <c r="A1595" i="115"/>
  <c r="K1594" i="115"/>
  <c r="I1594" i="115"/>
  <c r="H1594" i="115"/>
  <c r="G1594" i="115"/>
  <c r="F1594" i="115"/>
  <c r="E1594" i="115"/>
  <c r="A1594" i="115"/>
  <c r="K1593" i="115"/>
  <c r="I1593" i="115"/>
  <c r="H1593" i="115"/>
  <c r="G1593" i="115"/>
  <c r="F1593" i="115"/>
  <c r="E1593" i="115"/>
  <c r="A1593" i="115"/>
  <c r="K1592" i="115"/>
  <c r="I1592" i="115"/>
  <c r="H1592" i="115"/>
  <c r="G1592" i="115"/>
  <c r="F1592" i="115"/>
  <c r="E1592" i="115"/>
  <c r="A1592" i="115"/>
  <c r="K1591" i="115"/>
  <c r="I1591" i="115"/>
  <c r="H1591" i="115"/>
  <c r="G1591" i="115"/>
  <c r="F1591" i="115"/>
  <c r="E1591" i="115"/>
  <c r="A1591" i="115"/>
  <c r="K1590" i="115"/>
  <c r="I1590" i="115"/>
  <c r="H1590" i="115"/>
  <c r="G1590" i="115"/>
  <c r="F1590" i="115"/>
  <c r="E1590" i="115"/>
  <c r="A1590" i="115"/>
  <c r="K1589" i="115"/>
  <c r="I1589" i="115"/>
  <c r="H1589" i="115"/>
  <c r="G1589" i="115"/>
  <c r="F1589" i="115"/>
  <c r="E1589" i="115"/>
  <c r="A1589" i="115"/>
  <c r="K1588" i="115"/>
  <c r="I1588" i="115"/>
  <c r="H1588" i="115"/>
  <c r="G1588" i="115"/>
  <c r="F1588" i="115"/>
  <c r="E1588" i="115"/>
  <c r="A1588" i="115"/>
  <c r="K1587" i="115"/>
  <c r="I1587" i="115"/>
  <c r="H1587" i="115"/>
  <c r="G1587" i="115"/>
  <c r="F1587" i="115"/>
  <c r="E1587" i="115"/>
  <c r="A1587" i="115"/>
  <c r="K1586" i="115"/>
  <c r="I1586" i="115"/>
  <c r="H1586" i="115"/>
  <c r="G1586" i="115"/>
  <c r="F1586" i="115"/>
  <c r="E1586" i="115"/>
  <c r="A1586" i="115"/>
  <c r="K1585" i="115"/>
  <c r="I1585" i="115"/>
  <c r="H1585" i="115"/>
  <c r="G1585" i="115"/>
  <c r="F1585" i="115"/>
  <c r="E1585" i="115"/>
  <c r="A1585" i="115"/>
  <c r="K1584" i="115"/>
  <c r="I1584" i="115"/>
  <c r="H1584" i="115"/>
  <c r="G1584" i="115"/>
  <c r="F1584" i="115"/>
  <c r="E1584" i="115"/>
  <c r="A1584" i="115"/>
  <c r="K1583" i="115"/>
  <c r="I1583" i="115"/>
  <c r="H1583" i="115"/>
  <c r="G1583" i="115"/>
  <c r="F1583" i="115"/>
  <c r="E1583" i="115"/>
  <c r="A1583" i="115"/>
  <c r="K1582" i="115"/>
  <c r="I1582" i="115"/>
  <c r="H1582" i="115"/>
  <c r="G1582" i="115"/>
  <c r="F1582" i="115"/>
  <c r="E1582" i="115"/>
  <c r="A1582" i="115"/>
  <c r="K1581" i="115"/>
  <c r="I1581" i="115"/>
  <c r="H1581" i="115"/>
  <c r="G1581" i="115"/>
  <c r="F1581" i="115"/>
  <c r="E1581" i="115"/>
  <c r="A1581" i="115"/>
  <c r="K1580" i="115"/>
  <c r="I1580" i="115"/>
  <c r="H1580" i="115"/>
  <c r="G1580" i="115"/>
  <c r="F1580" i="115"/>
  <c r="E1580" i="115"/>
  <c r="A1580" i="115"/>
  <c r="K1579" i="115"/>
  <c r="I1579" i="115"/>
  <c r="H1579" i="115"/>
  <c r="G1579" i="115"/>
  <c r="F1579" i="115"/>
  <c r="E1579" i="115"/>
  <c r="A1579" i="115"/>
  <c r="K1578" i="115"/>
  <c r="I1578" i="115"/>
  <c r="H1578" i="115"/>
  <c r="G1578" i="115"/>
  <c r="F1578" i="115"/>
  <c r="E1578" i="115"/>
  <c r="A1578" i="115"/>
  <c r="K1577" i="115"/>
  <c r="I1577" i="115"/>
  <c r="H1577" i="115"/>
  <c r="G1577" i="115"/>
  <c r="F1577" i="115"/>
  <c r="E1577" i="115"/>
  <c r="A1577" i="115"/>
  <c r="K1576" i="115"/>
  <c r="I1576" i="115"/>
  <c r="H1576" i="115"/>
  <c r="G1576" i="115"/>
  <c r="F1576" i="115"/>
  <c r="E1576" i="115"/>
  <c r="A1576" i="115"/>
  <c r="K1575" i="115"/>
  <c r="I1575" i="115"/>
  <c r="H1575" i="115"/>
  <c r="G1575" i="115"/>
  <c r="F1575" i="115"/>
  <c r="E1575" i="115"/>
  <c r="A1575" i="115"/>
  <c r="K1574" i="115"/>
  <c r="I1574" i="115"/>
  <c r="H1574" i="115"/>
  <c r="G1574" i="115"/>
  <c r="F1574" i="115"/>
  <c r="E1574" i="115"/>
  <c r="A1574" i="115"/>
  <c r="K1573" i="115"/>
  <c r="I1573" i="115"/>
  <c r="H1573" i="115"/>
  <c r="G1573" i="115"/>
  <c r="F1573" i="115"/>
  <c r="E1573" i="115"/>
  <c r="A1573" i="115"/>
  <c r="K1572" i="115"/>
  <c r="I1572" i="115"/>
  <c r="H1572" i="115"/>
  <c r="G1572" i="115"/>
  <c r="F1572" i="115"/>
  <c r="E1572" i="115"/>
  <c r="A1572" i="115"/>
  <c r="K1571" i="115"/>
  <c r="I1571" i="115"/>
  <c r="H1571" i="115"/>
  <c r="G1571" i="115"/>
  <c r="F1571" i="115"/>
  <c r="E1571" i="115"/>
  <c r="A1571" i="115"/>
  <c r="K1570" i="115"/>
  <c r="I1570" i="115"/>
  <c r="H1570" i="115"/>
  <c r="G1570" i="115"/>
  <c r="F1570" i="115"/>
  <c r="E1570" i="115"/>
  <c r="A1570" i="115"/>
  <c r="K1569" i="115"/>
  <c r="I1569" i="115"/>
  <c r="H1569" i="115"/>
  <c r="G1569" i="115"/>
  <c r="F1569" i="115"/>
  <c r="E1569" i="115"/>
  <c r="A1569" i="115"/>
  <c r="K1568" i="115"/>
  <c r="I1568" i="115"/>
  <c r="H1568" i="115"/>
  <c r="G1568" i="115"/>
  <c r="F1568" i="115"/>
  <c r="E1568" i="115"/>
  <c r="A1568" i="115"/>
  <c r="K1567" i="115"/>
  <c r="I1567" i="115"/>
  <c r="H1567" i="115"/>
  <c r="G1567" i="115"/>
  <c r="F1567" i="115"/>
  <c r="E1567" i="115"/>
  <c r="A1567" i="115"/>
  <c r="K1566" i="115"/>
  <c r="I1566" i="115"/>
  <c r="H1566" i="115"/>
  <c r="G1566" i="115"/>
  <c r="F1566" i="115"/>
  <c r="E1566" i="115"/>
  <c r="A1566" i="115"/>
  <c r="K1565" i="115"/>
  <c r="I1565" i="115"/>
  <c r="H1565" i="115"/>
  <c r="G1565" i="115"/>
  <c r="F1565" i="115"/>
  <c r="E1565" i="115"/>
  <c r="A1565" i="115"/>
  <c r="K1564" i="115"/>
  <c r="I1564" i="115"/>
  <c r="H1564" i="115"/>
  <c r="G1564" i="115"/>
  <c r="F1564" i="115"/>
  <c r="E1564" i="115"/>
  <c r="A1564" i="115"/>
  <c r="K1563" i="115"/>
  <c r="I1563" i="115"/>
  <c r="H1563" i="115"/>
  <c r="G1563" i="115"/>
  <c r="F1563" i="115"/>
  <c r="E1563" i="115"/>
  <c r="A1563" i="115"/>
  <c r="K1562" i="115"/>
  <c r="I1562" i="115"/>
  <c r="H1562" i="115"/>
  <c r="G1562" i="115"/>
  <c r="F1562" i="115"/>
  <c r="E1562" i="115"/>
  <c r="A1562" i="115"/>
  <c r="K1561" i="115"/>
  <c r="I1561" i="115"/>
  <c r="H1561" i="115"/>
  <c r="G1561" i="115"/>
  <c r="F1561" i="115"/>
  <c r="E1561" i="115"/>
  <c r="A1561" i="115"/>
  <c r="K1560" i="115"/>
  <c r="I1560" i="115"/>
  <c r="H1560" i="115"/>
  <c r="G1560" i="115"/>
  <c r="F1560" i="115"/>
  <c r="E1560" i="115"/>
  <c r="A1560" i="115"/>
  <c r="K1559" i="115"/>
  <c r="I1559" i="115"/>
  <c r="H1559" i="115"/>
  <c r="G1559" i="115"/>
  <c r="F1559" i="115"/>
  <c r="E1559" i="115"/>
  <c r="A1559" i="115"/>
  <c r="K1558" i="115"/>
  <c r="I1558" i="115"/>
  <c r="H1558" i="115"/>
  <c r="G1558" i="115"/>
  <c r="F1558" i="115"/>
  <c r="E1558" i="115"/>
  <c r="A1558" i="115"/>
  <c r="K1557" i="115"/>
  <c r="I1557" i="115"/>
  <c r="H1557" i="115"/>
  <c r="G1557" i="115"/>
  <c r="F1557" i="115"/>
  <c r="E1557" i="115"/>
  <c r="A1557" i="115"/>
  <c r="K1556" i="115"/>
  <c r="I1556" i="115"/>
  <c r="H1556" i="115"/>
  <c r="G1556" i="115"/>
  <c r="F1556" i="115"/>
  <c r="E1556" i="115"/>
  <c r="A1556" i="115"/>
  <c r="K1555" i="115"/>
  <c r="I1555" i="115"/>
  <c r="H1555" i="115"/>
  <c r="G1555" i="115"/>
  <c r="F1555" i="115"/>
  <c r="E1555" i="115"/>
  <c r="A1555" i="115"/>
  <c r="K1554" i="115"/>
  <c r="I1554" i="115"/>
  <c r="H1554" i="115"/>
  <c r="G1554" i="115"/>
  <c r="F1554" i="115"/>
  <c r="E1554" i="115"/>
  <c r="A1554" i="115"/>
  <c r="K1553" i="115"/>
  <c r="I1553" i="115"/>
  <c r="H1553" i="115"/>
  <c r="G1553" i="115"/>
  <c r="F1553" i="115"/>
  <c r="E1553" i="115"/>
  <c r="A1553" i="115"/>
  <c r="K1552" i="115"/>
  <c r="I1552" i="115"/>
  <c r="H1552" i="115"/>
  <c r="G1552" i="115"/>
  <c r="F1552" i="115"/>
  <c r="E1552" i="115"/>
  <c r="A1552" i="115"/>
  <c r="K1551" i="115"/>
  <c r="I1551" i="115"/>
  <c r="H1551" i="115"/>
  <c r="G1551" i="115"/>
  <c r="F1551" i="115"/>
  <c r="E1551" i="115"/>
  <c r="A1551" i="115"/>
  <c r="K1550" i="115"/>
  <c r="I1550" i="115"/>
  <c r="H1550" i="115"/>
  <c r="G1550" i="115"/>
  <c r="F1550" i="115"/>
  <c r="E1550" i="115"/>
  <c r="A1550" i="115"/>
  <c r="K1549" i="115"/>
  <c r="I1549" i="115"/>
  <c r="H1549" i="115"/>
  <c r="G1549" i="115"/>
  <c r="F1549" i="115"/>
  <c r="E1549" i="115"/>
  <c r="A1549" i="115"/>
  <c r="K1548" i="115"/>
  <c r="I1548" i="115"/>
  <c r="H1548" i="115"/>
  <c r="G1548" i="115"/>
  <c r="F1548" i="115"/>
  <c r="E1548" i="115"/>
  <c r="A1548" i="115"/>
  <c r="K1547" i="115"/>
  <c r="I1547" i="115"/>
  <c r="H1547" i="115"/>
  <c r="G1547" i="115"/>
  <c r="F1547" i="115"/>
  <c r="E1547" i="115"/>
  <c r="A1547" i="115"/>
  <c r="K1546" i="115"/>
  <c r="I1546" i="115"/>
  <c r="H1546" i="115"/>
  <c r="G1546" i="115"/>
  <c r="F1546" i="115"/>
  <c r="E1546" i="115"/>
  <c r="A1546" i="115"/>
  <c r="K1545" i="115"/>
  <c r="I1545" i="115"/>
  <c r="H1545" i="115"/>
  <c r="G1545" i="115"/>
  <c r="F1545" i="115"/>
  <c r="E1545" i="115"/>
  <c r="A1545" i="115"/>
  <c r="K1544" i="115"/>
  <c r="I1544" i="115"/>
  <c r="H1544" i="115"/>
  <c r="G1544" i="115"/>
  <c r="F1544" i="115"/>
  <c r="E1544" i="115"/>
  <c r="A1544" i="115"/>
  <c r="K1543" i="115"/>
  <c r="I1543" i="115"/>
  <c r="H1543" i="115"/>
  <c r="G1543" i="115"/>
  <c r="F1543" i="115"/>
  <c r="E1543" i="115"/>
  <c r="A1543" i="115"/>
  <c r="K1542" i="115"/>
  <c r="I1542" i="115"/>
  <c r="H1542" i="115"/>
  <c r="G1542" i="115"/>
  <c r="F1542" i="115"/>
  <c r="E1542" i="115"/>
  <c r="A1542" i="115"/>
  <c r="K1541" i="115"/>
  <c r="I1541" i="115"/>
  <c r="H1541" i="115"/>
  <c r="G1541" i="115"/>
  <c r="F1541" i="115"/>
  <c r="E1541" i="115"/>
  <c r="A1541" i="115"/>
  <c r="K1540" i="115"/>
  <c r="I1540" i="115"/>
  <c r="H1540" i="115"/>
  <c r="G1540" i="115"/>
  <c r="F1540" i="115"/>
  <c r="E1540" i="115"/>
  <c r="A1540" i="115"/>
  <c r="K1539" i="115"/>
  <c r="I1539" i="115"/>
  <c r="H1539" i="115"/>
  <c r="G1539" i="115"/>
  <c r="F1539" i="115"/>
  <c r="E1539" i="115"/>
  <c r="A1539" i="115"/>
  <c r="K1538" i="115"/>
  <c r="I1538" i="115"/>
  <c r="H1538" i="115"/>
  <c r="G1538" i="115"/>
  <c r="F1538" i="115"/>
  <c r="E1538" i="115"/>
  <c r="A1538" i="115"/>
  <c r="K1537" i="115"/>
  <c r="I1537" i="115"/>
  <c r="H1537" i="115"/>
  <c r="G1537" i="115"/>
  <c r="F1537" i="115"/>
  <c r="E1537" i="115"/>
  <c r="A1537" i="115"/>
  <c r="K1536" i="115"/>
  <c r="I1536" i="115"/>
  <c r="H1536" i="115"/>
  <c r="G1536" i="115"/>
  <c r="F1536" i="115"/>
  <c r="E1536" i="115"/>
  <c r="A1536" i="115"/>
  <c r="K1535" i="115"/>
  <c r="I1535" i="115"/>
  <c r="H1535" i="115"/>
  <c r="G1535" i="115"/>
  <c r="F1535" i="115"/>
  <c r="E1535" i="115"/>
  <c r="A1535" i="115"/>
  <c r="K1534" i="115"/>
  <c r="I1534" i="115"/>
  <c r="H1534" i="115"/>
  <c r="G1534" i="115"/>
  <c r="F1534" i="115"/>
  <c r="E1534" i="115"/>
  <c r="A1534" i="115"/>
  <c r="K1533" i="115"/>
  <c r="I1533" i="115"/>
  <c r="H1533" i="115"/>
  <c r="G1533" i="115"/>
  <c r="F1533" i="115"/>
  <c r="E1533" i="115"/>
  <c r="A1533" i="115"/>
  <c r="K1532" i="115"/>
  <c r="I1532" i="115"/>
  <c r="H1532" i="115"/>
  <c r="G1532" i="115"/>
  <c r="F1532" i="115"/>
  <c r="E1532" i="115"/>
  <c r="A1532" i="115"/>
  <c r="K1531" i="115"/>
  <c r="I1531" i="115"/>
  <c r="H1531" i="115"/>
  <c r="G1531" i="115"/>
  <c r="F1531" i="115"/>
  <c r="E1531" i="115"/>
  <c r="A1531" i="115"/>
  <c r="K1530" i="115"/>
  <c r="I1530" i="115"/>
  <c r="H1530" i="115"/>
  <c r="G1530" i="115"/>
  <c r="F1530" i="115"/>
  <c r="E1530" i="115"/>
  <c r="A1530" i="115"/>
  <c r="K1529" i="115"/>
  <c r="I1529" i="115"/>
  <c r="H1529" i="115"/>
  <c r="G1529" i="115"/>
  <c r="F1529" i="115"/>
  <c r="E1529" i="115"/>
  <c r="A1529" i="115"/>
  <c r="K1528" i="115"/>
  <c r="I1528" i="115"/>
  <c r="H1528" i="115"/>
  <c r="G1528" i="115"/>
  <c r="F1528" i="115"/>
  <c r="E1528" i="115"/>
  <c r="A1528" i="115"/>
  <c r="K1527" i="115"/>
  <c r="I1527" i="115"/>
  <c r="H1527" i="115"/>
  <c r="G1527" i="115"/>
  <c r="F1527" i="115"/>
  <c r="E1527" i="115"/>
  <c r="A1527" i="115"/>
  <c r="K1526" i="115"/>
  <c r="I1526" i="115"/>
  <c r="H1526" i="115"/>
  <c r="G1526" i="115"/>
  <c r="F1526" i="115"/>
  <c r="E1526" i="115"/>
  <c r="A1526" i="115"/>
  <c r="K1525" i="115"/>
  <c r="I1525" i="115"/>
  <c r="H1525" i="115"/>
  <c r="G1525" i="115"/>
  <c r="F1525" i="115"/>
  <c r="E1525" i="115"/>
  <c r="A1525" i="115"/>
  <c r="K1524" i="115"/>
  <c r="I1524" i="115"/>
  <c r="H1524" i="115"/>
  <c r="G1524" i="115"/>
  <c r="F1524" i="115"/>
  <c r="E1524" i="115"/>
  <c r="A1524" i="115"/>
  <c r="K1523" i="115"/>
  <c r="I1523" i="115"/>
  <c r="H1523" i="115"/>
  <c r="G1523" i="115"/>
  <c r="F1523" i="115"/>
  <c r="E1523" i="115"/>
  <c r="A1523" i="115"/>
  <c r="K1522" i="115"/>
  <c r="I1522" i="115"/>
  <c r="H1522" i="115"/>
  <c r="G1522" i="115"/>
  <c r="F1522" i="115"/>
  <c r="E1522" i="115"/>
  <c r="A1522" i="115"/>
  <c r="K1521" i="115"/>
  <c r="I1521" i="115"/>
  <c r="H1521" i="115"/>
  <c r="G1521" i="115"/>
  <c r="F1521" i="115"/>
  <c r="E1521" i="115"/>
  <c r="A1521" i="115"/>
  <c r="K1520" i="115"/>
  <c r="I1520" i="115"/>
  <c r="H1520" i="115"/>
  <c r="G1520" i="115"/>
  <c r="F1520" i="115"/>
  <c r="E1520" i="115"/>
  <c r="A1520" i="115"/>
  <c r="K1519" i="115"/>
  <c r="I1519" i="115"/>
  <c r="H1519" i="115"/>
  <c r="G1519" i="115"/>
  <c r="F1519" i="115"/>
  <c r="E1519" i="115"/>
  <c r="A1519" i="115"/>
  <c r="K1518" i="115"/>
  <c r="I1518" i="115"/>
  <c r="H1518" i="115"/>
  <c r="G1518" i="115"/>
  <c r="F1518" i="115"/>
  <c r="E1518" i="115"/>
  <c r="A1518" i="115"/>
  <c r="K1517" i="115"/>
  <c r="I1517" i="115"/>
  <c r="H1517" i="115"/>
  <c r="G1517" i="115"/>
  <c r="F1517" i="115"/>
  <c r="E1517" i="115"/>
  <c r="A1517" i="115"/>
  <c r="K1516" i="115"/>
  <c r="I1516" i="115"/>
  <c r="H1516" i="115"/>
  <c r="G1516" i="115"/>
  <c r="F1516" i="115"/>
  <c r="E1516" i="115"/>
  <c r="A1516" i="115"/>
  <c r="K1515" i="115"/>
  <c r="I1515" i="115"/>
  <c r="H1515" i="115"/>
  <c r="G1515" i="115"/>
  <c r="F1515" i="115"/>
  <c r="E1515" i="115"/>
  <c r="A1515" i="115"/>
  <c r="K1514" i="115"/>
  <c r="I1514" i="115"/>
  <c r="H1514" i="115"/>
  <c r="G1514" i="115"/>
  <c r="F1514" i="115"/>
  <c r="E1514" i="115"/>
  <c r="A1514" i="115"/>
  <c r="K1513" i="115"/>
  <c r="I1513" i="115"/>
  <c r="H1513" i="115"/>
  <c r="G1513" i="115"/>
  <c r="F1513" i="115"/>
  <c r="E1513" i="115"/>
  <c r="A1513" i="115"/>
  <c r="K1512" i="115"/>
  <c r="I1512" i="115"/>
  <c r="H1512" i="115"/>
  <c r="G1512" i="115"/>
  <c r="F1512" i="115"/>
  <c r="E1512" i="115"/>
  <c r="A1512" i="115"/>
  <c r="K1511" i="115"/>
  <c r="I1511" i="115"/>
  <c r="H1511" i="115"/>
  <c r="G1511" i="115"/>
  <c r="F1511" i="115"/>
  <c r="E1511" i="115"/>
  <c r="A1511" i="115"/>
  <c r="K1510" i="115"/>
  <c r="I1510" i="115"/>
  <c r="H1510" i="115"/>
  <c r="G1510" i="115"/>
  <c r="F1510" i="115"/>
  <c r="E1510" i="115"/>
  <c r="A1510" i="115"/>
  <c r="K1509" i="115"/>
  <c r="I1509" i="115"/>
  <c r="H1509" i="115"/>
  <c r="G1509" i="115"/>
  <c r="F1509" i="115"/>
  <c r="E1509" i="115"/>
  <c r="A1509" i="115"/>
  <c r="K1508" i="115"/>
  <c r="I1508" i="115"/>
  <c r="H1508" i="115"/>
  <c r="G1508" i="115"/>
  <c r="F1508" i="115"/>
  <c r="E1508" i="115"/>
  <c r="A1508" i="115"/>
  <c r="K1507" i="115"/>
  <c r="I1507" i="115"/>
  <c r="H1507" i="115"/>
  <c r="G1507" i="115"/>
  <c r="F1507" i="115"/>
  <c r="E1507" i="115"/>
  <c r="A1507" i="115"/>
  <c r="K1506" i="115"/>
  <c r="I1506" i="115"/>
  <c r="H1506" i="115"/>
  <c r="G1506" i="115"/>
  <c r="F1506" i="115"/>
  <c r="E1506" i="115"/>
  <c r="A1506" i="115"/>
  <c r="K1505" i="115"/>
  <c r="I1505" i="115"/>
  <c r="H1505" i="115"/>
  <c r="G1505" i="115"/>
  <c r="F1505" i="115"/>
  <c r="E1505" i="115"/>
  <c r="A1505" i="115"/>
  <c r="K1504" i="115"/>
  <c r="I1504" i="115"/>
  <c r="H1504" i="115"/>
  <c r="G1504" i="115"/>
  <c r="F1504" i="115"/>
  <c r="E1504" i="115"/>
  <c r="A1504" i="115"/>
  <c r="K1503" i="115"/>
  <c r="I1503" i="115"/>
  <c r="H1503" i="115"/>
  <c r="G1503" i="115"/>
  <c r="F1503" i="115"/>
  <c r="E1503" i="115"/>
  <c r="A1503" i="115"/>
  <c r="K1502" i="115"/>
  <c r="I1502" i="115"/>
  <c r="H1502" i="115"/>
  <c r="G1502" i="115"/>
  <c r="F1502" i="115"/>
  <c r="E1502" i="115"/>
  <c r="A1502" i="115"/>
  <c r="K1501" i="115"/>
  <c r="I1501" i="115"/>
  <c r="H1501" i="115"/>
  <c r="G1501" i="115"/>
  <c r="F1501" i="115"/>
  <c r="E1501" i="115"/>
  <c r="A1501" i="115"/>
  <c r="K1500" i="115"/>
  <c r="I1500" i="115"/>
  <c r="H1500" i="115"/>
  <c r="G1500" i="115"/>
  <c r="F1500" i="115"/>
  <c r="E1500" i="115"/>
  <c r="A1500" i="115"/>
  <c r="K1499" i="115"/>
  <c r="I1499" i="115"/>
  <c r="H1499" i="115"/>
  <c r="G1499" i="115"/>
  <c r="F1499" i="115"/>
  <c r="E1499" i="115"/>
  <c r="A1499" i="115"/>
  <c r="K1498" i="115"/>
  <c r="I1498" i="115"/>
  <c r="H1498" i="115"/>
  <c r="G1498" i="115"/>
  <c r="F1498" i="115"/>
  <c r="E1498" i="115"/>
  <c r="A1498" i="115"/>
  <c r="K1497" i="115"/>
  <c r="I1497" i="115"/>
  <c r="H1497" i="115"/>
  <c r="G1497" i="115"/>
  <c r="F1497" i="115"/>
  <c r="E1497" i="115"/>
  <c r="A1497" i="115"/>
  <c r="K1496" i="115"/>
  <c r="I1496" i="115"/>
  <c r="H1496" i="115"/>
  <c r="G1496" i="115"/>
  <c r="F1496" i="115"/>
  <c r="E1496" i="115"/>
  <c r="A1496" i="115"/>
  <c r="K1495" i="115"/>
  <c r="I1495" i="115"/>
  <c r="H1495" i="115"/>
  <c r="G1495" i="115"/>
  <c r="F1495" i="115"/>
  <c r="E1495" i="115"/>
  <c r="A1495" i="115"/>
  <c r="K1494" i="115"/>
  <c r="I1494" i="115"/>
  <c r="H1494" i="115"/>
  <c r="G1494" i="115"/>
  <c r="F1494" i="115"/>
  <c r="E1494" i="115"/>
  <c r="A1494" i="115"/>
  <c r="K1493" i="115"/>
  <c r="I1493" i="115"/>
  <c r="H1493" i="115"/>
  <c r="G1493" i="115"/>
  <c r="F1493" i="115"/>
  <c r="E1493" i="115"/>
  <c r="A1493" i="115"/>
  <c r="K1492" i="115"/>
  <c r="I1492" i="115"/>
  <c r="H1492" i="115"/>
  <c r="G1492" i="115"/>
  <c r="F1492" i="115"/>
  <c r="E1492" i="115"/>
  <c r="A1492" i="115"/>
  <c r="K1491" i="115"/>
  <c r="I1491" i="115"/>
  <c r="H1491" i="115"/>
  <c r="G1491" i="115"/>
  <c r="F1491" i="115"/>
  <c r="E1491" i="115"/>
  <c r="A1491" i="115"/>
  <c r="K1490" i="115"/>
  <c r="I1490" i="115"/>
  <c r="H1490" i="115"/>
  <c r="G1490" i="115"/>
  <c r="F1490" i="115"/>
  <c r="E1490" i="115"/>
  <c r="A1490" i="115"/>
  <c r="K1489" i="115"/>
  <c r="I1489" i="115"/>
  <c r="H1489" i="115"/>
  <c r="G1489" i="115"/>
  <c r="F1489" i="115"/>
  <c r="E1489" i="115"/>
  <c r="A1489" i="115"/>
  <c r="K1488" i="115"/>
  <c r="I1488" i="115"/>
  <c r="H1488" i="115"/>
  <c r="G1488" i="115"/>
  <c r="F1488" i="115"/>
  <c r="E1488" i="115"/>
  <c r="A1488" i="115"/>
  <c r="K1487" i="115"/>
  <c r="I1487" i="115"/>
  <c r="H1487" i="115"/>
  <c r="G1487" i="115"/>
  <c r="F1487" i="115"/>
  <c r="E1487" i="115"/>
  <c r="A1487" i="115"/>
  <c r="K1486" i="115"/>
  <c r="I1486" i="115"/>
  <c r="H1486" i="115"/>
  <c r="G1486" i="115"/>
  <c r="F1486" i="115"/>
  <c r="E1486" i="115"/>
  <c r="A1486" i="115"/>
  <c r="K1485" i="115"/>
  <c r="I1485" i="115"/>
  <c r="H1485" i="115"/>
  <c r="G1485" i="115"/>
  <c r="F1485" i="115"/>
  <c r="E1485" i="115"/>
  <c r="A1485" i="115"/>
  <c r="K1484" i="115"/>
  <c r="I1484" i="115"/>
  <c r="H1484" i="115"/>
  <c r="G1484" i="115"/>
  <c r="F1484" i="115"/>
  <c r="E1484" i="115"/>
  <c r="A1484" i="115"/>
  <c r="K1483" i="115"/>
  <c r="I1483" i="115"/>
  <c r="H1483" i="115"/>
  <c r="G1483" i="115"/>
  <c r="F1483" i="115"/>
  <c r="E1483" i="115"/>
  <c r="A1483" i="115"/>
  <c r="K1482" i="115"/>
  <c r="I1482" i="115"/>
  <c r="H1482" i="115"/>
  <c r="G1482" i="115"/>
  <c r="F1482" i="115"/>
  <c r="E1482" i="115"/>
  <c r="A1482" i="115"/>
  <c r="K1481" i="115"/>
  <c r="I1481" i="115"/>
  <c r="H1481" i="115"/>
  <c r="G1481" i="115"/>
  <c r="F1481" i="115"/>
  <c r="E1481" i="115"/>
  <c r="A1481" i="115"/>
  <c r="K1480" i="115"/>
  <c r="I1480" i="115"/>
  <c r="H1480" i="115"/>
  <c r="G1480" i="115"/>
  <c r="F1480" i="115"/>
  <c r="E1480" i="115"/>
  <c r="A1480" i="115"/>
  <c r="K1479" i="115"/>
  <c r="I1479" i="115"/>
  <c r="H1479" i="115"/>
  <c r="G1479" i="115"/>
  <c r="F1479" i="115"/>
  <c r="E1479" i="115"/>
  <c r="A1479" i="115"/>
  <c r="K1478" i="115"/>
  <c r="I1478" i="115"/>
  <c r="H1478" i="115"/>
  <c r="G1478" i="115"/>
  <c r="F1478" i="115"/>
  <c r="E1478" i="115"/>
  <c r="A1478" i="115"/>
  <c r="K1477" i="115"/>
  <c r="I1477" i="115"/>
  <c r="H1477" i="115"/>
  <c r="G1477" i="115"/>
  <c r="F1477" i="115"/>
  <c r="E1477" i="115"/>
  <c r="A1477" i="115"/>
  <c r="K1476" i="115"/>
  <c r="I1476" i="115"/>
  <c r="H1476" i="115"/>
  <c r="G1476" i="115"/>
  <c r="F1476" i="115"/>
  <c r="E1476" i="115"/>
  <c r="A1476" i="115"/>
  <c r="K1475" i="115"/>
  <c r="I1475" i="115"/>
  <c r="H1475" i="115"/>
  <c r="G1475" i="115"/>
  <c r="F1475" i="115"/>
  <c r="E1475" i="115"/>
  <c r="A1475" i="115"/>
  <c r="K1474" i="115"/>
  <c r="I1474" i="115"/>
  <c r="H1474" i="115"/>
  <c r="G1474" i="115"/>
  <c r="F1474" i="115"/>
  <c r="E1474" i="115"/>
  <c r="A1474" i="115"/>
  <c r="K1473" i="115"/>
  <c r="I1473" i="115"/>
  <c r="H1473" i="115"/>
  <c r="G1473" i="115"/>
  <c r="F1473" i="115"/>
  <c r="E1473" i="115"/>
  <c r="A1473" i="115"/>
  <c r="K1472" i="115"/>
  <c r="I1472" i="115"/>
  <c r="H1472" i="115"/>
  <c r="G1472" i="115"/>
  <c r="F1472" i="115"/>
  <c r="E1472" i="115"/>
  <c r="A1472" i="115"/>
  <c r="K1471" i="115"/>
  <c r="I1471" i="115"/>
  <c r="H1471" i="115"/>
  <c r="G1471" i="115"/>
  <c r="F1471" i="115"/>
  <c r="E1471" i="115"/>
  <c r="A1471" i="115"/>
  <c r="K1470" i="115"/>
  <c r="I1470" i="115"/>
  <c r="H1470" i="115"/>
  <c r="G1470" i="115"/>
  <c r="F1470" i="115"/>
  <c r="E1470" i="115"/>
  <c r="A1470" i="115"/>
  <c r="K1469" i="115"/>
  <c r="I1469" i="115"/>
  <c r="H1469" i="115"/>
  <c r="G1469" i="115"/>
  <c r="F1469" i="115"/>
  <c r="E1469" i="115"/>
  <c r="A1469" i="115"/>
  <c r="K1468" i="115"/>
  <c r="I1468" i="115"/>
  <c r="H1468" i="115"/>
  <c r="G1468" i="115"/>
  <c r="F1468" i="115"/>
  <c r="E1468" i="115"/>
  <c r="A1468" i="115"/>
  <c r="K1467" i="115"/>
  <c r="I1467" i="115"/>
  <c r="H1467" i="115"/>
  <c r="G1467" i="115"/>
  <c r="F1467" i="115"/>
  <c r="E1467" i="115"/>
  <c r="A1467" i="115"/>
  <c r="K1466" i="115"/>
  <c r="I1466" i="115"/>
  <c r="H1466" i="115"/>
  <c r="G1466" i="115"/>
  <c r="F1466" i="115"/>
  <c r="E1466" i="115"/>
  <c r="A1466" i="115"/>
  <c r="K1465" i="115"/>
  <c r="I1465" i="115"/>
  <c r="H1465" i="115"/>
  <c r="G1465" i="115"/>
  <c r="F1465" i="115"/>
  <c r="E1465" i="115"/>
  <c r="A1465" i="115"/>
  <c r="K1464" i="115"/>
  <c r="I1464" i="115"/>
  <c r="H1464" i="115"/>
  <c r="G1464" i="115"/>
  <c r="F1464" i="115"/>
  <c r="E1464" i="115"/>
  <c r="A1464" i="115"/>
  <c r="K1463" i="115"/>
  <c r="I1463" i="115"/>
  <c r="H1463" i="115"/>
  <c r="G1463" i="115"/>
  <c r="F1463" i="115"/>
  <c r="E1463" i="115"/>
  <c r="A1463" i="115"/>
  <c r="K1462" i="115"/>
  <c r="I1462" i="115"/>
  <c r="H1462" i="115"/>
  <c r="G1462" i="115"/>
  <c r="F1462" i="115"/>
  <c r="E1462" i="115"/>
  <c r="A1462" i="115"/>
  <c r="K1461" i="115"/>
  <c r="I1461" i="115"/>
  <c r="H1461" i="115"/>
  <c r="G1461" i="115"/>
  <c r="F1461" i="115"/>
  <c r="E1461" i="115"/>
  <c r="A1461" i="115"/>
  <c r="K1460" i="115"/>
  <c r="I1460" i="115"/>
  <c r="H1460" i="115"/>
  <c r="G1460" i="115"/>
  <c r="F1460" i="115"/>
  <c r="E1460" i="115"/>
  <c r="A1460" i="115"/>
  <c r="K1459" i="115"/>
  <c r="I1459" i="115"/>
  <c r="H1459" i="115"/>
  <c r="G1459" i="115"/>
  <c r="F1459" i="115"/>
  <c r="E1459" i="115"/>
  <c r="A1459" i="115"/>
  <c r="K1458" i="115"/>
  <c r="I1458" i="115"/>
  <c r="H1458" i="115"/>
  <c r="G1458" i="115"/>
  <c r="F1458" i="115"/>
  <c r="E1458" i="115"/>
  <c r="A1458" i="115"/>
  <c r="K1457" i="115"/>
  <c r="I1457" i="115"/>
  <c r="H1457" i="115"/>
  <c r="G1457" i="115"/>
  <c r="F1457" i="115"/>
  <c r="E1457" i="115"/>
  <c r="A1457" i="115"/>
  <c r="K1456" i="115"/>
  <c r="I1456" i="115"/>
  <c r="H1456" i="115"/>
  <c r="G1456" i="115"/>
  <c r="F1456" i="115"/>
  <c r="E1456" i="115"/>
  <c r="A1456" i="115"/>
  <c r="K1455" i="115"/>
  <c r="I1455" i="115"/>
  <c r="H1455" i="115"/>
  <c r="G1455" i="115"/>
  <c r="F1455" i="115"/>
  <c r="E1455" i="115"/>
  <c r="A1455" i="115"/>
  <c r="K1454" i="115"/>
  <c r="I1454" i="115"/>
  <c r="H1454" i="115"/>
  <c r="G1454" i="115"/>
  <c r="F1454" i="115"/>
  <c r="E1454" i="115"/>
  <c r="A1454" i="115"/>
  <c r="K1453" i="115"/>
  <c r="I1453" i="115"/>
  <c r="H1453" i="115"/>
  <c r="G1453" i="115"/>
  <c r="F1453" i="115"/>
  <c r="E1453" i="115"/>
  <c r="A1453" i="115"/>
  <c r="K1452" i="115"/>
  <c r="I1452" i="115"/>
  <c r="H1452" i="115"/>
  <c r="G1452" i="115"/>
  <c r="F1452" i="115"/>
  <c r="E1452" i="115"/>
  <c r="A1452" i="115"/>
  <c r="K1451" i="115"/>
  <c r="I1451" i="115"/>
  <c r="H1451" i="115"/>
  <c r="G1451" i="115"/>
  <c r="F1451" i="115"/>
  <c r="E1451" i="115"/>
  <c r="A1451" i="115"/>
  <c r="K1450" i="115"/>
  <c r="I1450" i="115"/>
  <c r="H1450" i="115"/>
  <c r="G1450" i="115"/>
  <c r="F1450" i="115"/>
  <c r="E1450" i="115"/>
  <c r="A1450" i="115"/>
  <c r="K1449" i="115"/>
  <c r="I1449" i="115"/>
  <c r="H1449" i="115"/>
  <c r="G1449" i="115"/>
  <c r="F1449" i="115"/>
  <c r="E1449" i="115"/>
  <c r="A1449" i="115"/>
  <c r="K1448" i="115"/>
  <c r="I1448" i="115"/>
  <c r="H1448" i="115"/>
  <c r="G1448" i="115"/>
  <c r="F1448" i="115"/>
  <c r="E1448" i="115"/>
  <c r="A1448" i="115"/>
  <c r="K1447" i="115"/>
  <c r="I1447" i="115"/>
  <c r="H1447" i="115"/>
  <c r="G1447" i="115"/>
  <c r="F1447" i="115"/>
  <c r="E1447" i="115"/>
  <c r="A1447" i="115"/>
  <c r="K1446" i="115"/>
  <c r="I1446" i="115"/>
  <c r="H1446" i="115"/>
  <c r="G1446" i="115"/>
  <c r="F1446" i="115"/>
  <c r="E1446" i="115"/>
  <c r="A1446" i="115"/>
  <c r="K1445" i="115"/>
  <c r="I1445" i="115"/>
  <c r="H1445" i="115"/>
  <c r="G1445" i="115"/>
  <c r="F1445" i="115"/>
  <c r="E1445" i="115"/>
  <c r="A1445" i="115"/>
  <c r="K1444" i="115"/>
  <c r="I1444" i="115"/>
  <c r="H1444" i="115"/>
  <c r="G1444" i="115"/>
  <c r="F1444" i="115"/>
  <c r="E1444" i="115"/>
  <c r="A1444" i="115"/>
  <c r="K1443" i="115"/>
  <c r="I1443" i="115"/>
  <c r="H1443" i="115"/>
  <c r="G1443" i="115"/>
  <c r="F1443" i="115"/>
  <c r="E1443" i="115"/>
  <c r="A1443" i="115"/>
  <c r="K1442" i="115"/>
  <c r="I1442" i="115"/>
  <c r="H1442" i="115"/>
  <c r="G1442" i="115"/>
  <c r="F1442" i="115"/>
  <c r="E1442" i="115"/>
  <c r="A1442" i="115"/>
  <c r="K1441" i="115"/>
  <c r="I1441" i="115"/>
  <c r="H1441" i="115"/>
  <c r="G1441" i="115"/>
  <c r="F1441" i="115"/>
  <c r="E1441" i="115"/>
  <c r="A1441" i="115"/>
  <c r="K1440" i="115"/>
  <c r="I1440" i="115"/>
  <c r="H1440" i="115"/>
  <c r="G1440" i="115"/>
  <c r="F1440" i="115"/>
  <c r="E1440" i="115"/>
  <c r="A1440" i="115"/>
  <c r="K1439" i="115"/>
  <c r="I1439" i="115"/>
  <c r="H1439" i="115"/>
  <c r="G1439" i="115"/>
  <c r="F1439" i="115"/>
  <c r="E1439" i="115"/>
  <c r="A1439" i="115"/>
  <c r="K1438" i="115"/>
  <c r="I1438" i="115"/>
  <c r="H1438" i="115"/>
  <c r="G1438" i="115"/>
  <c r="F1438" i="115"/>
  <c r="E1438" i="115"/>
  <c r="A1438" i="115"/>
  <c r="K1437" i="115"/>
  <c r="I1437" i="115"/>
  <c r="H1437" i="115"/>
  <c r="G1437" i="115"/>
  <c r="F1437" i="115"/>
  <c r="E1437" i="115"/>
  <c r="A1437" i="115"/>
  <c r="K1436" i="115"/>
  <c r="I1436" i="115"/>
  <c r="H1436" i="115"/>
  <c r="G1436" i="115"/>
  <c r="F1436" i="115"/>
  <c r="E1436" i="115"/>
  <c r="A1436" i="115"/>
  <c r="K1435" i="115"/>
  <c r="I1435" i="115"/>
  <c r="H1435" i="115"/>
  <c r="G1435" i="115"/>
  <c r="F1435" i="115"/>
  <c r="E1435" i="115"/>
  <c r="A1435" i="115"/>
  <c r="K1434" i="115"/>
  <c r="I1434" i="115"/>
  <c r="H1434" i="115"/>
  <c r="G1434" i="115"/>
  <c r="F1434" i="115"/>
  <c r="E1434" i="115"/>
  <c r="A1434" i="115"/>
  <c r="K1433" i="115"/>
  <c r="I1433" i="115"/>
  <c r="H1433" i="115"/>
  <c r="G1433" i="115"/>
  <c r="F1433" i="115"/>
  <c r="E1433" i="115"/>
  <c r="A1433" i="115"/>
  <c r="K1432" i="115"/>
  <c r="I1432" i="115"/>
  <c r="H1432" i="115"/>
  <c r="G1432" i="115"/>
  <c r="F1432" i="115"/>
  <c r="E1432" i="115"/>
  <c r="A1432" i="115"/>
  <c r="K1431" i="115"/>
  <c r="I1431" i="115"/>
  <c r="H1431" i="115"/>
  <c r="G1431" i="115"/>
  <c r="F1431" i="115"/>
  <c r="E1431" i="115"/>
  <c r="A1431" i="115"/>
  <c r="K1430" i="115"/>
  <c r="I1430" i="115"/>
  <c r="H1430" i="115"/>
  <c r="G1430" i="115"/>
  <c r="F1430" i="115"/>
  <c r="E1430" i="115"/>
  <c r="A1430" i="115"/>
  <c r="K1429" i="115"/>
  <c r="I1429" i="115"/>
  <c r="H1429" i="115"/>
  <c r="G1429" i="115"/>
  <c r="F1429" i="115"/>
  <c r="E1429" i="115"/>
  <c r="A1429" i="115"/>
  <c r="K1428" i="115"/>
  <c r="I1428" i="115"/>
  <c r="H1428" i="115"/>
  <c r="G1428" i="115"/>
  <c r="F1428" i="115"/>
  <c r="E1428" i="115"/>
  <c r="A1428" i="115"/>
  <c r="K1427" i="115"/>
  <c r="I1427" i="115"/>
  <c r="H1427" i="115"/>
  <c r="G1427" i="115"/>
  <c r="F1427" i="115"/>
  <c r="E1427" i="115"/>
  <c r="A1427" i="115"/>
  <c r="K1426" i="115"/>
  <c r="I1426" i="115"/>
  <c r="H1426" i="115"/>
  <c r="G1426" i="115"/>
  <c r="F1426" i="115"/>
  <c r="E1426" i="115"/>
  <c r="A1426" i="115"/>
  <c r="K1425" i="115"/>
  <c r="I1425" i="115"/>
  <c r="H1425" i="115"/>
  <c r="G1425" i="115"/>
  <c r="F1425" i="115"/>
  <c r="E1425" i="115"/>
  <c r="A1425" i="115"/>
  <c r="K1424" i="115"/>
  <c r="I1424" i="115"/>
  <c r="H1424" i="115"/>
  <c r="G1424" i="115"/>
  <c r="F1424" i="115"/>
  <c r="E1424" i="115"/>
  <c r="A1424" i="115"/>
  <c r="K1423" i="115"/>
  <c r="I1423" i="115"/>
  <c r="H1423" i="115"/>
  <c r="G1423" i="115"/>
  <c r="F1423" i="115"/>
  <c r="E1423" i="115"/>
  <c r="A1423" i="115"/>
  <c r="K1422" i="115"/>
  <c r="I1422" i="115"/>
  <c r="H1422" i="115"/>
  <c r="G1422" i="115"/>
  <c r="F1422" i="115"/>
  <c r="E1422" i="115"/>
  <c r="A1422" i="115"/>
  <c r="K1421" i="115"/>
  <c r="I1421" i="115"/>
  <c r="H1421" i="115"/>
  <c r="G1421" i="115"/>
  <c r="F1421" i="115"/>
  <c r="E1421" i="115"/>
  <c r="A1421" i="115"/>
  <c r="K1420" i="115"/>
  <c r="I1420" i="115"/>
  <c r="H1420" i="115"/>
  <c r="G1420" i="115"/>
  <c r="F1420" i="115"/>
  <c r="E1420" i="115"/>
  <c r="A1420" i="115"/>
  <c r="K1419" i="115"/>
  <c r="I1419" i="115"/>
  <c r="H1419" i="115"/>
  <c r="G1419" i="115"/>
  <c r="F1419" i="115"/>
  <c r="E1419" i="115"/>
  <c r="A1419" i="115"/>
  <c r="K1418" i="115"/>
  <c r="I1418" i="115"/>
  <c r="H1418" i="115"/>
  <c r="G1418" i="115"/>
  <c r="F1418" i="115"/>
  <c r="E1418" i="115"/>
  <c r="A1418" i="115"/>
  <c r="K1417" i="115"/>
  <c r="I1417" i="115"/>
  <c r="H1417" i="115"/>
  <c r="G1417" i="115"/>
  <c r="F1417" i="115"/>
  <c r="E1417" i="115"/>
  <c r="A1417" i="115"/>
  <c r="K1416" i="115"/>
  <c r="I1416" i="115"/>
  <c r="H1416" i="115"/>
  <c r="G1416" i="115"/>
  <c r="F1416" i="115"/>
  <c r="E1416" i="115"/>
  <c r="A1416" i="115"/>
  <c r="K1415" i="115"/>
  <c r="I1415" i="115"/>
  <c r="H1415" i="115"/>
  <c r="G1415" i="115"/>
  <c r="F1415" i="115"/>
  <c r="E1415" i="115"/>
  <c r="A1415" i="115"/>
  <c r="K1414" i="115"/>
  <c r="I1414" i="115"/>
  <c r="H1414" i="115"/>
  <c r="G1414" i="115"/>
  <c r="F1414" i="115"/>
  <c r="E1414" i="115"/>
  <c r="A1414" i="115"/>
  <c r="K1413" i="115"/>
  <c r="I1413" i="115"/>
  <c r="H1413" i="115"/>
  <c r="G1413" i="115"/>
  <c r="F1413" i="115"/>
  <c r="E1413" i="115"/>
  <c r="A1413" i="115"/>
  <c r="K1412" i="115"/>
  <c r="I1412" i="115"/>
  <c r="H1412" i="115"/>
  <c r="G1412" i="115"/>
  <c r="F1412" i="115"/>
  <c r="E1412" i="115"/>
  <c r="A1412" i="115"/>
  <c r="K1411" i="115"/>
  <c r="I1411" i="115"/>
  <c r="H1411" i="115"/>
  <c r="G1411" i="115"/>
  <c r="F1411" i="115"/>
  <c r="E1411" i="115"/>
  <c r="A1411" i="115"/>
  <c r="K1410" i="115"/>
  <c r="I1410" i="115"/>
  <c r="H1410" i="115"/>
  <c r="G1410" i="115"/>
  <c r="F1410" i="115"/>
  <c r="E1410" i="115"/>
  <c r="A1410" i="115"/>
  <c r="K1409" i="115"/>
  <c r="I1409" i="115"/>
  <c r="H1409" i="115"/>
  <c r="G1409" i="115"/>
  <c r="F1409" i="115"/>
  <c r="E1409" i="115"/>
  <c r="A1409" i="115"/>
  <c r="K1408" i="115"/>
  <c r="I1408" i="115"/>
  <c r="H1408" i="115"/>
  <c r="G1408" i="115"/>
  <c r="F1408" i="115"/>
  <c r="E1408" i="115"/>
  <c r="A1408" i="115"/>
  <c r="K1407" i="115"/>
  <c r="I1407" i="115"/>
  <c r="H1407" i="115"/>
  <c r="G1407" i="115"/>
  <c r="F1407" i="115"/>
  <c r="E1407" i="115"/>
  <c r="A1407" i="115"/>
  <c r="K1406" i="115"/>
  <c r="I1406" i="115"/>
  <c r="H1406" i="115"/>
  <c r="G1406" i="115"/>
  <c r="F1406" i="115"/>
  <c r="E1406" i="115"/>
  <c r="A1406" i="115"/>
  <c r="K1405" i="115"/>
  <c r="I1405" i="115"/>
  <c r="H1405" i="115"/>
  <c r="G1405" i="115"/>
  <c r="F1405" i="115"/>
  <c r="E1405" i="115"/>
  <c r="A1405" i="115"/>
  <c r="K1404" i="115"/>
  <c r="I1404" i="115"/>
  <c r="H1404" i="115"/>
  <c r="G1404" i="115"/>
  <c r="F1404" i="115"/>
  <c r="E1404" i="115"/>
  <c r="A1404" i="115"/>
  <c r="K1403" i="115"/>
  <c r="I1403" i="115"/>
  <c r="H1403" i="115"/>
  <c r="G1403" i="115"/>
  <c r="F1403" i="115"/>
  <c r="E1403" i="115"/>
  <c r="A1403" i="115"/>
  <c r="K1402" i="115"/>
  <c r="I1402" i="115"/>
  <c r="H1402" i="115"/>
  <c r="G1402" i="115"/>
  <c r="F1402" i="115"/>
  <c r="E1402" i="115"/>
  <c r="A1402" i="115"/>
  <c r="K1401" i="115"/>
  <c r="I1401" i="115"/>
  <c r="H1401" i="115"/>
  <c r="G1401" i="115"/>
  <c r="F1401" i="115"/>
  <c r="E1401" i="115"/>
  <c r="A1401" i="115"/>
  <c r="K1400" i="115"/>
  <c r="I1400" i="115"/>
  <c r="H1400" i="115"/>
  <c r="G1400" i="115"/>
  <c r="F1400" i="115"/>
  <c r="E1400" i="115"/>
  <c r="A1400" i="115"/>
  <c r="K1399" i="115"/>
  <c r="I1399" i="115"/>
  <c r="H1399" i="115"/>
  <c r="G1399" i="115"/>
  <c r="F1399" i="115"/>
  <c r="E1399" i="115"/>
  <c r="A1399" i="115"/>
  <c r="K1398" i="115"/>
  <c r="I1398" i="115"/>
  <c r="H1398" i="115"/>
  <c r="G1398" i="115"/>
  <c r="F1398" i="115"/>
  <c r="E1398" i="115"/>
  <c r="A1398" i="115"/>
  <c r="K1397" i="115"/>
  <c r="I1397" i="115"/>
  <c r="H1397" i="115"/>
  <c r="G1397" i="115"/>
  <c r="F1397" i="115"/>
  <c r="E1397" i="115"/>
  <c r="A1397" i="115"/>
  <c r="K1396" i="115"/>
  <c r="I1396" i="115"/>
  <c r="H1396" i="115"/>
  <c r="G1396" i="115"/>
  <c r="F1396" i="115"/>
  <c r="E1396" i="115"/>
  <c r="A1396" i="115"/>
  <c r="K1395" i="115"/>
  <c r="I1395" i="115"/>
  <c r="H1395" i="115"/>
  <c r="G1395" i="115"/>
  <c r="F1395" i="115"/>
  <c r="E1395" i="115"/>
  <c r="A1395" i="115"/>
  <c r="K1394" i="115"/>
  <c r="I1394" i="115"/>
  <c r="H1394" i="115"/>
  <c r="G1394" i="115"/>
  <c r="F1394" i="115"/>
  <c r="E1394" i="115"/>
  <c r="A1394" i="115"/>
  <c r="K1393" i="115"/>
  <c r="I1393" i="115"/>
  <c r="H1393" i="115"/>
  <c r="G1393" i="115"/>
  <c r="F1393" i="115"/>
  <c r="E1393" i="115"/>
  <c r="A1393" i="115"/>
  <c r="K1392" i="115"/>
  <c r="I1392" i="115"/>
  <c r="H1392" i="115"/>
  <c r="G1392" i="115"/>
  <c r="F1392" i="115"/>
  <c r="E1392" i="115"/>
  <c r="A1392" i="115"/>
  <c r="K1391" i="115"/>
  <c r="I1391" i="115"/>
  <c r="H1391" i="115"/>
  <c r="G1391" i="115"/>
  <c r="F1391" i="115"/>
  <c r="E1391" i="115"/>
  <c r="A1391" i="115"/>
  <c r="K1390" i="115"/>
  <c r="I1390" i="115"/>
  <c r="H1390" i="115"/>
  <c r="G1390" i="115"/>
  <c r="F1390" i="115"/>
  <c r="E1390" i="115"/>
  <c r="A1390" i="115"/>
  <c r="K1389" i="115"/>
  <c r="I1389" i="115"/>
  <c r="H1389" i="115"/>
  <c r="G1389" i="115"/>
  <c r="F1389" i="115"/>
  <c r="E1389" i="115"/>
  <c r="A1389" i="115"/>
  <c r="K1388" i="115"/>
  <c r="I1388" i="115"/>
  <c r="H1388" i="115"/>
  <c r="G1388" i="115"/>
  <c r="F1388" i="115"/>
  <c r="E1388" i="115"/>
  <c r="A1388" i="115"/>
  <c r="K1387" i="115"/>
  <c r="I1387" i="115"/>
  <c r="H1387" i="115"/>
  <c r="G1387" i="115"/>
  <c r="F1387" i="115"/>
  <c r="E1387" i="115"/>
  <c r="A1387" i="115"/>
  <c r="K1386" i="115"/>
  <c r="I1386" i="115"/>
  <c r="H1386" i="115"/>
  <c r="G1386" i="115"/>
  <c r="F1386" i="115"/>
  <c r="E1386" i="115"/>
  <c r="A1386" i="115"/>
  <c r="K1385" i="115"/>
  <c r="I1385" i="115"/>
  <c r="H1385" i="115"/>
  <c r="G1385" i="115"/>
  <c r="F1385" i="115"/>
  <c r="E1385" i="115"/>
  <c r="A1385" i="115"/>
  <c r="K1384" i="115"/>
  <c r="I1384" i="115"/>
  <c r="H1384" i="115"/>
  <c r="G1384" i="115"/>
  <c r="F1384" i="115"/>
  <c r="E1384" i="115"/>
  <c r="A1384" i="115"/>
  <c r="K1383" i="115"/>
  <c r="I1383" i="115"/>
  <c r="H1383" i="115"/>
  <c r="G1383" i="115"/>
  <c r="F1383" i="115"/>
  <c r="E1383" i="115"/>
  <c r="A1383" i="115"/>
  <c r="K1382" i="115"/>
  <c r="I1382" i="115"/>
  <c r="H1382" i="115"/>
  <c r="G1382" i="115"/>
  <c r="F1382" i="115"/>
  <c r="E1382" i="115"/>
  <c r="A1382" i="115"/>
  <c r="K1381" i="115"/>
  <c r="I1381" i="115"/>
  <c r="H1381" i="115"/>
  <c r="G1381" i="115"/>
  <c r="F1381" i="115"/>
  <c r="E1381" i="115"/>
  <c r="A1381" i="115"/>
  <c r="K1380" i="115"/>
  <c r="I1380" i="115"/>
  <c r="H1380" i="115"/>
  <c r="G1380" i="115"/>
  <c r="F1380" i="115"/>
  <c r="E1380" i="115"/>
  <c r="A1380" i="115"/>
  <c r="K1379" i="115"/>
  <c r="I1379" i="115"/>
  <c r="H1379" i="115"/>
  <c r="G1379" i="115"/>
  <c r="F1379" i="115"/>
  <c r="E1379" i="115"/>
  <c r="A1379" i="115"/>
  <c r="K1378" i="115"/>
  <c r="I1378" i="115"/>
  <c r="H1378" i="115"/>
  <c r="G1378" i="115"/>
  <c r="F1378" i="115"/>
  <c r="E1378" i="115"/>
  <c r="A1378" i="115"/>
  <c r="K1377" i="115"/>
  <c r="I1377" i="115"/>
  <c r="H1377" i="115"/>
  <c r="G1377" i="115"/>
  <c r="F1377" i="115"/>
  <c r="E1377" i="115"/>
  <c r="A1377" i="115"/>
  <c r="K1376" i="115"/>
  <c r="I1376" i="115"/>
  <c r="H1376" i="115"/>
  <c r="G1376" i="115"/>
  <c r="F1376" i="115"/>
  <c r="E1376" i="115"/>
  <c r="A1376" i="115"/>
  <c r="K1375" i="115"/>
  <c r="I1375" i="115"/>
  <c r="H1375" i="115"/>
  <c r="G1375" i="115"/>
  <c r="F1375" i="115"/>
  <c r="E1375" i="115"/>
  <c r="A1375" i="115"/>
  <c r="K1374" i="115"/>
  <c r="I1374" i="115"/>
  <c r="H1374" i="115"/>
  <c r="G1374" i="115"/>
  <c r="F1374" i="115"/>
  <c r="E1374" i="115"/>
  <c r="A1374" i="115"/>
  <c r="K1373" i="115"/>
  <c r="I1373" i="115"/>
  <c r="H1373" i="115"/>
  <c r="G1373" i="115"/>
  <c r="F1373" i="115"/>
  <c r="E1373" i="115"/>
  <c r="A1373" i="115"/>
  <c r="K1372" i="115"/>
  <c r="I1372" i="115"/>
  <c r="H1372" i="115"/>
  <c r="G1372" i="115"/>
  <c r="F1372" i="115"/>
  <c r="E1372" i="115"/>
  <c r="A1372" i="115"/>
  <c r="K1371" i="115"/>
  <c r="I1371" i="115"/>
  <c r="H1371" i="115"/>
  <c r="G1371" i="115"/>
  <c r="F1371" i="115"/>
  <c r="E1371" i="115"/>
  <c r="A1371" i="115"/>
  <c r="K1370" i="115"/>
  <c r="I1370" i="115"/>
  <c r="H1370" i="115"/>
  <c r="G1370" i="115"/>
  <c r="F1370" i="115"/>
  <c r="E1370" i="115"/>
  <c r="A1370" i="115"/>
  <c r="K1369" i="115"/>
  <c r="I1369" i="115"/>
  <c r="H1369" i="115"/>
  <c r="G1369" i="115"/>
  <c r="F1369" i="115"/>
  <c r="E1369" i="115"/>
  <c r="A1369" i="115"/>
  <c r="K1368" i="115"/>
  <c r="I1368" i="115"/>
  <c r="H1368" i="115"/>
  <c r="G1368" i="115"/>
  <c r="F1368" i="115"/>
  <c r="E1368" i="115"/>
  <c r="A1368" i="115"/>
  <c r="K1367" i="115"/>
  <c r="I1367" i="115"/>
  <c r="H1367" i="115"/>
  <c r="G1367" i="115"/>
  <c r="F1367" i="115"/>
  <c r="E1367" i="115"/>
  <c r="A1367" i="115"/>
  <c r="K1366" i="115"/>
  <c r="I1366" i="115"/>
  <c r="H1366" i="115"/>
  <c r="G1366" i="115"/>
  <c r="F1366" i="115"/>
  <c r="E1366" i="115"/>
  <c r="A1366" i="115"/>
  <c r="K1365" i="115"/>
  <c r="I1365" i="115"/>
  <c r="H1365" i="115"/>
  <c r="G1365" i="115"/>
  <c r="F1365" i="115"/>
  <c r="E1365" i="115"/>
  <c r="A1365" i="115"/>
  <c r="K1364" i="115"/>
  <c r="I1364" i="115"/>
  <c r="H1364" i="115"/>
  <c r="G1364" i="115"/>
  <c r="F1364" i="115"/>
  <c r="E1364" i="115"/>
  <c r="A1364" i="115"/>
  <c r="K1363" i="115"/>
  <c r="I1363" i="115"/>
  <c r="H1363" i="115"/>
  <c r="G1363" i="115"/>
  <c r="F1363" i="115"/>
  <c r="E1363" i="115"/>
  <c r="A1363" i="115"/>
  <c r="K1362" i="115"/>
  <c r="I1362" i="115"/>
  <c r="H1362" i="115"/>
  <c r="G1362" i="115"/>
  <c r="F1362" i="115"/>
  <c r="E1362" i="115"/>
  <c r="A1362" i="115"/>
  <c r="K1361" i="115"/>
  <c r="I1361" i="115"/>
  <c r="H1361" i="115"/>
  <c r="G1361" i="115"/>
  <c r="F1361" i="115"/>
  <c r="E1361" i="115"/>
  <c r="A1361" i="115"/>
  <c r="K1360" i="115"/>
  <c r="I1360" i="115"/>
  <c r="H1360" i="115"/>
  <c r="G1360" i="115"/>
  <c r="F1360" i="115"/>
  <c r="E1360" i="115"/>
  <c r="A1360" i="115"/>
  <c r="K1359" i="115"/>
  <c r="I1359" i="115"/>
  <c r="H1359" i="115"/>
  <c r="G1359" i="115"/>
  <c r="F1359" i="115"/>
  <c r="E1359" i="115"/>
  <c r="A1359" i="115"/>
  <c r="K1358" i="115"/>
  <c r="I1358" i="115"/>
  <c r="H1358" i="115"/>
  <c r="G1358" i="115"/>
  <c r="F1358" i="115"/>
  <c r="E1358" i="115"/>
  <c r="A1358" i="115"/>
  <c r="K1357" i="115"/>
  <c r="I1357" i="115"/>
  <c r="H1357" i="115"/>
  <c r="G1357" i="115"/>
  <c r="F1357" i="115"/>
  <c r="E1357" i="115"/>
  <c r="A1357" i="115"/>
  <c r="K1356" i="115"/>
  <c r="I1356" i="115"/>
  <c r="H1356" i="115"/>
  <c r="G1356" i="115"/>
  <c r="F1356" i="115"/>
  <c r="E1356" i="115"/>
  <c r="A1356" i="115"/>
  <c r="K1355" i="115"/>
  <c r="I1355" i="115"/>
  <c r="H1355" i="115"/>
  <c r="G1355" i="115"/>
  <c r="F1355" i="115"/>
  <c r="E1355" i="115"/>
  <c r="A1355" i="115"/>
  <c r="K1354" i="115"/>
  <c r="I1354" i="115"/>
  <c r="H1354" i="115"/>
  <c r="G1354" i="115"/>
  <c r="F1354" i="115"/>
  <c r="E1354" i="115"/>
  <c r="A1354" i="115"/>
  <c r="K1353" i="115"/>
  <c r="I1353" i="115"/>
  <c r="H1353" i="115"/>
  <c r="G1353" i="115"/>
  <c r="F1353" i="115"/>
  <c r="E1353" i="115"/>
  <c r="A1353" i="115"/>
  <c r="K1352" i="115"/>
  <c r="I1352" i="115"/>
  <c r="H1352" i="115"/>
  <c r="G1352" i="115"/>
  <c r="F1352" i="115"/>
  <c r="E1352" i="115"/>
  <c r="A1352" i="115"/>
  <c r="K1351" i="115"/>
  <c r="I1351" i="115"/>
  <c r="H1351" i="115"/>
  <c r="G1351" i="115"/>
  <c r="F1351" i="115"/>
  <c r="E1351" i="115"/>
  <c r="A1351" i="115"/>
  <c r="K1350" i="115"/>
  <c r="I1350" i="115"/>
  <c r="H1350" i="115"/>
  <c r="G1350" i="115"/>
  <c r="F1350" i="115"/>
  <c r="E1350" i="115"/>
  <c r="A1350" i="115"/>
  <c r="K1349" i="115"/>
  <c r="I1349" i="115"/>
  <c r="H1349" i="115"/>
  <c r="G1349" i="115"/>
  <c r="F1349" i="115"/>
  <c r="E1349" i="115"/>
  <c r="A1349" i="115"/>
  <c r="K1348" i="115"/>
  <c r="I1348" i="115"/>
  <c r="H1348" i="115"/>
  <c r="G1348" i="115"/>
  <c r="F1348" i="115"/>
  <c r="E1348" i="115"/>
  <c r="A1348" i="115"/>
  <c r="K1347" i="115"/>
  <c r="I1347" i="115"/>
  <c r="H1347" i="115"/>
  <c r="G1347" i="115"/>
  <c r="F1347" i="115"/>
  <c r="E1347" i="115"/>
  <c r="A1347" i="115"/>
  <c r="K1346" i="115"/>
  <c r="I1346" i="115"/>
  <c r="H1346" i="115"/>
  <c r="G1346" i="115"/>
  <c r="F1346" i="115"/>
  <c r="E1346" i="115"/>
  <c r="A1346" i="115"/>
  <c r="K1345" i="115"/>
  <c r="I1345" i="115"/>
  <c r="H1345" i="115"/>
  <c r="G1345" i="115"/>
  <c r="F1345" i="115"/>
  <c r="E1345" i="115"/>
  <c r="A1345" i="115"/>
  <c r="K1344" i="115"/>
  <c r="I1344" i="115"/>
  <c r="H1344" i="115"/>
  <c r="G1344" i="115"/>
  <c r="F1344" i="115"/>
  <c r="E1344" i="115"/>
  <c r="A1344" i="115"/>
  <c r="K1343" i="115"/>
  <c r="I1343" i="115"/>
  <c r="H1343" i="115"/>
  <c r="G1343" i="115"/>
  <c r="F1343" i="115"/>
  <c r="E1343" i="115"/>
  <c r="A1343" i="115"/>
  <c r="K1342" i="115"/>
  <c r="I1342" i="115"/>
  <c r="H1342" i="115"/>
  <c r="G1342" i="115"/>
  <c r="F1342" i="115"/>
  <c r="E1342" i="115"/>
  <c r="A1342" i="115"/>
  <c r="K1341" i="115"/>
  <c r="I1341" i="115"/>
  <c r="H1341" i="115"/>
  <c r="G1341" i="115"/>
  <c r="F1341" i="115"/>
  <c r="E1341" i="115"/>
  <c r="A1341" i="115"/>
  <c r="K1340" i="115"/>
  <c r="I1340" i="115"/>
  <c r="H1340" i="115"/>
  <c r="G1340" i="115"/>
  <c r="F1340" i="115"/>
  <c r="E1340" i="115"/>
  <c r="A1340" i="115"/>
  <c r="K1339" i="115"/>
  <c r="I1339" i="115"/>
  <c r="H1339" i="115"/>
  <c r="G1339" i="115"/>
  <c r="F1339" i="115"/>
  <c r="E1339" i="115"/>
  <c r="A1339" i="115"/>
  <c r="K1338" i="115"/>
  <c r="I1338" i="115"/>
  <c r="H1338" i="115"/>
  <c r="G1338" i="115"/>
  <c r="F1338" i="115"/>
  <c r="E1338" i="115"/>
  <c r="A1338" i="115"/>
  <c r="K1337" i="115"/>
  <c r="I1337" i="115"/>
  <c r="H1337" i="115"/>
  <c r="G1337" i="115"/>
  <c r="F1337" i="115"/>
  <c r="E1337" i="115"/>
  <c r="A1337" i="115"/>
  <c r="K1336" i="115"/>
  <c r="I1336" i="115"/>
  <c r="H1336" i="115"/>
  <c r="G1336" i="115"/>
  <c r="F1336" i="115"/>
  <c r="E1336" i="115"/>
  <c r="A1336" i="115"/>
  <c r="K1335" i="115"/>
  <c r="I1335" i="115"/>
  <c r="H1335" i="115"/>
  <c r="G1335" i="115"/>
  <c r="F1335" i="115"/>
  <c r="E1335" i="115"/>
  <c r="A1335" i="115"/>
  <c r="K1334" i="115"/>
  <c r="I1334" i="115"/>
  <c r="H1334" i="115"/>
  <c r="G1334" i="115"/>
  <c r="F1334" i="115"/>
  <c r="E1334" i="115"/>
  <c r="A1334" i="115"/>
  <c r="K1333" i="115"/>
  <c r="I1333" i="115"/>
  <c r="H1333" i="115"/>
  <c r="G1333" i="115"/>
  <c r="F1333" i="115"/>
  <c r="E1333" i="115"/>
  <c r="A1333" i="115"/>
  <c r="K1332" i="115"/>
  <c r="I1332" i="115"/>
  <c r="H1332" i="115"/>
  <c r="G1332" i="115"/>
  <c r="F1332" i="115"/>
  <c r="E1332" i="115"/>
  <c r="A1332" i="115"/>
  <c r="K1331" i="115"/>
  <c r="I1331" i="115"/>
  <c r="H1331" i="115"/>
  <c r="G1331" i="115"/>
  <c r="F1331" i="115"/>
  <c r="E1331" i="115"/>
  <c r="A1331" i="115"/>
  <c r="K1330" i="115"/>
  <c r="I1330" i="115"/>
  <c r="H1330" i="115"/>
  <c r="G1330" i="115"/>
  <c r="F1330" i="115"/>
  <c r="E1330" i="115"/>
  <c r="A1330" i="115"/>
  <c r="K1329" i="115"/>
  <c r="I1329" i="115"/>
  <c r="H1329" i="115"/>
  <c r="G1329" i="115"/>
  <c r="F1329" i="115"/>
  <c r="E1329" i="115"/>
  <c r="A1329" i="115"/>
  <c r="K1328" i="115"/>
  <c r="I1328" i="115"/>
  <c r="H1328" i="115"/>
  <c r="G1328" i="115"/>
  <c r="F1328" i="115"/>
  <c r="E1328" i="115"/>
  <c r="A1328" i="115"/>
  <c r="K1327" i="115"/>
  <c r="I1327" i="115"/>
  <c r="H1327" i="115"/>
  <c r="G1327" i="115"/>
  <c r="F1327" i="115"/>
  <c r="E1327" i="115"/>
  <c r="A1327" i="115"/>
  <c r="K1326" i="115"/>
  <c r="I1326" i="115"/>
  <c r="H1326" i="115"/>
  <c r="G1326" i="115"/>
  <c r="F1326" i="115"/>
  <c r="E1326" i="115"/>
  <c r="A1326" i="115"/>
  <c r="K1325" i="115"/>
  <c r="I1325" i="115"/>
  <c r="H1325" i="115"/>
  <c r="G1325" i="115"/>
  <c r="F1325" i="115"/>
  <c r="E1325" i="115"/>
  <c r="A1325" i="115"/>
  <c r="K1324" i="115"/>
  <c r="I1324" i="115"/>
  <c r="H1324" i="115"/>
  <c r="G1324" i="115"/>
  <c r="F1324" i="115"/>
  <c r="E1324" i="115"/>
  <c r="A1324" i="115"/>
  <c r="K1323" i="115"/>
  <c r="I1323" i="115"/>
  <c r="H1323" i="115"/>
  <c r="G1323" i="115"/>
  <c r="F1323" i="115"/>
  <c r="E1323" i="115"/>
  <c r="A1323" i="115"/>
  <c r="K1322" i="115"/>
  <c r="I1322" i="115"/>
  <c r="H1322" i="115"/>
  <c r="G1322" i="115"/>
  <c r="F1322" i="115"/>
  <c r="E1322" i="115"/>
  <c r="A1322" i="115"/>
  <c r="K1321" i="115"/>
  <c r="I1321" i="115"/>
  <c r="H1321" i="115"/>
  <c r="G1321" i="115"/>
  <c r="F1321" i="115"/>
  <c r="E1321" i="115"/>
  <c r="A1321" i="115"/>
  <c r="K1320" i="115"/>
  <c r="I1320" i="115"/>
  <c r="H1320" i="115"/>
  <c r="G1320" i="115"/>
  <c r="F1320" i="115"/>
  <c r="E1320" i="115"/>
  <c r="A1320" i="115"/>
  <c r="K1319" i="115"/>
  <c r="I1319" i="115"/>
  <c r="H1319" i="115"/>
  <c r="G1319" i="115"/>
  <c r="F1319" i="115"/>
  <c r="E1319" i="115"/>
  <c r="A1319" i="115"/>
  <c r="K1318" i="115"/>
  <c r="I1318" i="115"/>
  <c r="H1318" i="115"/>
  <c r="G1318" i="115"/>
  <c r="F1318" i="115"/>
  <c r="E1318" i="115"/>
  <c r="A1318" i="115"/>
  <c r="K1317" i="115"/>
  <c r="I1317" i="115"/>
  <c r="H1317" i="115"/>
  <c r="G1317" i="115"/>
  <c r="F1317" i="115"/>
  <c r="E1317" i="115"/>
  <c r="A1317" i="115"/>
  <c r="K1316" i="115"/>
  <c r="I1316" i="115"/>
  <c r="H1316" i="115"/>
  <c r="G1316" i="115"/>
  <c r="F1316" i="115"/>
  <c r="E1316" i="115"/>
  <c r="A1316" i="115"/>
  <c r="K1315" i="115"/>
  <c r="I1315" i="115"/>
  <c r="H1315" i="115"/>
  <c r="G1315" i="115"/>
  <c r="F1315" i="115"/>
  <c r="E1315" i="115"/>
  <c r="A1315" i="115"/>
  <c r="K1314" i="115"/>
  <c r="I1314" i="115"/>
  <c r="H1314" i="115"/>
  <c r="G1314" i="115"/>
  <c r="F1314" i="115"/>
  <c r="E1314" i="115"/>
  <c r="A1314" i="115"/>
  <c r="K1313" i="115"/>
  <c r="I1313" i="115"/>
  <c r="H1313" i="115"/>
  <c r="G1313" i="115"/>
  <c r="F1313" i="115"/>
  <c r="E1313" i="115"/>
  <c r="A1313" i="115"/>
  <c r="K1312" i="115"/>
  <c r="I1312" i="115"/>
  <c r="H1312" i="115"/>
  <c r="G1312" i="115"/>
  <c r="F1312" i="115"/>
  <c r="E1312" i="115"/>
  <c r="A1312" i="115"/>
  <c r="K1311" i="115"/>
  <c r="I1311" i="115"/>
  <c r="H1311" i="115"/>
  <c r="G1311" i="115"/>
  <c r="F1311" i="115"/>
  <c r="E1311" i="115"/>
  <c r="A1311" i="115"/>
  <c r="K1310" i="115"/>
  <c r="I1310" i="115"/>
  <c r="H1310" i="115"/>
  <c r="G1310" i="115"/>
  <c r="F1310" i="115"/>
  <c r="E1310" i="115"/>
  <c r="A1310" i="115"/>
  <c r="K1309" i="115"/>
  <c r="I1309" i="115"/>
  <c r="H1309" i="115"/>
  <c r="G1309" i="115"/>
  <c r="F1309" i="115"/>
  <c r="E1309" i="115"/>
  <c r="A1309" i="115"/>
  <c r="K1308" i="115"/>
  <c r="I1308" i="115"/>
  <c r="H1308" i="115"/>
  <c r="G1308" i="115"/>
  <c r="F1308" i="115"/>
  <c r="E1308" i="115"/>
  <c r="A1308" i="115"/>
  <c r="K1307" i="115"/>
  <c r="I1307" i="115"/>
  <c r="H1307" i="115"/>
  <c r="G1307" i="115"/>
  <c r="F1307" i="115"/>
  <c r="E1307" i="115"/>
  <c r="A1307" i="115"/>
  <c r="K1306" i="115"/>
  <c r="I1306" i="115"/>
  <c r="H1306" i="115"/>
  <c r="G1306" i="115"/>
  <c r="F1306" i="115"/>
  <c r="E1306" i="115"/>
  <c r="A1306" i="115"/>
  <c r="K1305" i="115"/>
  <c r="I1305" i="115"/>
  <c r="H1305" i="115"/>
  <c r="G1305" i="115"/>
  <c r="F1305" i="115"/>
  <c r="E1305" i="115"/>
  <c r="A1305" i="115"/>
  <c r="K1304" i="115"/>
  <c r="I1304" i="115"/>
  <c r="H1304" i="115"/>
  <c r="G1304" i="115"/>
  <c r="F1304" i="115"/>
  <c r="E1304" i="115"/>
  <c r="A1304" i="115"/>
  <c r="K1303" i="115"/>
  <c r="I1303" i="115"/>
  <c r="H1303" i="115"/>
  <c r="G1303" i="115"/>
  <c r="F1303" i="115"/>
  <c r="E1303" i="115"/>
  <c r="A1303" i="115"/>
  <c r="K1302" i="115"/>
  <c r="I1302" i="115"/>
  <c r="H1302" i="115"/>
  <c r="G1302" i="115"/>
  <c r="F1302" i="115"/>
  <c r="E1302" i="115"/>
  <c r="A1302" i="115"/>
  <c r="K1301" i="115"/>
  <c r="I1301" i="115"/>
  <c r="H1301" i="115"/>
  <c r="G1301" i="115"/>
  <c r="F1301" i="115"/>
  <c r="E1301" i="115"/>
  <c r="A1301" i="115"/>
  <c r="K1300" i="115"/>
  <c r="I1300" i="115"/>
  <c r="H1300" i="115"/>
  <c r="G1300" i="115"/>
  <c r="F1300" i="115"/>
  <c r="E1300" i="115"/>
  <c r="A1300" i="115"/>
  <c r="K1299" i="115"/>
  <c r="I1299" i="115"/>
  <c r="H1299" i="115"/>
  <c r="G1299" i="115"/>
  <c r="F1299" i="115"/>
  <c r="E1299" i="115"/>
  <c r="A1299" i="115"/>
  <c r="K1298" i="115"/>
  <c r="I1298" i="115"/>
  <c r="H1298" i="115"/>
  <c r="G1298" i="115"/>
  <c r="F1298" i="115"/>
  <c r="E1298" i="115"/>
  <c r="A1298" i="115"/>
  <c r="K1297" i="115"/>
  <c r="I1297" i="115"/>
  <c r="H1297" i="115"/>
  <c r="G1297" i="115"/>
  <c r="F1297" i="115"/>
  <c r="E1297" i="115"/>
  <c r="A1297" i="115"/>
  <c r="K1296" i="115"/>
  <c r="I1296" i="115"/>
  <c r="H1296" i="115"/>
  <c r="G1296" i="115"/>
  <c r="F1296" i="115"/>
  <c r="E1296" i="115"/>
  <c r="A1296" i="115"/>
  <c r="K1295" i="115"/>
  <c r="I1295" i="115"/>
  <c r="H1295" i="115"/>
  <c r="G1295" i="115"/>
  <c r="F1295" i="115"/>
  <c r="E1295" i="115"/>
  <c r="A1295" i="115"/>
  <c r="K1294" i="115"/>
  <c r="I1294" i="115"/>
  <c r="H1294" i="115"/>
  <c r="G1294" i="115"/>
  <c r="F1294" i="115"/>
  <c r="E1294" i="115"/>
  <c r="A1294" i="115"/>
  <c r="K1293" i="115"/>
  <c r="I1293" i="115"/>
  <c r="H1293" i="115"/>
  <c r="G1293" i="115"/>
  <c r="F1293" i="115"/>
  <c r="E1293" i="115"/>
  <c r="A1293" i="115"/>
  <c r="K1292" i="115"/>
  <c r="I1292" i="115"/>
  <c r="H1292" i="115"/>
  <c r="G1292" i="115"/>
  <c r="F1292" i="115"/>
  <c r="E1292" i="115"/>
  <c r="A1292" i="115"/>
  <c r="K1291" i="115"/>
  <c r="I1291" i="115"/>
  <c r="H1291" i="115"/>
  <c r="G1291" i="115"/>
  <c r="F1291" i="115"/>
  <c r="E1291" i="115"/>
  <c r="A1291" i="115"/>
  <c r="K1290" i="115"/>
  <c r="I1290" i="115"/>
  <c r="H1290" i="115"/>
  <c r="G1290" i="115"/>
  <c r="F1290" i="115"/>
  <c r="E1290" i="115"/>
  <c r="A1290" i="115"/>
  <c r="K1289" i="115"/>
  <c r="I1289" i="115"/>
  <c r="H1289" i="115"/>
  <c r="G1289" i="115"/>
  <c r="F1289" i="115"/>
  <c r="E1289" i="115"/>
  <c r="A1289" i="115"/>
  <c r="K1288" i="115"/>
  <c r="I1288" i="115"/>
  <c r="H1288" i="115"/>
  <c r="G1288" i="115"/>
  <c r="F1288" i="115"/>
  <c r="E1288" i="115"/>
  <c r="A1288" i="115"/>
  <c r="K1287" i="115"/>
  <c r="I1287" i="115"/>
  <c r="H1287" i="115"/>
  <c r="G1287" i="115"/>
  <c r="F1287" i="115"/>
  <c r="E1287" i="115"/>
  <c r="A1287" i="115"/>
  <c r="K1286" i="115"/>
  <c r="I1286" i="115"/>
  <c r="H1286" i="115"/>
  <c r="G1286" i="115"/>
  <c r="F1286" i="115"/>
  <c r="E1286" i="115"/>
  <c r="A1286" i="115"/>
  <c r="K1285" i="115"/>
  <c r="I1285" i="115"/>
  <c r="H1285" i="115"/>
  <c r="G1285" i="115"/>
  <c r="F1285" i="115"/>
  <c r="E1285" i="115"/>
  <c r="A1285" i="115"/>
  <c r="K1284" i="115"/>
  <c r="I1284" i="115"/>
  <c r="H1284" i="115"/>
  <c r="G1284" i="115"/>
  <c r="F1284" i="115"/>
  <c r="E1284" i="115"/>
  <c r="A1284" i="115"/>
  <c r="K1283" i="115"/>
  <c r="I1283" i="115"/>
  <c r="H1283" i="115"/>
  <c r="G1283" i="115"/>
  <c r="F1283" i="115"/>
  <c r="E1283" i="115"/>
  <c r="A1283" i="115"/>
  <c r="K1282" i="115"/>
  <c r="I1282" i="115"/>
  <c r="H1282" i="115"/>
  <c r="G1282" i="115"/>
  <c r="F1282" i="115"/>
  <c r="E1282" i="115"/>
  <c r="A1282" i="115"/>
  <c r="K1281" i="115"/>
  <c r="I1281" i="115"/>
  <c r="H1281" i="115"/>
  <c r="G1281" i="115"/>
  <c r="F1281" i="115"/>
  <c r="E1281" i="115"/>
  <c r="A1281" i="115"/>
  <c r="K1280" i="115"/>
  <c r="I1280" i="115"/>
  <c r="H1280" i="115"/>
  <c r="G1280" i="115"/>
  <c r="F1280" i="115"/>
  <c r="E1280" i="115"/>
  <c r="A1280" i="115"/>
  <c r="K1279" i="115"/>
  <c r="I1279" i="115"/>
  <c r="H1279" i="115"/>
  <c r="G1279" i="115"/>
  <c r="F1279" i="115"/>
  <c r="E1279" i="115"/>
  <c r="A1279" i="115"/>
  <c r="K1278" i="115"/>
  <c r="I1278" i="115"/>
  <c r="H1278" i="115"/>
  <c r="G1278" i="115"/>
  <c r="F1278" i="115"/>
  <c r="E1278" i="115"/>
  <c r="A1278" i="115"/>
  <c r="K1277" i="115"/>
  <c r="I1277" i="115"/>
  <c r="H1277" i="115"/>
  <c r="G1277" i="115"/>
  <c r="F1277" i="115"/>
  <c r="E1277" i="115"/>
  <c r="A1277" i="115"/>
  <c r="K1276" i="115"/>
  <c r="I1276" i="115"/>
  <c r="H1276" i="115"/>
  <c r="G1276" i="115"/>
  <c r="F1276" i="115"/>
  <c r="E1276" i="115"/>
  <c r="A1276" i="115"/>
  <c r="K1275" i="115"/>
  <c r="I1275" i="115"/>
  <c r="H1275" i="115"/>
  <c r="G1275" i="115"/>
  <c r="F1275" i="115"/>
  <c r="E1275" i="115"/>
  <c r="A1275" i="115"/>
  <c r="K1274" i="115"/>
  <c r="I1274" i="115"/>
  <c r="H1274" i="115"/>
  <c r="G1274" i="115"/>
  <c r="F1274" i="115"/>
  <c r="E1274" i="115"/>
  <c r="A1274" i="115"/>
  <c r="K1273" i="115"/>
  <c r="I1273" i="115"/>
  <c r="H1273" i="115"/>
  <c r="G1273" i="115"/>
  <c r="F1273" i="115"/>
  <c r="E1273" i="115"/>
  <c r="A1273" i="115"/>
  <c r="K1272" i="115"/>
  <c r="I1272" i="115"/>
  <c r="H1272" i="115"/>
  <c r="G1272" i="115"/>
  <c r="F1272" i="115"/>
  <c r="E1272" i="115"/>
  <c r="A1272" i="115"/>
  <c r="K1271" i="115"/>
  <c r="I1271" i="115"/>
  <c r="H1271" i="115"/>
  <c r="G1271" i="115"/>
  <c r="F1271" i="115"/>
  <c r="E1271" i="115"/>
  <c r="A1271" i="115"/>
  <c r="K1270" i="115"/>
  <c r="I1270" i="115"/>
  <c r="H1270" i="115"/>
  <c r="G1270" i="115"/>
  <c r="F1270" i="115"/>
  <c r="E1270" i="115"/>
  <c r="A1270" i="115"/>
  <c r="K1269" i="115"/>
  <c r="I1269" i="115"/>
  <c r="H1269" i="115"/>
  <c r="G1269" i="115"/>
  <c r="F1269" i="115"/>
  <c r="E1269" i="115"/>
  <c r="A1269" i="115"/>
  <c r="K1268" i="115"/>
  <c r="I1268" i="115"/>
  <c r="H1268" i="115"/>
  <c r="G1268" i="115"/>
  <c r="F1268" i="115"/>
  <c r="E1268" i="115"/>
  <c r="A1268" i="115"/>
  <c r="K1267" i="115"/>
  <c r="I1267" i="115"/>
  <c r="H1267" i="115"/>
  <c r="G1267" i="115"/>
  <c r="F1267" i="115"/>
  <c r="E1267" i="115"/>
  <c r="A1267" i="115"/>
  <c r="K1266" i="115"/>
  <c r="I1266" i="115"/>
  <c r="H1266" i="115"/>
  <c r="G1266" i="115"/>
  <c r="F1266" i="115"/>
  <c r="E1266" i="115"/>
  <c r="A1266" i="115"/>
  <c r="K1265" i="115"/>
  <c r="I1265" i="115"/>
  <c r="H1265" i="115"/>
  <c r="G1265" i="115"/>
  <c r="F1265" i="115"/>
  <c r="E1265" i="115"/>
  <c r="A1265" i="115"/>
  <c r="K1264" i="115"/>
  <c r="I1264" i="115"/>
  <c r="H1264" i="115"/>
  <c r="G1264" i="115"/>
  <c r="F1264" i="115"/>
  <c r="E1264" i="115"/>
  <c r="A1264" i="115"/>
  <c r="K1263" i="115"/>
  <c r="I1263" i="115"/>
  <c r="H1263" i="115"/>
  <c r="G1263" i="115"/>
  <c r="F1263" i="115"/>
  <c r="E1263" i="115"/>
  <c r="A1263" i="115"/>
  <c r="K1262" i="115"/>
  <c r="I1262" i="115"/>
  <c r="H1262" i="115"/>
  <c r="G1262" i="115"/>
  <c r="F1262" i="115"/>
  <c r="E1262" i="115"/>
  <c r="A1262" i="115"/>
  <c r="K1261" i="115"/>
  <c r="I1261" i="115"/>
  <c r="H1261" i="115"/>
  <c r="G1261" i="115"/>
  <c r="F1261" i="115"/>
  <c r="E1261" i="115"/>
  <c r="A1261" i="115"/>
  <c r="K1260" i="115"/>
  <c r="I1260" i="115"/>
  <c r="H1260" i="115"/>
  <c r="G1260" i="115"/>
  <c r="F1260" i="115"/>
  <c r="E1260" i="115"/>
  <c r="A1260" i="115"/>
  <c r="K1259" i="115"/>
  <c r="I1259" i="115"/>
  <c r="H1259" i="115"/>
  <c r="G1259" i="115"/>
  <c r="F1259" i="115"/>
  <c r="E1259" i="115"/>
  <c r="A1259" i="115"/>
  <c r="K1258" i="115"/>
  <c r="I1258" i="115"/>
  <c r="H1258" i="115"/>
  <c r="G1258" i="115"/>
  <c r="F1258" i="115"/>
  <c r="E1258" i="115"/>
  <c r="A1258" i="115"/>
  <c r="K1257" i="115"/>
  <c r="I1257" i="115"/>
  <c r="H1257" i="115"/>
  <c r="G1257" i="115"/>
  <c r="F1257" i="115"/>
  <c r="E1257" i="115"/>
  <c r="A1257" i="115"/>
  <c r="K1256" i="115"/>
  <c r="I1256" i="115"/>
  <c r="H1256" i="115"/>
  <c r="G1256" i="115"/>
  <c r="F1256" i="115"/>
  <c r="E1256" i="115"/>
  <c r="A1256" i="115"/>
  <c r="K1255" i="115"/>
  <c r="I1255" i="115"/>
  <c r="H1255" i="115"/>
  <c r="G1255" i="115"/>
  <c r="F1255" i="115"/>
  <c r="E1255" i="115"/>
  <c r="A1255" i="115"/>
  <c r="K1254" i="115"/>
  <c r="I1254" i="115"/>
  <c r="H1254" i="115"/>
  <c r="G1254" i="115"/>
  <c r="F1254" i="115"/>
  <c r="E1254" i="115"/>
  <c r="A1254" i="115"/>
  <c r="K1253" i="115"/>
  <c r="I1253" i="115"/>
  <c r="H1253" i="115"/>
  <c r="G1253" i="115"/>
  <c r="F1253" i="115"/>
  <c r="E1253" i="115"/>
  <c r="A1253" i="115"/>
  <c r="K1252" i="115"/>
  <c r="I1252" i="115"/>
  <c r="H1252" i="115"/>
  <c r="G1252" i="115"/>
  <c r="F1252" i="115"/>
  <c r="E1252" i="115"/>
  <c r="A1252" i="115"/>
  <c r="K1251" i="115"/>
  <c r="I1251" i="115"/>
  <c r="H1251" i="115"/>
  <c r="G1251" i="115"/>
  <c r="F1251" i="115"/>
  <c r="E1251" i="115"/>
  <c r="A1251" i="115"/>
  <c r="K1250" i="115"/>
  <c r="I1250" i="115"/>
  <c r="H1250" i="115"/>
  <c r="G1250" i="115"/>
  <c r="F1250" i="115"/>
  <c r="E1250" i="115"/>
  <c r="A1250" i="115"/>
  <c r="K1249" i="115"/>
  <c r="I1249" i="115"/>
  <c r="H1249" i="115"/>
  <c r="G1249" i="115"/>
  <c r="F1249" i="115"/>
  <c r="E1249" i="115"/>
  <c r="A1249" i="115"/>
  <c r="K1248" i="115"/>
  <c r="I1248" i="115"/>
  <c r="H1248" i="115"/>
  <c r="G1248" i="115"/>
  <c r="F1248" i="115"/>
  <c r="E1248" i="115"/>
  <c r="A1248" i="115"/>
  <c r="K1247" i="115"/>
  <c r="I1247" i="115"/>
  <c r="H1247" i="115"/>
  <c r="G1247" i="115"/>
  <c r="F1247" i="115"/>
  <c r="E1247" i="115"/>
  <c r="A1247" i="115"/>
  <c r="K1246" i="115"/>
  <c r="I1246" i="115"/>
  <c r="H1246" i="115"/>
  <c r="G1246" i="115"/>
  <c r="F1246" i="115"/>
  <c r="E1246" i="115"/>
  <c r="A1246" i="115"/>
  <c r="K1245" i="115"/>
  <c r="I1245" i="115"/>
  <c r="H1245" i="115"/>
  <c r="G1245" i="115"/>
  <c r="F1245" i="115"/>
  <c r="E1245" i="115"/>
  <c r="A1245" i="115"/>
  <c r="K1244" i="115"/>
  <c r="I1244" i="115"/>
  <c r="H1244" i="115"/>
  <c r="G1244" i="115"/>
  <c r="F1244" i="115"/>
  <c r="E1244" i="115"/>
  <c r="A1244" i="115"/>
  <c r="K1243" i="115"/>
  <c r="I1243" i="115"/>
  <c r="H1243" i="115"/>
  <c r="G1243" i="115"/>
  <c r="F1243" i="115"/>
  <c r="E1243" i="115"/>
  <c r="A1243" i="115"/>
  <c r="K1242" i="115"/>
  <c r="I1242" i="115"/>
  <c r="H1242" i="115"/>
  <c r="G1242" i="115"/>
  <c r="F1242" i="115"/>
  <c r="E1242" i="115"/>
  <c r="A1242" i="115"/>
  <c r="K1241" i="115"/>
  <c r="I1241" i="115"/>
  <c r="H1241" i="115"/>
  <c r="G1241" i="115"/>
  <c r="F1241" i="115"/>
  <c r="E1241" i="115"/>
  <c r="A1241" i="115"/>
  <c r="K1240" i="115"/>
  <c r="I1240" i="115"/>
  <c r="H1240" i="115"/>
  <c r="G1240" i="115"/>
  <c r="F1240" i="115"/>
  <c r="E1240" i="115"/>
  <c r="A1240" i="115"/>
  <c r="K1239" i="115"/>
  <c r="I1239" i="115"/>
  <c r="H1239" i="115"/>
  <c r="G1239" i="115"/>
  <c r="F1239" i="115"/>
  <c r="E1239" i="115"/>
  <c r="A1239" i="115"/>
  <c r="K1238" i="115"/>
  <c r="I1238" i="115"/>
  <c r="H1238" i="115"/>
  <c r="G1238" i="115"/>
  <c r="F1238" i="115"/>
  <c r="E1238" i="115"/>
  <c r="A1238" i="115"/>
  <c r="K1237" i="115"/>
  <c r="I1237" i="115"/>
  <c r="H1237" i="115"/>
  <c r="G1237" i="115"/>
  <c r="F1237" i="115"/>
  <c r="E1237" i="115"/>
  <c r="A1237" i="115"/>
  <c r="K1236" i="115"/>
  <c r="I1236" i="115"/>
  <c r="H1236" i="115"/>
  <c r="G1236" i="115"/>
  <c r="F1236" i="115"/>
  <c r="E1236" i="115"/>
  <c r="A1236" i="115"/>
  <c r="K1235" i="115"/>
  <c r="I1235" i="115"/>
  <c r="H1235" i="115"/>
  <c r="G1235" i="115"/>
  <c r="F1235" i="115"/>
  <c r="E1235" i="115"/>
  <c r="A1235" i="115"/>
  <c r="K1234" i="115"/>
  <c r="I1234" i="115"/>
  <c r="H1234" i="115"/>
  <c r="G1234" i="115"/>
  <c r="F1234" i="115"/>
  <c r="E1234" i="115"/>
  <c r="A1234" i="115"/>
  <c r="K1233" i="115"/>
  <c r="I1233" i="115"/>
  <c r="H1233" i="115"/>
  <c r="G1233" i="115"/>
  <c r="F1233" i="115"/>
  <c r="E1233" i="115"/>
  <c r="A1233" i="115"/>
  <c r="K1232" i="115"/>
  <c r="I1232" i="115"/>
  <c r="H1232" i="115"/>
  <c r="G1232" i="115"/>
  <c r="F1232" i="115"/>
  <c r="E1232" i="115"/>
  <c r="A1232" i="115"/>
  <c r="K1231" i="115"/>
  <c r="I1231" i="115"/>
  <c r="H1231" i="115"/>
  <c r="G1231" i="115"/>
  <c r="F1231" i="115"/>
  <c r="E1231" i="115"/>
  <c r="A1231" i="115"/>
  <c r="K1230" i="115"/>
  <c r="I1230" i="115"/>
  <c r="H1230" i="115"/>
  <c r="G1230" i="115"/>
  <c r="F1230" i="115"/>
  <c r="E1230" i="115"/>
  <c r="A1230" i="115"/>
  <c r="K1229" i="115"/>
  <c r="I1229" i="115"/>
  <c r="H1229" i="115"/>
  <c r="G1229" i="115"/>
  <c r="F1229" i="115"/>
  <c r="E1229" i="115"/>
  <c r="A1229" i="115"/>
  <c r="K1228" i="115"/>
  <c r="I1228" i="115"/>
  <c r="H1228" i="115"/>
  <c r="G1228" i="115"/>
  <c r="F1228" i="115"/>
  <c r="E1228" i="115"/>
  <c r="A1228" i="115"/>
  <c r="K1227" i="115"/>
  <c r="I1227" i="115"/>
  <c r="H1227" i="115"/>
  <c r="G1227" i="115"/>
  <c r="F1227" i="115"/>
  <c r="E1227" i="115"/>
  <c r="A1227" i="115"/>
  <c r="K1226" i="115"/>
  <c r="I1226" i="115"/>
  <c r="H1226" i="115"/>
  <c r="G1226" i="115"/>
  <c r="F1226" i="115"/>
  <c r="E1226" i="115"/>
  <c r="A1226" i="115"/>
  <c r="K1225" i="115"/>
  <c r="I1225" i="115"/>
  <c r="H1225" i="115"/>
  <c r="G1225" i="115"/>
  <c r="F1225" i="115"/>
  <c r="E1225" i="115"/>
  <c r="A1225" i="115"/>
  <c r="K1224" i="115"/>
  <c r="I1224" i="115"/>
  <c r="H1224" i="115"/>
  <c r="G1224" i="115"/>
  <c r="F1224" i="115"/>
  <c r="E1224" i="115"/>
  <c r="A1224" i="115"/>
  <c r="K1223" i="115"/>
  <c r="I1223" i="115"/>
  <c r="H1223" i="115"/>
  <c r="G1223" i="115"/>
  <c r="F1223" i="115"/>
  <c r="E1223" i="115"/>
  <c r="A1223" i="115"/>
  <c r="K1222" i="115"/>
  <c r="I1222" i="115"/>
  <c r="H1222" i="115"/>
  <c r="G1222" i="115"/>
  <c r="F1222" i="115"/>
  <c r="E1222" i="115"/>
  <c r="A1222" i="115"/>
  <c r="K1221" i="115"/>
  <c r="I1221" i="115"/>
  <c r="H1221" i="115"/>
  <c r="G1221" i="115"/>
  <c r="F1221" i="115"/>
  <c r="E1221" i="115"/>
  <c r="A1221" i="115"/>
  <c r="K1220" i="115"/>
  <c r="I1220" i="115"/>
  <c r="H1220" i="115"/>
  <c r="G1220" i="115"/>
  <c r="F1220" i="115"/>
  <c r="E1220" i="115"/>
  <c r="A1220" i="115"/>
  <c r="K1219" i="115"/>
  <c r="I1219" i="115"/>
  <c r="H1219" i="115"/>
  <c r="G1219" i="115"/>
  <c r="F1219" i="115"/>
  <c r="E1219" i="115"/>
  <c r="A1219" i="115"/>
  <c r="K1218" i="115"/>
  <c r="I1218" i="115"/>
  <c r="H1218" i="115"/>
  <c r="G1218" i="115"/>
  <c r="F1218" i="115"/>
  <c r="E1218" i="115"/>
  <c r="A1218" i="115"/>
  <c r="K1217" i="115"/>
  <c r="I1217" i="115"/>
  <c r="H1217" i="115"/>
  <c r="G1217" i="115"/>
  <c r="F1217" i="115"/>
  <c r="E1217" i="115"/>
  <c r="A1217" i="115"/>
  <c r="K1216" i="115"/>
  <c r="I1216" i="115"/>
  <c r="H1216" i="115"/>
  <c r="G1216" i="115"/>
  <c r="F1216" i="115"/>
  <c r="E1216" i="115"/>
  <c r="A1216" i="115"/>
  <c r="K1215" i="115"/>
  <c r="I1215" i="115"/>
  <c r="H1215" i="115"/>
  <c r="G1215" i="115"/>
  <c r="F1215" i="115"/>
  <c r="E1215" i="115"/>
  <c r="A1215" i="115"/>
  <c r="K1214" i="115"/>
  <c r="I1214" i="115"/>
  <c r="H1214" i="115"/>
  <c r="G1214" i="115"/>
  <c r="F1214" i="115"/>
  <c r="E1214" i="115"/>
  <c r="A1214" i="115"/>
  <c r="K1213" i="115"/>
  <c r="I1213" i="115"/>
  <c r="H1213" i="115"/>
  <c r="G1213" i="115"/>
  <c r="F1213" i="115"/>
  <c r="E1213" i="115"/>
  <c r="A1213" i="115"/>
  <c r="K1212" i="115"/>
  <c r="I1212" i="115"/>
  <c r="H1212" i="115"/>
  <c r="G1212" i="115"/>
  <c r="F1212" i="115"/>
  <c r="E1212" i="115"/>
  <c r="A1212" i="115"/>
  <c r="K1211" i="115"/>
  <c r="I1211" i="115"/>
  <c r="H1211" i="115"/>
  <c r="G1211" i="115"/>
  <c r="F1211" i="115"/>
  <c r="E1211" i="115"/>
  <c r="A1211" i="115"/>
  <c r="K1210" i="115"/>
  <c r="I1210" i="115"/>
  <c r="H1210" i="115"/>
  <c r="G1210" i="115"/>
  <c r="F1210" i="115"/>
  <c r="E1210" i="115"/>
  <c r="A1210" i="115"/>
  <c r="K1209" i="115"/>
  <c r="I1209" i="115"/>
  <c r="H1209" i="115"/>
  <c r="G1209" i="115"/>
  <c r="F1209" i="115"/>
  <c r="E1209" i="115"/>
  <c r="A1209" i="115"/>
  <c r="K1208" i="115"/>
  <c r="I1208" i="115"/>
  <c r="H1208" i="115"/>
  <c r="G1208" i="115"/>
  <c r="F1208" i="115"/>
  <c r="E1208" i="115"/>
  <c r="A1208" i="115"/>
  <c r="K1207" i="115"/>
  <c r="I1207" i="115"/>
  <c r="H1207" i="115"/>
  <c r="G1207" i="115"/>
  <c r="F1207" i="115"/>
  <c r="E1207" i="115"/>
  <c r="A1207" i="115"/>
  <c r="K1206" i="115"/>
  <c r="I1206" i="115"/>
  <c r="H1206" i="115"/>
  <c r="G1206" i="115"/>
  <c r="F1206" i="115"/>
  <c r="E1206" i="115"/>
  <c r="A1206" i="115"/>
  <c r="K1205" i="115"/>
  <c r="I1205" i="115"/>
  <c r="H1205" i="115"/>
  <c r="G1205" i="115"/>
  <c r="F1205" i="115"/>
  <c r="E1205" i="115"/>
  <c r="A1205" i="115"/>
  <c r="K1204" i="115"/>
  <c r="I1204" i="115"/>
  <c r="H1204" i="115"/>
  <c r="G1204" i="115"/>
  <c r="F1204" i="115"/>
  <c r="E1204" i="115"/>
  <c r="A1204" i="115"/>
  <c r="K1203" i="115"/>
  <c r="I1203" i="115"/>
  <c r="H1203" i="115"/>
  <c r="G1203" i="115"/>
  <c r="F1203" i="115"/>
  <c r="E1203" i="115"/>
  <c r="A1203" i="115"/>
  <c r="K1202" i="115"/>
  <c r="I1202" i="115"/>
  <c r="H1202" i="115"/>
  <c r="G1202" i="115"/>
  <c r="F1202" i="115"/>
  <c r="E1202" i="115"/>
  <c r="A1202" i="115"/>
  <c r="K1201" i="115"/>
  <c r="I1201" i="115"/>
  <c r="H1201" i="115"/>
  <c r="G1201" i="115"/>
  <c r="F1201" i="115"/>
  <c r="E1201" i="115"/>
  <c r="A1201" i="115"/>
  <c r="K1200" i="115"/>
  <c r="I1200" i="115"/>
  <c r="H1200" i="115"/>
  <c r="G1200" i="115"/>
  <c r="F1200" i="115"/>
  <c r="E1200" i="115"/>
  <c r="A1200" i="115"/>
  <c r="K1199" i="115"/>
  <c r="I1199" i="115"/>
  <c r="H1199" i="115"/>
  <c r="G1199" i="115"/>
  <c r="F1199" i="115"/>
  <c r="E1199" i="115"/>
  <c r="A1199" i="115"/>
  <c r="K1198" i="115"/>
  <c r="I1198" i="115"/>
  <c r="H1198" i="115"/>
  <c r="G1198" i="115"/>
  <c r="F1198" i="115"/>
  <c r="E1198" i="115"/>
  <c r="A1198" i="115"/>
  <c r="K1197" i="115"/>
  <c r="I1197" i="115"/>
  <c r="H1197" i="115"/>
  <c r="G1197" i="115"/>
  <c r="F1197" i="115"/>
  <c r="E1197" i="115"/>
  <c r="A1197" i="115"/>
  <c r="K1196" i="115"/>
  <c r="I1196" i="115"/>
  <c r="H1196" i="115"/>
  <c r="G1196" i="115"/>
  <c r="F1196" i="115"/>
  <c r="E1196" i="115"/>
  <c r="A1196" i="115"/>
  <c r="K1195" i="115"/>
  <c r="I1195" i="115"/>
  <c r="H1195" i="115"/>
  <c r="G1195" i="115"/>
  <c r="F1195" i="115"/>
  <c r="E1195" i="115"/>
  <c r="A1195" i="115"/>
  <c r="K1194" i="115"/>
  <c r="I1194" i="115"/>
  <c r="H1194" i="115"/>
  <c r="G1194" i="115"/>
  <c r="F1194" i="115"/>
  <c r="E1194" i="115"/>
  <c r="A1194" i="115"/>
  <c r="K1193" i="115"/>
  <c r="I1193" i="115"/>
  <c r="H1193" i="115"/>
  <c r="G1193" i="115"/>
  <c r="F1193" i="115"/>
  <c r="E1193" i="115"/>
  <c r="A1193" i="115"/>
  <c r="K1192" i="115"/>
  <c r="I1192" i="115"/>
  <c r="H1192" i="115"/>
  <c r="G1192" i="115"/>
  <c r="F1192" i="115"/>
  <c r="E1192" i="115"/>
  <c r="A1192" i="115"/>
  <c r="K1191" i="115"/>
  <c r="I1191" i="115"/>
  <c r="H1191" i="115"/>
  <c r="G1191" i="115"/>
  <c r="F1191" i="115"/>
  <c r="E1191" i="115"/>
  <c r="A1191" i="115"/>
  <c r="K1190" i="115"/>
  <c r="I1190" i="115"/>
  <c r="H1190" i="115"/>
  <c r="G1190" i="115"/>
  <c r="F1190" i="115"/>
  <c r="E1190" i="115"/>
  <c r="A1190" i="115"/>
  <c r="K1189" i="115"/>
  <c r="I1189" i="115"/>
  <c r="H1189" i="115"/>
  <c r="G1189" i="115"/>
  <c r="F1189" i="115"/>
  <c r="E1189" i="115"/>
  <c r="A1189" i="115"/>
  <c r="K1188" i="115"/>
  <c r="I1188" i="115"/>
  <c r="H1188" i="115"/>
  <c r="G1188" i="115"/>
  <c r="F1188" i="115"/>
  <c r="E1188" i="115"/>
  <c r="A1188" i="115"/>
  <c r="K1187" i="115"/>
  <c r="I1187" i="115"/>
  <c r="H1187" i="115"/>
  <c r="G1187" i="115"/>
  <c r="F1187" i="115"/>
  <c r="E1187" i="115"/>
  <c r="A1187" i="115"/>
  <c r="K1186" i="115"/>
  <c r="I1186" i="115"/>
  <c r="H1186" i="115"/>
  <c r="G1186" i="115"/>
  <c r="F1186" i="115"/>
  <c r="E1186" i="115"/>
  <c r="A1186" i="115"/>
  <c r="K1185" i="115"/>
  <c r="I1185" i="115"/>
  <c r="H1185" i="115"/>
  <c r="G1185" i="115"/>
  <c r="F1185" i="115"/>
  <c r="E1185" i="115"/>
  <c r="A1185" i="115"/>
  <c r="K1184" i="115"/>
  <c r="I1184" i="115"/>
  <c r="H1184" i="115"/>
  <c r="G1184" i="115"/>
  <c r="F1184" i="115"/>
  <c r="E1184" i="115"/>
  <c r="A1184" i="115"/>
  <c r="K1183" i="115"/>
  <c r="I1183" i="115"/>
  <c r="H1183" i="115"/>
  <c r="G1183" i="115"/>
  <c r="F1183" i="115"/>
  <c r="E1183" i="115"/>
  <c r="A1183" i="115"/>
  <c r="K1182" i="115"/>
  <c r="I1182" i="115"/>
  <c r="H1182" i="115"/>
  <c r="G1182" i="115"/>
  <c r="F1182" i="115"/>
  <c r="E1182" i="115"/>
  <c r="A1182" i="115"/>
  <c r="K1181" i="115"/>
  <c r="I1181" i="115"/>
  <c r="H1181" i="115"/>
  <c r="G1181" i="115"/>
  <c r="F1181" i="115"/>
  <c r="E1181" i="115"/>
  <c r="A1181" i="115"/>
  <c r="K1180" i="115"/>
  <c r="I1180" i="115"/>
  <c r="H1180" i="115"/>
  <c r="G1180" i="115"/>
  <c r="F1180" i="115"/>
  <c r="E1180" i="115"/>
  <c r="A1180" i="115"/>
  <c r="K1179" i="115"/>
  <c r="I1179" i="115"/>
  <c r="H1179" i="115"/>
  <c r="G1179" i="115"/>
  <c r="F1179" i="115"/>
  <c r="E1179" i="115"/>
  <c r="A1179" i="115"/>
  <c r="K1178" i="115"/>
  <c r="I1178" i="115"/>
  <c r="H1178" i="115"/>
  <c r="G1178" i="115"/>
  <c r="F1178" i="115"/>
  <c r="E1178" i="115"/>
  <c r="A1178" i="115"/>
  <c r="K1177" i="115"/>
  <c r="I1177" i="115"/>
  <c r="H1177" i="115"/>
  <c r="G1177" i="115"/>
  <c r="F1177" i="115"/>
  <c r="E1177" i="115"/>
  <c r="A1177" i="115"/>
  <c r="K1176" i="115"/>
  <c r="I1176" i="115"/>
  <c r="H1176" i="115"/>
  <c r="G1176" i="115"/>
  <c r="F1176" i="115"/>
  <c r="E1176" i="115"/>
  <c r="A1176" i="115"/>
  <c r="K1175" i="115"/>
  <c r="I1175" i="115"/>
  <c r="H1175" i="115"/>
  <c r="G1175" i="115"/>
  <c r="F1175" i="115"/>
  <c r="E1175" i="115"/>
  <c r="A1175" i="115"/>
  <c r="K1174" i="115"/>
  <c r="I1174" i="115"/>
  <c r="H1174" i="115"/>
  <c r="G1174" i="115"/>
  <c r="F1174" i="115"/>
  <c r="E1174" i="115"/>
  <c r="A1174" i="115"/>
  <c r="K1173" i="115"/>
  <c r="I1173" i="115"/>
  <c r="H1173" i="115"/>
  <c r="G1173" i="115"/>
  <c r="F1173" i="115"/>
  <c r="E1173" i="115"/>
  <c r="A1173" i="115"/>
  <c r="K1172" i="115"/>
  <c r="I1172" i="115"/>
  <c r="H1172" i="115"/>
  <c r="G1172" i="115"/>
  <c r="F1172" i="115"/>
  <c r="E1172" i="115"/>
  <c r="A1172" i="115"/>
  <c r="K1171" i="115"/>
  <c r="I1171" i="115"/>
  <c r="H1171" i="115"/>
  <c r="G1171" i="115"/>
  <c r="F1171" i="115"/>
  <c r="E1171" i="115"/>
  <c r="A1171" i="115"/>
  <c r="K1170" i="115"/>
  <c r="I1170" i="115"/>
  <c r="H1170" i="115"/>
  <c r="G1170" i="115"/>
  <c r="F1170" i="115"/>
  <c r="E1170" i="115"/>
  <c r="A1170" i="115"/>
  <c r="K1169" i="115"/>
  <c r="I1169" i="115"/>
  <c r="H1169" i="115"/>
  <c r="G1169" i="115"/>
  <c r="F1169" i="115"/>
  <c r="E1169" i="115"/>
  <c r="A1169" i="115"/>
  <c r="K1168" i="115"/>
  <c r="I1168" i="115"/>
  <c r="H1168" i="115"/>
  <c r="G1168" i="115"/>
  <c r="F1168" i="115"/>
  <c r="E1168" i="115"/>
  <c r="A1168" i="115"/>
  <c r="K1167" i="115"/>
  <c r="I1167" i="115"/>
  <c r="H1167" i="115"/>
  <c r="G1167" i="115"/>
  <c r="F1167" i="115"/>
  <c r="E1167" i="115"/>
  <c r="A1167" i="115"/>
  <c r="K1166" i="115"/>
  <c r="I1166" i="115"/>
  <c r="H1166" i="115"/>
  <c r="G1166" i="115"/>
  <c r="F1166" i="115"/>
  <c r="E1166" i="115"/>
  <c r="A1166" i="115"/>
  <c r="K1165" i="115"/>
  <c r="I1165" i="115"/>
  <c r="H1165" i="115"/>
  <c r="G1165" i="115"/>
  <c r="F1165" i="115"/>
  <c r="E1165" i="115"/>
  <c r="A1165" i="115"/>
  <c r="K1164" i="115"/>
  <c r="I1164" i="115"/>
  <c r="H1164" i="115"/>
  <c r="G1164" i="115"/>
  <c r="F1164" i="115"/>
  <c r="E1164" i="115"/>
  <c r="A1164" i="115"/>
  <c r="K1163" i="115"/>
  <c r="I1163" i="115"/>
  <c r="H1163" i="115"/>
  <c r="G1163" i="115"/>
  <c r="F1163" i="115"/>
  <c r="E1163" i="115"/>
  <c r="A1163" i="115"/>
  <c r="K1162" i="115"/>
  <c r="I1162" i="115"/>
  <c r="H1162" i="115"/>
  <c r="G1162" i="115"/>
  <c r="F1162" i="115"/>
  <c r="E1162" i="115"/>
  <c r="A1162" i="115"/>
  <c r="K1161" i="115"/>
  <c r="I1161" i="115"/>
  <c r="H1161" i="115"/>
  <c r="G1161" i="115"/>
  <c r="F1161" i="115"/>
  <c r="E1161" i="115"/>
  <c r="A1161" i="115"/>
  <c r="K1160" i="115"/>
  <c r="I1160" i="115"/>
  <c r="H1160" i="115"/>
  <c r="G1160" i="115"/>
  <c r="F1160" i="115"/>
  <c r="E1160" i="115"/>
  <c r="A1160" i="115"/>
  <c r="K1159" i="115"/>
  <c r="I1159" i="115"/>
  <c r="H1159" i="115"/>
  <c r="G1159" i="115"/>
  <c r="F1159" i="115"/>
  <c r="E1159" i="115"/>
  <c r="A1159" i="115"/>
  <c r="K1158" i="115"/>
  <c r="I1158" i="115"/>
  <c r="H1158" i="115"/>
  <c r="G1158" i="115"/>
  <c r="F1158" i="115"/>
  <c r="E1158" i="115"/>
  <c r="A1158" i="115"/>
  <c r="K1157" i="115"/>
  <c r="I1157" i="115"/>
  <c r="H1157" i="115"/>
  <c r="G1157" i="115"/>
  <c r="F1157" i="115"/>
  <c r="E1157" i="115"/>
  <c r="A1157" i="115"/>
  <c r="K1156" i="115"/>
  <c r="I1156" i="115"/>
  <c r="H1156" i="115"/>
  <c r="G1156" i="115"/>
  <c r="F1156" i="115"/>
  <c r="E1156" i="115"/>
  <c r="A1156" i="115"/>
  <c r="K1155" i="115"/>
  <c r="I1155" i="115"/>
  <c r="H1155" i="115"/>
  <c r="G1155" i="115"/>
  <c r="F1155" i="115"/>
  <c r="E1155" i="115"/>
  <c r="A1155" i="115"/>
  <c r="K1154" i="115"/>
  <c r="I1154" i="115"/>
  <c r="H1154" i="115"/>
  <c r="G1154" i="115"/>
  <c r="F1154" i="115"/>
  <c r="E1154" i="115"/>
  <c r="A1154" i="115"/>
  <c r="K1153" i="115"/>
  <c r="I1153" i="115"/>
  <c r="H1153" i="115"/>
  <c r="G1153" i="115"/>
  <c r="F1153" i="115"/>
  <c r="E1153" i="115"/>
  <c r="A1153" i="115"/>
  <c r="K1152" i="115"/>
  <c r="I1152" i="115"/>
  <c r="H1152" i="115"/>
  <c r="G1152" i="115"/>
  <c r="F1152" i="115"/>
  <c r="E1152" i="115"/>
  <c r="A1152" i="115"/>
  <c r="K1151" i="115"/>
  <c r="I1151" i="115"/>
  <c r="H1151" i="115"/>
  <c r="G1151" i="115"/>
  <c r="F1151" i="115"/>
  <c r="E1151" i="115"/>
  <c r="A1151" i="115"/>
  <c r="K1150" i="115"/>
  <c r="I1150" i="115"/>
  <c r="H1150" i="115"/>
  <c r="G1150" i="115"/>
  <c r="F1150" i="115"/>
  <c r="E1150" i="115"/>
  <c r="A1150" i="115"/>
  <c r="K1149" i="115"/>
  <c r="I1149" i="115"/>
  <c r="H1149" i="115"/>
  <c r="G1149" i="115"/>
  <c r="F1149" i="115"/>
  <c r="E1149" i="115"/>
  <c r="A1149" i="115"/>
  <c r="K1148" i="115"/>
  <c r="I1148" i="115"/>
  <c r="H1148" i="115"/>
  <c r="G1148" i="115"/>
  <c r="F1148" i="115"/>
  <c r="E1148" i="115"/>
  <c r="A1148" i="115"/>
  <c r="K1147" i="115"/>
  <c r="I1147" i="115"/>
  <c r="H1147" i="115"/>
  <c r="G1147" i="115"/>
  <c r="F1147" i="115"/>
  <c r="E1147" i="115"/>
  <c r="A1147" i="115"/>
  <c r="K1146" i="115"/>
  <c r="I1146" i="115"/>
  <c r="H1146" i="115"/>
  <c r="G1146" i="115"/>
  <c r="F1146" i="115"/>
  <c r="E1146" i="115"/>
  <c r="A1146" i="115"/>
  <c r="K1145" i="115"/>
  <c r="I1145" i="115"/>
  <c r="H1145" i="115"/>
  <c r="G1145" i="115"/>
  <c r="F1145" i="115"/>
  <c r="E1145" i="115"/>
  <c r="A1145" i="115"/>
  <c r="K1144" i="115"/>
  <c r="I1144" i="115"/>
  <c r="H1144" i="115"/>
  <c r="G1144" i="115"/>
  <c r="F1144" i="115"/>
  <c r="E1144" i="115"/>
  <c r="A1144" i="115"/>
  <c r="K1143" i="115"/>
  <c r="I1143" i="115"/>
  <c r="H1143" i="115"/>
  <c r="G1143" i="115"/>
  <c r="F1143" i="115"/>
  <c r="E1143" i="115"/>
  <c r="A1143" i="115"/>
  <c r="K1142" i="115"/>
  <c r="I1142" i="115"/>
  <c r="H1142" i="115"/>
  <c r="G1142" i="115"/>
  <c r="F1142" i="115"/>
  <c r="E1142" i="115"/>
  <c r="A1142" i="115"/>
  <c r="K1141" i="115"/>
  <c r="I1141" i="115"/>
  <c r="H1141" i="115"/>
  <c r="G1141" i="115"/>
  <c r="F1141" i="115"/>
  <c r="E1141" i="115"/>
  <c r="A1141" i="115"/>
  <c r="K1140" i="115"/>
  <c r="I1140" i="115"/>
  <c r="H1140" i="115"/>
  <c r="G1140" i="115"/>
  <c r="F1140" i="115"/>
  <c r="E1140" i="115"/>
  <c r="A1140" i="115"/>
  <c r="K1139" i="115"/>
  <c r="I1139" i="115"/>
  <c r="H1139" i="115"/>
  <c r="G1139" i="115"/>
  <c r="F1139" i="115"/>
  <c r="E1139" i="115"/>
  <c r="A1139" i="115"/>
  <c r="K1138" i="115"/>
  <c r="I1138" i="115"/>
  <c r="H1138" i="115"/>
  <c r="G1138" i="115"/>
  <c r="F1138" i="115"/>
  <c r="E1138" i="115"/>
  <c r="A1138" i="115"/>
  <c r="K1137" i="115"/>
  <c r="I1137" i="115"/>
  <c r="H1137" i="115"/>
  <c r="G1137" i="115"/>
  <c r="F1137" i="115"/>
  <c r="E1137" i="115"/>
  <c r="A1137" i="115"/>
  <c r="K1136" i="115"/>
  <c r="I1136" i="115"/>
  <c r="H1136" i="115"/>
  <c r="G1136" i="115"/>
  <c r="F1136" i="115"/>
  <c r="E1136" i="115"/>
  <c r="A1136" i="115"/>
  <c r="K1135" i="115"/>
  <c r="I1135" i="115"/>
  <c r="H1135" i="115"/>
  <c r="G1135" i="115"/>
  <c r="F1135" i="115"/>
  <c r="E1135" i="115"/>
  <c r="A1135" i="115"/>
  <c r="K1134" i="115"/>
  <c r="I1134" i="115"/>
  <c r="H1134" i="115"/>
  <c r="G1134" i="115"/>
  <c r="F1134" i="115"/>
  <c r="E1134" i="115"/>
  <c r="A1134" i="115"/>
  <c r="K1133" i="115"/>
  <c r="I1133" i="115"/>
  <c r="H1133" i="115"/>
  <c r="G1133" i="115"/>
  <c r="F1133" i="115"/>
  <c r="E1133" i="115"/>
  <c r="A1133" i="115"/>
  <c r="K1132" i="115"/>
  <c r="I1132" i="115"/>
  <c r="H1132" i="115"/>
  <c r="G1132" i="115"/>
  <c r="F1132" i="115"/>
  <c r="E1132" i="115"/>
  <c r="A1132" i="115"/>
  <c r="K1131" i="115"/>
  <c r="I1131" i="115"/>
  <c r="H1131" i="115"/>
  <c r="G1131" i="115"/>
  <c r="F1131" i="115"/>
  <c r="E1131" i="115"/>
  <c r="A1131" i="115"/>
  <c r="K1130" i="115"/>
  <c r="I1130" i="115"/>
  <c r="H1130" i="115"/>
  <c r="G1130" i="115"/>
  <c r="F1130" i="115"/>
  <c r="E1130" i="115"/>
  <c r="A1130" i="115"/>
  <c r="K1129" i="115"/>
  <c r="I1129" i="115"/>
  <c r="H1129" i="115"/>
  <c r="G1129" i="115"/>
  <c r="F1129" i="115"/>
  <c r="E1129" i="115"/>
  <c r="A1129" i="115"/>
  <c r="K1128" i="115"/>
  <c r="I1128" i="115"/>
  <c r="H1128" i="115"/>
  <c r="G1128" i="115"/>
  <c r="F1128" i="115"/>
  <c r="E1128" i="115"/>
  <c r="A1128" i="115"/>
  <c r="K1127" i="115"/>
  <c r="I1127" i="115"/>
  <c r="H1127" i="115"/>
  <c r="G1127" i="115"/>
  <c r="F1127" i="115"/>
  <c r="E1127" i="115"/>
  <c r="A1127" i="115"/>
  <c r="K1126" i="115"/>
  <c r="I1126" i="115"/>
  <c r="H1126" i="115"/>
  <c r="G1126" i="115"/>
  <c r="F1126" i="115"/>
  <c r="E1126" i="115"/>
  <c r="A1126" i="115"/>
  <c r="K1125" i="115"/>
  <c r="I1125" i="115"/>
  <c r="H1125" i="115"/>
  <c r="G1125" i="115"/>
  <c r="F1125" i="115"/>
  <c r="E1125" i="115"/>
  <c r="A1125" i="115"/>
  <c r="K1124" i="115"/>
  <c r="I1124" i="115"/>
  <c r="H1124" i="115"/>
  <c r="G1124" i="115"/>
  <c r="F1124" i="115"/>
  <c r="E1124" i="115"/>
  <c r="A1124" i="115"/>
  <c r="K1123" i="115"/>
  <c r="I1123" i="115"/>
  <c r="H1123" i="115"/>
  <c r="G1123" i="115"/>
  <c r="F1123" i="115"/>
  <c r="E1123" i="115"/>
  <c r="A1123" i="115"/>
  <c r="K1122" i="115"/>
  <c r="I1122" i="115"/>
  <c r="H1122" i="115"/>
  <c r="G1122" i="115"/>
  <c r="F1122" i="115"/>
  <c r="E1122" i="115"/>
  <c r="A1122" i="115"/>
  <c r="K1121" i="115"/>
  <c r="I1121" i="115"/>
  <c r="H1121" i="115"/>
  <c r="G1121" i="115"/>
  <c r="F1121" i="115"/>
  <c r="E1121" i="115"/>
  <c r="A1121" i="115"/>
  <c r="K1120" i="115"/>
  <c r="I1120" i="115"/>
  <c r="H1120" i="115"/>
  <c r="G1120" i="115"/>
  <c r="F1120" i="115"/>
  <c r="E1120" i="115"/>
  <c r="A1120" i="115"/>
  <c r="K1119" i="115"/>
  <c r="I1119" i="115"/>
  <c r="H1119" i="115"/>
  <c r="G1119" i="115"/>
  <c r="F1119" i="115"/>
  <c r="E1119" i="115"/>
  <c r="A1119" i="115"/>
  <c r="K1118" i="115"/>
  <c r="I1118" i="115"/>
  <c r="H1118" i="115"/>
  <c r="G1118" i="115"/>
  <c r="F1118" i="115"/>
  <c r="E1118" i="115"/>
  <c r="A1118" i="115"/>
  <c r="K1117" i="115"/>
  <c r="I1117" i="115"/>
  <c r="H1117" i="115"/>
  <c r="G1117" i="115"/>
  <c r="F1117" i="115"/>
  <c r="E1117" i="115"/>
  <c r="A1117" i="115"/>
  <c r="K1116" i="115"/>
  <c r="I1116" i="115"/>
  <c r="H1116" i="115"/>
  <c r="G1116" i="115"/>
  <c r="F1116" i="115"/>
  <c r="E1116" i="115"/>
  <c r="A1116" i="115"/>
  <c r="K1115" i="115"/>
  <c r="I1115" i="115"/>
  <c r="H1115" i="115"/>
  <c r="G1115" i="115"/>
  <c r="F1115" i="115"/>
  <c r="E1115" i="115"/>
  <c r="A1115" i="115"/>
  <c r="K1114" i="115"/>
  <c r="I1114" i="115"/>
  <c r="H1114" i="115"/>
  <c r="G1114" i="115"/>
  <c r="F1114" i="115"/>
  <c r="E1114" i="115"/>
  <c r="A1114" i="115"/>
  <c r="K1113" i="115"/>
  <c r="I1113" i="115"/>
  <c r="H1113" i="115"/>
  <c r="G1113" i="115"/>
  <c r="F1113" i="115"/>
  <c r="E1113" i="115"/>
  <c r="A1113" i="115"/>
  <c r="K1112" i="115"/>
  <c r="I1112" i="115"/>
  <c r="H1112" i="115"/>
  <c r="G1112" i="115"/>
  <c r="F1112" i="115"/>
  <c r="E1112" i="115"/>
  <c r="A1112" i="115"/>
  <c r="K1111" i="115"/>
  <c r="I1111" i="115"/>
  <c r="H1111" i="115"/>
  <c r="G1111" i="115"/>
  <c r="F1111" i="115"/>
  <c r="E1111" i="115"/>
  <c r="A1111" i="115"/>
  <c r="K1110" i="115"/>
  <c r="I1110" i="115"/>
  <c r="H1110" i="115"/>
  <c r="G1110" i="115"/>
  <c r="F1110" i="115"/>
  <c r="E1110" i="115"/>
  <c r="A1110" i="115"/>
  <c r="K1109" i="115"/>
  <c r="I1109" i="115"/>
  <c r="H1109" i="115"/>
  <c r="G1109" i="115"/>
  <c r="F1109" i="115"/>
  <c r="E1109" i="115"/>
  <c r="A1109" i="115"/>
  <c r="K1108" i="115"/>
  <c r="I1108" i="115"/>
  <c r="H1108" i="115"/>
  <c r="G1108" i="115"/>
  <c r="F1108" i="115"/>
  <c r="E1108" i="115"/>
  <c r="A1108" i="115"/>
  <c r="K1107" i="115"/>
  <c r="I1107" i="115"/>
  <c r="H1107" i="115"/>
  <c r="G1107" i="115"/>
  <c r="F1107" i="115"/>
  <c r="E1107" i="115"/>
  <c r="A1107" i="115"/>
  <c r="K1106" i="115"/>
  <c r="I1106" i="115"/>
  <c r="H1106" i="115"/>
  <c r="G1106" i="115"/>
  <c r="F1106" i="115"/>
  <c r="E1106" i="115"/>
  <c r="A1106" i="115"/>
  <c r="K1105" i="115"/>
  <c r="I1105" i="115"/>
  <c r="H1105" i="115"/>
  <c r="G1105" i="115"/>
  <c r="F1105" i="115"/>
  <c r="E1105" i="115"/>
  <c r="A1105" i="115"/>
  <c r="K1104" i="115"/>
  <c r="I1104" i="115"/>
  <c r="H1104" i="115"/>
  <c r="G1104" i="115"/>
  <c r="F1104" i="115"/>
  <c r="E1104" i="115"/>
  <c r="A1104" i="115"/>
  <c r="K1103" i="115"/>
  <c r="I1103" i="115"/>
  <c r="H1103" i="115"/>
  <c r="G1103" i="115"/>
  <c r="F1103" i="115"/>
  <c r="E1103" i="115"/>
  <c r="A1103" i="115"/>
  <c r="K1102" i="115"/>
  <c r="I1102" i="115"/>
  <c r="H1102" i="115"/>
  <c r="G1102" i="115"/>
  <c r="F1102" i="115"/>
  <c r="E1102" i="115"/>
  <c r="A1102" i="115"/>
  <c r="K1101" i="115"/>
  <c r="I1101" i="115"/>
  <c r="H1101" i="115"/>
  <c r="G1101" i="115"/>
  <c r="F1101" i="115"/>
  <c r="E1101" i="115"/>
  <c r="A1101" i="115"/>
  <c r="K1100" i="115"/>
  <c r="I1100" i="115"/>
  <c r="H1100" i="115"/>
  <c r="G1100" i="115"/>
  <c r="F1100" i="115"/>
  <c r="E1100" i="115"/>
  <c r="A1100" i="115"/>
  <c r="K1099" i="115"/>
  <c r="I1099" i="115"/>
  <c r="H1099" i="115"/>
  <c r="G1099" i="115"/>
  <c r="F1099" i="115"/>
  <c r="E1099" i="115"/>
  <c r="A1099" i="115"/>
  <c r="K1098" i="115"/>
  <c r="I1098" i="115"/>
  <c r="H1098" i="115"/>
  <c r="G1098" i="115"/>
  <c r="F1098" i="115"/>
  <c r="E1098" i="115"/>
  <c r="A1098" i="115"/>
  <c r="K1097" i="115"/>
  <c r="I1097" i="115"/>
  <c r="H1097" i="115"/>
  <c r="G1097" i="115"/>
  <c r="F1097" i="115"/>
  <c r="E1097" i="115"/>
  <c r="A1097" i="115"/>
  <c r="K1096" i="115"/>
  <c r="I1096" i="115"/>
  <c r="H1096" i="115"/>
  <c r="G1096" i="115"/>
  <c r="F1096" i="115"/>
  <c r="E1096" i="115"/>
  <c r="A1096" i="115"/>
  <c r="K1095" i="115"/>
  <c r="I1095" i="115"/>
  <c r="H1095" i="115"/>
  <c r="G1095" i="115"/>
  <c r="F1095" i="115"/>
  <c r="E1095" i="115"/>
  <c r="A1095" i="115"/>
  <c r="K1094" i="115"/>
  <c r="I1094" i="115"/>
  <c r="H1094" i="115"/>
  <c r="G1094" i="115"/>
  <c r="F1094" i="115"/>
  <c r="E1094" i="115"/>
  <c r="A1094" i="115"/>
  <c r="K1093" i="115"/>
  <c r="I1093" i="115"/>
  <c r="H1093" i="115"/>
  <c r="G1093" i="115"/>
  <c r="F1093" i="115"/>
  <c r="E1093" i="115"/>
  <c r="A1093" i="115"/>
  <c r="K1092" i="115"/>
  <c r="I1092" i="115"/>
  <c r="H1092" i="115"/>
  <c r="G1092" i="115"/>
  <c r="F1092" i="115"/>
  <c r="E1092" i="115"/>
  <c r="A1092" i="115"/>
  <c r="K1091" i="115"/>
  <c r="I1091" i="115"/>
  <c r="H1091" i="115"/>
  <c r="G1091" i="115"/>
  <c r="F1091" i="115"/>
  <c r="E1091" i="115"/>
  <c r="A1091" i="115"/>
  <c r="K1090" i="115"/>
  <c r="I1090" i="115"/>
  <c r="H1090" i="115"/>
  <c r="G1090" i="115"/>
  <c r="F1090" i="115"/>
  <c r="E1090" i="115"/>
  <c r="A1090" i="115"/>
  <c r="K1089" i="115"/>
  <c r="I1089" i="115"/>
  <c r="H1089" i="115"/>
  <c r="G1089" i="115"/>
  <c r="F1089" i="115"/>
  <c r="E1089" i="115"/>
  <c r="A1089" i="115"/>
  <c r="K1088" i="115"/>
  <c r="I1088" i="115"/>
  <c r="H1088" i="115"/>
  <c r="G1088" i="115"/>
  <c r="F1088" i="115"/>
  <c r="E1088" i="115"/>
  <c r="A1088" i="115"/>
  <c r="K1087" i="115"/>
  <c r="I1087" i="115"/>
  <c r="H1087" i="115"/>
  <c r="G1087" i="115"/>
  <c r="F1087" i="115"/>
  <c r="E1087" i="115"/>
  <c r="A1087" i="115"/>
  <c r="K1086" i="115"/>
  <c r="I1086" i="115"/>
  <c r="H1086" i="115"/>
  <c r="G1086" i="115"/>
  <c r="F1086" i="115"/>
  <c r="E1086" i="115"/>
  <c r="A1086" i="115"/>
  <c r="K1085" i="115"/>
  <c r="I1085" i="115"/>
  <c r="H1085" i="115"/>
  <c r="G1085" i="115"/>
  <c r="F1085" i="115"/>
  <c r="E1085" i="115"/>
  <c r="A1085" i="115"/>
  <c r="K1084" i="115"/>
  <c r="I1084" i="115"/>
  <c r="H1084" i="115"/>
  <c r="G1084" i="115"/>
  <c r="F1084" i="115"/>
  <c r="E1084" i="115"/>
  <c r="A1084" i="115"/>
  <c r="K1083" i="115"/>
  <c r="I1083" i="115"/>
  <c r="H1083" i="115"/>
  <c r="G1083" i="115"/>
  <c r="F1083" i="115"/>
  <c r="E1083" i="115"/>
  <c r="A1083" i="115"/>
  <c r="K1082" i="115"/>
  <c r="I1082" i="115"/>
  <c r="H1082" i="115"/>
  <c r="G1082" i="115"/>
  <c r="F1082" i="115"/>
  <c r="E1082" i="115"/>
  <c r="A1082" i="115"/>
  <c r="K1081" i="115"/>
  <c r="I1081" i="115"/>
  <c r="H1081" i="115"/>
  <c r="G1081" i="115"/>
  <c r="F1081" i="115"/>
  <c r="E1081" i="115"/>
  <c r="A1081" i="115"/>
  <c r="K1080" i="115"/>
  <c r="I1080" i="115"/>
  <c r="H1080" i="115"/>
  <c r="G1080" i="115"/>
  <c r="F1080" i="115"/>
  <c r="E1080" i="115"/>
  <c r="A1080" i="115"/>
  <c r="K1079" i="115"/>
  <c r="I1079" i="115"/>
  <c r="H1079" i="115"/>
  <c r="G1079" i="115"/>
  <c r="F1079" i="115"/>
  <c r="E1079" i="115"/>
  <c r="A1079" i="115"/>
  <c r="K1078" i="115"/>
  <c r="I1078" i="115"/>
  <c r="H1078" i="115"/>
  <c r="G1078" i="115"/>
  <c r="F1078" i="115"/>
  <c r="E1078" i="115"/>
  <c r="A1078" i="115"/>
  <c r="K1077" i="115"/>
  <c r="I1077" i="115"/>
  <c r="H1077" i="115"/>
  <c r="G1077" i="115"/>
  <c r="F1077" i="115"/>
  <c r="E1077" i="115"/>
  <c r="A1077" i="115"/>
  <c r="K1076" i="115"/>
  <c r="I1076" i="115"/>
  <c r="H1076" i="115"/>
  <c r="G1076" i="115"/>
  <c r="F1076" i="115"/>
  <c r="E1076" i="115"/>
  <c r="A1076" i="115"/>
  <c r="K1075" i="115"/>
  <c r="I1075" i="115"/>
  <c r="H1075" i="115"/>
  <c r="G1075" i="115"/>
  <c r="F1075" i="115"/>
  <c r="E1075" i="115"/>
  <c r="A1075" i="115"/>
  <c r="K1074" i="115"/>
  <c r="I1074" i="115"/>
  <c r="H1074" i="115"/>
  <c r="G1074" i="115"/>
  <c r="F1074" i="115"/>
  <c r="E1074" i="115"/>
  <c r="A1074" i="115"/>
  <c r="K1073" i="115"/>
  <c r="I1073" i="115"/>
  <c r="H1073" i="115"/>
  <c r="G1073" i="115"/>
  <c r="F1073" i="115"/>
  <c r="E1073" i="115"/>
  <c r="A1073" i="115"/>
  <c r="K1072" i="115"/>
  <c r="I1072" i="115"/>
  <c r="H1072" i="115"/>
  <c r="G1072" i="115"/>
  <c r="F1072" i="115"/>
  <c r="E1072" i="115"/>
  <c r="A1072" i="115"/>
  <c r="K1071" i="115"/>
  <c r="I1071" i="115"/>
  <c r="H1071" i="115"/>
  <c r="G1071" i="115"/>
  <c r="F1071" i="115"/>
  <c r="E1071" i="115"/>
  <c r="A1071" i="115"/>
  <c r="K1070" i="115"/>
  <c r="I1070" i="115"/>
  <c r="H1070" i="115"/>
  <c r="G1070" i="115"/>
  <c r="F1070" i="115"/>
  <c r="E1070" i="115"/>
  <c r="A1070" i="115"/>
  <c r="K1069" i="115"/>
  <c r="I1069" i="115"/>
  <c r="H1069" i="115"/>
  <c r="G1069" i="115"/>
  <c r="F1069" i="115"/>
  <c r="E1069" i="115"/>
  <c r="A1069" i="115"/>
  <c r="K1068" i="115"/>
  <c r="I1068" i="115"/>
  <c r="H1068" i="115"/>
  <c r="G1068" i="115"/>
  <c r="F1068" i="115"/>
  <c r="E1068" i="115"/>
  <c r="A1068" i="115"/>
  <c r="K1067" i="115"/>
  <c r="I1067" i="115"/>
  <c r="H1067" i="115"/>
  <c r="G1067" i="115"/>
  <c r="F1067" i="115"/>
  <c r="E1067" i="115"/>
  <c r="A1067" i="115"/>
  <c r="K1066" i="115"/>
  <c r="I1066" i="115"/>
  <c r="H1066" i="115"/>
  <c r="G1066" i="115"/>
  <c r="F1066" i="115"/>
  <c r="E1066" i="115"/>
  <c r="A1066" i="115"/>
  <c r="K1065" i="115"/>
  <c r="I1065" i="115"/>
  <c r="H1065" i="115"/>
  <c r="G1065" i="115"/>
  <c r="F1065" i="115"/>
  <c r="E1065" i="115"/>
  <c r="A1065" i="115"/>
  <c r="K1064" i="115"/>
  <c r="I1064" i="115"/>
  <c r="H1064" i="115"/>
  <c r="G1064" i="115"/>
  <c r="F1064" i="115"/>
  <c r="E1064" i="115"/>
  <c r="A1064" i="115"/>
  <c r="K1063" i="115"/>
  <c r="I1063" i="115"/>
  <c r="H1063" i="115"/>
  <c r="G1063" i="115"/>
  <c r="F1063" i="115"/>
  <c r="E1063" i="115"/>
  <c r="A1063" i="115"/>
  <c r="K1062" i="115"/>
  <c r="I1062" i="115"/>
  <c r="H1062" i="115"/>
  <c r="G1062" i="115"/>
  <c r="F1062" i="115"/>
  <c r="E1062" i="115"/>
  <c r="A1062" i="115"/>
  <c r="K1061" i="115"/>
  <c r="I1061" i="115"/>
  <c r="H1061" i="115"/>
  <c r="G1061" i="115"/>
  <c r="F1061" i="115"/>
  <c r="E1061" i="115"/>
  <c r="A1061" i="115"/>
  <c r="K1060" i="115"/>
  <c r="I1060" i="115"/>
  <c r="H1060" i="115"/>
  <c r="G1060" i="115"/>
  <c r="F1060" i="115"/>
  <c r="E1060" i="115"/>
  <c r="A1060" i="115"/>
  <c r="K1059" i="115"/>
  <c r="I1059" i="115"/>
  <c r="H1059" i="115"/>
  <c r="G1059" i="115"/>
  <c r="F1059" i="115"/>
  <c r="E1059" i="115"/>
  <c r="A1059" i="115"/>
  <c r="K1058" i="115"/>
  <c r="I1058" i="115"/>
  <c r="H1058" i="115"/>
  <c r="G1058" i="115"/>
  <c r="F1058" i="115"/>
  <c r="E1058" i="115"/>
  <c r="A1058" i="115"/>
  <c r="K1057" i="115"/>
  <c r="I1057" i="115"/>
  <c r="H1057" i="115"/>
  <c r="G1057" i="115"/>
  <c r="F1057" i="115"/>
  <c r="E1057" i="115"/>
  <c r="A1057" i="115"/>
  <c r="K1056" i="115"/>
  <c r="I1056" i="115"/>
  <c r="H1056" i="115"/>
  <c r="G1056" i="115"/>
  <c r="F1056" i="115"/>
  <c r="E1056" i="115"/>
  <c r="A1056" i="115"/>
  <c r="K1055" i="115"/>
  <c r="I1055" i="115"/>
  <c r="H1055" i="115"/>
  <c r="G1055" i="115"/>
  <c r="F1055" i="115"/>
  <c r="E1055" i="115"/>
  <c r="A1055" i="115"/>
  <c r="K1054" i="115"/>
  <c r="I1054" i="115"/>
  <c r="H1054" i="115"/>
  <c r="G1054" i="115"/>
  <c r="F1054" i="115"/>
  <c r="E1054" i="115"/>
  <c r="A1054" i="115"/>
  <c r="K1053" i="115"/>
  <c r="I1053" i="115"/>
  <c r="H1053" i="115"/>
  <c r="G1053" i="115"/>
  <c r="F1053" i="115"/>
  <c r="E1053" i="115"/>
  <c r="A1053" i="115"/>
  <c r="K1052" i="115"/>
  <c r="I1052" i="115"/>
  <c r="H1052" i="115"/>
  <c r="G1052" i="115"/>
  <c r="F1052" i="115"/>
  <c r="E1052" i="115"/>
  <c r="A1052" i="115"/>
  <c r="K1051" i="115"/>
  <c r="I1051" i="115"/>
  <c r="H1051" i="115"/>
  <c r="G1051" i="115"/>
  <c r="F1051" i="115"/>
  <c r="E1051" i="115"/>
  <c r="A1051" i="115"/>
  <c r="K1050" i="115"/>
  <c r="I1050" i="115"/>
  <c r="H1050" i="115"/>
  <c r="G1050" i="115"/>
  <c r="F1050" i="115"/>
  <c r="E1050" i="115"/>
  <c r="A1050" i="115"/>
  <c r="K1049" i="115"/>
  <c r="I1049" i="115"/>
  <c r="H1049" i="115"/>
  <c r="G1049" i="115"/>
  <c r="F1049" i="115"/>
  <c r="E1049" i="115"/>
  <c r="A1049" i="115"/>
  <c r="K1048" i="115"/>
  <c r="I1048" i="115"/>
  <c r="H1048" i="115"/>
  <c r="G1048" i="115"/>
  <c r="F1048" i="115"/>
  <c r="E1048" i="115"/>
  <c r="A1048" i="115"/>
  <c r="K1047" i="115"/>
  <c r="I1047" i="115"/>
  <c r="H1047" i="115"/>
  <c r="G1047" i="115"/>
  <c r="F1047" i="115"/>
  <c r="E1047" i="115"/>
  <c r="A1047" i="115"/>
  <c r="K1046" i="115"/>
  <c r="I1046" i="115"/>
  <c r="H1046" i="115"/>
  <c r="G1046" i="115"/>
  <c r="F1046" i="115"/>
  <c r="E1046" i="115"/>
  <c r="A1046" i="115"/>
  <c r="K1045" i="115"/>
  <c r="I1045" i="115"/>
  <c r="H1045" i="115"/>
  <c r="G1045" i="115"/>
  <c r="F1045" i="115"/>
  <c r="E1045" i="115"/>
  <c r="A1045" i="115"/>
  <c r="K1044" i="115"/>
  <c r="I1044" i="115"/>
  <c r="H1044" i="115"/>
  <c r="G1044" i="115"/>
  <c r="F1044" i="115"/>
  <c r="E1044" i="115"/>
  <c r="A1044" i="115"/>
  <c r="K1043" i="115"/>
  <c r="I1043" i="115"/>
  <c r="H1043" i="115"/>
  <c r="G1043" i="115"/>
  <c r="F1043" i="115"/>
  <c r="E1043" i="115"/>
  <c r="A1043" i="115"/>
  <c r="K1042" i="115"/>
  <c r="I1042" i="115"/>
  <c r="H1042" i="115"/>
  <c r="G1042" i="115"/>
  <c r="F1042" i="115"/>
  <c r="E1042" i="115"/>
  <c r="A1042" i="115"/>
  <c r="K1041" i="115"/>
  <c r="I1041" i="115"/>
  <c r="H1041" i="115"/>
  <c r="G1041" i="115"/>
  <c r="F1041" i="115"/>
  <c r="E1041" i="115"/>
  <c r="A1041" i="115"/>
  <c r="K1040" i="115"/>
  <c r="I1040" i="115"/>
  <c r="H1040" i="115"/>
  <c r="G1040" i="115"/>
  <c r="F1040" i="115"/>
  <c r="E1040" i="115"/>
  <c r="A1040" i="115"/>
  <c r="K1039" i="115"/>
  <c r="I1039" i="115"/>
  <c r="H1039" i="115"/>
  <c r="G1039" i="115"/>
  <c r="F1039" i="115"/>
  <c r="E1039" i="115"/>
  <c r="A1039" i="115"/>
  <c r="K1038" i="115"/>
  <c r="I1038" i="115"/>
  <c r="H1038" i="115"/>
  <c r="G1038" i="115"/>
  <c r="F1038" i="115"/>
  <c r="E1038" i="115"/>
  <c r="A1038" i="115"/>
  <c r="K1037" i="115"/>
  <c r="I1037" i="115"/>
  <c r="H1037" i="115"/>
  <c r="G1037" i="115"/>
  <c r="F1037" i="115"/>
  <c r="E1037" i="115"/>
  <c r="A1037" i="115"/>
  <c r="K1036" i="115"/>
  <c r="I1036" i="115"/>
  <c r="H1036" i="115"/>
  <c r="G1036" i="115"/>
  <c r="F1036" i="115"/>
  <c r="E1036" i="115"/>
  <c r="A1036" i="115"/>
  <c r="K1035" i="115"/>
  <c r="I1035" i="115"/>
  <c r="H1035" i="115"/>
  <c r="G1035" i="115"/>
  <c r="F1035" i="115"/>
  <c r="E1035" i="115"/>
  <c r="A1035" i="115"/>
  <c r="K1034" i="115"/>
  <c r="I1034" i="115"/>
  <c r="H1034" i="115"/>
  <c r="G1034" i="115"/>
  <c r="F1034" i="115"/>
  <c r="E1034" i="115"/>
  <c r="A1034" i="115"/>
  <c r="K1033" i="115"/>
  <c r="I1033" i="115"/>
  <c r="H1033" i="115"/>
  <c r="G1033" i="115"/>
  <c r="F1033" i="115"/>
  <c r="E1033" i="115"/>
  <c r="A1033" i="115"/>
  <c r="K1032" i="115"/>
  <c r="I1032" i="115"/>
  <c r="H1032" i="115"/>
  <c r="G1032" i="115"/>
  <c r="F1032" i="115"/>
  <c r="E1032" i="115"/>
  <c r="A1032" i="115"/>
  <c r="K1031" i="115"/>
  <c r="I1031" i="115"/>
  <c r="H1031" i="115"/>
  <c r="G1031" i="115"/>
  <c r="F1031" i="115"/>
  <c r="E1031" i="115"/>
  <c r="A1031" i="115"/>
  <c r="K1030" i="115"/>
  <c r="I1030" i="115"/>
  <c r="H1030" i="115"/>
  <c r="G1030" i="115"/>
  <c r="F1030" i="115"/>
  <c r="E1030" i="115"/>
  <c r="A1030" i="115"/>
  <c r="K1029" i="115"/>
  <c r="I1029" i="115"/>
  <c r="H1029" i="115"/>
  <c r="G1029" i="115"/>
  <c r="F1029" i="115"/>
  <c r="E1029" i="115"/>
  <c r="A1029" i="115"/>
  <c r="K1028" i="115"/>
  <c r="I1028" i="115"/>
  <c r="H1028" i="115"/>
  <c r="G1028" i="115"/>
  <c r="F1028" i="115"/>
  <c r="E1028" i="115"/>
  <c r="A1028" i="115"/>
  <c r="K1027" i="115"/>
  <c r="I1027" i="115"/>
  <c r="H1027" i="115"/>
  <c r="G1027" i="115"/>
  <c r="F1027" i="115"/>
  <c r="E1027" i="115"/>
  <c r="A1027" i="115"/>
  <c r="K1026" i="115"/>
  <c r="I1026" i="115"/>
  <c r="H1026" i="115"/>
  <c r="G1026" i="115"/>
  <c r="F1026" i="115"/>
  <c r="E1026" i="115"/>
  <c r="A1026" i="115"/>
  <c r="K1025" i="115"/>
  <c r="I1025" i="115"/>
  <c r="H1025" i="115"/>
  <c r="G1025" i="115"/>
  <c r="F1025" i="115"/>
  <c r="E1025" i="115"/>
  <c r="A1025" i="115"/>
  <c r="K1024" i="115"/>
  <c r="I1024" i="115"/>
  <c r="H1024" i="115"/>
  <c r="G1024" i="115"/>
  <c r="F1024" i="115"/>
  <c r="E1024" i="115"/>
  <c r="A1024" i="115"/>
  <c r="K1023" i="115"/>
  <c r="I1023" i="115"/>
  <c r="H1023" i="115"/>
  <c r="G1023" i="115"/>
  <c r="F1023" i="115"/>
  <c r="E1023" i="115"/>
  <c r="A1023" i="115"/>
  <c r="K1022" i="115"/>
  <c r="I1022" i="115"/>
  <c r="H1022" i="115"/>
  <c r="G1022" i="115"/>
  <c r="F1022" i="115"/>
  <c r="E1022" i="115"/>
  <c r="A1022" i="115"/>
  <c r="K1021" i="115"/>
  <c r="I1021" i="115"/>
  <c r="H1021" i="115"/>
  <c r="G1021" i="115"/>
  <c r="F1021" i="115"/>
  <c r="E1021" i="115"/>
  <c r="A1021" i="115"/>
  <c r="K1020" i="115"/>
  <c r="I1020" i="115"/>
  <c r="H1020" i="115"/>
  <c r="G1020" i="115"/>
  <c r="F1020" i="115"/>
  <c r="E1020" i="115"/>
  <c r="A1020" i="115"/>
  <c r="K1019" i="115"/>
  <c r="I1019" i="115"/>
  <c r="H1019" i="115"/>
  <c r="G1019" i="115"/>
  <c r="F1019" i="115"/>
  <c r="E1019" i="115"/>
  <c r="A1019" i="115"/>
  <c r="K1018" i="115"/>
  <c r="I1018" i="115"/>
  <c r="H1018" i="115"/>
  <c r="G1018" i="115"/>
  <c r="F1018" i="115"/>
  <c r="E1018" i="115"/>
  <c r="A1018" i="115"/>
  <c r="K1017" i="115"/>
  <c r="I1017" i="115"/>
  <c r="H1017" i="115"/>
  <c r="G1017" i="115"/>
  <c r="F1017" i="115"/>
  <c r="E1017" i="115"/>
  <c r="A1017" i="115"/>
  <c r="K1016" i="115"/>
  <c r="I1016" i="115"/>
  <c r="H1016" i="115"/>
  <c r="G1016" i="115"/>
  <c r="F1016" i="115"/>
  <c r="E1016" i="115"/>
  <c r="A1016" i="115"/>
  <c r="K1015" i="115"/>
  <c r="I1015" i="115"/>
  <c r="H1015" i="115"/>
  <c r="G1015" i="115"/>
  <c r="F1015" i="115"/>
  <c r="E1015" i="115"/>
  <c r="A1015" i="115"/>
  <c r="K1014" i="115"/>
  <c r="I1014" i="115"/>
  <c r="H1014" i="115"/>
  <c r="G1014" i="115"/>
  <c r="F1014" i="115"/>
  <c r="E1014" i="115"/>
  <c r="A1014" i="115"/>
  <c r="K1013" i="115"/>
  <c r="I1013" i="115"/>
  <c r="H1013" i="115"/>
  <c r="G1013" i="115"/>
  <c r="F1013" i="115"/>
  <c r="E1013" i="115"/>
  <c r="A1013" i="115"/>
  <c r="K1012" i="115"/>
  <c r="I1012" i="115"/>
  <c r="H1012" i="115"/>
  <c r="G1012" i="115"/>
  <c r="F1012" i="115"/>
  <c r="E1012" i="115"/>
  <c r="A1012" i="115"/>
  <c r="K1011" i="115"/>
  <c r="I1011" i="115"/>
  <c r="H1011" i="115"/>
  <c r="G1011" i="115"/>
  <c r="F1011" i="115"/>
  <c r="E1011" i="115"/>
  <c r="A1011" i="115"/>
  <c r="K1010" i="115"/>
  <c r="I1010" i="115"/>
  <c r="H1010" i="115"/>
  <c r="G1010" i="115"/>
  <c r="F1010" i="115"/>
  <c r="E1010" i="115"/>
  <c r="A1010" i="115"/>
  <c r="K1009" i="115"/>
  <c r="I1009" i="115"/>
  <c r="H1009" i="115"/>
  <c r="G1009" i="115"/>
  <c r="F1009" i="115"/>
  <c r="E1009" i="115"/>
  <c r="A1009" i="115"/>
  <c r="K1008" i="115"/>
  <c r="I1008" i="115"/>
  <c r="H1008" i="115"/>
  <c r="G1008" i="115"/>
  <c r="F1008" i="115"/>
  <c r="E1008" i="115"/>
  <c r="A1008" i="115"/>
  <c r="K1007" i="115"/>
  <c r="I1007" i="115"/>
  <c r="H1007" i="115"/>
  <c r="G1007" i="115"/>
  <c r="F1007" i="115"/>
  <c r="E1007" i="115"/>
  <c r="A1007" i="115"/>
  <c r="K1006" i="115"/>
  <c r="I1006" i="115"/>
  <c r="H1006" i="115"/>
  <c r="G1006" i="115"/>
  <c r="F1006" i="115"/>
  <c r="E1006" i="115"/>
  <c r="A1006" i="115"/>
  <c r="K1005" i="115"/>
  <c r="I1005" i="115"/>
  <c r="H1005" i="115"/>
  <c r="G1005" i="115"/>
  <c r="F1005" i="115"/>
  <c r="E1005" i="115"/>
  <c r="A1005" i="115"/>
  <c r="K1004" i="115"/>
  <c r="I1004" i="115"/>
  <c r="H1004" i="115"/>
  <c r="G1004" i="115"/>
  <c r="F1004" i="115"/>
  <c r="E1004" i="115"/>
  <c r="A1004" i="115"/>
  <c r="K1003" i="115"/>
  <c r="I1003" i="115"/>
  <c r="H1003" i="115"/>
  <c r="G1003" i="115"/>
  <c r="F1003" i="115"/>
  <c r="E1003" i="115"/>
  <c r="A1003" i="115"/>
  <c r="K1002" i="115"/>
  <c r="I1002" i="115"/>
  <c r="H1002" i="115"/>
  <c r="G1002" i="115"/>
  <c r="F1002" i="115"/>
  <c r="E1002" i="115"/>
  <c r="A1002" i="115"/>
  <c r="K1001" i="115"/>
  <c r="I1001" i="115"/>
  <c r="H1001" i="115"/>
  <c r="G1001" i="115"/>
  <c r="F1001" i="115"/>
  <c r="E1001" i="115"/>
  <c r="A1001" i="115"/>
  <c r="K1000" i="115"/>
  <c r="I1000" i="115"/>
  <c r="H1000" i="115"/>
  <c r="G1000" i="115"/>
  <c r="F1000" i="115"/>
  <c r="E1000" i="115"/>
  <c r="A1000" i="115"/>
  <c r="K999" i="115"/>
  <c r="I999" i="115"/>
  <c r="H999" i="115"/>
  <c r="G999" i="115"/>
  <c r="F999" i="115"/>
  <c r="E999" i="115"/>
  <c r="A999" i="115"/>
  <c r="K998" i="115"/>
  <c r="I998" i="115"/>
  <c r="H998" i="115"/>
  <c r="G998" i="115"/>
  <c r="F998" i="115"/>
  <c r="E998" i="115"/>
  <c r="A998" i="115"/>
  <c r="K997" i="115"/>
  <c r="I997" i="115"/>
  <c r="H997" i="115"/>
  <c r="G997" i="115"/>
  <c r="F997" i="115"/>
  <c r="E997" i="115"/>
  <c r="A997" i="115"/>
  <c r="K996" i="115"/>
  <c r="I996" i="115"/>
  <c r="H996" i="115"/>
  <c r="G996" i="115"/>
  <c r="F996" i="115"/>
  <c r="E996" i="115"/>
  <c r="A996" i="115"/>
  <c r="K995" i="115"/>
  <c r="I995" i="115"/>
  <c r="H995" i="115"/>
  <c r="G995" i="115"/>
  <c r="F995" i="115"/>
  <c r="E995" i="115"/>
  <c r="A995" i="115"/>
  <c r="K994" i="115"/>
  <c r="I994" i="115"/>
  <c r="H994" i="115"/>
  <c r="G994" i="115"/>
  <c r="F994" i="115"/>
  <c r="E994" i="115"/>
  <c r="A994" i="115"/>
  <c r="K993" i="115"/>
  <c r="I993" i="115"/>
  <c r="H993" i="115"/>
  <c r="G993" i="115"/>
  <c r="F993" i="115"/>
  <c r="E993" i="115"/>
  <c r="A993" i="115"/>
  <c r="K992" i="115"/>
  <c r="I992" i="115"/>
  <c r="H992" i="115"/>
  <c r="G992" i="115"/>
  <c r="F992" i="115"/>
  <c r="E992" i="115"/>
  <c r="A992" i="115"/>
  <c r="K991" i="115"/>
  <c r="I991" i="115"/>
  <c r="H991" i="115"/>
  <c r="G991" i="115"/>
  <c r="F991" i="115"/>
  <c r="E991" i="115"/>
  <c r="A991" i="115"/>
  <c r="K990" i="115"/>
  <c r="I990" i="115"/>
  <c r="H990" i="115"/>
  <c r="G990" i="115"/>
  <c r="F990" i="115"/>
  <c r="E990" i="115"/>
  <c r="A990" i="115"/>
  <c r="K989" i="115"/>
  <c r="I989" i="115"/>
  <c r="H989" i="115"/>
  <c r="G989" i="115"/>
  <c r="F989" i="115"/>
  <c r="E989" i="115"/>
  <c r="A989" i="115"/>
  <c r="K988" i="115"/>
  <c r="I988" i="115"/>
  <c r="H988" i="115"/>
  <c r="G988" i="115"/>
  <c r="F988" i="115"/>
  <c r="E988" i="115"/>
  <c r="A988" i="115"/>
  <c r="K987" i="115"/>
  <c r="I987" i="115"/>
  <c r="H987" i="115"/>
  <c r="G987" i="115"/>
  <c r="F987" i="115"/>
  <c r="E987" i="115"/>
  <c r="A987" i="115"/>
  <c r="K986" i="115"/>
  <c r="I986" i="115"/>
  <c r="H986" i="115"/>
  <c r="G986" i="115"/>
  <c r="F986" i="115"/>
  <c r="E986" i="115"/>
  <c r="A986" i="115"/>
  <c r="K985" i="115"/>
  <c r="I985" i="115"/>
  <c r="H985" i="115"/>
  <c r="G985" i="115"/>
  <c r="F985" i="115"/>
  <c r="E985" i="115"/>
  <c r="A985" i="115"/>
  <c r="K984" i="115"/>
  <c r="I984" i="115"/>
  <c r="H984" i="115"/>
  <c r="G984" i="115"/>
  <c r="F984" i="115"/>
  <c r="E984" i="115"/>
  <c r="A984" i="115"/>
  <c r="K983" i="115"/>
  <c r="I983" i="115"/>
  <c r="H983" i="115"/>
  <c r="G983" i="115"/>
  <c r="F983" i="115"/>
  <c r="E983" i="115"/>
  <c r="A983" i="115"/>
  <c r="K982" i="115"/>
  <c r="I982" i="115"/>
  <c r="H982" i="115"/>
  <c r="G982" i="115"/>
  <c r="F982" i="115"/>
  <c r="E982" i="115"/>
  <c r="A982" i="115"/>
  <c r="K981" i="115"/>
  <c r="I981" i="115"/>
  <c r="H981" i="115"/>
  <c r="G981" i="115"/>
  <c r="F981" i="115"/>
  <c r="E981" i="115"/>
  <c r="A981" i="115"/>
  <c r="K980" i="115"/>
  <c r="I980" i="115"/>
  <c r="H980" i="115"/>
  <c r="G980" i="115"/>
  <c r="F980" i="115"/>
  <c r="E980" i="115"/>
  <c r="A980" i="115"/>
  <c r="K979" i="115"/>
  <c r="I979" i="115"/>
  <c r="H979" i="115"/>
  <c r="G979" i="115"/>
  <c r="F979" i="115"/>
  <c r="E979" i="115"/>
  <c r="A979" i="115"/>
  <c r="K978" i="115"/>
  <c r="I978" i="115"/>
  <c r="H978" i="115"/>
  <c r="G978" i="115"/>
  <c r="F978" i="115"/>
  <c r="E978" i="115"/>
  <c r="A978" i="115"/>
  <c r="K977" i="115"/>
  <c r="I977" i="115"/>
  <c r="H977" i="115"/>
  <c r="G977" i="115"/>
  <c r="F977" i="115"/>
  <c r="E977" i="115"/>
  <c r="A977" i="115"/>
  <c r="K976" i="115"/>
  <c r="I976" i="115"/>
  <c r="H976" i="115"/>
  <c r="G976" i="115"/>
  <c r="F976" i="115"/>
  <c r="E976" i="115"/>
  <c r="A976" i="115"/>
  <c r="K975" i="115"/>
  <c r="I975" i="115"/>
  <c r="H975" i="115"/>
  <c r="G975" i="115"/>
  <c r="F975" i="115"/>
  <c r="E975" i="115"/>
  <c r="A975" i="115"/>
  <c r="K974" i="115"/>
  <c r="I974" i="115"/>
  <c r="H974" i="115"/>
  <c r="G974" i="115"/>
  <c r="F974" i="115"/>
  <c r="E974" i="115"/>
  <c r="A974" i="115"/>
  <c r="K973" i="115"/>
  <c r="I973" i="115"/>
  <c r="H973" i="115"/>
  <c r="G973" i="115"/>
  <c r="F973" i="115"/>
  <c r="E973" i="115"/>
  <c r="A973" i="115"/>
  <c r="K972" i="115"/>
  <c r="I972" i="115"/>
  <c r="H972" i="115"/>
  <c r="G972" i="115"/>
  <c r="F972" i="115"/>
  <c r="E972" i="115"/>
  <c r="A972" i="115"/>
  <c r="K971" i="115"/>
  <c r="I971" i="115"/>
  <c r="H971" i="115"/>
  <c r="G971" i="115"/>
  <c r="F971" i="115"/>
  <c r="E971" i="115"/>
  <c r="A971" i="115"/>
  <c r="K970" i="115"/>
  <c r="I970" i="115"/>
  <c r="H970" i="115"/>
  <c r="G970" i="115"/>
  <c r="F970" i="115"/>
  <c r="E970" i="115"/>
  <c r="A970" i="115"/>
  <c r="K969" i="115"/>
  <c r="I969" i="115"/>
  <c r="H969" i="115"/>
  <c r="G969" i="115"/>
  <c r="F969" i="115"/>
  <c r="E969" i="115"/>
  <c r="A969" i="115"/>
  <c r="K968" i="115"/>
  <c r="I968" i="115"/>
  <c r="H968" i="115"/>
  <c r="G968" i="115"/>
  <c r="F968" i="115"/>
  <c r="E968" i="115"/>
  <c r="A968" i="115"/>
  <c r="K967" i="115"/>
  <c r="I967" i="115"/>
  <c r="H967" i="115"/>
  <c r="G967" i="115"/>
  <c r="F967" i="115"/>
  <c r="E967" i="115"/>
  <c r="A967" i="115"/>
  <c r="K966" i="115"/>
  <c r="I966" i="115"/>
  <c r="H966" i="115"/>
  <c r="G966" i="115"/>
  <c r="F966" i="115"/>
  <c r="E966" i="115"/>
  <c r="A966" i="115"/>
  <c r="K965" i="115"/>
  <c r="I965" i="115"/>
  <c r="H965" i="115"/>
  <c r="G965" i="115"/>
  <c r="F965" i="115"/>
  <c r="E965" i="115"/>
  <c r="A965" i="115"/>
  <c r="K964" i="115"/>
  <c r="I964" i="115"/>
  <c r="H964" i="115"/>
  <c r="G964" i="115"/>
  <c r="F964" i="115"/>
  <c r="E964" i="115"/>
  <c r="A964" i="115"/>
  <c r="K963" i="115"/>
  <c r="I963" i="115"/>
  <c r="H963" i="115"/>
  <c r="G963" i="115"/>
  <c r="F963" i="115"/>
  <c r="E963" i="115"/>
  <c r="A963" i="115"/>
  <c r="K962" i="115"/>
  <c r="I962" i="115"/>
  <c r="H962" i="115"/>
  <c r="G962" i="115"/>
  <c r="F962" i="115"/>
  <c r="E962" i="115"/>
  <c r="A962" i="115"/>
  <c r="K961" i="115"/>
  <c r="I961" i="115"/>
  <c r="H961" i="115"/>
  <c r="G961" i="115"/>
  <c r="F961" i="115"/>
  <c r="E961" i="115"/>
  <c r="A961" i="115"/>
  <c r="K960" i="115"/>
  <c r="I960" i="115"/>
  <c r="H960" i="115"/>
  <c r="G960" i="115"/>
  <c r="F960" i="115"/>
  <c r="E960" i="115"/>
  <c r="A960" i="115"/>
  <c r="K959" i="115"/>
  <c r="I959" i="115"/>
  <c r="H959" i="115"/>
  <c r="G959" i="115"/>
  <c r="F959" i="115"/>
  <c r="E959" i="115"/>
  <c r="A959" i="115"/>
  <c r="K958" i="115"/>
  <c r="I958" i="115"/>
  <c r="H958" i="115"/>
  <c r="G958" i="115"/>
  <c r="F958" i="115"/>
  <c r="E958" i="115"/>
  <c r="A958" i="115"/>
  <c r="K957" i="115"/>
  <c r="I957" i="115"/>
  <c r="H957" i="115"/>
  <c r="G957" i="115"/>
  <c r="F957" i="115"/>
  <c r="E957" i="115"/>
  <c r="A957" i="115"/>
  <c r="K956" i="115"/>
  <c r="I956" i="115"/>
  <c r="H956" i="115"/>
  <c r="G956" i="115"/>
  <c r="F956" i="115"/>
  <c r="E956" i="115"/>
  <c r="A956" i="115"/>
  <c r="K955" i="115"/>
  <c r="I955" i="115"/>
  <c r="H955" i="115"/>
  <c r="G955" i="115"/>
  <c r="F955" i="115"/>
  <c r="E955" i="115"/>
  <c r="A955" i="115"/>
  <c r="K954" i="115"/>
  <c r="I954" i="115"/>
  <c r="H954" i="115"/>
  <c r="G954" i="115"/>
  <c r="F954" i="115"/>
  <c r="E954" i="115"/>
  <c r="A954" i="115"/>
  <c r="K953" i="115"/>
  <c r="I953" i="115"/>
  <c r="H953" i="115"/>
  <c r="G953" i="115"/>
  <c r="F953" i="115"/>
  <c r="E953" i="115"/>
  <c r="A953" i="115"/>
  <c r="K952" i="115"/>
  <c r="I952" i="115"/>
  <c r="H952" i="115"/>
  <c r="G952" i="115"/>
  <c r="F952" i="115"/>
  <c r="E952" i="115"/>
  <c r="A952" i="115"/>
  <c r="K951" i="115"/>
  <c r="I951" i="115"/>
  <c r="H951" i="115"/>
  <c r="G951" i="115"/>
  <c r="F951" i="115"/>
  <c r="E951" i="115"/>
  <c r="A951" i="115"/>
  <c r="K950" i="115"/>
  <c r="I950" i="115"/>
  <c r="H950" i="115"/>
  <c r="G950" i="115"/>
  <c r="F950" i="115"/>
  <c r="E950" i="115"/>
  <c r="A950" i="115"/>
  <c r="K949" i="115"/>
  <c r="I949" i="115"/>
  <c r="H949" i="115"/>
  <c r="G949" i="115"/>
  <c r="F949" i="115"/>
  <c r="E949" i="115"/>
  <c r="A949" i="115"/>
  <c r="K948" i="115"/>
  <c r="I948" i="115"/>
  <c r="H948" i="115"/>
  <c r="G948" i="115"/>
  <c r="F948" i="115"/>
  <c r="E948" i="115"/>
  <c r="A948" i="115"/>
  <c r="K947" i="115"/>
  <c r="I947" i="115"/>
  <c r="H947" i="115"/>
  <c r="G947" i="115"/>
  <c r="F947" i="115"/>
  <c r="E947" i="115"/>
  <c r="A947" i="115"/>
  <c r="K946" i="115"/>
  <c r="I946" i="115"/>
  <c r="H946" i="115"/>
  <c r="G946" i="115"/>
  <c r="F946" i="115"/>
  <c r="E946" i="115"/>
  <c r="A946" i="115"/>
  <c r="K945" i="115"/>
  <c r="I945" i="115"/>
  <c r="H945" i="115"/>
  <c r="G945" i="115"/>
  <c r="F945" i="115"/>
  <c r="E945" i="115"/>
  <c r="A945" i="115"/>
  <c r="K944" i="115"/>
  <c r="I944" i="115"/>
  <c r="H944" i="115"/>
  <c r="G944" i="115"/>
  <c r="F944" i="115"/>
  <c r="E944" i="115"/>
  <c r="A944" i="115"/>
  <c r="K943" i="115"/>
  <c r="I943" i="115"/>
  <c r="H943" i="115"/>
  <c r="G943" i="115"/>
  <c r="F943" i="115"/>
  <c r="E943" i="115"/>
  <c r="A943" i="115"/>
  <c r="K942" i="115"/>
  <c r="I942" i="115"/>
  <c r="H942" i="115"/>
  <c r="G942" i="115"/>
  <c r="F942" i="115"/>
  <c r="E942" i="115"/>
  <c r="A942" i="115"/>
  <c r="K941" i="115"/>
  <c r="I941" i="115"/>
  <c r="H941" i="115"/>
  <c r="G941" i="115"/>
  <c r="F941" i="115"/>
  <c r="E941" i="115"/>
  <c r="A941" i="115"/>
  <c r="K940" i="115"/>
  <c r="I940" i="115"/>
  <c r="H940" i="115"/>
  <c r="G940" i="115"/>
  <c r="F940" i="115"/>
  <c r="E940" i="115"/>
  <c r="A940" i="115"/>
  <c r="K939" i="115"/>
  <c r="I939" i="115"/>
  <c r="H939" i="115"/>
  <c r="G939" i="115"/>
  <c r="F939" i="115"/>
  <c r="E939" i="115"/>
  <c r="A939" i="115"/>
  <c r="K938" i="115"/>
  <c r="I938" i="115"/>
  <c r="H938" i="115"/>
  <c r="G938" i="115"/>
  <c r="F938" i="115"/>
  <c r="E938" i="115"/>
  <c r="A938" i="115"/>
  <c r="K937" i="115"/>
  <c r="I937" i="115"/>
  <c r="H937" i="115"/>
  <c r="G937" i="115"/>
  <c r="F937" i="115"/>
  <c r="E937" i="115"/>
  <c r="A937" i="115"/>
  <c r="K936" i="115"/>
  <c r="I936" i="115"/>
  <c r="H936" i="115"/>
  <c r="G936" i="115"/>
  <c r="F936" i="115"/>
  <c r="E936" i="115"/>
  <c r="A936" i="115"/>
  <c r="K935" i="115"/>
  <c r="I935" i="115"/>
  <c r="H935" i="115"/>
  <c r="G935" i="115"/>
  <c r="F935" i="115"/>
  <c r="E935" i="115"/>
  <c r="A935" i="115"/>
  <c r="K934" i="115"/>
  <c r="I934" i="115"/>
  <c r="H934" i="115"/>
  <c r="G934" i="115"/>
  <c r="F934" i="115"/>
  <c r="E934" i="115"/>
  <c r="A934" i="115"/>
  <c r="K933" i="115"/>
  <c r="I933" i="115"/>
  <c r="H933" i="115"/>
  <c r="G933" i="115"/>
  <c r="F933" i="115"/>
  <c r="E933" i="115"/>
  <c r="A933" i="115"/>
  <c r="K932" i="115"/>
  <c r="I932" i="115"/>
  <c r="H932" i="115"/>
  <c r="G932" i="115"/>
  <c r="F932" i="115"/>
  <c r="E932" i="115"/>
  <c r="A932" i="115"/>
  <c r="K931" i="115"/>
  <c r="I931" i="115"/>
  <c r="H931" i="115"/>
  <c r="G931" i="115"/>
  <c r="F931" i="115"/>
  <c r="E931" i="115"/>
  <c r="A931" i="115"/>
  <c r="K930" i="115"/>
  <c r="I930" i="115"/>
  <c r="H930" i="115"/>
  <c r="G930" i="115"/>
  <c r="F930" i="115"/>
  <c r="E930" i="115"/>
  <c r="A930" i="115"/>
  <c r="K929" i="115"/>
  <c r="I929" i="115"/>
  <c r="H929" i="115"/>
  <c r="G929" i="115"/>
  <c r="F929" i="115"/>
  <c r="E929" i="115"/>
  <c r="A929" i="115"/>
  <c r="K928" i="115"/>
  <c r="I928" i="115"/>
  <c r="H928" i="115"/>
  <c r="G928" i="115"/>
  <c r="F928" i="115"/>
  <c r="E928" i="115"/>
  <c r="A928" i="115"/>
  <c r="K927" i="115"/>
  <c r="I927" i="115"/>
  <c r="H927" i="115"/>
  <c r="G927" i="115"/>
  <c r="F927" i="115"/>
  <c r="E927" i="115"/>
  <c r="A927" i="115"/>
  <c r="K926" i="115"/>
  <c r="I926" i="115"/>
  <c r="H926" i="115"/>
  <c r="G926" i="115"/>
  <c r="F926" i="115"/>
  <c r="E926" i="115"/>
  <c r="A926" i="115"/>
  <c r="K925" i="115"/>
  <c r="I925" i="115"/>
  <c r="H925" i="115"/>
  <c r="G925" i="115"/>
  <c r="F925" i="115"/>
  <c r="E925" i="115"/>
  <c r="A925" i="115"/>
  <c r="K924" i="115"/>
  <c r="I924" i="115"/>
  <c r="H924" i="115"/>
  <c r="G924" i="115"/>
  <c r="F924" i="115"/>
  <c r="E924" i="115"/>
  <c r="A924" i="115"/>
  <c r="K923" i="115"/>
  <c r="I923" i="115"/>
  <c r="H923" i="115"/>
  <c r="G923" i="115"/>
  <c r="F923" i="115"/>
  <c r="E923" i="115"/>
  <c r="A923" i="115"/>
  <c r="K922" i="115"/>
  <c r="I922" i="115"/>
  <c r="H922" i="115"/>
  <c r="G922" i="115"/>
  <c r="F922" i="115"/>
  <c r="E922" i="115"/>
  <c r="A922" i="115"/>
  <c r="K921" i="115"/>
  <c r="I921" i="115"/>
  <c r="H921" i="115"/>
  <c r="G921" i="115"/>
  <c r="F921" i="115"/>
  <c r="E921" i="115"/>
  <c r="A921" i="115"/>
  <c r="K920" i="115"/>
  <c r="I920" i="115"/>
  <c r="H920" i="115"/>
  <c r="G920" i="115"/>
  <c r="F920" i="115"/>
  <c r="E920" i="115"/>
  <c r="A920" i="115"/>
  <c r="K919" i="115"/>
  <c r="I919" i="115"/>
  <c r="H919" i="115"/>
  <c r="G919" i="115"/>
  <c r="F919" i="115"/>
  <c r="E919" i="115"/>
  <c r="A919" i="115"/>
  <c r="K918" i="115"/>
  <c r="I918" i="115"/>
  <c r="H918" i="115"/>
  <c r="G918" i="115"/>
  <c r="F918" i="115"/>
  <c r="E918" i="115"/>
  <c r="A918" i="115"/>
  <c r="K917" i="115"/>
  <c r="I917" i="115"/>
  <c r="H917" i="115"/>
  <c r="G917" i="115"/>
  <c r="F917" i="115"/>
  <c r="E917" i="115"/>
  <c r="A917" i="115"/>
  <c r="K916" i="115"/>
  <c r="I916" i="115"/>
  <c r="H916" i="115"/>
  <c r="G916" i="115"/>
  <c r="F916" i="115"/>
  <c r="E916" i="115"/>
  <c r="A916" i="115"/>
  <c r="K915" i="115"/>
  <c r="I915" i="115"/>
  <c r="H915" i="115"/>
  <c r="G915" i="115"/>
  <c r="F915" i="115"/>
  <c r="E915" i="115"/>
  <c r="A915" i="115"/>
  <c r="K914" i="115"/>
  <c r="I914" i="115"/>
  <c r="H914" i="115"/>
  <c r="G914" i="115"/>
  <c r="F914" i="115"/>
  <c r="E914" i="115"/>
  <c r="A914" i="115"/>
  <c r="K913" i="115"/>
  <c r="I913" i="115"/>
  <c r="H913" i="115"/>
  <c r="G913" i="115"/>
  <c r="F913" i="115"/>
  <c r="E913" i="115"/>
  <c r="A913" i="115"/>
  <c r="K912" i="115"/>
  <c r="I912" i="115"/>
  <c r="H912" i="115"/>
  <c r="G912" i="115"/>
  <c r="F912" i="115"/>
  <c r="E912" i="115"/>
  <c r="A912" i="115"/>
  <c r="K911" i="115"/>
  <c r="I911" i="115"/>
  <c r="H911" i="115"/>
  <c r="G911" i="115"/>
  <c r="F911" i="115"/>
  <c r="E911" i="115"/>
  <c r="A911" i="115"/>
  <c r="K910" i="115"/>
  <c r="I910" i="115"/>
  <c r="H910" i="115"/>
  <c r="G910" i="115"/>
  <c r="F910" i="115"/>
  <c r="E910" i="115"/>
  <c r="A910" i="115"/>
  <c r="K909" i="115"/>
  <c r="I909" i="115"/>
  <c r="H909" i="115"/>
  <c r="G909" i="115"/>
  <c r="F909" i="115"/>
  <c r="E909" i="115"/>
  <c r="A909" i="115"/>
  <c r="K908" i="115"/>
  <c r="I908" i="115"/>
  <c r="H908" i="115"/>
  <c r="G908" i="115"/>
  <c r="F908" i="115"/>
  <c r="E908" i="115"/>
  <c r="A908" i="115"/>
  <c r="K907" i="115"/>
  <c r="I907" i="115"/>
  <c r="H907" i="115"/>
  <c r="G907" i="115"/>
  <c r="F907" i="115"/>
  <c r="E907" i="115"/>
  <c r="A907" i="115"/>
  <c r="K906" i="115"/>
  <c r="I906" i="115"/>
  <c r="H906" i="115"/>
  <c r="G906" i="115"/>
  <c r="F906" i="115"/>
  <c r="E906" i="115"/>
  <c r="A906" i="115"/>
  <c r="K905" i="115"/>
  <c r="I905" i="115"/>
  <c r="H905" i="115"/>
  <c r="G905" i="115"/>
  <c r="F905" i="115"/>
  <c r="E905" i="115"/>
  <c r="A905" i="115"/>
  <c r="K904" i="115"/>
  <c r="I904" i="115"/>
  <c r="H904" i="115"/>
  <c r="G904" i="115"/>
  <c r="F904" i="115"/>
  <c r="E904" i="115"/>
  <c r="A904" i="115"/>
  <c r="K903" i="115"/>
  <c r="I903" i="115"/>
  <c r="H903" i="115"/>
  <c r="G903" i="115"/>
  <c r="F903" i="115"/>
  <c r="E903" i="115"/>
  <c r="A903" i="115"/>
  <c r="K902" i="115"/>
  <c r="I902" i="115"/>
  <c r="H902" i="115"/>
  <c r="G902" i="115"/>
  <c r="F902" i="115"/>
  <c r="E902" i="115"/>
  <c r="A902" i="115"/>
  <c r="K901" i="115"/>
  <c r="I901" i="115"/>
  <c r="H901" i="115"/>
  <c r="G901" i="115"/>
  <c r="F901" i="115"/>
  <c r="E901" i="115"/>
  <c r="A901" i="115"/>
  <c r="K900" i="115"/>
  <c r="I900" i="115"/>
  <c r="H900" i="115"/>
  <c r="G900" i="115"/>
  <c r="F900" i="115"/>
  <c r="E900" i="115"/>
  <c r="A900" i="115"/>
  <c r="K899" i="115"/>
  <c r="I899" i="115"/>
  <c r="H899" i="115"/>
  <c r="G899" i="115"/>
  <c r="F899" i="115"/>
  <c r="E899" i="115"/>
  <c r="A899" i="115"/>
  <c r="K898" i="115"/>
  <c r="I898" i="115"/>
  <c r="H898" i="115"/>
  <c r="G898" i="115"/>
  <c r="F898" i="115"/>
  <c r="E898" i="115"/>
  <c r="A898" i="115"/>
  <c r="K897" i="115"/>
  <c r="I897" i="115"/>
  <c r="H897" i="115"/>
  <c r="G897" i="115"/>
  <c r="F897" i="115"/>
  <c r="E897" i="115"/>
  <c r="A897" i="115"/>
  <c r="K896" i="115"/>
  <c r="I896" i="115"/>
  <c r="H896" i="115"/>
  <c r="G896" i="115"/>
  <c r="F896" i="115"/>
  <c r="E896" i="115"/>
  <c r="A896" i="115"/>
  <c r="K895" i="115"/>
  <c r="I895" i="115"/>
  <c r="H895" i="115"/>
  <c r="G895" i="115"/>
  <c r="F895" i="115"/>
  <c r="E895" i="115"/>
  <c r="A895" i="115"/>
  <c r="K894" i="115"/>
  <c r="I894" i="115"/>
  <c r="H894" i="115"/>
  <c r="G894" i="115"/>
  <c r="F894" i="115"/>
  <c r="E894" i="115"/>
  <c r="A894" i="115"/>
  <c r="K893" i="115"/>
  <c r="I893" i="115"/>
  <c r="H893" i="115"/>
  <c r="G893" i="115"/>
  <c r="F893" i="115"/>
  <c r="E893" i="115"/>
  <c r="A893" i="115"/>
  <c r="K892" i="115"/>
  <c r="I892" i="115"/>
  <c r="H892" i="115"/>
  <c r="G892" i="115"/>
  <c r="F892" i="115"/>
  <c r="E892" i="115"/>
  <c r="A892" i="115"/>
  <c r="K891" i="115"/>
  <c r="I891" i="115"/>
  <c r="H891" i="115"/>
  <c r="G891" i="115"/>
  <c r="F891" i="115"/>
  <c r="E891" i="115"/>
  <c r="A891" i="115"/>
  <c r="K890" i="115"/>
  <c r="I890" i="115"/>
  <c r="H890" i="115"/>
  <c r="G890" i="115"/>
  <c r="F890" i="115"/>
  <c r="E890" i="115"/>
  <c r="A890" i="115"/>
  <c r="K889" i="115"/>
  <c r="I889" i="115"/>
  <c r="H889" i="115"/>
  <c r="G889" i="115"/>
  <c r="F889" i="115"/>
  <c r="E889" i="115"/>
  <c r="A889" i="115"/>
  <c r="K888" i="115"/>
  <c r="I888" i="115"/>
  <c r="H888" i="115"/>
  <c r="G888" i="115"/>
  <c r="F888" i="115"/>
  <c r="E888" i="115"/>
  <c r="A888" i="115"/>
  <c r="K887" i="115"/>
  <c r="I887" i="115"/>
  <c r="H887" i="115"/>
  <c r="G887" i="115"/>
  <c r="F887" i="115"/>
  <c r="E887" i="115"/>
  <c r="A887" i="115"/>
  <c r="K886" i="115"/>
  <c r="I886" i="115"/>
  <c r="H886" i="115"/>
  <c r="G886" i="115"/>
  <c r="F886" i="115"/>
  <c r="E886" i="115"/>
  <c r="A886" i="115"/>
  <c r="K885" i="115"/>
  <c r="I885" i="115"/>
  <c r="H885" i="115"/>
  <c r="G885" i="115"/>
  <c r="F885" i="115"/>
  <c r="E885" i="115"/>
  <c r="A885" i="115"/>
  <c r="K884" i="115"/>
  <c r="I884" i="115"/>
  <c r="H884" i="115"/>
  <c r="G884" i="115"/>
  <c r="F884" i="115"/>
  <c r="E884" i="115"/>
  <c r="A884" i="115"/>
  <c r="K883" i="115"/>
  <c r="I883" i="115"/>
  <c r="H883" i="115"/>
  <c r="G883" i="115"/>
  <c r="F883" i="115"/>
  <c r="E883" i="115"/>
  <c r="A883" i="115"/>
  <c r="K882" i="115"/>
  <c r="I882" i="115"/>
  <c r="H882" i="115"/>
  <c r="G882" i="115"/>
  <c r="F882" i="115"/>
  <c r="E882" i="115"/>
  <c r="A882" i="115"/>
  <c r="K881" i="115"/>
  <c r="I881" i="115"/>
  <c r="H881" i="115"/>
  <c r="G881" i="115"/>
  <c r="F881" i="115"/>
  <c r="E881" i="115"/>
  <c r="A881" i="115"/>
  <c r="K880" i="115"/>
  <c r="I880" i="115"/>
  <c r="H880" i="115"/>
  <c r="G880" i="115"/>
  <c r="F880" i="115"/>
  <c r="E880" i="115"/>
  <c r="A880" i="115"/>
  <c r="K879" i="115"/>
  <c r="I879" i="115"/>
  <c r="H879" i="115"/>
  <c r="G879" i="115"/>
  <c r="F879" i="115"/>
  <c r="E879" i="115"/>
  <c r="A879" i="115"/>
  <c r="K878" i="115"/>
  <c r="I878" i="115"/>
  <c r="H878" i="115"/>
  <c r="G878" i="115"/>
  <c r="F878" i="115"/>
  <c r="E878" i="115"/>
  <c r="A878" i="115"/>
  <c r="K877" i="115"/>
  <c r="I877" i="115"/>
  <c r="H877" i="115"/>
  <c r="G877" i="115"/>
  <c r="F877" i="115"/>
  <c r="E877" i="115"/>
  <c r="A877" i="115"/>
  <c r="K876" i="115"/>
  <c r="I876" i="115"/>
  <c r="H876" i="115"/>
  <c r="G876" i="115"/>
  <c r="F876" i="115"/>
  <c r="E876" i="115"/>
  <c r="A876" i="115"/>
  <c r="K875" i="115"/>
  <c r="I875" i="115"/>
  <c r="H875" i="115"/>
  <c r="G875" i="115"/>
  <c r="F875" i="115"/>
  <c r="E875" i="115"/>
  <c r="A875" i="115"/>
  <c r="K874" i="115"/>
  <c r="I874" i="115"/>
  <c r="H874" i="115"/>
  <c r="G874" i="115"/>
  <c r="F874" i="115"/>
  <c r="E874" i="115"/>
  <c r="A874" i="115"/>
  <c r="K873" i="115"/>
  <c r="I873" i="115"/>
  <c r="H873" i="115"/>
  <c r="G873" i="115"/>
  <c r="F873" i="115"/>
  <c r="E873" i="115"/>
  <c r="A873" i="115"/>
  <c r="K872" i="115"/>
  <c r="I872" i="115"/>
  <c r="H872" i="115"/>
  <c r="G872" i="115"/>
  <c r="F872" i="115"/>
  <c r="E872" i="115"/>
  <c r="A872" i="115"/>
  <c r="K871" i="115"/>
  <c r="I871" i="115"/>
  <c r="H871" i="115"/>
  <c r="G871" i="115"/>
  <c r="F871" i="115"/>
  <c r="E871" i="115"/>
  <c r="A871" i="115"/>
  <c r="K870" i="115"/>
  <c r="I870" i="115"/>
  <c r="H870" i="115"/>
  <c r="G870" i="115"/>
  <c r="F870" i="115"/>
  <c r="E870" i="115"/>
  <c r="A870" i="115"/>
  <c r="K869" i="115"/>
  <c r="I869" i="115"/>
  <c r="H869" i="115"/>
  <c r="G869" i="115"/>
  <c r="F869" i="115"/>
  <c r="E869" i="115"/>
  <c r="A869" i="115"/>
  <c r="K868" i="115"/>
  <c r="I868" i="115"/>
  <c r="H868" i="115"/>
  <c r="G868" i="115"/>
  <c r="F868" i="115"/>
  <c r="E868" i="115"/>
  <c r="A868" i="115"/>
  <c r="K867" i="115"/>
  <c r="I867" i="115"/>
  <c r="H867" i="115"/>
  <c r="G867" i="115"/>
  <c r="F867" i="115"/>
  <c r="E867" i="115"/>
  <c r="A867" i="115"/>
  <c r="K866" i="115"/>
  <c r="I866" i="115"/>
  <c r="H866" i="115"/>
  <c r="G866" i="115"/>
  <c r="F866" i="115"/>
  <c r="E866" i="115"/>
  <c r="A866" i="115"/>
  <c r="K865" i="115"/>
  <c r="I865" i="115"/>
  <c r="H865" i="115"/>
  <c r="G865" i="115"/>
  <c r="F865" i="115"/>
  <c r="E865" i="115"/>
  <c r="A865" i="115"/>
  <c r="K864" i="115"/>
  <c r="I864" i="115"/>
  <c r="H864" i="115"/>
  <c r="G864" i="115"/>
  <c r="F864" i="115"/>
  <c r="E864" i="115"/>
  <c r="A864" i="115"/>
  <c r="K863" i="115"/>
  <c r="I863" i="115"/>
  <c r="H863" i="115"/>
  <c r="G863" i="115"/>
  <c r="F863" i="115"/>
  <c r="E863" i="115"/>
  <c r="A863" i="115"/>
  <c r="K862" i="115"/>
  <c r="I862" i="115"/>
  <c r="H862" i="115"/>
  <c r="G862" i="115"/>
  <c r="F862" i="115"/>
  <c r="E862" i="115"/>
  <c r="A862" i="115"/>
  <c r="K861" i="115"/>
  <c r="I861" i="115"/>
  <c r="H861" i="115"/>
  <c r="G861" i="115"/>
  <c r="F861" i="115"/>
  <c r="E861" i="115"/>
  <c r="A861" i="115"/>
  <c r="K860" i="115"/>
  <c r="I860" i="115"/>
  <c r="H860" i="115"/>
  <c r="G860" i="115"/>
  <c r="F860" i="115"/>
  <c r="E860" i="115"/>
  <c r="A860" i="115"/>
  <c r="K859" i="115"/>
  <c r="I859" i="115"/>
  <c r="H859" i="115"/>
  <c r="G859" i="115"/>
  <c r="F859" i="115"/>
  <c r="E859" i="115"/>
  <c r="A859" i="115"/>
  <c r="K858" i="115"/>
  <c r="I858" i="115"/>
  <c r="H858" i="115"/>
  <c r="G858" i="115"/>
  <c r="F858" i="115"/>
  <c r="E858" i="115"/>
  <c r="A858" i="115"/>
  <c r="K857" i="115"/>
  <c r="I857" i="115"/>
  <c r="H857" i="115"/>
  <c r="G857" i="115"/>
  <c r="F857" i="115"/>
  <c r="E857" i="115"/>
  <c r="A857" i="115"/>
  <c r="K856" i="115"/>
  <c r="I856" i="115"/>
  <c r="H856" i="115"/>
  <c r="G856" i="115"/>
  <c r="F856" i="115"/>
  <c r="E856" i="115"/>
  <c r="A856" i="115"/>
  <c r="K855" i="115"/>
  <c r="I855" i="115"/>
  <c r="H855" i="115"/>
  <c r="G855" i="115"/>
  <c r="F855" i="115"/>
  <c r="E855" i="115"/>
  <c r="A855" i="115"/>
  <c r="K854" i="115"/>
  <c r="I854" i="115"/>
  <c r="H854" i="115"/>
  <c r="G854" i="115"/>
  <c r="F854" i="115"/>
  <c r="E854" i="115"/>
  <c r="A854" i="115"/>
  <c r="K853" i="115"/>
  <c r="I853" i="115"/>
  <c r="H853" i="115"/>
  <c r="G853" i="115"/>
  <c r="F853" i="115"/>
  <c r="E853" i="115"/>
  <c r="A853" i="115"/>
  <c r="K852" i="115"/>
  <c r="I852" i="115"/>
  <c r="H852" i="115"/>
  <c r="G852" i="115"/>
  <c r="F852" i="115"/>
  <c r="E852" i="115"/>
  <c r="A852" i="115"/>
  <c r="K851" i="115"/>
  <c r="I851" i="115"/>
  <c r="H851" i="115"/>
  <c r="G851" i="115"/>
  <c r="F851" i="115"/>
  <c r="E851" i="115"/>
  <c r="A851" i="115"/>
  <c r="K850" i="115"/>
  <c r="I850" i="115"/>
  <c r="H850" i="115"/>
  <c r="G850" i="115"/>
  <c r="F850" i="115"/>
  <c r="E850" i="115"/>
  <c r="A850" i="115"/>
  <c r="K849" i="115"/>
  <c r="I849" i="115"/>
  <c r="H849" i="115"/>
  <c r="G849" i="115"/>
  <c r="F849" i="115"/>
  <c r="E849" i="115"/>
  <c r="A849" i="115"/>
  <c r="K848" i="115"/>
  <c r="I848" i="115"/>
  <c r="H848" i="115"/>
  <c r="G848" i="115"/>
  <c r="F848" i="115"/>
  <c r="E848" i="115"/>
  <c r="A848" i="115"/>
  <c r="K847" i="115"/>
  <c r="I847" i="115"/>
  <c r="H847" i="115"/>
  <c r="G847" i="115"/>
  <c r="F847" i="115"/>
  <c r="E847" i="115"/>
  <c r="A847" i="115"/>
  <c r="K846" i="115"/>
  <c r="I846" i="115"/>
  <c r="H846" i="115"/>
  <c r="G846" i="115"/>
  <c r="F846" i="115"/>
  <c r="E846" i="115"/>
  <c r="A846" i="115"/>
  <c r="K845" i="115"/>
  <c r="I845" i="115"/>
  <c r="H845" i="115"/>
  <c r="G845" i="115"/>
  <c r="F845" i="115"/>
  <c r="E845" i="115"/>
  <c r="A845" i="115"/>
  <c r="K844" i="115"/>
  <c r="I844" i="115"/>
  <c r="H844" i="115"/>
  <c r="G844" i="115"/>
  <c r="F844" i="115"/>
  <c r="E844" i="115"/>
  <c r="A844" i="115"/>
  <c r="K843" i="115"/>
  <c r="I843" i="115"/>
  <c r="H843" i="115"/>
  <c r="G843" i="115"/>
  <c r="F843" i="115"/>
  <c r="E843" i="115"/>
  <c r="A843" i="115"/>
  <c r="K842" i="115"/>
  <c r="I842" i="115"/>
  <c r="H842" i="115"/>
  <c r="G842" i="115"/>
  <c r="F842" i="115"/>
  <c r="E842" i="115"/>
  <c r="A842" i="115"/>
  <c r="K841" i="115"/>
  <c r="I841" i="115"/>
  <c r="H841" i="115"/>
  <c r="G841" i="115"/>
  <c r="F841" i="115"/>
  <c r="E841" i="115"/>
  <c r="A841" i="115"/>
  <c r="K840" i="115"/>
  <c r="I840" i="115"/>
  <c r="H840" i="115"/>
  <c r="G840" i="115"/>
  <c r="F840" i="115"/>
  <c r="E840" i="115"/>
  <c r="A840" i="115"/>
  <c r="K839" i="115"/>
  <c r="I839" i="115"/>
  <c r="H839" i="115"/>
  <c r="G839" i="115"/>
  <c r="F839" i="115"/>
  <c r="E839" i="115"/>
  <c r="A839" i="115"/>
  <c r="K838" i="115"/>
  <c r="I838" i="115"/>
  <c r="H838" i="115"/>
  <c r="G838" i="115"/>
  <c r="F838" i="115"/>
  <c r="E838" i="115"/>
  <c r="A838" i="115"/>
  <c r="K837" i="115"/>
  <c r="I837" i="115"/>
  <c r="H837" i="115"/>
  <c r="G837" i="115"/>
  <c r="F837" i="115"/>
  <c r="E837" i="115"/>
  <c r="A837" i="115"/>
  <c r="K836" i="115"/>
  <c r="I836" i="115"/>
  <c r="H836" i="115"/>
  <c r="G836" i="115"/>
  <c r="F836" i="115"/>
  <c r="E836" i="115"/>
  <c r="A836" i="115"/>
  <c r="K835" i="115"/>
  <c r="I835" i="115"/>
  <c r="H835" i="115"/>
  <c r="G835" i="115"/>
  <c r="F835" i="115"/>
  <c r="E835" i="115"/>
  <c r="A835" i="115"/>
  <c r="K834" i="115"/>
  <c r="I834" i="115"/>
  <c r="H834" i="115"/>
  <c r="G834" i="115"/>
  <c r="F834" i="115"/>
  <c r="E834" i="115"/>
  <c r="A834" i="115"/>
  <c r="K833" i="115"/>
  <c r="I833" i="115"/>
  <c r="H833" i="115"/>
  <c r="G833" i="115"/>
  <c r="F833" i="115"/>
  <c r="E833" i="115"/>
  <c r="A833" i="115"/>
  <c r="K832" i="115"/>
  <c r="I832" i="115"/>
  <c r="H832" i="115"/>
  <c r="G832" i="115"/>
  <c r="F832" i="115"/>
  <c r="E832" i="115"/>
  <c r="A832" i="115"/>
  <c r="K831" i="115"/>
  <c r="I831" i="115"/>
  <c r="H831" i="115"/>
  <c r="G831" i="115"/>
  <c r="F831" i="115"/>
  <c r="E831" i="115"/>
  <c r="A831" i="115"/>
  <c r="K830" i="115"/>
  <c r="I830" i="115"/>
  <c r="H830" i="115"/>
  <c r="G830" i="115"/>
  <c r="F830" i="115"/>
  <c r="E830" i="115"/>
  <c r="A830" i="115"/>
  <c r="K829" i="115"/>
  <c r="I829" i="115"/>
  <c r="H829" i="115"/>
  <c r="G829" i="115"/>
  <c r="F829" i="115"/>
  <c r="E829" i="115"/>
  <c r="A829" i="115"/>
  <c r="K828" i="115"/>
  <c r="I828" i="115"/>
  <c r="H828" i="115"/>
  <c r="G828" i="115"/>
  <c r="F828" i="115"/>
  <c r="E828" i="115"/>
  <c r="A828" i="115"/>
  <c r="K827" i="115"/>
  <c r="I827" i="115"/>
  <c r="H827" i="115"/>
  <c r="G827" i="115"/>
  <c r="F827" i="115"/>
  <c r="E827" i="115"/>
  <c r="A827" i="115"/>
  <c r="K826" i="115"/>
  <c r="I826" i="115"/>
  <c r="H826" i="115"/>
  <c r="G826" i="115"/>
  <c r="F826" i="115"/>
  <c r="E826" i="115"/>
  <c r="A826" i="115"/>
  <c r="K825" i="115"/>
  <c r="I825" i="115"/>
  <c r="H825" i="115"/>
  <c r="G825" i="115"/>
  <c r="F825" i="115"/>
  <c r="E825" i="115"/>
  <c r="A825" i="115"/>
  <c r="K824" i="115"/>
  <c r="I824" i="115"/>
  <c r="H824" i="115"/>
  <c r="G824" i="115"/>
  <c r="F824" i="115"/>
  <c r="E824" i="115"/>
  <c r="A824" i="115"/>
  <c r="K823" i="115"/>
  <c r="I823" i="115"/>
  <c r="H823" i="115"/>
  <c r="G823" i="115"/>
  <c r="F823" i="115"/>
  <c r="E823" i="115"/>
  <c r="A823" i="115"/>
  <c r="K822" i="115"/>
  <c r="I822" i="115"/>
  <c r="H822" i="115"/>
  <c r="G822" i="115"/>
  <c r="F822" i="115"/>
  <c r="E822" i="115"/>
  <c r="A822" i="115"/>
  <c r="K821" i="115"/>
  <c r="I821" i="115"/>
  <c r="H821" i="115"/>
  <c r="G821" i="115"/>
  <c r="F821" i="115"/>
  <c r="E821" i="115"/>
  <c r="A821" i="115"/>
  <c r="K820" i="115"/>
  <c r="I820" i="115"/>
  <c r="H820" i="115"/>
  <c r="G820" i="115"/>
  <c r="F820" i="115"/>
  <c r="E820" i="115"/>
  <c r="A820" i="115"/>
  <c r="K819" i="115"/>
  <c r="I819" i="115"/>
  <c r="H819" i="115"/>
  <c r="G819" i="115"/>
  <c r="F819" i="115"/>
  <c r="E819" i="115"/>
  <c r="A819" i="115"/>
  <c r="K818" i="115"/>
  <c r="I818" i="115"/>
  <c r="H818" i="115"/>
  <c r="G818" i="115"/>
  <c r="F818" i="115"/>
  <c r="E818" i="115"/>
  <c r="A818" i="115"/>
  <c r="K817" i="115"/>
  <c r="I817" i="115"/>
  <c r="H817" i="115"/>
  <c r="G817" i="115"/>
  <c r="F817" i="115"/>
  <c r="E817" i="115"/>
  <c r="A817" i="115"/>
  <c r="K816" i="115"/>
  <c r="I816" i="115"/>
  <c r="H816" i="115"/>
  <c r="G816" i="115"/>
  <c r="F816" i="115"/>
  <c r="E816" i="115"/>
  <c r="A816" i="115"/>
  <c r="K815" i="115"/>
  <c r="I815" i="115"/>
  <c r="H815" i="115"/>
  <c r="G815" i="115"/>
  <c r="F815" i="115"/>
  <c r="E815" i="115"/>
  <c r="A815" i="115"/>
  <c r="K814" i="115"/>
  <c r="I814" i="115"/>
  <c r="H814" i="115"/>
  <c r="G814" i="115"/>
  <c r="F814" i="115"/>
  <c r="E814" i="115"/>
  <c r="A814" i="115"/>
  <c r="K813" i="115"/>
  <c r="I813" i="115"/>
  <c r="H813" i="115"/>
  <c r="G813" i="115"/>
  <c r="F813" i="115"/>
  <c r="E813" i="115"/>
  <c r="A813" i="115"/>
  <c r="K812" i="115"/>
  <c r="I812" i="115"/>
  <c r="H812" i="115"/>
  <c r="G812" i="115"/>
  <c r="F812" i="115"/>
  <c r="E812" i="115"/>
  <c r="A812" i="115"/>
  <c r="K811" i="115"/>
  <c r="I811" i="115"/>
  <c r="H811" i="115"/>
  <c r="G811" i="115"/>
  <c r="F811" i="115"/>
  <c r="E811" i="115"/>
  <c r="A811" i="115"/>
  <c r="K810" i="115"/>
  <c r="I810" i="115"/>
  <c r="H810" i="115"/>
  <c r="G810" i="115"/>
  <c r="F810" i="115"/>
  <c r="E810" i="115"/>
  <c r="A810" i="115"/>
  <c r="K809" i="115"/>
  <c r="I809" i="115"/>
  <c r="H809" i="115"/>
  <c r="G809" i="115"/>
  <c r="F809" i="115"/>
  <c r="E809" i="115"/>
  <c r="A809" i="115"/>
  <c r="K808" i="115"/>
  <c r="I808" i="115"/>
  <c r="H808" i="115"/>
  <c r="G808" i="115"/>
  <c r="F808" i="115"/>
  <c r="E808" i="115"/>
  <c r="A808" i="115"/>
  <c r="K807" i="115"/>
  <c r="I807" i="115"/>
  <c r="H807" i="115"/>
  <c r="G807" i="115"/>
  <c r="F807" i="115"/>
  <c r="E807" i="115"/>
  <c r="A807" i="115"/>
  <c r="K806" i="115"/>
  <c r="I806" i="115"/>
  <c r="H806" i="115"/>
  <c r="G806" i="115"/>
  <c r="F806" i="115"/>
  <c r="E806" i="115"/>
  <c r="A806" i="115"/>
  <c r="K805" i="115"/>
  <c r="I805" i="115"/>
  <c r="H805" i="115"/>
  <c r="G805" i="115"/>
  <c r="F805" i="115"/>
  <c r="E805" i="115"/>
  <c r="A805" i="115"/>
  <c r="K804" i="115"/>
  <c r="I804" i="115"/>
  <c r="H804" i="115"/>
  <c r="G804" i="115"/>
  <c r="F804" i="115"/>
  <c r="E804" i="115"/>
  <c r="A804" i="115"/>
  <c r="K803" i="115"/>
  <c r="I803" i="115"/>
  <c r="H803" i="115"/>
  <c r="G803" i="115"/>
  <c r="F803" i="115"/>
  <c r="E803" i="115"/>
  <c r="A803" i="115"/>
  <c r="K802" i="115"/>
  <c r="I802" i="115"/>
  <c r="H802" i="115"/>
  <c r="G802" i="115"/>
  <c r="F802" i="115"/>
  <c r="E802" i="115"/>
  <c r="A802" i="115"/>
  <c r="K801" i="115"/>
  <c r="I801" i="115"/>
  <c r="H801" i="115"/>
  <c r="G801" i="115"/>
  <c r="F801" i="115"/>
  <c r="E801" i="115"/>
  <c r="A801" i="115"/>
  <c r="K800" i="115"/>
  <c r="I800" i="115"/>
  <c r="H800" i="115"/>
  <c r="G800" i="115"/>
  <c r="F800" i="115"/>
  <c r="E800" i="115"/>
  <c r="A800" i="115"/>
  <c r="K799" i="115"/>
  <c r="I799" i="115"/>
  <c r="H799" i="115"/>
  <c r="G799" i="115"/>
  <c r="F799" i="115"/>
  <c r="E799" i="115"/>
  <c r="A799" i="115"/>
  <c r="K798" i="115"/>
  <c r="I798" i="115"/>
  <c r="H798" i="115"/>
  <c r="G798" i="115"/>
  <c r="F798" i="115"/>
  <c r="E798" i="115"/>
  <c r="A798" i="115"/>
  <c r="K797" i="115"/>
  <c r="I797" i="115"/>
  <c r="H797" i="115"/>
  <c r="G797" i="115"/>
  <c r="F797" i="115"/>
  <c r="E797" i="115"/>
  <c r="A797" i="115"/>
  <c r="K796" i="115"/>
  <c r="I796" i="115"/>
  <c r="H796" i="115"/>
  <c r="G796" i="115"/>
  <c r="F796" i="115"/>
  <c r="E796" i="115"/>
  <c r="A796" i="115"/>
  <c r="K795" i="115"/>
  <c r="I795" i="115"/>
  <c r="H795" i="115"/>
  <c r="G795" i="115"/>
  <c r="F795" i="115"/>
  <c r="E795" i="115"/>
  <c r="A795" i="115"/>
  <c r="K794" i="115"/>
  <c r="I794" i="115"/>
  <c r="H794" i="115"/>
  <c r="G794" i="115"/>
  <c r="F794" i="115"/>
  <c r="E794" i="115"/>
  <c r="A794" i="115"/>
  <c r="K793" i="115"/>
  <c r="I793" i="115"/>
  <c r="H793" i="115"/>
  <c r="G793" i="115"/>
  <c r="F793" i="115"/>
  <c r="E793" i="115"/>
  <c r="A793" i="115"/>
  <c r="K792" i="115"/>
  <c r="I792" i="115"/>
  <c r="H792" i="115"/>
  <c r="G792" i="115"/>
  <c r="F792" i="115"/>
  <c r="E792" i="115"/>
  <c r="A792" i="115"/>
  <c r="K791" i="115"/>
  <c r="I791" i="115"/>
  <c r="H791" i="115"/>
  <c r="G791" i="115"/>
  <c r="F791" i="115"/>
  <c r="E791" i="115"/>
  <c r="A791" i="115"/>
  <c r="K790" i="115"/>
  <c r="I790" i="115"/>
  <c r="H790" i="115"/>
  <c r="G790" i="115"/>
  <c r="F790" i="115"/>
  <c r="E790" i="115"/>
  <c r="A790" i="115"/>
  <c r="K789" i="115"/>
  <c r="I789" i="115"/>
  <c r="H789" i="115"/>
  <c r="G789" i="115"/>
  <c r="F789" i="115"/>
  <c r="E789" i="115"/>
  <c r="A789" i="115"/>
  <c r="K788" i="115"/>
  <c r="I788" i="115"/>
  <c r="H788" i="115"/>
  <c r="G788" i="115"/>
  <c r="F788" i="115"/>
  <c r="E788" i="115"/>
  <c r="A788" i="115"/>
  <c r="K787" i="115"/>
  <c r="I787" i="115"/>
  <c r="H787" i="115"/>
  <c r="G787" i="115"/>
  <c r="F787" i="115"/>
  <c r="E787" i="115"/>
  <c r="A787" i="115"/>
  <c r="K786" i="115"/>
  <c r="I786" i="115"/>
  <c r="H786" i="115"/>
  <c r="G786" i="115"/>
  <c r="F786" i="115"/>
  <c r="E786" i="115"/>
  <c r="A786" i="115"/>
  <c r="K785" i="115"/>
  <c r="I785" i="115"/>
  <c r="H785" i="115"/>
  <c r="G785" i="115"/>
  <c r="F785" i="115"/>
  <c r="E785" i="115"/>
  <c r="A785" i="115"/>
  <c r="K784" i="115"/>
  <c r="I784" i="115"/>
  <c r="H784" i="115"/>
  <c r="G784" i="115"/>
  <c r="F784" i="115"/>
  <c r="E784" i="115"/>
  <c r="A784" i="115"/>
  <c r="K783" i="115"/>
  <c r="I783" i="115"/>
  <c r="H783" i="115"/>
  <c r="G783" i="115"/>
  <c r="F783" i="115"/>
  <c r="E783" i="115"/>
  <c r="A783" i="115"/>
  <c r="K782" i="115"/>
  <c r="I782" i="115"/>
  <c r="H782" i="115"/>
  <c r="G782" i="115"/>
  <c r="F782" i="115"/>
  <c r="E782" i="115"/>
  <c r="A782" i="115"/>
  <c r="K781" i="115"/>
  <c r="I781" i="115"/>
  <c r="H781" i="115"/>
  <c r="G781" i="115"/>
  <c r="F781" i="115"/>
  <c r="E781" i="115"/>
  <c r="A781" i="115"/>
  <c r="K780" i="115"/>
  <c r="I780" i="115"/>
  <c r="H780" i="115"/>
  <c r="G780" i="115"/>
  <c r="F780" i="115"/>
  <c r="E780" i="115"/>
  <c r="A780" i="115"/>
  <c r="K779" i="115"/>
  <c r="I779" i="115"/>
  <c r="H779" i="115"/>
  <c r="G779" i="115"/>
  <c r="F779" i="115"/>
  <c r="E779" i="115"/>
  <c r="A779" i="115"/>
  <c r="K778" i="115"/>
  <c r="I778" i="115"/>
  <c r="H778" i="115"/>
  <c r="G778" i="115"/>
  <c r="F778" i="115"/>
  <c r="E778" i="115"/>
  <c r="A778" i="115"/>
  <c r="K777" i="115"/>
  <c r="I777" i="115"/>
  <c r="H777" i="115"/>
  <c r="G777" i="115"/>
  <c r="F777" i="115"/>
  <c r="E777" i="115"/>
  <c r="A777" i="115"/>
  <c r="K776" i="115"/>
  <c r="I776" i="115"/>
  <c r="H776" i="115"/>
  <c r="G776" i="115"/>
  <c r="F776" i="115"/>
  <c r="E776" i="115"/>
  <c r="A776" i="115"/>
  <c r="K775" i="115"/>
  <c r="I775" i="115"/>
  <c r="H775" i="115"/>
  <c r="G775" i="115"/>
  <c r="F775" i="115"/>
  <c r="E775" i="115"/>
  <c r="A775" i="115"/>
  <c r="K774" i="115"/>
  <c r="I774" i="115"/>
  <c r="H774" i="115"/>
  <c r="G774" i="115"/>
  <c r="F774" i="115"/>
  <c r="E774" i="115"/>
  <c r="A774" i="115"/>
  <c r="K773" i="115"/>
  <c r="I773" i="115"/>
  <c r="H773" i="115"/>
  <c r="G773" i="115"/>
  <c r="F773" i="115"/>
  <c r="E773" i="115"/>
  <c r="A773" i="115"/>
  <c r="K772" i="115"/>
  <c r="I772" i="115"/>
  <c r="H772" i="115"/>
  <c r="G772" i="115"/>
  <c r="F772" i="115"/>
  <c r="E772" i="115"/>
  <c r="A772" i="115"/>
  <c r="K771" i="115"/>
  <c r="I771" i="115"/>
  <c r="H771" i="115"/>
  <c r="G771" i="115"/>
  <c r="F771" i="115"/>
  <c r="E771" i="115"/>
  <c r="A771" i="115"/>
  <c r="K770" i="115"/>
  <c r="I770" i="115"/>
  <c r="H770" i="115"/>
  <c r="G770" i="115"/>
  <c r="F770" i="115"/>
  <c r="E770" i="115"/>
  <c r="A770" i="115"/>
  <c r="K769" i="115"/>
  <c r="I769" i="115"/>
  <c r="H769" i="115"/>
  <c r="G769" i="115"/>
  <c r="F769" i="115"/>
  <c r="E769" i="115"/>
  <c r="A769" i="115"/>
  <c r="K768" i="115"/>
  <c r="I768" i="115"/>
  <c r="H768" i="115"/>
  <c r="G768" i="115"/>
  <c r="F768" i="115"/>
  <c r="E768" i="115"/>
  <c r="A768" i="115"/>
  <c r="K767" i="115"/>
  <c r="I767" i="115"/>
  <c r="H767" i="115"/>
  <c r="G767" i="115"/>
  <c r="F767" i="115"/>
  <c r="E767" i="115"/>
  <c r="A767" i="115"/>
  <c r="K766" i="115"/>
  <c r="I766" i="115"/>
  <c r="H766" i="115"/>
  <c r="G766" i="115"/>
  <c r="F766" i="115"/>
  <c r="E766" i="115"/>
  <c r="A766" i="115"/>
  <c r="K765" i="115"/>
  <c r="I765" i="115"/>
  <c r="H765" i="115"/>
  <c r="G765" i="115"/>
  <c r="F765" i="115"/>
  <c r="E765" i="115"/>
  <c r="A765" i="115"/>
  <c r="K764" i="115"/>
  <c r="I764" i="115"/>
  <c r="H764" i="115"/>
  <c r="G764" i="115"/>
  <c r="F764" i="115"/>
  <c r="E764" i="115"/>
  <c r="A764" i="115"/>
  <c r="K763" i="115"/>
  <c r="I763" i="115"/>
  <c r="H763" i="115"/>
  <c r="G763" i="115"/>
  <c r="F763" i="115"/>
  <c r="E763" i="115"/>
  <c r="A763" i="115"/>
  <c r="K762" i="115"/>
  <c r="I762" i="115"/>
  <c r="H762" i="115"/>
  <c r="G762" i="115"/>
  <c r="F762" i="115"/>
  <c r="E762" i="115"/>
  <c r="A762" i="115"/>
  <c r="K761" i="115"/>
  <c r="I761" i="115"/>
  <c r="H761" i="115"/>
  <c r="G761" i="115"/>
  <c r="F761" i="115"/>
  <c r="E761" i="115"/>
  <c r="A761" i="115"/>
  <c r="K760" i="115"/>
  <c r="I760" i="115"/>
  <c r="H760" i="115"/>
  <c r="G760" i="115"/>
  <c r="F760" i="115"/>
  <c r="E760" i="115"/>
  <c r="A760" i="115"/>
  <c r="K759" i="115"/>
  <c r="I759" i="115"/>
  <c r="H759" i="115"/>
  <c r="G759" i="115"/>
  <c r="F759" i="115"/>
  <c r="E759" i="115"/>
  <c r="A759" i="115"/>
  <c r="K758" i="115"/>
  <c r="I758" i="115"/>
  <c r="H758" i="115"/>
  <c r="G758" i="115"/>
  <c r="F758" i="115"/>
  <c r="E758" i="115"/>
  <c r="A758" i="115"/>
  <c r="K757" i="115"/>
  <c r="I757" i="115"/>
  <c r="H757" i="115"/>
  <c r="G757" i="115"/>
  <c r="F757" i="115"/>
  <c r="E757" i="115"/>
  <c r="A757" i="115"/>
  <c r="K756" i="115"/>
  <c r="I756" i="115"/>
  <c r="H756" i="115"/>
  <c r="G756" i="115"/>
  <c r="F756" i="115"/>
  <c r="E756" i="115"/>
  <c r="A756" i="115"/>
  <c r="K755" i="115"/>
  <c r="I755" i="115"/>
  <c r="H755" i="115"/>
  <c r="G755" i="115"/>
  <c r="F755" i="115"/>
  <c r="E755" i="115"/>
  <c r="A755" i="115"/>
  <c r="K754" i="115"/>
  <c r="I754" i="115"/>
  <c r="H754" i="115"/>
  <c r="G754" i="115"/>
  <c r="F754" i="115"/>
  <c r="E754" i="115"/>
  <c r="A754" i="115"/>
  <c r="K753" i="115"/>
  <c r="I753" i="115"/>
  <c r="H753" i="115"/>
  <c r="G753" i="115"/>
  <c r="F753" i="115"/>
  <c r="E753" i="115"/>
  <c r="A753" i="115"/>
  <c r="K752" i="115"/>
  <c r="I752" i="115"/>
  <c r="H752" i="115"/>
  <c r="G752" i="115"/>
  <c r="F752" i="115"/>
  <c r="E752" i="115"/>
  <c r="A752" i="115"/>
  <c r="K751" i="115"/>
  <c r="I751" i="115"/>
  <c r="H751" i="115"/>
  <c r="G751" i="115"/>
  <c r="F751" i="115"/>
  <c r="E751" i="115"/>
  <c r="A751" i="115"/>
  <c r="K750" i="115"/>
  <c r="I750" i="115"/>
  <c r="H750" i="115"/>
  <c r="G750" i="115"/>
  <c r="F750" i="115"/>
  <c r="E750" i="115"/>
  <c r="A750" i="115"/>
  <c r="K749" i="115"/>
  <c r="I749" i="115"/>
  <c r="H749" i="115"/>
  <c r="G749" i="115"/>
  <c r="F749" i="115"/>
  <c r="E749" i="115"/>
  <c r="A749" i="115"/>
  <c r="K748" i="115"/>
  <c r="I748" i="115"/>
  <c r="H748" i="115"/>
  <c r="G748" i="115"/>
  <c r="F748" i="115"/>
  <c r="E748" i="115"/>
  <c r="A748" i="115"/>
  <c r="K747" i="115"/>
  <c r="I747" i="115"/>
  <c r="H747" i="115"/>
  <c r="G747" i="115"/>
  <c r="F747" i="115"/>
  <c r="E747" i="115"/>
  <c r="A747" i="115"/>
  <c r="K746" i="115"/>
  <c r="I746" i="115"/>
  <c r="H746" i="115"/>
  <c r="G746" i="115"/>
  <c r="F746" i="115"/>
  <c r="E746" i="115"/>
  <c r="A746" i="115"/>
  <c r="K745" i="115"/>
  <c r="I745" i="115"/>
  <c r="H745" i="115"/>
  <c r="G745" i="115"/>
  <c r="F745" i="115"/>
  <c r="E745" i="115"/>
  <c r="A745" i="115"/>
  <c r="K744" i="115"/>
  <c r="I744" i="115"/>
  <c r="H744" i="115"/>
  <c r="G744" i="115"/>
  <c r="F744" i="115"/>
  <c r="E744" i="115"/>
  <c r="A744" i="115"/>
  <c r="K743" i="115"/>
  <c r="I743" i="115"/>
  <c r="H743" i="115"/>
  <c r="G743" i="115"/>
  <c r="F743" i="115"/>
  <c r="E743" i="115"/>
  <c r="A743" i="115"/>
  <c r="K742" i="115"/>
  <c r="I742" i="115"/>
  <c r="H742" i="115"/>
  <c r="G742" i="115"/>
  <c r="F742" i="115"/>
  <c r="E742" i="115"/>
  <c r="A742" i="115"/>
  <c r="K741" i="115"/>
  <c r="I741" i="115"/>
  <c r="H741" i="115"/>
  <c r="G741" i="115"/>
  <c r="F741" i="115"/>
  <c r="E741" i="115"/>
  <c r="A741" i="115"/>
  <c r="K740" i="115"/>
  <c r="I740" i="115"/>
  <c r="H740" i="115"/>
  <c r="G740" i="115"/>
  <c r="F740" i="115"/>
  <c r="E740" i="115"/>
  <c r="A740" i="115"/>
  <c r="K739" i="115"/>
  <c r="I739" i="115"/>
  <c r="H739" i="115"/>
  <c r="G739" i="115"/>
  <c r="F739" i="115"/>
  <c r="E739" i="115"/>
  <c r="A739" i="115"/>
  <c r="K738" i="115"/>
  <c r="I738" i="115"/>
  <c r="H738" i="115"/>
  <c r="G738" i="115"/>
  <c r="F738" i="115"/>
  <c r="E738" i="115"/>
  <c r="A738" i="115"/>
  <c r="K737" i="115"/>
  <c r="I737" i="115"/>
  <c r="H737" i="115"/>
  <c r="G737" i="115"/>
  <c r="F737" i="115"/>
  <c r="E737" i="115"/>
  <c r="A737" i="115"/>
  <c r="K736" i="115"/>
  <c r="I736" i="115"/>
  <c r="H736" i="115"/>
  <c r="G736" i="115"/>
  <c r="F736" i="115"/>
  <c r="E736" i="115"/>
  <c r="A736" i="115"/>
  <c r="K735" i="115"/>
  <c r="I735" i="115"/>
  <c r="H735" i="115"/>
  <c r="G735" i="115"/>
  <c r="F735" i="115"/>
  <c r="E735" i="115"/>
  <c r="A735" i="115"/>
  <c r="K734" i="115"/>
  <c r="I734" i="115"/>
  <c r="H734" i="115"/>
  <c r="G734" i="115"/>
  <c r="F734" i="115"/>
  <c r="E734" i="115"/>
  <c r="A734" i="115"/>
  <c r="K733" i="115"/>
  <c r="I733" i="115"/>
  <c r="H733" i="115"/>
  <c r="G733" i="115"/>
  <c r="F733" i="115"/>
  <c r="E733" i="115"/>
  <c r="A733" i="115"/>
  <c r="K732" i="115"/>
  <c r="I732" i="115"/>
  <c r="H732" i="115"/>
  <c r="G732" i="115"/>
  <c r="F732" i="115"/>
  <c r="E732" i="115"/>
  <c r="A732" i="115"/>
  <c r="K731" i="115"/>
  <c r="I731" i="115"/>
  <c r="H731" i="115"/>
  <c r="G731" i="115"/>
  <c r="F731" i="115"/>
  <c r="E731" i="115"/>
  <c r="A731" i="115"/>
  <c r="K730" i="115"/>
  <c r="I730" i="115"/>
  <c r="H730" i="115"/>
  <c r="G730" i="115"/>
  <c r="F730" i="115"/>
  <c r="E730" i="115"/>
  <c r="A730" i="115"/>
  <c r="K729" i="115"/>
  <c r="I729" i="115"/>
  <c r="H729" i="115"/>
  <c r="G729" i="115"/>
  <c r="F729" i="115"/>
  <c r="E729" i="115"/>
  <c r="A729" i="115"/>
  <c r="K728" i="115"/>
  <c r="I728" i="115"/>
  <c r="H728" i="115"/>
  <c r="G728" i="115"/>
  <c r="F728" i="115"/>
  <c r="E728" i="115"/>
  <c r="A728" i="115"/>
  <c r="K727" i="115"/>
  <c r="I727" i="115"/>
  <c r="H727" i="115"/>
  <c r="G727" i="115"/>
  <c r="F727" i="115"/>
  <c r="E727" i="115"/>
  <c r="A727" i="115"/>
  <c r="K726" i="115"/>
  <c r="I726" i="115"/>
  <c r="H726" i="115"/>
  <c r="G726" i="115"/>
  <c r="F726" i="115"/>
  <c r="E726" i="115"/>
  <c r="A726" i="115"/>
  <c r="K725" i="115"/>
  <c r="I725" i="115"/>
  <c r="H725" i="115"/>
  <c r="G725" i="115"/>
  <c r="F725" i="115"/>
  <c r="E725" i="115"/>
  <c r="A725" i="115"/>
  <c r="K724" i="115"/>
  <c r="I724" i="115"/>
  <c r="H724" i="115"/>
  <c r="G724" i="115"/>
  <c r="F724" i="115"/>
  <c r="E724" i="115"/>
  <c r="A724" i="115"/>
  <c r="K723" i="115"/>
  <c r="I723" i="115"/>
  <c r="H723" i="115"/>
  <c r="G723" i="115"/>
  <c r="F723" i="115"/>
  <c r="E723" i="115"/>
  <c r="A723" i="115"/>
  <c r="K722" i="115"/>
  <c r="I722" i="115"/>
  <c r="H722" i="115"/>
  <c r="G722" i="115"/>
  <c r="F722" i="115"/>
  <c r="E722" i="115"/>
  <c r="A722" i="115"/>
  <c r="K721" i="115"/>
  <c r="I721" i="115"/>
  <c r="H721" i="115"/>
  <c r="G721" i="115"/>
  <c r="F721" i="115"/>
  <c r="E721" i="115"/>
  <c r="A721" i="115"/>
  <c r="K720" i="115"/>
  <c r="I720" i="115"/>
  <c r="H720" i="115"/>
  <c r="G720" i="115"/>
  <c r="F720" i="115"/>
  <c r="E720" i="115"/>
  <c r="A720" i="115"/>
  <c r="K719" i="115"/>
  <c r="I719" i="115"/>
  <c r="H719" i="115"/>
  <c r="G719" i="115"/>
  <c r="F719" i="115"/>
  <c r="E719" i="115"/>
  <c r="A719" i="115"/>
  <c r="K718" i="115"/>
  <c r="I718" i="115"/>
  <c r="H718" i="115"/>
  <c r="G718" i="115"/>
  <c r="F718" i="115"/>
  <c r="E718" i="115"/>
  <c r="A718" i="115"/>
  <c r="K717" i="115"/>
  <c r="I717" i="115"/>
  <c r="H717" i="115"/>
  <c r="G717" i="115"/>
  <c r="F717" i="115"/>
  <c r="E717" i="115"/>
  <c r="A717" i="115"/>
  <c r="K716" i="115"/>
  <c r="I716" i="115"/>
  <c r="H716" i="115"/>
  <c r="G716" i="115"/>
  <c r="F716" i="115"/>
  <c r="E716" i="115"/>
  <c r="A716" i="115"/>
  <c r="K715" i="115"/>
  <c r="I715" i="115"/>
  <c r="H715" i="115"/>
  <c r="G715" i="115"/>
  <c r="F715" i="115"/>
  <c r="E715" i="115"/>
  <c r="A715" i="115"/>
  <c r="K714" i="115"/>
  <c r="I714" i="115"/>
  <c r="H714" i="115"/>
  <c r="G714" i="115"/>
  <c r="F714" i="115"/>
  <c r="E714" i="115"/>
  <c r="A714" i="115"/>
  <c r="K713" i="115"/>
  <c r="I713" i="115"/>
  <c r="H713" i="115"/>
  <c r="G713" i="115"/>
  <c r="F713" i="115"/>
  <c r="E713" i="115"/>
  <c r="A713" i="115"/>
  <c r="K712" i="115"/>
  <c r="I712" i="115"/>
  <c r="H712" i="115"/>
  <c r="G712" i="115"/>
  <c r="F712" i="115"/>
  <c r="E712" i="115"/>
  <c r="A712" i="115"/>
  <c r="K711" i="115"/>
  <c r="I711" i="115"/>
  <c r="H711" i="115"/>
  <c r="G711" i="115"/>
  <c r="F711" i="115"/>
  <c r="E711" i="115"/>
  <c r="A711" i="115"/>
  <c r="K710" i="115"/>
  <c r="I710" i="115"/>
  <c r="H710" i="115"/>
  <c r="G710" i="115"/>
  <c r="F710" i="115"/>
  <c r="E710" i="115"/>
  <c r="A710" i="115"/>
  <c r="K709" i="115"/>
  <c r="I709" i="115"/>
  <c r="H709" i="115"/>
  <c r="G709" i="115"/>
  <c r="F709" i="115"/>
  <c r="E709" i="115"/>
  <c r="A709" i="115"/>
  <c r="K708" i="115"/>
  <c r="I708" i="115"/>
  <c r="H708" i="115"/>
  <c r="G708" i="115"/>
  <c r="F708" i="115"/>
  <c r="E708" i="115"/>
  <c r="A708" i="115"/>
  <c r="K707" i="115"/>
  <c r="I707" i="115"/>
  <c r="H707" i="115"/>
  <c r="G707" i="115"/>
  <c r="F707" i="115"/>
  <c r="E707" i="115"/>
  <c r="A707" i="115"/>
  <c r="K706" i="115"/>
  <c r="I706" i="115"/>
  <c r="H706" i="115"/>
  <c r="G706" i="115"/>
  <c r="F706" i="115"/>
  <c r="E706" i="115"/>
  <c r="A706" i="115"/>
  <c r="K705" i="115"/>
  <c r="I705" i="115"/>
  <c r="H705" i="115"/>
  <c r="G705" i="115"/>
  <c r="F705" i="115"/>
  <c r="E705" i="115"/>
  <c r="A705" i="115"/>
  <c r="K704" i="115"/>
  <c r="I704" i="115"/>
  <c r="H704" i="115"/>
  <c r="G704" i="115"/>
  <c r="F704" i="115"/>
  <c r="E704" i="115"/>
  <c r="A704" i="115"/>
  <c r="K703" i="115"/>
  <c r="I703" i="115"/>
  <c r="H703" i="115"/>
  <c r="G703" i="115"/>
  <c r="F703" i="115"/>
  <c r="E703" i="115"/>
  <c r="A703" i="115"/>
  <c r="K702" i="115"/>
  <c r="I702" i="115"/>
  <c r="H702" i="115"/>
  <c r="G702" i="115"/>
  <c r="F702" i="115"/>
  <c r="E702" i="115"/>
  <c r="A702" i="115"/>
  <c r="K701" i="115"/>
  <c r="I701" i="115"/>
  <c r="H701" i="115"/>
  <c r="G701" i="115"/>
  <c r="F701" i="115"/>
  <c r="E701" i="115"/>
  <c r="A701" i="115"/>
  <c r="K700" i="115"/>
  <c r="I700" i="115"/>
  <c r="H700" i="115"/>
  <c r="G700" i="115"/>
  <c r="F700" i="115"/>
  <c r="E700" i="115"/>
  <c r="A700" i="115"/>
  <c r="K699" i="115"/>
  <c r="I699" i="115"/>
  <c r="H699" i="115"/>
  <c r="G699" i="115"/>
  <c r="F699" i="115"/>
  <c r="E699" i="115"/>
  <c r="A699" i="115"/>
  <c r="K698" i="115"/>
  <c r="I698" i="115"/>
  <c r="H698" i="115"/>
  <c r="G698" i="115"/>
  <c r="F698" i="115"/>
  <c r="E698" i="115"/>
  <c r="A698" i="115"/>
  <c r="K697" i="115"/>
  <c r="I697" i="115"/>
  <c r="H697" i="115"/>
  <c r="G697" i="115"/>
  <c r="F697" i="115"/>
  <c r="E697" i="115"/>
  <c r="A697" i="115"/>
  <c r="K696" i="115"/>
  <c r="I696" i="115"/>
  <c r="H696" i="115"/>
  <c r="G696" i="115"/>
  <c r="F696" i="115"/>
  <c r="E696" i="115"/>
  <c r="A696" i="115"/>
  <c r="K695" i="115"/>
  <c r="I695" i="115"/>
  <c r="H695" i="115"/>
  <c r="G695" i="115"/>
  <c r="F695" i="115"/>
  <c r="E695" i="115"/>
  <c r="A695" i="115"/>
  <c r="K694" i="115"/>
  <c r="I694" i="115"/>
  <c r="H694" i="115"/>
  <c r="G694" i="115"/>
  <c r="F694" i="115"/>
  <c r="E694" i="115"/>
  <c r="A694" i="115"/>
  <c r="K693" i="115"/>
  <c r="I693" i="115"/>
  <c r="H693" i="115"/>
  <c r="G693" i="115"/>
  <c r="F693" i="115"/>
  <c r="E693" i="115"/>
  <c r="A693" i="115"/>
  <c r="K692" i="115"/>
  <c r="I692" i="115"/>
  <c r="H692" i="115"/>
  <c r="G692" i="115"/>
  <c r="F692" i="115"/>
  <c r="E692" i="115"/>
  <c r="A692" i="115"/>
  <c r="K691" i="115"/>
  <c r="I691" i="115"/>
  <c r="H691" i="115"/>
  <c r="G691" i="115"/>
  <c r="F691" i="115"/>
  <c r="E691" i="115"/>
  <c r="A691" i="115"/>
  <c r="K690" i="115"/>
  <c r="I690" i="115"/>
  <c r="H690" i="115"/>
  <c r="G690" i="115"/>
  <c r="F690" i="115"/>
  <c r="E690" i="115"/>
  <c r="A690" i="115"/>
  <c r="K689" i="115"/>
  <c r="I689" i="115"/>
  <c r="H689" i="115"/>
  <c r="G689" i="115"/>
  <c r="F689" i="115"/>
  <c r="E689" i="115"/>
  <c r="A689" i="115"/>
  <c r="K688" i="115"/>
  <c r="I688" i="115"/>
  <c r="H688" i="115"/>
  <c r="G688" i="115"/>
  <c r="F688" i="115"/>
  <c r="E688" i="115"/>
  <c r="A688" i="115"/>
  <c r="K687" i="115"/>
  <c r="I687" i="115"/>
  <c r="H687" i="115"/>
  <c r="G687" i="115"/>
  <c r="F687" i="115"/>
  <c r="E687" i="115"/>
  <c r="A687" i="115"/>
  <c r="K686" i="115"/>
  <c r="I686" i="115"/>
  <c r="H686" i="115"/>
  <c r="G686" i="115"/>
  <c r="F686" i="115"/>
  <c r="E686" i="115"/>
  <c r="A686" i="115"/>
  <c r="K685" i="115"/>
  <c r="I685" i="115"/>
  <c r="H685" i="115"/>
  <c r="G685" i="115"/>
  <c r="F685" i="115"/>
  <c r="E685" i="115"/>
  <c r="A685" i="115"/>
  <c r="K684" i="115"/>
  <c r="I684" i="115"/>
  <c r="H684" i="115"/>
  <c r="G684" i="115"/>
  <c r="F684" i="115"/>
  <c r="E684" i="115"/>
  <c r="A684" i="115"/>
  <c r="K683" i="115"/>
  <c r="I683" i="115"/>
  <c r="H683" i="115"/>
  <c r="G683" i="115"/>
  <c r="F683" i="115"/>
  <c r="E683" i="115"/>
  <c r="A683" i="115"/>
  <c r="K682" i="115"/>
  <c r="I682" i="115"/>
  <c r="H682" i="115"/>
  <c r="G682" i="115"/>
  <c r="F682" i="115"/>
  <c r="E682" i="115"/>
  <c r="A682" i="115"/>
  <c r="K681" i="115"/>
  <c r="I681" i="115"/>
  <c r="H681" i="115"/>
  <c r="G681" i="115"/>
  <c r="F681" i="115"/>
  <c r="E681" i="115"/>
  <c r="A681" i="115"/>
  <c r="K680" i="115"/>
  <c r="I680" i="115"/>
  <c r="H680" i="115"/>
  <c r="G680" i="115"/>
  <c r="F680" i="115"/>
  <c r="E680" i="115"/>
  <c r="A680" i="115"/>
  <c r="K679" i="115"/>
  <c r="I679" i="115"/>
  <c r="H679" i="115"/>
  <c r="G679" i="115"/>
  <c r="F679" i="115"/>
  <c r="E679" i="115"/>
  <c r="A679" i="115"/>
  <c r="K678" i="115"/>
  <c r="I678" i="115"/>
  <c r="H678" i="115"/>
  <c r="G678" i="115"/>
  <c r="F678" i="115"/>
  <c r="E678" i="115"/>
  <c r="A678" i="115"/>
  <c r="K677" i="115"/>
  <c r="I677" i="115"/>
  <c r="H677" i="115"/>
  <c r="G677" i="115"/>
  <c r="F677" i="115"/>
  <c r="E677" i="115"/>
  <c r="A677" i="115"/>
  <c r="K676" i="115"/>
  <c r="I676" i="115"/>
  <c r="H676" i="115"/>
  <c r="G676" i="115"/>
  <c r="F676" i="115"/>
  <c r="E676" i="115"/>
  <c r="A676" i="115"/>
  <c r="K675" i="115"/>
  <c r="I675" i="115"/>
  <c r="H675" i="115"/>
  <c r="G675" i="115"/>
  <c r="F675" i="115"/>
  <c r="E675" i="115"/>
  <c r="A675" i="115"/>
  <c r="K674" i="115"/>
  <c r="I674" i="115"/>
  <c r="H674" i="115"/>
  <c r="G674" i="115"/>
  <c r="F674" i="115"/>
  <c r="E674" i="115"/>
  <c r="A674" i="115"/>
  <c r="K673" i="115"/>
  <c r="I673" i="115"/>
  <c r="H673" i="115"/>
  <c r="G673" i="115"/>
  <c r="F673" i="115"/>
  <c r="E673" i="115"/>
  <c r="A673" i="115"/>
  <c r="K672" i="115"/>
  <c r="I672" i="115"/>
  <c r="H672" i="115"/>
  <c r="G672" i="115"/>
  <c r="F672" i="115"/>
  <c r="E672" i="115"/>
  <c r="A672" i="115"/>
  <c r="K671" i="115"/>
  <c r="I671" i="115"/>
  <c r="H671" i="115"/>
  <c r="G671" i="115"/>
  <c r="F671" i="115"/>
  <c r="E671" i="115"/>
  <c r="A671" i="115"/>
  <c r="K670" i="115"/>
  <c r="I670" i="115"/>
  <c r="H670" i="115"/>
  <c r="G670" i="115"/>
  <c r="F670" i="115"/>
  <c r="E670" i="115"/>
  <c r="A670" i="115"/>
  <c r="K669" i="115"/>
  <c r="I669" i="115"/>
  <c r="H669" i="115"/>
  <c r="G669" i="115"/>
  <c r="F669" i="115"/>
  <c r="E669" i="115"/>
  <c r="A669" i="115"/>
  <c r="K668" i="115"/>
  <c r="I668" i="115"/>
  <c r="H668" i="115"/>
  <c r="G668" i="115"/>
  <c r="F668" i="115"/>
  <c r="E668" i="115"/>
  <c r="A668" i="115"/>
  <c r="K667" i="115"/>
  <c r="I667" i="115"/>
  <c r="H667" i="115"/>
  <c r="G667" i="115"/>
  <c r="F667" i="115"/>
  <c r="E667" i="115"/>
  <c r="A667" i="115"/>
  <c r="K666" i="115"/>
  <c r="I666" i="115"/>
  <c r="H666" i="115"/>
  <c r="G666" i="115"/>
  <c r="F666" i="115"/>
  <c r="E666" i="115"/>
  <c r="A666" i="115"/>
  <c r="K665" i="115"/>
  <c r="I665" i="115"/>
  <c r="H665" i="115"/>
  <c r="G665" i="115"/>
  <c r="F665" i="115"/>
  <c r="E665" i="115"/>
  <c r="A665" i="115"/>
  <c r="K664" i="115"/>
  <c r="I664" i="115"/>
  <c r="H664" i="115"/>
  <c r="G664" i="115"/>
  <c r="F664" i="115"/>
  <c r="E664" i="115"/>
  <c r="A664" i="115"/>
  <c r="K663" i="115"/>
  <c r="I663" i="115"/>
  <c r="H663" i="115"/>
  <c r="G663" i="115"/>
  <c r="F663" i="115"/>
  <c r="E663" i="115"/>
  <c r="A663" i="115"/>
  <c r="K662" i="115"/>
  <c r="I662" i="115"/>
  <c r="H662" i="115"/>
  <c r="G662" i="115"/>
  <c r="F662" i="115"/>
  <c r="E662" i="115"/>
  <c r="A662" i="115"/>
  <c r="K661" i="115"/>
  <c r="I661" i="115"/>
  <c r="H661" i="115"/>
  <c r="G661" i="115"/>
  <c r="F661" i="115"/>
  <c r="E661" i="115"/>
  <c r="A661" i="115"/>
  <c r="K660" i="115"/>
  <c r="I660" i="115"/>
  <c r="H660" i="115"/>
  <c r="G660" i="115"/>
  <c r="F660" i="115"/>
  <c r="E660" i="115"/>
  <c r="A660" i="115"/>
  <c r="K659" i="115"/>
  <c r="I659" i="115"/>
  <c r="H659" i="115"/>
  <c r="G659" i="115"/>
  <c r="F659" i="115"/>
  <c r="E659" i="115"/>
  <c r="A659" i="115"/>
  <c r="K658" i="115"/>
  <c r="I658" i="115"/>
  <c r="H658" i="115"/>
  <c r="G658" i="115"/>
  <c r="F658" i="115"/>
  <c r="E658" i="115"/>
  <c r="A658" i="115"/>
  <c r="K657" i="115"/>
  <c r="I657" i="115"/>
  <c r="H657" i="115"/>
  <c r="G657" i="115"/>
  <c r="F657" i="115"/>
  <c r="E657" i="115"/>
  <c r="A657" i="115"/>
  <c r="K656" i="115"/>
  <c r="I656" i="115"/>
  <c r="H656" i="115"/>
  <c r="G656" i="115"/>
  <c r="F656" i="115"/>
  <c r="E656" i="115"/>
  <c r="A656" i="115"/>
  <c r="K655" i="115"/>
  <c r="I655" i="115"/>
  <c r="H655" i="115"/>
  <c r="G655" i="115"/>
  <c r="F655" i="115"/>
  <c r="E655" i="115"/>
  <c r="A655" i="115"/>
  <c r="K654" i="115"/>
  <c r="I654" i="115"/>
  <c r="H654" i="115"/>
  <c r="G654" i="115"/>
  <c r="F654" i="115"/>
  <c r="E654" i="115"/>
  <c r="A654" i="115"/>
  <c r="K653" i="115"/>
  <c r="I653" i="115"/>
  <c r="H653" i="115"/>
  <c r="G653" i="115"/>
  <c r="F653" i="115"/>
  <c r="E653" i="115"/>
  <c r="A653" i="115"/>
  <c r="K652" i="115"/>
  <c r="I652" i="115"/>
  <c r="H652" i="115"/>
  <c r="G652" i="115"/>
  <c r="F652" i="115"/>
  <c r="E652" i="115"/>
  <c r="A652" i="115"/>
  <c r="K651" i="115"/>
  <c r="I651" i="115"/>
  <c r="H651" i="115"/>
  <c r="G651" i="115"/>
  <c r="F651" i="115"/>
  <c r="E651" i="115"/>
  <c r="A651" i="115"/>
  <c r="K650" i="115"/>
  <c r="I650" i="115"/>
  <c r="H650" i="115"/>
  <c r="G650" i="115"/>
  <c r="F650" i="115"/>
  <c r="E650" i="115"/>
  <c r="A650" i="115"/>
  <c r="K649" i="115"/>
  <c r="I649" i="115"/>
  <c r="H649" i="115"/>
  <c r="G649" i="115"/>
  <c r="F649" i="115"/>
  <c r="E649" i="115"/>
  <c r="A649" i="115"/>
  <c r="K648" i="115"/>
  <c r="I648" i="115"/>
  <c r="H648" i="115"/>
  <c r="G648" i="115"/>
  <c r="F648" i="115"/>
  <c r="E648" i="115"/>
  <c r="A648" i="115"/>
  <c r="K647" i="115"/>
  <c r="I647" i="115"/>
  <c r="H647" i="115"/>
  <c r="G647" i="115"/>
  <c r="F647" i="115"/>
  <c r="E647" i="115"/>
  <c r="A647" i="115"/>
  <c r="K646" i="115"/>
  <c r="I646" i="115"/>
  <c r="H646" i="115"/>
  <c r="G646" i="115"/>
  <c r="F646" i="115"/>
  <c r="E646" i="115"/>
  <c r="A646" i="115"/>
  <c r="K645" i="115"/>
  <c r="I645" i="115"/>
  <c r="H645" i="115"/>
  <c r="G645" i="115"/>
  <c r="F645" i="115"/>
  <c r="E645" i="115"/>
  <c r="A645" i="115"/>
  <c r="K644" i="115"/>
  <c r="I644" i="115"/>
  <c r="H644" i="115"/>
  <c r="G644" i="115"/>
  <c r="F644" i="115"/>
  <c r="E644" i="115"/>
  <c r="A644" i="115"/>
  <c r="K643" i="115"/>
  <c r="I643" i="115"/>
  <c r="H643" i="115"/>
  <c r="G643" i="115"/>
  <c r="F643" i="115"/>
  <c r="E643" i="115"/>
  <c r="A643" i="115"/>
  <c r="K642" i="115"/>
  <c r="I642" i="115"/>
  <c r="H642" i="115"/>
  <c r="G642" i="115"/>
  <c r="F642" i="115"/>
  <c r="E642" i="115"/>
  <c r="A642" i="115"/>
  <c r="K641" i="115"/>
  <c r="I641" i="115"/>
  <c r="H641" i="115"/>
  <c r="G641" i="115"/>
  <c r="F641" i="115"/>
  <c r="E641" i="115"/>
  <c r="A641" i="115"/>
  <c r="K640" i="115"/>
  <c r="I640" i="115"/>
  <c r="H640" i="115"/>
  <c r="G640" i="115"/>
  <c r="F640" i="115"/>
  <c r="E640" i="115"/>
  <c r="A640" i="115"/>
  <c r="K639" i="115"/>
  <c r="I639" i="115"/>
  <c r="H639" i="115"/>
  <c r="G639" i="115"/>
  <c r="F639" i="115"/>
  <c r="E639" i="115"/>
  <c r="A639" i="115"/>
  <c r="K638" i="115"/>
  <c r="I638" i="115"/>
  <c r="H638" i="115"/>
  <c r="G638" i="115"/>
  <c r="F638" i="115"/>
  <c r="E638" i="115"/>
  <c r="A638" i="115"/>
  <c r="K637" i="115"/>
  <c r="I637" i="115"/>
  <c r="H637" i="115"/>
  <c r="G637" i="115"/>
  <c r="F637" i="115"/>
  <c r="E637" i="115"/>
  <c r="A637" i="115"/>
  <c r="K636" i="115"/>
  <c r="I636" i="115"/>
  <c r="H636" i="115"/>
  <c r="G636" i="115"/>
  <c r="F636" i="115"/>
  <c r="E636" i="115"/>
  <c r="A636" i="115"/>
  <c r="K635" i="115"/>
  <c r="I635" i="115"/>
  <c r="H635" i="115"/>
  <c r="G635" i="115"/>
  <c r="F635" i="115"/>
  <c r="E635" i="115"/>
  <c r="A635" i="115"/>
  <c r="K634" i="115"/>
  <c r="I634" i="115"/>
  <c r="H634" i="115"/>
  <c r="G634" i="115"/>
  <c r="F634" i="115"/>
  <c r="E634" i="115"/>
  <c r="A634" i="115"/>
  <c r="K633" i="115"/>
  <c r="I633" i="115"/>
  <c r="H633" i="115"/>
  <c r="G633" i="115"/>
  <c r="F633" i="115"/>
  <c r="E633" i="115"/>
  <c r="A633" i="115"/>
  <c r="K632" i="115"/>
  <c r="I632" i="115"/>
  <c r="H632" i="115"/>
  <c r="G632" i="115"/>
  <c r="F632" i="115"/>
  <c r="E632" i="115"/>
  <c r="A632" i="115"/>
  <c r="K631" i="115"/>
  <c r="I631" i="115"/>
  <c r="H631" i="115"/>
  <c r="G631" i="115"/>
  <c r="F631" i="115"/>
  <c r="E631" i="115"/>
  <c r="A631" i="115"/>
  <c r="K630" i="115"/>
  <c r="I630" i="115"/>
  <c r="H630" i="115"/>
  <c r="G630" i="115"/>
  <c r="F630" i="115"/>
  <c r="E630" i="115"/>
  <c r="A630" i="115"/>
  <c r="K629" i="115"/>
  <c r="I629" i="115"/>
  <c r="H629" i="115"/>
  <c r="G629" i="115"/>
  <c r="F629" i="115"/>
  <c r="E629" i="115"/>
  <c r="A629" i="115"/>
  <c r="K628" i="115"/>
  <c r="I628" i="115"/>
  <c r="H628" i="115"/>
  <c r="G628" i="115"/>
  <c r="F628" i="115"/>
  <c r="E628" i="115"/>
  <c r="A628" i="115"/>
  <c r="K627" i="115"/>
  <c r="I627" i="115"/>
  <c r="H627" i="115"/>
  <c r="G627" i="115"/>
  <c r="F627" i="115"/>
  <c r="E627" i="115"/>
  <c r="A627" i="115"/>
  <c r="K626" i="115"/>
  <c r="I626" i="115"/>
  <c r="H626" i="115"/>
  <c r="G626" i="115"/>
  <c r="F626" i="115"/>
  <c r="E626" i="115"/>
  <c r="A626" i="115"/>
  <c r="K625" i="115"/>
  <c r="I625" i="115"/>
  <c r="H625" i="115"/>
  <c r="G625" i="115"/>
  <c r="F625" i="115"/>
  <c r="E625" i="115"/>
  <c r="A625" i="115"/>
  <c r="K624" i="115"/>
  <c r="I624" i="115"/>
  <c r="H624" i="115"/>
  <c r="G624" i="115"/>
  <c r="F624" i="115"/>
  <c r="E624" i="115"/>
  <c r="A624" i="115"/>
  <c r="K623" i="115"/>
  <c r="I623" i="115"/>
  <c r="H623" i="115"/>
  <c r="G623" i="115"/>
  <c r="F623" i="115"/>
  <c r="E623" i="115"/>
  <c r="A623" i="115"/>
  <c r="K622" i="115"/>
  <c r="I622" i="115"/>
  <c r="H622" i="115"/>
  <c r="G622" i="115"/>
  <c r="F622" i="115"/>
  <c r="E622" i="115"/>
  <c r="A622" i="115"/>
  <c r="K621" i="115"/>
  <c r="I621" i="115"/>
  <c r="H621" i="115"/>
  <c r="G621" i="115"/>
  <c r="F621" i="115"/>
  <c r="E621" i="115"/>
  <c r="A621" i="115"/>
  <c r="K620" i="115"/>
  <c r="I620" i="115"/>
  <c r="H620" i="115"/>
  <c r="G620" i="115"/>
  <c r="F620" i="115"/>
  <c r="E620" i="115"/>
  <c r="A620" i="115"/>
  <c r="K619" i="115"/>
  <c r="I619" i="115"/>
  <c r="H619" i="115"/>
  <c r="G619" i="115"/>
  <c r="F619" i="115"/>
  <c r="E619" i="115"/>
  <c r="A619" i="115"/>
  <c r="K618" i="115"/>
  <c r="I618" i="115"/>
  <c r="H618" i="115"/>
  <c r="G618" i="115"/>
  <c r="F618" i="115"/>
  <c r="E618" i="115"/>
  <c r="A618" i="115"/>
  <c r="K617" i="115"/>
  <c r="I617" i="115"/>
  <c r="H617" i="115"/>
  <c r="G617" i="115"/>
  <c r="F617" i="115"/>
  <c r="E617" i="115"/>
  <c r="A617" i="115"/>
  <c r="K616" i="115"/>
  <c r="I616" i="115"/>
  <c r="H616" i="115"/>
  <c r="G616" i="115"/>
  <c r="F616" i="115"/>
  <c r="E616" i="115"/>
  <c r="A616" i="115"/>
  <c r="K615" i="115"/>
  <c r="I615" i="115"/>
  <c r="H615" i="115"/>
  <c r="G615" i="115"/>
  <c r="F615" i="115"/>
  <c r="E615" i="115"/>
  <c r="A615" i="115"/>
  <c r="K614" i="115"/>
  <c r="I614" i="115"/>
  <c r="H614" i="115"/>
  <c r="G614" i="115"/>
  <c r="F614" i="115"/>
  <c r="E614" i="115"/>
  <c r="A614" i="115"/>
  <c r="K613" i="115"/>
  <c r="I613" i="115"/>
  <c r="H613" i="115"/>
  <c r="G613" i="115"/>
  <c r="F613" i="115"/>
  <c r="E613" i="115"/>
  <c r="A613" i="115"/>
  <c r="K612" i="115"/>
  <c r="I612" i="115"/>
  <c r="H612" i="115"/>
  <c r="G612" i="115"/>
  <c r="F612" i="115"/>
  <c r="E612" i="115"/>
  <c r="A612" i="115"/>
  <c r="K611" i="115"/>
  <c r="I611" i="115"/>
  <c r="H611" i="115"/>
  <c r="G611" i="115"/>
  <c r="F611" i="115"/>
  <c r="E611" i="115"/>
  <c r="A611" i="115"/>
  <c r="K610" i="115"/>
  <c r="I610" i="115"/>
  <c r="H610" i="115"/>
  <c r="G610" i="115"/>
  <c r="F610" i="115"/>
  <c r="E610" i="115"/>
  <c r="A610" i="115"/>
  <c r="K609" i="115"/>
  <c r="I609" i="115"/>
  <c r="H609" i="115"/>
  <c r="G609" i="115"/>
  <c r="F609" i="115"/>
  <c r="E609" i="115"/>
  <c r="A609" i="115"/>
  <c r="K608" i="115"/>
  <c r="I608" i="115"/>
  <c r="H608" i="115"/>
  <c r="G608" i="115"/>
  <c r="F608" i="115"/>
  <c r="E608" i="115"/>
  <c r="A608" i="115"/>
  <c r="K607" i="115"/>
  <c r="I607" i="115"/>
  <c r="H607" i="115"/>
  <c r="G607" i="115"/>
  <c r="F607" i="115"/>
  <c r="E607" i="115"/>
  <c r="A607" i="115"/>
  <c r="K606" i="115"/>
  <c r="I606" i="115"/>
  <c r="H606" i="115"/>
  <c r="G606" i="115"/>
  <c r="F606" i="115"/>
  <c r="E606" i="115"/>
  <c r="A606" i="115"/>
  <c r="K605" i="115"/>
  <c r="I605" i="115"/>
  <c r="H605" i="115"/>
  <c r="G605" i="115"/>
  <c r="F605" i="115"/>
  <c r="E605" i="115"/>
  <c r="A605" i="115"/>
  <c r="K604" i="115"/>
  <c r="I604" i="115"/>
  <c r="H604" i="115"/>
  <c r="G604" i="115"/>
  <c r="F604" i="115"/>
  <c r="E604" i="115"/>
  <c r="A604" i="115"/>
  <c r="K603" i="115"/>
  <c r="I603" i="115"/>
  <c r="H603" i="115"/>
  <c r="G603" i="115"/>
  <c r="F603" i="115"/>
  <c r="E603" i="115"/>
  <c r="A603" i="115"/>
  <c r="K602" i="115"/>
  <c r="I602" i="115"/>
  <c r="H602" i="115"/>
  <c r="G602" i="115"/>
  <c r="F602" i="115"/>
  <c r="E602" i="115"/>
  <c r="A602" i="115"/>
  <c r="K601" i="115"/>
  <c r="I601" i="115"/>
  <c r="H601" i="115"/>
  <c r="G601" i="115"/>
  <c r="F601" i="115"/>
  <c r="E601" i="115"/>
  <c r="A601" i="115"/>
  <c r="K600" i="115"/>
  <c r="I600" i="115"/>
  <c r="H600" i="115"/>
  <c r="G600" i="115"/>
  <c r="F600" i="115"/>
  <c r="E600" i="115"/>
  <c r="A600" i="115"/>
  <c r="K599" i="115"/>
  <c r="I599" i="115"/>
  <c r="H599" i="115"/>
  <c r="G599" i="115"/>
  <c r="F599" i="115"/>
  <c r="E599" i="115"/>
  <c r="A599" i="115"/>
  <c r="K598" i="115"/>
  <c r="I598" i="115"/>
  <c r="H598" i="115"/>
  <c r="G598" i="115"/>
  <c r="F598" i="115"/>
  <c r="E598" i="115"/>
  <c r="A598" i="115"/>
  <c r="K597" i="115"/>
  <c r="I597" i="115"/>
  <c r="H597" i="115"/>
  <c r="G597" i="115"/>
  <c r="F597" i="115"/>
  <c r="E597" i="115"/>
  <c r="A597" i="115"/>
  <c r="K596" i="115"/>
  <c r="I596" i="115"/>
  <c r="H596" i="115"/>
  <c r="G596" i="115"/>
  <c r="F596" i="115"/>
  <c r="E596" i="115"/>
  <c r="A596" i="115"/>
  <c r="K595" i="115"/>
  <c r="I595" i="115"/>
  <c r="H595" i="115"/>
  <c r="G595" i="115"/>
  <c r="F595" i="115"/>
  <c r="E595" i="115"/>
  <c r="A595" i="115"/>
  <c r="K594" i="115"/>
  <c r="I594" i="115"/>
  <c r="H594" i="115"/>
  <c r="G594" i="115"/>
  <c r="F594" i="115"/>
  <c r="E594" i="115"/>
  <c r="A594" i="115"/>
  <c r="K593" i="115"/>
  <c r="I593" i="115"/>
  <c r="H593" i="115"/>
  <c r="G593" i="115"/>
  <c r="F593" i="115"/>
  <c r="E593" i="115"/>
  <c r="A593" i="115"/>
  <c r="K592" i="115"/>
  <c r="I592" i="115"/>
  <c r="H592" i="115"/>
  <c r="G592" i="115"/>
  <c r="F592" i="115"/>
  <c r="E592" i="115"/>
  <c r="A592" i="115"/>
  <c r="K591" i="115"/>
  <c r="I591" i="115"/>
  <c r="H591" i="115"/>
  <c r="G591" i="115"/>
  <c r="F591" i="115"/>
  <c r="E591" i="115"/>
  <c r="A591" i="115"/>
  <c r="K590" i="115"/>
  <c r="I590" i="115"/>
  <c r="H590" i="115"/>
  <c r="G590" i="115"/>
  <c r="F590" i="115"/>
  <c r="E590" i="115"/>
  <c r="A590" i="115"/>
  <c r="K589" i="115"/>
  <c r="I589" i="115"/>
  <c r="H589" i="115"/>
  <c r="G589" i="115"/>
  <c r="F589" i="115"/>
  <c r="E589" i="115"/>
  <c r="A589" i="115"/>
  <c r="K588" i="115"/>
  <c r="I588" i="115"/>
  <c r="H588" i="115"/>
  <c r="G588" i="115"/>
  <c r="F588" i="115"/>
  <c r="E588" i="115"/>
  <c r="A588" i="115"/>
  <c r="K587" i="115"/>
  <c r="I587" i="115"/>
  <c r="H587" i="115"/>
  <c r="G587" i="115"/>
  <c r="F587" i="115"/>
  <c r="E587" i="115"/>
  <c r="A587" i="115"/>
  <c r="K586" i="115"/>
  <c r="I586" i="115"/>
  <c r="H586" i="115"/>
  <c r="G586" i="115"/>
  <c r="F586" i="115"/>
  <c r="E586" i="115"/>
  <c r="A586" i="115"/>
  <c r="K585" i="115"/>
  <c r="I585" i="115"/>
  <c r="H585" i="115"/>
  <c r="G585" i="115"/>
  <c r="F585" i="115"/>
  <c r="E585" i="115"/>
  <c r="A585" i="115"/>
  <c r="K584" i="115"/>
  <c r="I584" i="115"/>
  <c r="H584" i="115"/>
  <c r="G584" i="115"/>
  <c r="F584" i="115"/>
  <c r="E584" i="115"/>
  <c r="A584" i="115"/>
  <c r="K583" i="115"/>
  <c r="I583" i="115"/>
  <c r="H583" i="115"/>
  <c r="G583" i="115"/>
  <c r="F583" i="115"/>
  <c r="E583" i="115"/>
  <c r="A583" i="115"/>
  <c r="K582" i="115"/>
  <c r="I582" i="115"/>
  <c r="H582" i="115"/>
  <c r="G582" i="115"/>
  <c r="F582" i="115"/>
  <c r="E582" i="115"/>
  <c r="A582" i="115"/>
  <c r="K581" i="115"/>
  <c r="I581" i="115"/>
  <c r="H581" i="115"/>
  <c r="G581" i="115"/>
  <c r="F581" i="115"/>
  <c r="E581" i="115"/>
  <c r="A581" i="115"/>
  <c r="K580" i="115"/>
  <c r="I580" i="115"/>
  <c r="H580" i="115"/>
  <c r="G580" i="115"/>
  <c r="F580" i="115"/>
  <c r="E580" i="115"/>
  <c r="A580" i="115"/>
  <c r="K579" i="115"/>
  <c r="I579" i="115"/>
  <c r="H579" i="115"/>
  <c r="G579" i="115"/>
  <c r="F579" i="115"/>
  <c r="E579" i="115"/>
  <c r="A579" i="115"/>
  <c r="K578" i="115"/>
  <c r="I578" i="115"/>
  <c r="H578" i="115"/>
  <c r="G578" i="115"/>
  <c r="F578" i="115"/>
  <c r="E578" i="115"/>
  <c r="A578" i="115"/>
  <c r="K577" i="115"/>
  <c r="I577" i="115"/>
  <c r="H577" i="115"/>
  <c r="G577" i="115"/>
  <c r="F577" i="115"/>
  <c r="E577" i="115"/>
  <c r="A577" i="115"/>
  <c r="K576" i="115"/>
  <c r="I576" i="115"/>
  <c r="H576" i="115"/>
  <c r="G576" i="115"/>
  <c r="F576" i="115"/>
  <c r="E576" i="115"/>
  <c r="A576" i="115"/>
  <c r="K575" i="115"/>
  <c r="I575" i="115"/>
  <c r="H575" i="115"/>
  <c r="G575" i="115"/>
  <c r="F575" i="115"/>
  <c r="E575" i="115"/>
  <c r="A575" i="115"/>
  <c r="K574" i="115"/>
  <c r="I574" i="115"/>
  <c r="H574" i="115"/>
  <c r="G574" i="115"/>
  <c r="F574" i="115"/>
  <c r="E574" i="115"/>
  <c r="A574" i="115"/>
  <c r="K573" i="115"/>
  <c r="I573" i="115"/>
  <c r="H573" i="115"/>
  <c r="G573" i="115"/>
  <c r="F573" i="115"/>
  <c r="E573" i="115"/>
  <c r="A573" i="115"/>
  <c r="K572" i="115"/>
  <c r="I572" i="115"/>
  <c r="H572" i="115"/>
  <c r="G572" i="115"/>
  <c r="F572" i="115"/>
  <c r="E572" i="115"/>
  <c r="A572" i="115"/>
  <c r="K571" i="115"/>
  <c r="I571" i="115"/>
  <c r="H571" i="115"/>
  <c r="G571" i="115"/>
  <c r="F571" i="115"/>
  <c r="E571" i="115"/>
  <c r="A571" i="115"/>
  <c r="K570" i="115"/>
  <c r="I570" i="115"/>
  <c r="H570" i="115"/>
  <c r="G570" i="115"/>
  <c r="F570" i="115"/>
  <c r="E570" i="115"/>
  <c r="A570" i="115"/>
  <c r="K569" i="115"/>
  <c r="I569" i="115"/>
  <c r="H569" i="115"/>
  <c r="G569" i="115"/>
  <c r="F569" i="115"/>
  <c r="E569" i="115"/>
  <c r="A569" i="115"/>
  <c r="K568" i="115"/>
  <c r="I568" i="115"/>
  <c r="H568" i="115"/>
  <c r="G568" i="115"/>
  <c r="F568" i="115"/>
  <c r="E568" i="115"/>
  <c r="A568" i="115"/>
  <c r="K567" i="115"/>
  <c r="I567" i="115"/>
  <c r="H567" i="115"/>
  <c r="G567" i="115"/>
  <c r="F567" i="115"/>
  <c r="E567" i="115"/>
  <c r="A567" i="115"/>
  <c r="K566" i="115"/>
  <c r="I566" i="115"/>
  <c r="H566" i="115"/>
  <c r="G566" i="115"/>
  <c r="F566" i="115"/>
  <c r="E566" i="115"/>
  <c r="A566" i="115"/>
  <c r="K565" i="115"/>
  <c r="I565" i="115"/>
  <c r="H565" i="115"/>
  <c r="G565" i="115"/>
  <c r="F565" i="115"/>
  <c r="E565" i="115"/>
  <c r="A565" i="115"/>
  <c r="K564" i="115"/>
  <c r="I564" i="115"/>
  <c r="H564" i="115"/>
  <c r="G564" i="115"/>
  <c r="F564" i="115"/>
  <c r="E564" i="115"/>
  <c r="A564" i="115"/>
  <c r="K563" i="115"/>
  <c r="I563" i="115"/>
  <c r="H563" i="115"/>
  <c r="G563" i="115"/>
  <c r="F563" i="115"/>
  <c r="E563" i="115"/>
  <c r="A563" i="115"/>
  <c r="K562" i="115"/>
  <c r="I562" i="115"/>
  <c r="H562" i="115"/>
  <c r="G562" i="115"/>
  <c r="F562" i="115"/>
  <c r="E562" i="115"/>
  <c r="A562" i="115"/>
  <c r="K561" i="115"/>
  <c r="I561" i="115"/>
  <c r="H561" i="115"/>
  <c r="G561" i="115"/>
  <c r="F561" i="115"/>
  <c r="E561" i="115"/>
  <c r="A561" i="115"/>
  <c r="K560" i="115"/>
  <c r="I560" i="115"/>
  <c r="H560" i="115"/>
  <c r="G560" i="115"/>
  <c r="F560" i="115"/>
  <c r="E560" i="115"/>
  <c r="A560" i="115"/>
  <c r="K559" i="115"/>
  <c r="I559" i="115"/>
  <c r="H559" i="115"/>
  <c r="G559" i="115"/>
  <c r="F559" i="115"/>
  <c r="E559" i="115"/>
  <c r="A559" i="115"/>
  <c r="K558" i="115"/>
  <c r="I558" i="115"/>
  <c r="H558" i="115"/>
  <c r="G558" i="115"/>
  <c r="F558" i="115"/>
  <c r="E558" i="115"/>
  <c r="A558" i="115"/>
  <c r="K557" i="115"/>
  <c r="I557" i="115"/>
  <c r="H557" i="115"/>
  <c r="G557" i="115"/>
  <c r="F557" i="115"/>
  <c r="E557" i="115"/>
  <c r="A557" i="115"/>
  <c r="K556" i="115"/>
  <c r="I556" i="115"/>
  <c r="H556" i="115"/>
  <c r="G556" i="115"/>
  <c r="F556" i="115"/>
  <c r="E556" i="115"/>
  <c r="A556" i="115"/>
  <c r="K555" i="115"/>
  <c r="I555" i="115"/>
  <c r="H555" i="115"/>
  <c r="G555" i="115"/>
  <c r="F555" i="115"/>
  <c r="E555" i="115"/>
  <c r="A555" i="115"/>
  <c r="K554" i="115"/>
  <c r="I554" i="115"/>
  <c r="H554" i="115"/>
  <c r="G554" i="115"/>
  <c r="F554" i="115"/>
  <c r="E554" i="115"/>
  <c r="A554" i="115"/>
  <c r="K553" i="115"/>
  <c r="I553" i="115"/>
  <c r="H553" i="115"/>
  <c r="G553" i="115"/>
  <c r="F553" i="115"/>
  <c r="E553" i="115"/>
  <c r="A553" i="115"/>
  <c r="K552" i="115"/>
  <c r="I552" i="115"/>
  <c r="H552" i="115"/>
  <c r="G552" i="115"/>
  <c r="F552" i="115"/>
  <c r="E552" i="115"/>
  <c r="A552" i="115"/>
  <c r="K551" i="115"/>
  <c r="I551" i="115"/>
  <c r="H551" i="115"/>
  <c r="G551" i="115"/>
  <c r="F551" i="115"/>
  <c r="E551" i="115"/>
  <c r="A551" i="115"/>
  <c r="K550" i="115"/>
  <c r="I550" i="115"/>
  <c r="H550" i="115"/>
  <c r="G550" i="115"/>
  <c r="F550" i="115"/>
  <c r="E550" i="115"/>
  <c r="A550" i="115"/>
  <c r="K549" i="115"/>
  <c r="I549" i="115"/>
  <c r="H549" i="115"/>
  <c r="G549" i="115"/>
  <c r="F549" i="115"/>
  <c r="E549" i="115"/>
  <c r="A549" i="115"/>
  <c r="K548" i="115"/>
  <c r="I548" i="115"/>
  <c r="H548" i="115"/>
  <c r="G548" i="115"/>
  <c r="F548" i="115"/>
  <c r="E548" i="115"/>
  <c r="A548" i="115"/>
  <c r="K547" i="115"/>
  <c r="I547" i="115"/>
  <c r="H547" i="115"/>
  <c r="G547" i="115"/>
  <c r="F547" i="115"/>
  <c r="E547" i="115"/>
  <c r="A547" i="115"/>
  <c r="K546" i="115"/>
  <c r="I546" i="115"/>
  <c r="H546" i="115"/>
  <c r="G546" i="115"/>
  <c r="F546" i="115"/>
  <c r="E546" i="115"/>
  <c r="A546" i="115"/>
  <c r="K545" i="115"/>
  <c r="I545" i="115"/>
  <c r="H545" i="115"/>
  <c r="G545" i="115"/>
  <c r="F545" i="115"/>
  <c r="E545" i="115"/>
  <c r="A545" i="115"/>
  <c r="K544" i="115"/>
  <c r="I544" i="115"/>
  <c r="H544" i="115"/>
  <c r="G544" i="115"/>
  <c r="F544" i="115"/>
  <c r="E544" i="115"/>
  <c r="A544" i="115"/>
  <c r="K543" i="115"/>
  <c r="I543" i="115"/>
  <c r="H543" i="115"/>
  <c r="G543" i="115"/>
  <c r="F543" i="115"/>
  <c r="E543" i="115"/>
  <c r="A543" i="115"/>
  <c r="K542" i="115"/>
  <c r="I542" i="115"/>
  <c r="H542" i="115"/>
  <c r="G542" i="115"/>
  <c r="F542" i="115"/>
  <c r="E542" i="115"/>
  <c r="A542" i="115"/>
  <c r="K541" i="115"/>
  <c r="I541" i="115"/>
  <c r="H541" i="115"/>
  <c r="G541" i="115"/>
  <c r="F541" i="115"/>
  <c r="E541" i="115"/>
  <c r="A541" i="115"/>
  <c r="K540" i="115"/>
  <c r="I540" i="115"/>
  <c r="H540" i="115"/>
  <c r="G540" i="115"/>
  <c r="F540" i="115"/>
  <c r="E540" i="115"/>
  <c r="A540" i="115"/>
  <c r="K539" i="115"/>
  <c r="I539" i="115"/>
  <c r="H539" i="115"/>
  <c r="G539" i="115"/>
  <c r="F539" i="115"/>
  <c r="E539" i="115"/>
  <c r="A539" i="115"/>
  <c r="K538" i="115"/>
  <c r="I538" i="115"/>
  <c r="H538" i="115"/>
  <c r="G538" i="115"/>
  <c r="F538" i="115"/>
  <c r="E538" i="115"/>
  <c r="A538" i="115"/>
  <c r="K537" i="115"/>
  <c r="I537" i="115"/>
  <c r="H537" i="115"/>
  <c r="G537" i="115"/>
  <c r="F537" i="115"/>
  <c r="E537" i="115"/>
  <c r="A537" i="115"/>
  <c r="K536" i="115"/>
  <c r="I536" i="115"/>
  <c r="H536" i="115"/>
  <c r="G536" i="115"/>
  <c r="F536" i="115"/>
  <c r="E536" i="115"/>
  <c r="A536" i="115"/>
  <c r="K535" i="115"/>
  <c r="I535" i="115"/>
  <c r="H535" i="115"/>
  <c r="G535" i="115"/>
  <c r="F535" i="115"/>
  <c r="E535" i="115"/>
  <c r="A535" i="115"/>
  <c r="K534" i="115"/>
  <c r="I534" i="115"/>
  <c r="H534" i="115"/>
  <c r="G534" i="115"/>
  <c r="F534" i="115"/>
  <c r="E534" i="115"/>
  <c r="A534" i="115"/>
  <c r="K533" i="115"/>
  <c r="I533" i="115"/>
  <c r="H533" i="115"/>
  <c r="G533" i="115"/>
  <c r="F533" i="115"/>
  <c r="E533" i="115"/>
  <c r="A533" i="115"/>
  <c r="K532" i="115"/>
  <c r="I532" i="115"/>
  <c r="H532" i="115"/>
  <c r="G532" i="115"/>
  <c r="F532" i="115"/>
  <c r="E532" i="115"/>
  <c r="A532" i="115"/>
  <c r="K531" i="115"/>
  <c r="I531" i="115"/>
  <c r="H531" i="115"/>
  <c r="G531" i="115"/>
  <c r="F531" i="115"/>
  <c r="E531" i="115"/>
  <c r="A531" i="115"/>
  <c r="K530" i="115"/>
  <c r="I530" i="115"/>
  <c r="H530" i="115"/>
  <c r="G530" i="115"/>
  <c r="F530" i="115"/>
  <c r="E530" i="115"/>
  <c r="A530" i="115"/>
  <c r="K529" i="115"/>
  <c r="I529" i="115"/>
  <c r="H529" i="115"/>
  <c r="G529" i="115"/>
  <c r="F529" i="115"/>
  <c r="E529" i="115"/>
  <c r="A529" i="115"/>
  <c r="K528" i="115"/>
  <c r="I528" i="115"/>
  <c r="H528" i="115"/>
  <c r="G528" i="115"/>
  <c r="F528" i="115"/>
  <c r="E528" i="115"/>
  <c r="A528" i="115"/>
  <c r="K527" i="115"/>
  <c r="I527" i="115"/>
  <c r="H527" i="115"/>
  <c r="G527" i="115"/>
  <c r="F527" i="115"/>
  <c r="E527" i="115"/>
  <c r="A527" i="115"/>
  <c r="K526" i="115"/>
  <c r="I526" i="115"/>
  <c r="H526" i="115"/>
  <c r="G526" i="115"/>
  <c r="F526" i="115"/>
  <c r="E526" i="115"/>
  <c r="A526" i="115"/>
  <c r="K525" i="115"/>
  <c r="I525" i="115"/>
  <c r="H525" i="115"/>
  <c r="G525" i="115"/>
  <c r="F525" i="115"/>
  <c r="E525" i="115"/>
  <c r="A525" i="115"/>
  <c r="K524" i="115"/>
  <c r="I524" i="115"/>
  <c r="H524" i="115"/>
  <c r="G524" i="115"/>
  <c r="F524" i="115"/>
  <c r="E524" i="115"/>
  <c r="A524" i="115"/>
  <c r="K523" i="115"/>
  <c r="I523" i="115"/>
  <c r="H523" i="115"/>
  <c r="G523" i="115"/>
  <c r="F523" i="115"/>
  <c r="E523" i="115"/>
  <c r="A523" i="115"/>
  <c r="K522" i="115"/>
  <c r="I522" i="115"/>
  <c r="H522" i="115"/>
  <c r="G522" i="115"/>
  <c r="F522" i="115"/>
  <c r="E522" i="115"/>
  <c r="A522" i="115"/>
  <c r="K521" i="115"/>
  <c r="I521" i="115"/>
  <c r="H521" i="115"/>
  <c r="G521" i="115"/>
  <c r="F521" i="115"/>
  <c r="E521" i="115"/>
  <c r="A521" i="115"/>
  <c r="K520" i="115"/>
  <c r="I520" i="115"/>
  <c r="H520" i="115"/>
  <c r="G520" i="115"/>
  <c r="F520" i="115"/>
  <c r="E520" i="115"/>
  <c r="A520" i="115"/>
  <c r="K519" i="115"/>
  <c r="I519" i="115"/>
  <c r="H519" i="115"/>
  <c r="G519" i="115"/>
  <c r="F519" i="115"/>
  <c r="E519" i="115"/>
  <c r="A519" i="115"/>
  <c r="K518" i="115"/>
  <c r="I518" i="115"/>
  <c r="H518" i="115"/>
  <c r="G518" i="115"/>
  <c r="F518" i="115"/>
  <c r="E518" i="115"/>
  <c r="A518" i="115"/>
  <c r="K517" i="115"/>
  <c r="I517" i="115"/>
  <c r="H517" i="115"/>
  <c r="G517" i="115"/>
  <c r="F517" i="115"/>
  <c r="E517" i="115"/>
  <c r="A517" i="115"/>
  <c r="K516" i="115"/>
  <c r="I516" i="115"/>
  <c r="H516" i="115"/>
  <c r="G516" i="115"/>
  <c r="F516" i="115"/>
  <c r="E516" i="115"/>
  <c r="A516" i="115"/>
  <c r="K515" i="115"/>
  <c r="I515" i="115"/>
  <c r="H515" i="115"/>
  <c r="G515" i="115"/>
  <c r="F515" i="115"/>
  <c r="E515" i="115"/>
  <c r="A515" i="115"/>
  <c r="K514" i="115"/>
  <c r="I514" i="115"/>
  <c r="H514" i="115"/>
  <c r="G514" i="115"/>
  <c r="F514" i="115"/>
  <c r="E514" i="115"/>
  <c r="A514" i="115"/>
  <c r="K513" i="115"/>
  <c r="I513" i="115"/>
  <c r="H513" i="115"/>
  <c r="G513" i="115"/>
  <c r="F513" i="115"/>
  <c r="E513" i="115"/>
  <c r="A513" i="115"/>
  <c r="K512" i="115"/>
  <c r="I512" i="115"/>
  <c r="H512" i="115"/>
  <c r="G512" i="115"/>
  <c r="F512" i="115"/>
  <c r="E512" i="115"/>
  <c r="A512" i="115"/>
  <c r="K511" i="115"/>
  <c r="I511" i="115"/>
  <c r="H511" i="115"/>
  <c r="G511" i="115"/>
  <c r="F511" i="115"/>
  <c r="E511" i="115"/>
  <c r="A511" i="115"/>
  <c r="K510" i="115"/>
  <c r="I510" i="115"/>
  <c r="H510" i="115"/>
  <c r="G510" i="115"/>
  <c r="F510" i="115"/>
  <c r="E510" i="115"/>
  <c r="A510" i="115"/>
  <c r="K509" i="115"/>
  <c r="I509" i="115"/>
  <c r="H509" i="115"/>
  <c r="G509" i="115"/>
  <c r="F509" i="115"/>
  <c r="E509" i="115"/>
  <c r="A509" i="115"/>
  <c r="K508" i="115"/>
  <c r="I508" i="115"/>
  <c r="H508" i="115"/>
  <c r="G508" i="115"/>
  <c r="F508" i="115"/>
  <c r="E508" i="115"/>
  <c r="A508" i="115"/>
  <c r="K507" i="115"/>
  <c r="I507" i="115"/>
  <c r="H507" i="115"/>
  <c r="G507" i="115"/>
  <c r="F507" i="115"/>
  <c r="E507" i="115"/>
  <c r="A507" i="115"/>
  <c r="K506" i="115"/>
  <c r="I506" i="115"/>
  <c r="H506" i="115"/>
  <c r="G506" i="115"/>
  <c r="F506" i="115"/>
  <c r="E506" i="115"/>
  <c r="A506" i="115"/>
  <c r="K505" i="115"/>
  <c r="I505" i="115"/>
  <c r="H505" i="115"/>
  <c r="G505" i="115"/>
  <c r="F505" i="115"/>
  <c r="E505" i="115"/>
  <c r="A505" i="115"/>
  <c r="K504" i="115"/>
  <c r="I504" i="115"/>
  <c r="H504" i="115"/>
  <c r="G504" i="115"/>
  <c r="F504" i="115"/>
  <c r="E504" i="115"/>
  <c r="A504" i="115"/>
  <c r="K503" i="115"/>
  <c r="I503" i="115"/>
  <c r="H503" i="115"/>
  <c r="G503" i="115"/>
  <c r="F503" i="115"/>
  <c r="E503" i="115"/>
  <c r="A503" i="115"/>
  <c r="K502" i="115"/>
  <c r="I502" i="115"/>
  <c r="H502" i="115"/>
  <c r="G502" i="115"/>
  <c r="F502" i="115"/>
  <c r="E502" i="115"/>
  <c r="A502" i="115"/>
  <c r="K501" i="115"/>
  <c r="I501" i="115"/>
  <c r="H501" i="115"/>
  <c r="G501" i="115"/>
  <c r="F501" i="115"/>
  <c r="E501" i="115"/>
  <c r="A501" i="115"/>
  <c r="K500" i="115"/>
  <c r="I500" i="115"/>
  <c r="H500" i="115"/>
  <c r="G500" i="115"/>
  <c r="F500" i="115"/>
  <c r="E500" i="115"/>
  <c r="A500" i="115"/>
  <c r="K499" i="115"/>
  <c r="I499" i="115"/>
  <c r="H499" i="115"/>
  <c r="G499" i="115"/>
  <c r="F499" i="115"/>
  <c r="E499" i="115"/>
  <c r="A499" i="115"/>
  <c r="K498" i="115"/>
  <c r="I498" i="115"/>
  <c r="H498" i="115"/>
  <c r="G498" i="115"/>
  <c r="F498" i="115"/>
  <c r="E498" i="115"/>
  <c r="A498" i="115"/>
  <c r="K497" i="115"/>
  <c r="I497" i="115"/>
  <c r="H497" i="115"/>
  <c r="G497" i="115"/>
  <c r="F497" i="115"/>
  <c r="E497" i="115"/>
  <c r="A497" i="115"/>
  <c r="K496" i="115"/>
  <c r="I496" i="115"/>
  <c r="H496" i="115"/>
  <c r="G496" i="115"/>
  <c r="F496" i="115"/>
  <c r="E496" i="115"/>
  <c r="A496" i="115"/>
  <c r="K495" i="115"/>
  <c r="I495" i="115"/>
  <c r="H495" i="115"/>
  <c r="G495" i="115"/>
  <c r="F495" i="115"/>
  <c r="E495" i="115"/>
  <c r="A495" i="115"/>
  <c r="K494" i="115"/>
  <c r="I494" i="115"/>
  <c r="H494" i="115"/>
  <c r="G494" i="115"/>
  <c r="F494" i="115"/>
  <c r="E494" i="115"/>
  <c r="A494" i="115"/>
  <c r="K493" i="115"/>
  <c r="I493" i="115"/>
  <c r="H493" i="115"/>
  <c r="G493" i="115"/>
  <c r="F493" i="115"/>
  <c r="E493" i="115"/>
  <c r="A493" i="115"/>
  <c r="K492" i="115"/>
  <c r="I492" i="115"/>
  <c r="H492" i="115"/>
  <c r="G492" i="115"/>
  <c r="F492" i="115"/>
  <c r="E492" i="115"/>
  <c r="A492" i="115"/>
  <c r="K491" i="115"/>
  <c r="I491" i="115"/>
  <c r="H491" i="115"/>
  <c r="G491" i="115"/>
  <c r="F491" i="115"/>
  <c r="E491" i="115"/>
  <c r="A491" i="115"/>
  <c r="K490" i="115"/>
  <c r="I490" i="115"/>
  <c r="H490" i="115"/>
  <c r="G490" i="115"/>
  <c r="F490" i="115"/>
  <c r="E490" i="115"/>
  <c r="A490" i="115"/>
  <c r="K489" i="115"/>
  <c r="I489" i="115"/>
  <c r="H489" i="115"/>
  <c r="G489" i="115"/>
  <c r="F489" i="115"/>
  <c r="E489" i="115"/>
  <c r="A489" i="115"/>
  <c r="K488" i="115"/>
  <c r="I488" i="115"/>
  <c r="H488" i="115"/>
  <c r="G488" i="115"/>
  <c r="F488" i="115"/>
  <c r="E488" i="115"/>
  <c r="A488" i="115"/>
  <c r="K487" i="115"/>
  <c r="I487" i="115"/>
  <c r="H487" i="115"/>
  <c r="G487" i="115"/>
  <c r="F487" i="115"/>
  <c r="E487" i="115"/>
  <c r="A487" i="115"/>
  <c r="K486" i="115"/>
  <c r="I486" i="115"/>
  <c r="H486" i="115"/>
  <c r="G486" i="115"/>
  <c r="F486" i="115"/>
  <c r="E486" i="115"/>
  <c r="A486" i="115"/>
  <c r="K485" i="115"/>
  <c r="I485" i="115"/>
  <c r="H485" i="115"/>
  <c r="G485" i="115"/>
  <c r="F485" i="115"/>
  <c r="E485" i="115"/>
  <c r="A485" i="115"/>
  <c r="K484" i="115"/>
  <c r="I484" i="115"/>
  <c r="H484" i="115"/>
  <c r="G484" i="115"/>
  <c r="F484" i="115"/>
  <c r="E484" i="115"/>
  <c r="A484" i="115"/>
  <c r="K483" i="115"/>
  <c r="I483" i="115"/>
  <c r="H483" i="115"/>
  <c r="G483" i="115"/>
  <c r="F483" i="115"/>
  <c r="E483" i="115"/>
  <c r="A483" i="115"/>
  <c r="K482" i="115"/>
  <c r="I482" i="115"/>
  <c r="H482" i="115"/>
  <c r="G482" i="115"/>
  <c r="F482" i="115"/>
  <c r="E482" i="115"/>
  <c r="A482" i="115"/>
  <c r="K481" i="115"/>
  <c r="I481" i="115"/>
  <c r="H481" i="115"/>
  <c r="G481" i="115"/>
  <c r="F481" i="115"/>
  <c r="E481" i="115"/>
  <c r="A481" i="115"/>
  <c r="K480" i="115"/>
  <c r="I480" i="115"/>
  <c r="H480" i="115"/>
  <c r="G480" i="115"/>
  <c r="F480" i="115"/>
  <c r="E480" i="115"/>
  <c r="A480" i="115"/>
  <c r="K479" i="115"/>
  <c r="I479" i="115"/>
  <c r="H479" i="115"/>
  <c r="G479" i="115"/>
  <c r="F479" i="115"/>
  <c r="E479" i="115"/>
  <c r="A479" i="115"/>
  <c r="K478" i="115"/>
  <c r="I478" i="115"/>
  <c r="H478" i="115"/>
  <c r="G478" i="115"/>
  <c r="F478" i="115"/>
  <c r="E478" i="115"/>
  <c r="A478" i="115"/>
  <c r="K477" i="115"/>
  <c r="I477" i="115"/>
  <c r="H477" i="115"/>
  <c r="G477" i="115"/>
  <c r="F477" i="115"/>
  <c r="E477" i="115"/>
  <c r="A477" i="115"/>
  <c r="K476" i="115"/>
  <c r="I476" i="115"/>
  <c r="H476" i="115"/>
  <c r="G476" i="115"/>
  <c r="F476" i="115"/>
  <c r="E476" i="115"/>
  <c r="A476" i="115"/>
  <c r="K475" i="115"/>
  <c r="I475" i="115"/>
  <c r="H475" i="115"/>
  <c r="G475" i="115"/>
  <c r="F475" i="115"/>
  <c r="E475" i="115"/>
  <c r="A475" i="115"/>
  <c r="K474" i="115"/>
  <c r="I474" i="115"/>
  <c r="H474" i="115"/>
  <c r="G474" i="115"/>
  <c r="F474" i="115"/>
  <c r="E474" i="115"/>
  <c r="A474" i="115"/>
  <c r="K473" i="115"/>
  <c r="I473" i="115"/>
  <c r="H473" i="115"/>
  <c r="G473" i="115"/>
  <c r="F473" i="115"/>
  <c r="E473" i="115"/>
  <c r="A473" i="115"/>
  <c r="K472" i="115"/>
  <c r="I472" i="115"/>
  <c r="H472" i="115"/>
  <c r="G472" i="115"/>
  <c r="F472" i="115"/>
  <c r="E472" i="115"/>
  <c r="A472" i="115"/>
  <c r="K471" i="115"/>
  <c r="I471" i="115"/>
  <c r="H471" i="115"/>
  <c r="G471" i="115"/>
  <c r="F471" i="115"/>
  <c r="E471" i="115"/>
  <c r="A471" i="115"/>
  <c r="K470" i="115"/>
  <c r="I470" i="115"/>
  <c r="H470" i="115"/>
  <c r="G470" i="115"/>
  <c r="F470" i="115"/>
  <c r="E470" i="115"/>
  <c r="A470" i="115"/>
  <c r="K469" i="115"/>
  <c r="I469" i="115"/>
  <c r="H469" i="115"/>
  <c r="G469" i="115"/>
  <c r="F469" i="115"/>
  <c r="E469" i="115"/>
  <c r="A469" i="115"/>
  <c r="K468" i="115"/>
  <c r="I468" i="115"/>
  <c r="H468" i="115"/>
  <c r="G468" i="115"/>
  <c r="F468" i="115"/>
  <c r="E468" i="115"/>
  <c r="A468" i="115"/>
  <c r="K467" i="115"/>
  <c r="I467" i="115"/>
  <c r="H467" i="115"/>
  <c r="G467" i="115"/>
  <c r="F467" i="115"/>
  <c r="E467" i="115"/>
  <c r="A467" i="115"/>
  <c r="K466" i="115"/>
  <c r="I466" i="115"/>
  <c r="H466" i="115"/>
  <c r="G466" i="115"/>
  <c r="F466" i="115"/>
  <c r="E466" i="115"/>
  <c r="A466" i="115"/>
  <c r="K465" i="115"/>
  <c r="I465" i="115"/>
  <c r="H465" i="115"/>
  <c r="G465" i="115"/>
  <c r="F465" i="115"/>
  <c r="E465" i="115"/>
  <c r="A465" i="115"/>
  <c r="K464" i="115"/>
  <c r="I464" i="115"/>
  <c r="H464" i="115"/>
  <c r="G464" i="115"/>
  <c r="F464" i="115"/>
  <c r="E464" i="115"/>
  <c r="A464" i="115"/>
  <c r="K463" i="115"/>
  <c r="I463" i="115"/>
  <c r="H463" i="115"/>
  <c r="G463" i="115"/>
  <c r="F463" i="115"/>
  <c r="E463" i="115"/>
  <c r="A463" i="115"/>
  <c r="K462" i="115"/>
  <c r="I462" i="115"/>
  <c r="H462" i="115"/>
  <c r="G462" i="115"/>
  <c r="F462" i="115"/>
  <c r="E462" i="115"/>
  <c r="A462" i="115"/>
  <c r="K461" i="115"/>
  <c r="I461" i="115"/>
  <c r="H461" i="115"/>
  <c r="G461" i="115"/>
  <c r="F461" i="115"/>
  <c r="E461" i="115"/>
  <c r="A461" i="115"/>
  <c r="K460" i="115"/>
  <c r="I460" i="115"/>
  <c r="H460" i="115"/>
  <c r="G460" i="115"/>
  <c r="F460" i="115"/>
  <c r="E460" i="115"/>
  <c r="A460" i="115"/>
  <c r="K459" i="115"/>
  <c r="I459" i="115"/>
  <c r="H459" i="115"/>
  <c r="G459" i="115"/>
  <c r="F459" i="115"/>
  <c r="E459" i="115"/>
  <c r="A459" i="115"/>
  <c r="K458" i="115"/>
  <c r="I458" i="115"/>
  <c r="H458" i="115"/>
  <c r="G458" i="115"/>
  <c r="F458" i="115"/>
  <c r="E458" i="115"/>
  <c r="A458" i="115"/>
  <c r="K457" i="115"/>
  <c r="I457" i="115"/>
  <c r="H457" i="115"/>
  <c r="G457" i="115"/>
  <c r="F457" i="115"/>
  <c r="E457" i="115"/>
  <c r="A457" i="115"/>
  <c r="K456" i="115"/>
  <c r="I456" i="115"/>
  <c r="H456" i="115"/>
  <c r="G456" i="115"/>
  <c r="F456" i="115"/>
  <c r="E456" i="115"/>
  <c r="A456" i="115"/>
  <c r="K455" i="115"/>
  <c r="I455" i="115"/>
  <c r="H455" i="115"/>
  <c r="G455" i="115"/>
  <c r="F455" i="115"/>
  <c r="E455" i="115"/>
  <c r="A455" i="115"/>
  <c r="K454" i="115"/>
  <c r="I454" i="115"/>
  <c r="H454" i="115"/>
  <c r="G454" i="115"/>
  <c r="F454" i="115"/>
  <c r="E454" i="115"/>
  <c r="A454" i="115"/>
  <c r="K453" i="115"/>
  <c r="I453" i="115"/>
  <c r="H453" i="115"/>
  <c r="G453" i="115"/>
  <c r="F453" i="115"/>
  <c r="E453" i="115"/>
  <c r="A453" i="115"/>
  <c r="K452" i="115"/>
  <c r="I452" i="115"/>
  <c r="H452" i="115"/>
  <c r="G452" i="115"/>
  <c r="F452" i="115"/>
  <c r="E452" i="115"/>
  <c r="A452" i="115"/>
  <c r="K451" i="115"/>
  <c r="I451" i="115"/>
  <c r="H451" i="115"/>
  <c r="G451" i="115"/>
  <c r="F451" i="115"/>
  <c r="E451" i="115"/>
  <c r="A451" i="115"/>
  <c r="K450" i="115"/>
  <c r="I450" i="115"/>
  <c r="H450" i="115"/>
  <c r="G450" i="115"/>
  <c r="F450" i="115"/>
  <c r="E450" i="115"/>
  <c r="A450" i="115"/>
  <c r="K449" i="115"/>
  <c r="I449" i="115"/>
  <c r="H449" i="115"/>
  <c r="G449" i="115"/>
  <c r="F449" i="115"/>
  <c r="E449" i="115"/>
  <c r="A449" i="115"/>
  <c r="K448" i="115"/>
  <c r="I448" i="115"/>
  <c r="H448" i="115"/>
  <c r="G448" i="115"/>
  <c r="F448" i="115"/>
  <c r="E448" i="115"/>
  <c r="A448" i="115"/>
  <c r="K447" i="115"/>
  <c r="I447" i="115"/>
  <c r="H447" i="115"/>
  <c r="G447" i="115"/>
  <c r="F447" i="115"/>
  <c r="E447" i="115"/>
  <c r="A447" i="115"/>
  <c r="K446" i="115"/>
  <c r="I446" i="115"/>
  <c r="H446" i="115"/>
  <c r="G446" i="115"/>
  <c r="F446" i="115"/>
  <c r="E446" i="115"/>
  <c r="A446" i="115"/>
  <c r="K445" i="115"/>
  <c r="I445" i="115"/>
  <c r="H445" i="115"/>
  <c r="G445" i="115"/>
  <c r="F445" i="115"/>
  <c r="E445" i="115"/>
  <c r="A445" i="115"/>
  <c r="K444" i="115"/>
  <c r="I444" i="115"/>
  <c r="H444" i="115"/>
  <c r="G444" i="115"/>
  <c r="F444" i="115"/>
  <c r="E444" i="115"/>
  <c r="A444" i="115"/>
  <c r="K443" i="115"/>
  <c r="I443" i="115"/>
  <c r="H443" i="115"/>
  <c r="G443" i="115"/>
  <c r="F443" i="115"/>
  <c r="E443" i="115"/>
  <c r="A443" i="115"/>
  <c r="K442" i="115"/>
  <c r="I442" i="115"/>
  <c r="H442" i="115"/>
  <c r="G442" i="115"/>
  <c r="F442" i="115"/>
  <c r="E442" i="115"/>
  <c r="A442" i="115"/>
  <c r="K441" i="115"/>
  <c r="I441" i="115"/>
  <c r="H441" i="115"/>
  <c r="G441" i="115"/>
  <c r="F441" i="115"/>
  <c r="E441" i="115"/>
  <c r="A441" i="115"/>
  <c r="K440" i="115"/>
  <c r="I440" i="115"/>
  <c r="H440" i="115"/>
  <c r="G440" i="115"/>
  <c r="F440" i="115"/>
  <c r="E440" i="115"/>
  <c r="A440" i="115"/>
  <c r="K439" i="115"/>
  <c r="I439" i="115"/>
  <c r="H439" i="115"/>
  <c r="G439" i="115"/>
  <c r="F439" i="115"/>
  <c r="E439" i="115"/>
  <c r="A439" i="115"/>
  <c r="K438" i="115"/>
  <c r="I438" i="115"/>
  <c r="H438" i="115"/>
  <c r="G438" i="115"/>
  <c r="F438" i="115"/>
  <c r="E438" i="115"/>
  <c r="A438" i="115"/>
  <c r="K437" i="115"/>
  <c r="I437" i="115"/>
  <c r="H437" i="115"/>
  <c r="G437" i="115"/>
  <c r="F437" i="115"/>
  <c r="E437" i="115"/>
  <c r="A437" i="115"/>
  <c r="K436" i="115"/>
  <c r="I436" i="115"/>
  <c r="H436" i="115"/>
  <c r="G436" i="115"/>
  <c r="F436" i="115"/>
  <c r="E436" i="115"/>
  <c r="A436" i="115"/>
  <c r="K435" i="115"/>
  <c r="I435" i="115"/>
  <c r="H435" i="115"/>
  <c r="G435" i="115"/>
  <c r="F435" i="115"/>
  <c r="E435" i="115"/>
  <c r="A435" i="115"/>
  <c r="K434" i="115"/>
  <c r="I434" i="115"/>
  <c r="H434" i="115"/>
  <c r="G434" i="115"/>
  <c r="F434" i="115"/>
  <c r="E434" i="115"/>
  <c r="A434" i="115"/>
  <c r="K433" i="115"/>
  <c r="I433" i="115"/>
  <c r="H433" i="115"/>
  <c r="G433" i="115"/>
  <c r="F433" i="115"/>
  <c r="E433" i="115"/>
  <c r="A433" i="115"/>
  <c r="K432" i="115"/>
  <c r="I432" i="115"/>
  <c r="H432" i="115"/>
  <c r="G432" i="115"/>
  <c r="F432" i="115"/>
  <c r="E432" i="115"/>
  <c r="A432" i="115"/>
  <c r="K431" i="115"/>
  <c r="I431" i="115"/>
  <c r="H431" i="115"/>
  <c r="G431" i="115"/>
  <c r="F431" i="115"/>
  <c r="E431" i="115"/>
  <c r="A431" i="115"/>
  <c r="K430" i="115"/>
  <c r="I430" i="115"/>
  <c r="H430" i="115"/>
  <c r="G430" i="115"/>
  <c r="F430" i="115"/>
  <c r="E430" i="115"/>
  <c r="A430" i="115"/>
  <c r="K429" i="115"/>
  <c r="I429" i="115"/>
  <c r="H429" i="115"/>
  <c r="G429" i="115"/>
  <c r="F429" i="115"/>
  <c r="E429" i="115"/>
  <c r="A429" i="115"/>
  <c r="K428" i="115"/>
  <c r="I428" i="115"/>
  <c r="H428" i="115"/>
  <c r="G428" i="115"/>
  <c r="F428" i="115"/>
  <c r="E428" i="115"/>
  <c r="A428" i="115"/>
  <c r="K427" i="115"/>
  <c r="I427" i="115"/>
  <c r="H427" i="115"/>
  <c r="G427" i="115"/>
  <c r="F427" i="115"/>
  <c r="E427" i="115"/>
  <c r="A427" i="115"/>
  <c r="K426" i="115"/>
  <c r="I426" i="115"/>
  <c r="H426" i="115"/>
  <c r="G426" i="115"/>
  <c r="F426" i="115"/>
  <c r="E426" i="115"/>
  <c r="A426" i="115"/>
  <c r="K425" i="115"/>
  <c r="I425" i="115"/>
  <c r="H425" i="115"/>
  <c r="G425" i="115"/>
  <c r="F425" i="115"/>
  <c r="E425" i="115"/>
  <c r="A425" i="115"/>
  <c r="K424" i="115"/>
  <c r="I424" i="115"/>
  <c r="H424" i="115"/>
  <c r="G424" i="115"/>
  <c r="F424" i="115"/>
  <c r="E424" i="115"/>
  <c r="A424" i="115"/>
  <c r="K423" i="115"/>
  <c r="I423" i="115"/>
  <c r="H423" i="115"/>
  <c r="G423" i="115"/>
  <c r="F423" i="115"/>
  <c r="E423" i="115"/>
  <c r="A423" i="115"/>
  <c r="K422" i="115"/>
  <c r="I422" i="115"/>
  <c r="H422" i="115"/>
  <c r="G422" i="115"/>
  <c r="F422" i="115"/>
  <c r="E422" i="115"/>
  <c r="A422" i="115"/>
  <c r="K421" i="115"/>
  <c r="I421" i="115"/>
  <c r="H421" i="115"/>
  <c r="G421" i="115"/>
  <c r="F421" i="115"/>
  <c r="E421" i="115"/>
  <c r="A421" i="115"/>
  <c r="K420" i="115"/>
  <c r="I420" i="115"/>
  <c r="H420" i="115"/>
  <c r="G420" i="115"/>
  <c r="F420" i="115"/>
  <c r="E420" i="115"/>
  <c r="A420" i="115"/>
  <c r="K419" i="115"/>
  <c r="I419" i="115"/>
  <c r="H419" i="115"/>
  <c r="G419" i="115"/>
  <c r="F419" i="115"/>
  <c r="E419" i="115"/>
  <c r="A419" i="115"/>
  <c r="K418" i="115"/>
  <c r="I418" i="115"/>
  <c r="H418" i="115"/>
  <c r="G418" i="115"/>
  <c r="F418" i="115"/>
  <c r="E418" i="115"/>
  <c r="A418" i="115"/>
  <c r="K417" i="115"/>
  <c r="I417" i="115"/>
  <c r="H417" i="115"/>
  <c r="G417" i="115"/>
  <c r="F417" i="115"/>
  <c r="E417" i="115"/>
  <c r="A417" i="115"/>
  <c r="K416" i="115"/>
  <c r="I416" i="115"/>
  <c r="H416" i="115"/>
  <c r="G416" i="115"/>
  <c r="F416" i="115"/>
  <c r="E416" i="115"/>
  <c r="A416" i="115"/>
  <c r="K415" i="115"/>
  <c r="I415" i="115"/>
  <c r="H415" i="115"/>
  <c r="G415" i="115"/>
  <c r="F415" i="115"/>
  <c r="E415" i="115"/>
  <c r="A415" i="115"/>
  <c r="K414" i="115"/>
  <c r="I414" i="115"/>
  <c r="H414" i="115"/>
  <c r="G414" i="115"/>
  <c r="F414" i="115"/>
  <c r="E414" i="115"/>
  <c r="A414" i="115"/>
  <c r="K413" i="115"/>
  <c r="I413" i="115"/>
  <c r="H413" i="115"/>
  <c r="G413" i="115"/>
  <c r="F413" i="115"/>
  <c r="E413" i="115"/>
  <c r="A413" i="115"/>
  <c r="K412" i="115"/>
  <c r="I412" i="115"/>
  <c r="H412" i="115"/>
  <c r="G412" i="115"/>
  <c r="F412" i="115"/>
  <c r="E412" i="115"/>
  <c r="A412" i="115"/>
  <c r="K411" i="115"/>
  <c r="I411" i="115"/>
  <c r="H411" i="115"/>
  <c r="G411" i="115"/>
  <c r="F411" i="115"/>
  <c r="E411" i="115"/>
  <c r="A411" i="115"/>
  <c r="K410" i="115"/>
  <c r="I410" i="115"/>
  <c r="H410" i="115"/>
  <c r="G410" i="115"/>
  <c r="F410" i="115"/>
  <c r="E410" i="115"/>
  <c r="A410" i="115"/>
  <c r="K409" i="115"/>
  <c r="I409" i="115"/>
  <c r="H409" i="115"/>
  <c r="G409" i="115"/>
  <c r="F409" i="115"/>
  <c r="E409" i="115"/>
  <c r="A409" i="115"/>
  <c r="K408" i="115"/>
  <c r="I408" i="115"/>
  <c r="H408" i="115"/>
  <c r="G408" i="115"/>
  <c r="F408" i="115"/>
  <c r="E408" i="115"/>
  <c r="A408" i="115"/>
  <c r="K407" i="115"/>
  <c r="I407" i="115"/>
  <c r="H407" i="115"/>
  <c r="G407" i="115"/>
  <c r="F407" i="115"/>
  <c r="E407" i="115"/>
  <c r="A407" i="115"/>
  <c r="K406" i="115"/>
  <c r="I406" i="115"/>
  <c r="H406" i="115"/>
  <c r="G406" i="115"/>
  <c r="F406" i="115"/>
  <c r="E406" i="115"/>
  <c r="A406" i="115"/>
  <c r="K405" i="115"/>
  <c r="I405" i="115"/>
  <c r="H405" i="115"/>
  <c r="G405" i="115"/>
  <c r="F405" i="115"/>
  <c r="E405" i="115"/>
  <c r="A405" i="115"/>
  <c r="K404" i="115"/>
  <c r="I404" i="115"/>
  <c r="H404" i="115"/>
  <c r="G404" i="115"/>
  <c r="F404" i="115"/>
  <c r="E404" i="115"/>
  <c r="A404" i="115"/>
  <c r="K403" i="115"/>
  <c r="I403" i="115"/>
  <c r="H403" i="115"/>
  <c r="G403" i="115"/>
  <c r="F403" i="115"/>
  <c r="E403" i="115"/>
  <c r="A403" i="115"/>
  <c r="K402" i="115"/>
  <c r="I402" i="115"/>
  <c r="H402" i="115"/>
  <c r="G402" i="115"/>
  <c r="F402" i="115"/>
  <c r="E402" i="115"/>
  <c r="A402" i="115"/>
  <c r="K401" i="115"/>
  <c r="I401" i="115"/>
  <c r="H401" i="115"/>
  <c r="G401" i="115"/>
  <c r="F401" i="115"/>
  <c r="E401" i="115"/>
  <c r="A401" i="115"/>
  <c r="K400" i="115"/>
  <c r="I400" i="115"/>
  <c r="H400" i="115"/>
  <c r="G400" i="115"/>
  <c r="F400" i="115"/>
  <c r="E400" i="115"/>
  <c r="A400" i="115"/>
  <c r="K399" i="115"/>
  <c r="I399" i="115"/>
  <c r="H399" i="115"/>
  <c r="G399" i="115"/>
  <c r="F399" i="115"/>
  <c r="E399" i="115"/>
  <c r="A399" i="115"/>
  <c r="K398" i="115"/>
  <c r="I398" i="115"/>
  <c r="H398" i="115"/>
  <c r="G398" i="115"/>
  <c r="F398" i="115"/>
  <c r="E398" i="115"/>
  <c r="A398" i="115"/>
  <c r="K397" i="115"/>
  <c r="I397" i="115"/>
  <c r="H397" i="115"/>
  <c r="G397" i="115"/>
  <c r="F397" i="115"/>
  <c r="E397" i="115"/>
  <c r="A397" i="115"/>
  <c r="K396" i="115"/>
  <c r="I396" i="115"/>
  <c r="H396" i="115"/>
  <c r="G396" i="115"/>
  <c r="F396" i="115"/>
  <c r="E396" i="115"/>
  <c r="A396" i="115"/>
  <c r="K395" i="115"/>
  <c r="I395" i="115"/>
  <c r="H395" i="115"/>
  <c r="G395" i="115"/>
  <c r="F395" i="115"/>
  <c r="E395" i="115"/>
  <c r="A395" i="115"/>
  <c r="K394" i="115"/>
  <c r="I394" i="115"/>
  <c r="H394" i="115"/>
  <c r="G394" i="115"/>
  <c r="F394" i="115"/>
  <c r="E394" i="115"/>
  <c r="A394" i="115"/>
  <c r="K393" i="115"/>
  <c r="I393" i="115"/>
  <c r="H393" i="115"/>
  <c r="G393" i="115"/>
  <c r="F393" i="115"/>
  <c r="E393" i="115"/>
  <c r="A393" i="115"/>
  <c r="K392" i="115"/>
  <c r="I392" i="115"/>
  <c r="H392" i="115"/>
  <c r="G392" i="115"/>
  <c r="F392" i="115"/>
  <c r="E392" i="115"/>
  <c r="A392" i="115"/>
  <c r="K391" i="115"/>
  <c r="I391" i="115"/>
  <c r="H391" i="115"/>
  <c r="G391" i="115"/>
  <c r="F391" i="115"/>
  <c r="E391" i="115"/>
  <c r="A391" i="115"/>
  <c r="K390" i="115"/>
  <c r="I390" i="115"/>
  <c r="H390" i="115"/>
  <c r="G390" i="115"/>
  <c r="F390" i="115"/>
  <c r="E390" i="115"/>
  <c r="A390" i="115"/>
  <c r="K389" i="115"/>
  <c r="I389" i="115"/>
  <c r="H389" i="115"/>
  <c r="G389" i="115"/>
  <c r="F389" i="115"/>
  <c r="E389" i="115"/>
  <c r="A389" i="115"/>
  <c r="K388" i="115"/>
  <c r="I388" i="115"/>
  <c r="H388" i="115"/>
  <c r="G388" i="115"/>
  <c r="F388" i="115"/>
  <c r="E388" i="115"/>
  <c r="A388" i="115"/>
  <c r="K387" i="115"/>
  <c r="I387" i="115"/>
  <c r="H387" i="115"/>
  <c r="G387" i="115"/>
  <c r="F387" i="115"/>
  <c r="E387" i="115"/>
  <c r="A387" i="115"/>
  <c r="K386" i="115"/>
  <c r="I386" i="115"/>
  <c r="H386" i="115"/>
  <c r="G386" i="115"/>
  <c r="F386" i="115"/>
  <c r="E386" i="115"/>
  <c r="A386" i="115"/>
  <c r="K385" i="115"/>
  <c r="I385" i="115"/>
  <c r="H385" i="115"/>
  <c r="G385" i="115"/>
  <c r="F385" i="115"/>
  <c r="E385" i="115"/>
  <c r="A385" i="115"/>
  <c r="K384" i="115"/>
  <c r="I384" i="115"/>
  <c r="H384" i="115"/>
  <c r="G384" i="115"/>
  <c r="F384" i="115"/>
  <c r="E384" i="115"/>
  <c r="A384" i="115"/>
  <c r="K383" i="115"/>
  <c r="I383" i="115"/>
  <c r="H383" i="115"/>
  <c r="G383" i="115"/>
  <c r="F383" i="115"/>
  <c r="E383" i="115"/>
  <c r="A383" i="115"/>
  <c r="K382" i="115"/>
  <c r="I382" i="115"/>
  <c r="H382" i="115"/>
  <c r="G382" i="115"/>
  <c r="F382" i="115"/>
  <c r="E382" i="115"/>
  <c r="A382" i="115"/>
  <c r="K381" i="115"/>
  <c r="I381" i="115"/>
  <c r="H381" i="115"/>
  <c r="G381" i="115"/>
  <c r="F381" i="115"/>
  <c r="E381" i="115"/>
  <c r="A381" i="115"/>
  <c r="K380" i="115"/>
  <c r="I380" i="115"/>
  <c r="H380" i="115"/>
  <c r="G380" i="115"/>
  <c r="F380" i="115"/>
  <c r="E380" i="115"/>
  <c r="A380" i="115"/>
  <c r="K379" i="115"/>
  <c r="I379" i="115"/>
  <c r="H379" i="115"/>
  <c r="G379" i="115"/>
  <c r="F379" i="115"/>
  <c r="E379" i="115"/>
  <c r="A379" i="115"/>
  <c r="K378" i="115"/>
  <c r="I378" i="115"/>
  <c r="H378" i="115"/>
  <c r="G378" i="115"/>
  <c r="F378" i="115"/>
  <c r="E378" i="115"/>
  <c r="A378" i="115"/>
  <c r="K377" i="115"/>
  <c r="I377" i="115"/>
  <c r="H377" i="115"/>
  <c r="G377" i="115"/>
  <c r="F377" i="115"/>
  <c r="E377" i="115"/>
  <c r="A377" i="115"/>
  <c r="K376" i="115"/>
  <c r="I376" i="115"/>
  <c r="H376" i="115"/>
  <c r="G376" i="115"/>
  <c r="F376" i="115"/>
  <c r="E376" i="115"/>
  <c r="A376" i="115"/>
  <c r="K375" i="115"/>
  <c r="I375" i="115"/>
  <c r="H375" i="115"/>
  <c r="G375" i="115"/>
  <c r="F375" i="115"/>
  <c r="E375" i="115"/>
  <c r="A375" i="115"/>
  <c r="K374" i="115"/>
  <c r="I374" i="115"/>
  <c r="H374" i="115"/>
  <c r="G374" i="115"/>
  <c r="F374" i="115"/>
  <c r="E374" i="115"/>
  <c r="A374" i="115"/>
  <c r="K373" i="115"/>
  <c r="I373" i="115"/>
  <c r="H373" i="115"/>
  <c r="G373" i="115"/>
  <c r="F373" i="115"/>
  <c r="E373" i="115"/>
  <c r="A373" i="115"/>
  <c r="K372" i="115"/>
  <c r="I372" i="115"/>
  <c r="H372" i="115"/>
  <c r="G372" i="115"/>
  <c r="F372" i="115"/>
  <c r="E372" i="115"/>
  <c r="A372" i="115"/>
  <c r="K371" i="115"/>
  <c r="I371" i="115"/>
  <c r="H371" i="115"/>
  <c r="G371" i="115"/>
  <c r="F371" i="115"/>
  <c r="E371" i="115"/>
  <c r="A371" i="115"/>
  <c r="K370" i="115"/>
  <c r="I370" i="115"/>
  <c r="H370" i="115"/>
  <c r="G370" i="115"/>
  <c r="F370" i="115"/>
  <c r="E370" i="115"/>
  <c r="A370" i="115"/>
  <c r="K369" i="115"/>
  <c r="I369" i="115"/>
  <c r="H369" i="115"/>
  <c r="G369" i="115"/>
  <c r="F369" i="115"/>
  <c r="E369" i="115"/>
  <c r="A369" i="115"/>
  <c r="K368" i="115"/>
  <c r="I368" i="115"/>
  <c r="H368" i="115"/>
  <c r="G368" i="115"/>
  <c r="F368" i="115"/>
  <c r="E368" i="115"/>
  <c r="A368" i="115"/>
  <c r="K367" i="115"/>
  <c r="I367" i="115"/>
  <c r="H367" i="115"/>
  <c r="G367" i="115"/>
  <c r="F367" i="115"/>
  <c r="E367" i="115"/>
  <c r="A367" i="115"/>
  <c r="K366" i="115"/>
  <c r="I366" i="115"/>
  <c r="H366" i="115"/>
  <c r="G366" i="115"/>
  <c r="F366" i="115"/>
  <c r="E366" i="115"/>
  <c r="A366" i="115"/>
  <c r="K365" i="115"/>
  <c r="I365" i="115"/>
  <c r="H365" i="115"/>
  <c r="G365" i="115"/>
  <c r="F365" i="115"/>
  <c r="E365" i="115"/>
  <c r="A365" i="115"/>
  <c r="K364" i="115"/>
  <c r="I364" i="115"/>
  <c r="H364" i="115"/>
  <c r="G364" i="115"/>
  <c r="F364" i="115"/>
  <c r="E364" i="115"/>
  <c r="A364" i="115"/>
  <c r="K363" i="115"/>
  <c r="I363" i="115"/>
  <c r="H363" i="115"/>
  <c r="G363" i="115"/>
  <c r="F363" i="115"/>
  <c r="E363" i="115"/>
  <c r="A363" i="115"/>
  <c r="K362" i="115"/>
  <c r="I362" i="115"/>
  <c r="H362" i="115"/>
  <c r="G362" i="115"/>
  <c r="F362" i="115"/>
  <c r="E362" i="115"/>
  <c r="A362" i="115"/>
  <c r="K361" i="115"/>
  <c r="I361" i="115"/>
  <c r="H361" i="115"/>
  <c r="G361" i="115"/>
  <c r="F361" i="115"/>
  <c r="E361" i="115"/>
  <c r="A361" i="115"/>
  <c r="K360" i="115"/>
  <c r="I360" i="115"/>
  <c r="H360" i="115"/>
  <c r="G360" i="115"/>
  <c r="F360" i="115"/>
  <c r="E360" i="115"/>
  <c r="A360" i="115"/>
  <c r="K359" i="115"/>
  <c r="I359" i="115"/>
  <c r="H359" i="115"/>
  <c r="G359" i="115"/>
  <c r="F359" i="115"/>
  <c r="E359" i="115"/>
  <c r="A359" i="115"/>
  <c r="K358" i="115"/>
  <c r="I358" i="115"/>
  <c r="H358" i="115"/>
  <c r="G358" i="115"/>
  <c r="F358" i="115"/>
  <c r="E358" i="115"/>
  <c r="A358" i="115"/>
  <c r="K357" i="115"/>
  <c r="I357" i="115"/>
  <c r="H357" i="115"/>
  <c r="G357" i="115"/>
  <c r="F357" i="115"/>
  <c r="E357" i="115"/>
  <c r="A357" i="115"/>
  <c r="K356" i="115"/>
  <c r="I356" i="115"/>
  <c r="H356" i="115"/>
  <c r="G356" i="115"/>
  <c r="F356" i="115"/>
  <c r="E356" i="115"/>
  <c r="A356" i="115"/>
  <c r="K355" i="115"/>
  <c r="I355" i="115"/>
  <c r="H355" i="115"/>
  <c r="G355" i="115"/>
  <c r="F355" i="115"/>
  <c r="E355" i="115"/>
  <c r="A355" i="115"/>
  <c r="K354" i="115"/>
  <c r="I354" i="115"/>
  <c r="H354" i="115"/>
  <c r="G354" i="115"/>
  <c r="F354" i="115"/>
  <c r="E354" i="115"/>
  <c r="A354" i="115"/>
  <c r="K353" i="115"/>
  <c r="I353" i="115"/>
  <c r="H353" i="115"/>
  <c r="G353" i="115"/>
  <c r="F353" i="115"/>
  <c r="E353" i="115"/>
  <c r="A353" i="115"/>
  <c r="K352" i="115"/>
  <c r="I352" i="115"/>
  <c r="H352" i="115"/>
  <c r="G352" i="115"/>
  <c r="F352" i="115"/>
  <c r="E352" i="115"/>
  <c r="A352" i="115"/>
  <c r="K351" i="115"/>
  <c r="I351" i="115"/>
  <c r="H351" i="115"/>
  <c r="G351" i="115"/>
  <c r="F351" i="115"/>
  <c r="E351" i="115"/>
  <c r="A351" i="115"/>
  <c r="K350" i="115"/>
  <c r="I350" i="115"/>
  <c r="H350" i="115"/>
  <c r="G350" i="115"/>
  <c r="F350" i="115"/>
  <c r="E350" i="115"/>
  <c r="A350" i="115"/>
  <c r="K349" i="115"/>
  <c r="I349" i="115"/>
  <c r="H349" i="115"/>
  <c r="G349" i="115"/>
  <c r="F349" i="115"/>
  <c r="E349" i="115"/>
  <c r="A349" i="115"/>
  <c r="K348" i="115"/>
  <c r="I348" i="115"/>
  <c r="H348" i="115"/>
  <c r="G348" i="115"/>
  <c r="F348" i="115"/>
  <c r="E348" i="115"/>
  <c r="A348" i="115"/>
  <c r="K347" i="115"/>
  <c r="I347" i="115"/>
  <c r="H347" i="115"/>
  <c r="G347" i="115"/>
  <c r="F347" i="115"/>
  <c r="E347" i="115"/>
  <c r="A347" i="115"/>
  <c r="K346" i="115"/>
  <c r="I346" i="115"/>
  <c r="H346" i="115"/>
  <c r="G346" i="115"/>
  <c r="F346" i="115"/>
  <c r="E346" i="115"/>
  <c r="A346" i="115"/>
  <c r="K345" i="115"/>
  <c r="I345" i="115"/>
  <c r="H345" i="115"/>
  <c r="G345" i="115"/>
  <c r="F345" i="115"/>
  <c r="E345" i="115"/>
  <c r="A345" i="115"/>
  <c r="K344" i="115"/>
  <c r="I344" i="115"/>
  <c r="H344" i="115"/>
  <c r="G344" i="115"/>
  <c r="F344" i="115"/>
  <c r="E344" i="115"/>
  <c r="A344" i="115"/>
  <c r="K343" i="115"/>
  <c r="I343" i="115"/>
  <c r="H343" i="115"/>
  <c r="G343" i="115"/>
  <c r="F343" i="115"/>
  <c r="E343" i="115"/>
  <c r="A343" i="115"/>
  <c r="K342" i="115"/>
  <c r="I342" i="115"/>
  <c r="H342" i="115"/>
  <c r="G342" i="115"/>
  <c r="F342" i="115"/>
  <c r="E342" i="115"/>
  <c r="A342" i="115"/>
  <c r="K341" i="115"/>
  <c r="I341" i="115"/>
  <c r="H341" i="115"/>
  <c r="G341" i="115"/>
  <c r="F341" i="115"/>
  <c r="E341" i="115"/>
  <c r="A341" i="115"/>
  <c r="K340" i="115"/>
  <c r="I340" i="115"/>
  <c r="H340" i="115"/>
  <c r="G340" i="115"/>
  <c r="F340" i="115"/>
  <c r="E340" i="115"/>
  <c r="A340" i="115"/>
  <c r="K339" i="115"/>
  <c r="I339" i="115"/>
  <c r="H339" i="115"/>
  <c r="G339" i="115"/>
  <c r="F339" i="115"/>
  <c r="E339" i="115"/>
  <c r="A339" i="115"/>
  <c r="K338" i="115"/>
  <c r="I338" i="115"/>
  <c r="H338" i="115"/>
  <c r="G338" i="115"/>
  <c r="F338" i="115"/>
  <c r="E338" i="115"/>
  <c r="A338" i="115"/>
  <c r="K337" i="115"/>
  <c r="I337" i="115"/>
  <c r="H337" i="115"/>
  <c r="G337" i="115"/>
  <c r="F337" i="115"/>
  <c r="E337" i="115"/>
  <c r="A337" i="115"/>
  <c r="K336" i="115"/>
  <c r="I336" i="115"/>
  <c r="H336" i="115"/>
  <c r="G336" i="115"/>
  <c r="F336" i="115"/>
  <c r="E336" i="115"/>
  <c r="A336" i="115"/>
  <c r="K335" i="115"/>
  <c r="I335" i="115"/>
  <c r="H335" i="115"/>
  <c r="G335" i="115"/>
  <c r="F335" i="115"/>
  <c r="E335" i="115"/>
  <c r="A335" i="115"/>
  <c r="K334" i="115"/>
  <c r="I334" i="115"/>
  <c r="H334" i="115"/>
  <c r="G334" i="115"/>
  <c r="F334" i="115"/>
  <c r="E334" i="115"/>
  <c r="A334" i="115"/>
  <c r="K333" i="115"/>
  <c r="I333" i="115"/>
  <c r="H333" i="115"/>
  <c r="G333" i="115"/>
  <c r="F333" i="115"/>
  <c r="E333" i="115"/>
  <c r="A333" i="115"/>
  <c r="K332" i="115"/>
  <c r="I332" i="115"/>
  <c r="H332" i="115"/>
  <c r="G332" i="115"/>
  <c r="F332" i="115"/>
  <c r="E332" i="115"/>
  <c r="A332" i="115"/>
  <c r="K331" i="115"/>
  <c r="I331" i="115"/>
  <c r="H331" i="115"/>
  <c r="G331" i="115"/>
  <c r="F331" i="115"/>
  <c r="E331" i="115"/>
  <c r="A331" i="115"/>
  <c r="K330" i="115"/>
  <c r="I330" i="115"/>
  <c r="H330" i="115"/>
  <c r="G330" i="115"/>
  <c r="F330" i="115"/>
  <c r="E330" i="115"/>
  <c r="A330" i="115"/>
  <c r="K329" i="115"/>
  <c r="I329" i="115"/>
  <c r="H329" i="115"/>
  <c r="G329" i="115"/>
  <c r="F329" i="115"/>
  <c r="E329" i="115"/>
  <c r="A329" i="115"/>
  <c r="K328" i="115"/>
  <c r="I328" i="115"/>
  <c r="H328" i="115"/>
  <c r="G328" i="115"/>
  <c r="F328" i="115"/>
  <c r="E328" i="115"/>
  <c r="A328" i="115"/>
  <c r="K327" i="115"/>
  <c r="I327" i="115"/>
  <c r="H327" i="115"/>
  <c r="G327" i="115"/>
  <c r="F327" i="115"/>
  <c r="E327" i="115"/>
  <c r="A327" i="115"/>
  <c r="K326" i="115"/>
  <c r="I326" i="115"/>
  <c r="H326" i="115"/>
  <c r="G326" i="115"/>
  <c r="F326" i="115"/>
  <c r="E326" i="115"/>
  <c r="A326" i="115"/>
  <c r="K325" i="115"/>
  <c r="I325" i="115"/>
  <c r="H325" i="115"/>
  <c r="G325" i="115"/>
  <c r="F325" i="115"/>
  <c r="E325" i="115"/>
  <c r="A325" i="115"/>
  <c r="K324" i="115"/>
  <c r="I324" i="115"/>
  <c r="H324" i="115"/>
  <c r="G324" i="115"/>
  <c r="F324" i="115"/>
  <c r="E324" i="115"/>
  <c r="A324" i="115"/>
  <c r="K323" i="115"/>
  <c r="I323" i="115"/>
  <c r="H323" i="115"/>
  <c r="G323" i="115"/>
  <c r="F323" i="115"/>
  <c r="E323" i="115"/>
  <c r="A323" i="115"/>
  <c r="K322" i="115"/>
  <c r="I322" i="115"/>
  <c r="H322" i="115"/>
  <c r="G322" i="115"/>
  <c r="F322" i="115"/>
  <c r="E322" i="115"/>
  <c r="A322" i="115"/>
  <c r="K321" i="115"/>
  <c r="I321" i="115"/>
  <c r="H321" i="115"/>
  <c r="G321" i="115"/>
  <c r="F321" i="115"/>
  <c r="E321" i="115"/>
  <c r="A321" i="115"/>
  <c r="K320" i="115"/>
  <c r="I320" i="115"/>
  <c r="H320" i="115"/>
  <c r="G320" i="115"/>
  <c r="F320" i="115"/>
  <c r="E320" i="115"/>
  <c r="A320" i="115"/>
  <c r="K319" i="115"/>
  <c r="I319" i="115"/>
  <c r="H319" i="115"/>
  <c r="G319" i="115"/>
  <c r="F319" i="115"/>
  <c r="E319" i="115"/>
  <c r="A319" i="115"/>
  <c r="K318" i="115"/>
  <c r="I318" i="115"/>
  <c r="H318" i="115"/>
  <c r="G318" i="115"/>
  <c r="F318" i="115"/>
  <c r="E318" i="115"/>
  <c r="A318" i="115"/>
  <c r="K317" i="115"/>
  <c r="I317" i="115"/>
  <c r="H317" i="115"/>
  <c r="G317" i="115"/>
  <c r="F317" i="115"/>
  <c r="E317" i="115"/>
  <c r="A317" i="115"/>
  <c r="K316" i="115"/>
  <c r="I316" i="115"/>
  <c r="H316" i="115"/>
  <c r="G316" i="115"/>
  <c r="F316" i="115"/>
  <c r="E316" i="115"/>
  <c r="A316" i="115"/>
  <c r="K315" i="115"/>
  <c r="I315" i="115"/>
  <c r="H315" i="115"/>
  <c r="G315" i="115"/>
  <c r="F315" i="115"/>
  <c r="E315" i="115"/>
  <c r="A315" i="115"/>
  <c r="K314" i="115"/>
  <c r="I314" i="115"/>
  <c r="H314" i="115"/>
  <c r="G314" i="115"/>
  <c r="F314" i="115"/>
  <c r="E314" i="115"/>
  <c r="A314" i="115"/>
  <c r="K313" i="115"/>
  <c r="I313" i="115"/>
  <c r="H313" i="115"/>
  <c r="G313" i="115"/>
  <c r="F313" i="115"/>
  <c r="E313" i="115"/>
  <c r="A313" i="115"/>
  <c r="K312" i="115"/>
  <c r="I312" i="115"/>
  <c r="H312" i="115"/>
  <c r="G312" i="115"/>
  <c r="F312" i="115"/>
  <c r="E312" i="115"/>
  <c r="A312" i="115"/>
  <c r="K311" i="115"/>
  <c r="I311" i="115"/>
  <c r="H311" i="115"/>
  <c r="G311" i="115"/>
  <c r="F311" i="115"/>
  <c r="E311" i="115"/>
  <c r="A311" i="115"/>
  <c r="K310" i="115"/>
  <c r="I310" i="115"/>
  <c r="H310" i="115"/>
  <c r="G310" i="115"/>
  <c r="F310" i="115"/>
  <c r="E310" i="115"/>
  <c r="A310" i="115"/>
  <c r="K309" i="115"/>
  <c r="I309" i="115"/>
  <c r="H309" i="115"/>
  <c r="G309" i="115"/>
  <c r="F309" i="115"/>
  <c r="E309" i="115"/>
  <c r="A309" i="115"/>
  <c r="K308" i="115"/>
  <c r="I308" i="115"/>
  <c r="H308" i="115"/>
  <c r="G308" i="115"/>
  <c r="F308" i="115"/>
  <c r="E308" i="115"/>
  <c r="A308" i="115"/>
  <c r="K307" i="115"/>
  <c r="I307" i="115"/>
  <c r="H307" i="115"/>
  <c r="G307" i="115"/>
  <c r="F307" i="115"/>
  <c r="E307" i="115"/>
  <c r="A307" i="115"/>
  <c r="K306" i="115"/>
  <c r="I306" i="115"/>
  <c r="H306" i="115"/>
  <c r="G306" i="115"/>
  <c r="F306" i="115"/>
  <c r="E306" i="115"/>
  <c r="A306" i="115"/>
  <c r="K305" i="115"/>
  <c r="I305" i="115"/>
  <c r="H305" i="115"/>
  <c r="G305" i="115"/>
  <c r="F305" i="115"/>
  <c r="E305" i="115"/>
  <c r="A305" i="115"/>
  <c r="K304" i="115"/>
  <c r="I304" i="115"/>
  <c r="H304" i="115"/>
  <c r="G304" i="115"/>
  <c r="F304" i="115"/>
  <c r="E304" i="115"/>
  <c r="A304" i="115"/>
  <c r="K303" i="115"/>
  <c r="I303" i="115"/>
  <c r="H303" i="115"/>
  <c r="G303" i="115"/>
  <c r="F303" i="115"/>
  <c r="E303" i="115"/>
  <c r="A303" i="115"/>
  <c r="K302" i="115"/>
  <c r="I302" i="115"/>
  <c r="H302" i="115"/>
  <c r="G302" i="115"/>
  <c r="F302" i="115"/>
  <c r="E302" i="115"/>
  <c r="A302" i="115"/>
  <c r="K301" i="115"/>
  <c r="I301" i="115"/>
  <c r="H301" i="115"/>
  <c r="G301" i="115"/>
  <c r="F301" i="115"/>
  <c r="E301" i="115"/>
  <c r="A301" i="115"/>
  <c r="K300" i="115"/>
  <c r="I300" i="115"/>
  <c r="H300" i="115"/>
  <c r="G300" i="115"/>
  <c r="F300" i="115"/>
  <c r="E300" i="115"/>
  <c r="A300" i="115"/>
  <c r="K299" i="115"/>
  <c r="I299" i="115"/>
  <c r="H299" i="115"/>
  <c r="G299" i="115"/>
  <c r="F299" i="115"/>
  <c r="E299" i="115"/>
  <c r="A299" i="115"/>
  <c r="K298" i="115"/>
  <c r="I298" i="115"/>
  <c r="H298" i="115"/>
  <c r="G298" i="115"/>
  <c r="F298" i="115"/>
  <c r="E298" i="115"/>
  <c r="A298" i="115"/>
  <c r="K297" i="115"/>
  <c r="I297" i="115"/>
  <c r="H297" i="115"/>
  <c r="G297" i="115"/>
  <c r="F297" i="115"/>
  <c r="E297" i="115"/>
  <c r="A297" i="115"/>
  <c r="K296" i="115"/>
  <c r="I296" i="115"/>
  <c r="H296" i="115"/>
  <c r="G296" i="115"/>
  <c r="F296" i="115"/>
  <c r="E296" i="115"/>
  <c r="A296" i="115"/>
  <c r="K295" i="115"/>
  <c r="I295" i="115"/>
  <c r="H295" i="115"/>
  <c r="G295" i="115"/>
  <c r="F295" i="115"/>
  <c r="E295" i="115"/>
  <c r="A295" i="115"/>
  <c r="K294" i="115"/>
  <c r="I294" i="115"/>
  <c r="H294" i="115"/>
  <c r="G294" i="115"/>
  <c r="F294" i="115"/>
  <c r="E294" i="115"/>
  <c r="A294" i="115"/>
  <c r="K293" i="115"/>
  <c r="I293" i="115"/>
  <c r="H293" i="115"/>
  <c r="G293" i="115"/>
  <c r="F293" i="115"/>
  <c r="E293" i="115"/>
  <c r="A293" i="115"/>
  <c r="K292" i="115"/>
  <c r="I292" i="115"/>
  <c r="H292" i="115"/>
  <c r="G292" i="115"/>
  <c r="F292" i="115"/>
  <c r="E292" i="115"/>
  <c r="A292" i="115"/>
  <c r="K291" i="115"/>
  <c r="I291" i="115"/>
  <c r="H291" i="115"/>
  <c r="G291" i="115"/>
  <c r="F291" i="115"/>
  <c r="E291" i="115"/>
  <c r="A291" i="115"/>
  <c r="K290" i="115"/>
  <c r="I290" i="115"/>
  <c r="H290" i="115"/>
  <c r="G290" i="115"/>
  <c r="F290" i="115"/>
  <c r="E290" i="115"/>
  <c r="A290" i="115"/>
  <c r="K289" i="115"/>
  <c r="I289" i="115"/>
  <c r="H289" i="115"/>
  <c r="G289" i="115"/>
  <c r="F289" i="115"/>
  <c r="E289" i="115"/>
  <c r="A289" i="115"/>
  <c r="K288" i="115"/>
  <c r="I288" i="115"/>
  <c r="H288" i="115"/>
  <c r="G288" i="115"/>
  <c r="F288" i="115"/>
  <c r="E288" i="115"/>
  <c r="A288" i="115"/>
  <c r="K287" i="115"/>
  <c r="I287" i="115"/>
  <c r="H287" i="115"/>
  <c r="G287" i="115"/>
  <c r="F287" i="115"/>
  <c r="E287" i="115"/>
  <c r="A287" i="115"/>
  <c r="K286" i="115"/>
  <c r="I286" i="115"/>
  <c r="H286" i="115"/>
  <c r="G286" i="115"/>
  <c r="F286" i="115"/>
  <c r="E286" i="115"/>
  <c r="A286" i="115"/>
  <c r="K285" i="115"/>
  <c r="I285" i="115"/>
  <c r="H285" i="115"/>
  <c r="G285" i="115"/>
  <c r="F285" i="115"/>
  <c r="E285" i="115"/>
  <c r="A285" i="115"/>
  <c r="K284" i="115"/>
  <c r="I284" i="115"/>
  <c r="H284" i="115"/>
  <c r="G284" i="115"/>
  <c r="F284" i="115"/>
  <c r="E284" i="115"/>
  <c r="A284" i="115"/>
  <c r="K283" i="115"/>
  <c r="I283" i="115"/>
  <c r="H283" i="115"/>
  <c r="G283" i="115"/>
  <c r="F283" i="115"/>
  <c r="E283" i="115"/>
  <c r="A283" i="115"/>
  <c r="K282" i="115"/>
  <c r="I282" i="115"/>
  <c r="H282" i="115"/>
  <c r="G282" i="115"/>
  <c r="F282" i="115"/>
  <c r="E282" i="115"/>
  <c r="A282" i="115"/>
  <c r="K281" i="115"/>
  <c r="I281" i="115"/>
  <c r="H281" i="115"/>
  <c r="G281" i="115"/>
  <c r="F281" i="115"/>
  <c r="E281" i="115"/>
  <c r="A281" i="115"/>
  <c r="K280" i="115"/>
  <c r="I280" i="115"/>
  <c r="H280" i="115"/>
  <c r="G280" i="115"/>
  <c r="F280" i="115"/>
  <c r="E280" i="115"/>
  <c r="A280" i="115"/>
  <c r="K279" i="115"/>
  <c r="I279" i="115"/>
  <c r="H279" i="115"/>
  <c r="G279" i="115"/>
  <c r="F279" i="115"/>
  <c r="E279" i="115"/>
  <c r="A279" i="115"/>
  <c r="K278" i="115"/>
  <c r="I278" i="115"/>
  <c r="H278" i="115"/>
  <c r="G278" i="115"/>
  <c r="F278" i="115"/>
  <c r="E278" i="115"/>
  <c r="A278" i="115"/>
  <c r="K277" i="115"/>
  <c r="I277" i="115"/>
  <c r="H277" i="115"/>
  <c r="G277" i="115"/>
  <c r="F277" i="115"/>
  <c r="E277" i="115"/>
  <c r="A277" i="115"/>
  <c r="K276" i="115"/>
  <c r="I276" i="115"/>
  <c r="H276" i="115"/>
  <c r="G276" i="115"/>
  <c r="F276" i="115"/>
  <c r="E276" i="115"/>
  <c r="A276" i="115"/>
  <c r="K275" i="115"/>
  <c r="I275" i="115"/>
  <c r="H275" i="115"/>
  <c r="G275" i="115"/>
  <c r="F275" i="115"/>
  <c r="E275" i="115"/>
  <c r="A275" i="115"/>
  <c r="K274" i="115"/>
  <c r="I274" i="115"/>
  <c r="H274" i="115"/>
  <c r="G274" i="115"/>
  <c r="F274" i="115"/>
  <c r="E274" i="115"/>
  <c r="A274" i="115"/>
  <c r="K273" i="115"/>
  <c r="I273" i="115"/>
  <c r="H273" i="115"/>
  <c r="G273" i="115"/>
  <c r="F273" i="115"/>
  <c r="E273" i="115"/>
  <c r="A273" i="115"/>
  <c r="K272" i="115"/>
  <c r="I272" i="115"/>
  <c r="H272" i="115"/>
  <c r="G272" i="115"/>
  <c r="F272" i="115"/>
  <c r="E272" i="115"/>
  <c r="A272" i="115"/>
  <c r="K271" i="115"/>
  <c r="I271" i="115"/>
  <c r="H271" i="115"/>
  <c r="G271" i="115"/>
  <c r="F271" i="115"/>
  <c r="E271" i="115"/>
  <c r="A271" i="115"/>
  <c r="K270" i="115"/>
  <c r="I270" i="115"/>
  <c r="H270" i="115"/>
  <c r="G270" i="115"/>
  <c r="F270" i="115"/>
  <c r="E270" i="115"/>
  <c r="A270" i="115"/>
  <c r="K269" i="115"/>
  <c r="I269" i="115"/>
  <c r="H269" i="115"/>
  <c r="G269" i="115"/>
  <c r="F269" i="115"/>
  <c r="E269" i="115"/>
  <c r="A269" i="115"/>
  <c r="K268" i="115"/>
  <c r="I268" i="115"/>
  <c r="H268" i="115"/>
  <c r="G268" i="115"/>
  <c r="F268" i="115"/>
  <c r="E268" i="115"/>
  <c r="A268" i="115"/>
  <c r="K267" i="115"/>
  <c r="I267" i="115"/>
  <c r="H267" i="115"/>
  <c r="G267" i="115"/>
  <c r="F267" i="115"/>
  <c r="E267" i="115"/>
  <c r="A267" i="115"/>
  <c r="K266" i="115"/>
  <c r="I266" i="115"/>
  <c r="H266" i="115"/>
  <c r="G266" i="115"/>
  <c r="F266" i="115"/>
  <c r="E266" i="115"/>
  <c r="A266" i="115"/>
  <c r="K265" i="115"/>
  <c r="I265" i="115"/>
  <c r="H265" i="115"/>
  <c r="G265" i="115"/>
  <c r="F265" i="115"/>
  <c r="E265" i="115"/>
  <c r="A265" i="115"/>
  <c r="K264" i="115"/>
  <c r="I264" i="115"/>
  <c r="H264" i="115"/>
  <c r="G264" i="115"/>
  <c r="F264" i="115"/>
  <c r="E264" i="115"/>
  <c r="A264" i="115"/>
  <c r="K263" i="115"/>
  <c r="I263" i="115"/>
  <c r="H263" i="115"/>
  <c r="G263" i="115"/>
  <c r="F263" i="115"/>
  <c r="E263" i="115"/>
  <c r="A263" i="115"/>
  <c r="K262" i="115"/>
  <c r="I262" i="115"/>
  <c r="H262" i="115"/>
  <c r="G262" i="115"/>
  <c r="F262" i="115"/>
  <c r="E262" i="115"/>
  <c r="A262" i="115"/>
  <c r="K261" i="115"/>
  <c r="I261" i="115"/>
  <c r="H261" i="115"/>
  <c r="G261" i="115"/>
  <c r="F261" i="115"/>
  <c r="E261" i="115"/>
  <c r="A261" i="115"/>
  <c r="K260" i="115"/>
  <c r="I260" i="115"/>
  <c r="H260" i="115"/>
  <c r="G260" i="115"/>
  <c r="F260" i="115"/>
  <c r="E260" i="115"/>
  <c r="A260" i="115"/>
  <c r="K259" i="115"/>
  <c r="I259" i="115"/>
  <c r="H259" i="115"/>
  <c r="G259" i="115"/>
  <c r="F259" i="115"/>
  <c r="E259" i="115"/>
  <c r="A259" i="115"/>
  <c r="K258" i="115"/>
  <c r="I258" i="115"/>
  <c r="H258" i="115"/>
  <c r="G258" i="115"/>
  <c r="F258" i="115"/>
  <c r="E258" i="115"/>
  <c r="A258" i="115"/>
  <c r="K257" i="115"/>
  <c r="I257" i="115"/>
  <c r="H257" i="115"/>
  <c r="G257" i="115"/>
  <c r="F257" i="115"/>
  <c r="E257" i="115"/>
  <c r="A257" i="115"/>
  <c r="K256" i="115"/>
  <c r="I256" i="115"/>
  <c r="H256" i="115"/>
  <c r="G256" i="115"/>
  <c r="F256" i="115"/>
  <c r="E256" i="115"/>
  <c r="A256" i="115"/>
  <c r="K255" i="115"/>
  <c r="I255" i="115"/>
  <c r="H255" i="115"/>
  <c r="G255" i="115"/>
  <c r="F255" i="115"/>
  <c r="E255" i="115"/>
  <c r="A255" i="115"/>
  <c r="K254" i="115"/>
  <c r="I254" i="115"/>
  <c r="H254" i="115"/>
  <c r="G254" i="115"/>
  <c r="F254" i="115"/>
  <c r="E254" i="115"/>
  <c r="A254" i="115"/>
  <c r="K253" i="115"/>
  <c r="I253" i="115"/>
  <c r="H253" i="115"/>
  <c r="G253" i="115"/>
  <c r="F253" i="115"/>
  <c r="E253" i="115"/>
  <c r="A253" i="115"/>
  <c r="K252" i="115"/>
  <c r="I252" i="115"/>
  <c r="H252" i="115"/>
  <c r="G252" i="115"/>
  <c r="F252" i="115"/>
  <c r="E252" i="115"/>
  <c r="A252" i="115"/>
  <c r="K251" i="115"/>
  <c r="I251" i="115"/>
  <c r="H251" i="115"/>
  <c r="G251" i="115"/>
  <c r="F251" i="115"/>
  <c r="E251" i="115"/>
  <c r="A251" i="115"/>
  <c r="K250" i="115"/>
  <c r="I250" i="115"/>
  <c r="H250" i="115"/>
  <c r="G250" i="115"/>
  <c r="F250" i="115"/>
  <c r="E250" i="115"/>
  <c r="A250" i="115"/>
  <c r="K249" i="115"/>
  <c r="I249" i="115"/>
  <c r="H249" i="115"/>
  <c r="G249" i="115"/>
  <c r="F249" i="115"/>
  <c r="E249" i="115"/>
  <c r="A249" i="115"/>
  <c r="K248" i="115"/>
  <c r="I248" i="115"/>
  <c r="H248" i="115"/>
  <c r="G248" i="115"/>
  <c r="F248" i="115"/>
  <c r="E248" i="115"/>
  <c r="A248" i="115"/>
  <c r="K247" i="115"/>
  <c r="I247" i="115"/>
  <c r="H247" i="115"/>
  <c r="G247" i="115"/>
  <c r="F247" i="115"/>
  <c r="E247" i="115"/>
  <c r="A247" i="115"/>
  <c r="K246" i="115"/>
  <c r="I246" i="115"/>
  <c r="H246" i="115"/>
  <c r="G246" i="115"/>
  <c r="F246" i="115"/>
  <c r="E246" i="115"/>
  <c r="A246" i="115"/>
  <c r="K245" i="115"/>
  <c r="I245" i="115"/>
  <c r="H245" i="115"/>
  <c r="G245" i="115"/>
  <c r="F245" i="115"/>
  <c r="E245" i="115"/>
  <c r="A245" i="115"/>
  <c r="K244" i="115"/>
  <c r="I244" i="115"/>
  <c r="H244" i="115"/>
  <c r="G244" i="115"/>
  <c r="F244" i="115"/>
  <c r="E244" i="115"/>
  <c r="A244" i="115"/>
  <c r="K243" i="115"/>
  <c r="I243" i="115"/>
  <c r="H243" i="115"/>
  <c r="G243" i="115"/>
  <c r="F243" i="115"/>
  <c r="E243" i="115"/>
  <c r="A243" i="115"/>
  <c r="K242" i="115"/>
  <c r="I242" i="115"/>
  <c r="H242" i="115"/>
  <c r="G242" i="115"/>
  <c r="F242" i="115"/>
  <c r="E242" i="115"/>
  <c r="A242" i="115"/>
  <c r="K241" i="115"/>
  <c r="I241" i="115"/>
  <c r="H241" i="115"/>
  <c r="G241" i="115"/>
  <c r="F241" i="115"/>
  <c r="E241" i="115"/>
  <c r="A241" i="115"/>
  <c r="K240" i="115"/>
  <c r="I240" i="115"/>
  <c r="H240" i="115"/>
  <c r="G240" i="115"/>
  <c r="F240" i="115"/>
  <c r="E240" i="115"/>
  <c r="A240" i="115"/>
  <c r="K239" i="115"/>
  <c r="I239" i="115"/>
  <c r="H239" i="115"/>
  <c r="G239" i="115"/>
  <c r="F239" i="115"/>
  <c r="E239" i="115"/>
  <c r="A239" i="115"/>
  <c r="K238" i="115"/>
  <c r="I238" i="115"/>
  <c r="H238" i="115"/>
  <c r="G238" i="115"/>
  <c r="F238" i="115"/>
  <c r="E238" i="115"/>
  <c r="A238" i="115"/>
  <c r="K237" i="115"/>
  <c r="I237" i="115"/>
  <c r="H237" i="115"/>
  <c r="G237" i="115"/>
  <c r="F237" i="115"/>
  <c r="E237" i="115"/>
  <c r="A237" i="115"/>
  <c r="K236" i="115"/>
  <c r="I236" i="115"/>
  <c r="H236" i="115"/>
  <c r="G236" i="115"/>
  <c r="F236" i="115"/>
  <c r="E236" i="115"/>
  <c r="A236" i="115"/>
  <c r="K235" i="115"/>
  <c r="I235" i="115"/>
  <c r="H235" i="115"/>
  <c r="G235" i="115"/>
  <c r="F235" i="115"/>
  <c r="E235" i="115"/>
  <c r="A235" i="115"/>
  <c r="K234" i="115"/>
  <c r="I234" i="115"/>
  <c r="H234" i="115"/>
  <c r="G234" i="115"/>
  <c r="F234" i="115"/>
  <c r="E234" i="115"/>
  <c r="A234" i="115"/>
  <c r="K233" i="115"/>
  <c r="I233" i="115"/>
  <c r="H233" i="115"/>
  <c r="G233" i="115"/>
  <c r="F233" i="115"/>
  <c r="E233" i="115"/>
  <c r="A233" i="115"/>
  <c r="K232" i="115"/>
  <c r="I232" i="115"/>
  <c r="H232" i="115"/>
  <c r="G232" i="115"/>
  <c r="F232" i="115"/>
  <c r="E232" i="115"/>
  <c r="A232" i="115"/>
  <c r="K231" i="115"/>
  <c r="I231" i="115"/>
  <c r="H231" i="115"/>
  <c r="G231" i="115"/>
  <c r="F231" i="115"/>
  <c r="E231" i="115"/>
  <c r="A231" i="115"/>
  <c r="K230" i="115"/>
  <c r="I230" i="115"/>
  <c r="H230" i="115"/>
  <c r="G230" i="115"/>
  <c r="F230" i="115"/>
  <c r="E230" i="115"/>
  <c r="A230" i="115"/>
  <c r="K229" i="115"/>
  <c r="I229" i="115"/>
  <c r="H229" i="115"/>
  <c r="G229" i="115"/>
  <c r="F229" i="115"/>
  <c r="E229" i="115"/>
  <c r="A229" i="115"/>
  <c r="K228" i="115"/>
  <c r="I228" i="115"/>
  <c r="H228" i="115"/>
  <c r="G228" i="115"/>
  <c r="F228" i="115"/>
  <c r="E228" i="115"/>
  <c r="A228" i="115"/>
  <c r="K227" i="115"/>
  <c r="I227" i="115"/>
  <c r="H227" i="115"/>
  <c r="G227" i="115"/>
  <c r="F227" i="115"/>
  <c r="E227" i="115"/>
  <c r="A227" i="115"/>
  <c r="K226" i="115"/>
  <c r="I226" i="115"/>
  <c r="H226" i="115"/>
  <c r="G226" i="115"/>
  <c r="F226" i="115"/>
  <c r="E226" i="115"/>
  <c r="A226" i="115"/>
  <c r="K225" i="115"/>
  <c r="I225" i="115"/>
  <c r="H225" i="115"/>
  <c r="G225" i="115"/>
  <c r="F225" i="115"/>
  <c r="E225" i="115"/>
  <c r="A225" i="115"/>
  <c r="K224" i="115"/>
  <c r="I224" i="115"/>
  <c r="H224" i="115"/>
  <c r="G224" i="115"/>
  <c r="F224" i="115"/>
  <c r="E224" i="115"/>
  <c r="A224" i="115"/>
  <c r="K223" i="115"/>
  <c r="I223" i="115"/>
  <c r="H223" i="115"/>
  <c r="G223" i="115"/>
  <c r="F223" i="115"/>
  <c r="E223" i="115"/>
  <c r="A223" i="115"/>
  <c r="K222" i="115"/>
  <c r="I222" i="115"/>
  <c r="H222" i="115"/>
  <c r="G222" i="115"/>
  <c r="F222" i="115"/>
  <c r="E222" i="115"/>
  <c r="A222" i="115"/>
  <c r="K221" i="115"/>
  <c r="I221" i="115"/>
  <c r="H221" i="115"/>
  <c r="G221" i="115"/>
  <c r="F221" i="115"/>
  <c r="E221" i="115"/>
  <c r="A221" i="115"/>
  <c r="K220" i="115"/>
  <c r="I220" i="115"/>
  <c r="H220" i="115"/>
  <c r="G220" i="115"/>
  <c r="F220" i="115"/>
  <c r="E220" i="115"/>
  <c r="A220" i="115"/>
  <c r="K219" i="115"/>
  <c r="I219" i="115"/>
  <c r="H219" i="115"/>
  <c r="G219" i="115"/>
  <c r="F219" i="115"/>
  <c r="E219" i="115"/>
  <c r="A219" i="115"/>
  <c r="K218" i="115"/>
  <c r="I218" i="115"/>
  <c r="H218" i="115"/>
  <c r="G218" i="115"/>
  <c r="F218" i="115"/>
  <c r="E218" i="115"/>
  <c r="A218" i="115"/>
  <c r="K217" i="115"/>
  <c r="I217" i="115"/>
  <c r="H217" i="115"/>
  <c r="G217" i="115"/>
  <c r="F217" i="115"/>
  <c r="E217" i="115"/>
  <c r="A217" i="115"/>
  <c r="K216" i="115"/>
  <c r="I216" i="115"/>
  <c r="H216" i="115"/>
  <c r="G216" i="115"/>
  <c r="F216" i="115"/>
  <c r="E216" i="115"/>
  <c r="A216" i="115"/>
  <c r="K215" i="115"/>
  <c r="I215" i="115"/>
  <c r="H215" i="115"/>
  <c r="G215" i="115"/>
  <c r="F215" i="115"/>
  <c r="E215" i="115"/>
  <c r="A215" i="115"/>
  <c r="K214" i="115"/>
  <c r="I214" i="115"/>
  <c r="H214" i="115"/>
  <c r="G214" i="115"/>
  <c r="F214" i="115"/>
  <c r="E214" i="115"/>
  <c r="A214" i="115"/>
  <c r="K213" i="115"/>
  <c r="I213" i="115"/>
  <c r="H213" i="115"/>
  <c r="G213" i="115"/>
  <c r="F213" i="115"/>
  <c r="E213" i="115"/>
  <c r="A213" i="115"/>
  <c r="K212" i="115"/>
  <c r="I212" i="115"/>
  <c r="H212" i="115"/>
  <c r="G212" i="115"/>
  <c r="F212" i="115"/>
  <c r="E212" i="115"/>
  <c r="A212" i="115"/>
  <c r="K211" i="115"/>
  <c r="I211" i="115"/>
  <c r="H211" i="115"/>
  <c r="G211" i="115"/>
  <c r="F211" i="115"/>
  <c r="E211" i="115"/>
  <c r="A211" i="115"/>
  <c r="K210" i="115"/>
  <c r="I210" i="115"/>
  <c r="H210" i="115"/>
  <c r="G210" i="115"/>
  <c r="F210" i="115"/>
  <c r="E210" i="115"/>
  <c r="A210" i="115"/>
  <c r="K209" i="115"/>
  <c r="I209" i="115"/>
  <c r="H209" i="115"/>
  <c r="G209" i="115"/>
  <c r="F209" i="115"/>
  <c r="E209" i="115"/>
  <c r="A209" i="115"/>
  <c r="K208" i="115"/>
  <c r="I208" i="115"/>
  <c r="H208" i="115"/>
  <c r="G208" i="115"/>
  <c r="F208" i="115"/>
  <c r="E208" i="115"/>
  <c r="A208" i="115"/>
  <c r="K207" i="115"/>
  <c r="I207" i="115"/>
  <c r="H207" i="115"/>
  <c r="G207" i="115"/>
  <c r="F207" i="115"/>
  <c r="E207" i="115"/>
  <c r="A207" i="115"/>
  <c r="K206" i="115"/>
  <c r="I206" i="115"/>
  <c r="H206" i="115"/>
  <c r="G206" i="115"/>
  <c r="F206" i="115"/>
  <c r="E206" i="115"/>
  <c r="A206" i="115"/>
  <c r="K205" i="115"/>
  <c r="I205" i="115"/>
  <c r="H205" i="115"/>
  <c r="G205" i="115"/>
  <c r="F205" i="115"/>
  <c r="E205" i="115"/>
  <c r="A205" i="115"/>
  <c r="K204" i="115"/>
  <c r="I204" i="115"/>
  <c r="H204" i="115"/>
  <c r="G204" i="115"/>
  <c r="F204" i="115"/>
  <c r="E204" i="115"/>
  <c r="A204" i="115"/>
  <c r="K203" i="115"/>
  <c r="I203" i="115"/>
  <c r="H203" i="115"/>
  <c r="G203" i="115"/>
  <c r="F203" i="115"/>
  <c r="E203" i="115"/>
  <c r="A203" i="115"/>
  <c r="K202" i="115"/>
  <c r="I202" i="115"/>
  <c r="H202" i="115"/>
  <c r="G202" i="115"/>
  <c r="F202" i="115"/>
  <c r="E202" i="115"/>
  <c r="A202" i="115"/>
  <c r="K201" i="115"/>
  <c r="I201" i="115"/>
  <c r="H201" i="115"/>
  <c r="G201" i="115"/>
  <c r="F201" i="115"/>
  <c r="E201" i="115"/>
  <c r="A201" i="115"/>
  <c r="K200" i="115"/>
  <c r="I200" i="115"/>
  <c r="H200" i="115"/>
  <c r="G200" i="115"/>
  <c r="F200" i="115"/>
  <c r="E200" i="115"/>
  <c r="A200" i="115"/>
  <c r="K199" i="115"/>
  <c r="I199" i="115"/>
  <c r="H199" i="115"/>
  <c r="G199" i="115"/>
  <c r="F199" i="115"/>
  <c r="E199" i="115"/>
  <c r="A199" i="115"/>
  <c r="K198" i="115"/>
  <c r="I198" i="115"/>
  <c r="H198" i="115"/>
  <c r="G198" i="115"/>
  <c r="F198" i="115"/>
  <c r="E198" i="115"/>
  <c r="A198" i="115"/>
  <c r="K197" i="115"/>
  <c r="I197" i="115"/>
  <c r="H197" i="115"/>
  <c r="G197" i="115"/>
  <c r="F197" i="115"/>
  <c r="E197" i="115"/>
  <c r="A197" i="115"/>
  <c r="K196" i="115"/>
  <c r="I196" i="115"/>
  <c r="H196" i="115"/>
  <c r="G196" i="115"/>
  <c r="F196" i="115"/>
  <c r="E196" i="115"/>
  <c r="A196" i="115"/>
  <c r="K195" i="115"/>
  <c r="I195" i="115"/>
  <c r="H195" i="115"/>
  <c r="G195" i="115"/>
  <c r="F195" i="115"/>
  <c r="E195" i="115"/>
  <c r="A195" i="115"/>
  <c r="K194" i="115"/>
  <c r="I194" i="115"/>
  <c r="H194" i="115"/>
  <c r="G194" i="115"/>
  <c r="F194" i="115"/>
  <c r="E194" i="115"/>
  <c r="A194" i="115"/>
  <c r="K193" i="115"/>
  <c r="I193" i="115"/>
  <c r="H193" i="115"/>
  <c r="G193" i="115"/>
  <c r="F193" i="115"/>
  <c r="E193" i="115"/>
  <c r="A193" i="115"/>
  <c r="K192" i="115"/>
  <c r="I192" i="115"/>
  <c r="H192" i="115"/>
  <c r="G192" i="115"/>
  <c r="F192" i="115"/>
  <c r="E192" i="115"/>
  <c r="A192" i="115"/>
  <c r="K191" i="115"/>
  <c r="I191" i="115"/>
  <c r="H191" i="115"/>
  <c r="G191" i="115"/>
  <c r="F191" i="115"/>
  <c r="E191" i="115"/>
  <c r="A191" i="115"/>
  <c r="K190" i="115"/>
  <c r="I190" i="115"/>
  <c r="H190" i="115"/>
  <c r="G190" i="115"/>
  <c r="F190" i="115"/>
  <c r="E190" i="115"/>
  <c r="A190" i="115"/>
  <c r="K189" i="115"/>
  <c r="I189" i="115"/>
  <c r="H189" i="115"/>
  <c r="G189" i="115"/>
  <c r="F189" i="115"/>
  <c r="E189" i="115"/>
  <c r="A189" i="115"/>
  <c r="K188" i="115"/>
  <c r="I188" i="115"/>
  <c r="H188" i="115"/>
  <c r="G188" i="115"/>
  <c r="F188" i="115"/>
  <c r="E188" i="115"/>
  <c r="A188" i="115"/>
  <c r="K187" i="115"/>
  <c r="I187" i="115"/>
  <c r="H187" i="115"/>
  <c r="G187" i="115"/>
  <c r="F187" i="115"/>
  <c r="E187" i="115"/>
  <c r="A187" i="115"/>
  <c r="K186" i="115"/>
  <c r="I186" i="115"/>
  <c r="H186" i="115"/>
  <c r="G186" i="115"/>
  <c r="F186" i="115"/>
  <c r="E186" i="115"/>
  <c r="A186" i="115"/>
  <c r="K185" i="115"/>
  <c r="I185" i="115"/>
  <c r="H185" i="115"/>
  <c r="G185" i="115"/>
  <c r="F185" i="115"/>
  <c r="E185" i="115"/>
  <c r="A185" i="115"/>
  <c r="K184" i="115"/>
  <c r="I184" i="115"/>
  <c r="H184" i="115"/>
  <c r="G184" i="115"/>
  <c r="F184" i="115"/>
  <c r="E184" i="115"/>
  <c r="A184" i="115"/>
  <c r="K183" i="115"/>
  <c r="I183" i="115"/>
  <c r="H183" i="115"/>
  <c r="G183" i="115"/>
  <c r="F183" i="115"/>
  <c r="E183" i="115"/>
  <c r="A183" i="115"/>
  <c r="K182" i="115"/>
  <c r="I182" i="115"/>
  <c r="H182" i="115"/>
  <c r="G182" i="115"/>
  <c r="F182" i="115"/>
  <c r="E182" i="115"/>
  <c r="A182" i="115"/>
  <c r="K181" i="115"/>
  <c r="I181" i="115"/>
  <c r="H181" i="115"/>
  <c r="G181" i="115"/>
  <c r="F181" i="115"/>
  <c r="E181" i="115"/>
  <c r="A181" i="115"/>
  <c r="K180" i="115"/>
  <c r="I180" i="115"/>
  <c r="H180" i="115"/>
  <c r="G180" i="115"/>
  <c r="F180" i="115"/>
  <c r="E180" i="115"/>
  <c r="A180" i="115"/>
  <c r="K179" i="115"/>
  <c r="I179" i="115"/>
  <c r="H179" i="115"/>
  <c r="G179" i="115"/>
  <c r="F179" i="115"/>
  <c r="E179" i="115"/>
  <c r="A179" i="115"/>
  <c r="K178" i="115"/>
  <c r="I178" i="115"/>
  <c r="H178" i="115"/>
  <c r="G178" i="115"/>
  <c r="F178" i="115"/>
  <c r="E178" i="115"/>
  <c r="A178" i="115"/>
  <c r="K177" i="115"/>
  <c r="I177" i="115"/>
  <c r="H177" i="115"/>
  <c r="G177" i="115"/>
  <c r="F177" i="115"/>
  <c r="E177" i="115"/>
  <c r="A177" i="115"/>
  <c r="K176" i="115"/>
  <c r="I176" i="115"/>
  <c r="H176" i="115"/>
  <c r="G176" i="115"/>
  <c r="F176" i="115"/>
  <c r="E176" i="115"/>
  <c r="A176" i="115"/>
  <c r="K175" i="115"/>
  <c r="I175" i="115"/>
  <c r="H175" i="115"/>
  <c r="G175" i="115"/>
  <c r="F175" i="115"/>
  <c r="E175" i="115"/>
  <c r="A175" i="115"/>
  <c r="K174" i="115"/>
  <c r="I174" i="115"/>
  <c r="H174" i="115"/>
  <c r="G174" i="115"/>
  <c r="F174" i="115"/>
  <c r="E174" i="115"/>
  <c r="A174" i="115"/>
  <c r="K173" i="115"/>
  <c r="I173" i="115"/>
  <c r="H173" i="115"/>
  <c r="G173" i="115"/>
  <c r="F173" i="115"/>
  <c r="E173" i="115"/>
  <c r="A173" i="115"/>
  <c r="K172" i="115"/>
  <c r="I172" i="115"/>
  <c r="H172" i="115"/>
  <c r="G172" i="115"/>
  <c r="F172" i="115"/>
  <c r="E172" i="115"/>
  <c r="A172" i="115"/>
  <c r="K171" i="115"/>
  <c r="I171" i="115"/>
  <c r="H171" i="115"/>
  <c r="G171" i="115"/>
  <c r="F171" i="115"/>
  <c r="E171" i="115"/>
  <c r="A171" i="115"/>
  <c r="K170" i="115"/>
  <c r="I170" i="115"/>
  <c r="H170" i="115"/>
  <c r="G170" i="115"/>
  <c r="F170" i="115"/>
  <c r="E170" i="115"/>
  <c r="A170" i="115"/>
  <c r="K169" i="115"/>
  <c r="I169" i="115"/>
  <c r="H169" i="115"/>
  <c r="G169" i="115"/>
  <c r="F169" i="115"/>
  <c r="E169" i="115"/>
  <c r="A169" i="115"/>
  <c r="K168" i="115"/>
  <c r="I168" i="115"/>
  <c r="H168" i="115"/>
  <c r="G168" i="115"/>
  <c r="F168" i="115"/>
  <c r="E168" i="115"/>
  <c r="A168" i="115"/>
  <c r="K167" i="115"/>
  <c r="I167" i="115"/>
  <c r="H167" i="115"/>
  <c r="G167" i="115"/>
  <c r="F167" i="115"/>
  <c r="E167" i="115"/>
  <c r="A167" i="115"/>
  <c r="K166" i="115"/>
  <c r="I166" i="115"/>
  <c r="H166" i="115"/>
  <c r="G166" i="115"/>
  <c r="F166" i="115"/>
  <c r="E166" i="115"/>
  <c r="A166" i="115"/>
  <c r="K165" i="115"/>
  <c r="I165" i="115"/>
  <c r="H165" i="115"/>
  <c r="G165" i="115"/>
  <c r="F165" i="115"/>
  <c r="E165" i="115"/>
  <c r="A165" i="115"/>
  <c r="K164" i="115"/>
  <c r="I164" i="115"/>
  <c r="H164" i="115"/>
  <c r="G164" i="115"/>
  <c r="F164" i="115"/>
  <c r="E164" i="115"/>
  <c r="A164" i="115"/>
  <c r="K163" i="115"/>
  <c r="I163" i="115"/>
  <c r="H163" i="115"/>
  <c r="G163" i="115"/>
  <c r="F163" i="115"/>
  <c r="E163" i="115"/>
  <c r="A163" i="115"/>
  <c r="K162" i="115"/>
  <c r="I162" i="115"/>
  <c r="H162" i="115"/>
  <c r="G162" i="115"/>
  <c r="F162" i="115"/>
  <c r="E162" i="115"/>
  <c r="A162" i="115"/>
  <c r="K161" i="115"/>
  <c r="I161" i="115"/>
  <c r="H161" i="115"/>
  <c r="G161" i="115"/>
  <c r="F161" i="115"/>
  <c r="E161" i="115"/>
  <c r="A161" i="115"/>
  <c r="K160" i="115"/>
  <c r="I160" i="115"/>
  <c r="H160" i="115"/>
  <c r="G160" i="115"/>
  <c r="F160" i="115"/>
  <c r="E160" i="115"/>
  <c r="A160" i="115"/>
  <c r="K159" i="115"/>
  <c r="I159" i="115"/>
  <c r="H159" i="115"/>
  <c r="G159" i="115"/>
  <c r="F159" i="115"/>
  <c r="E159" i="115"/>
  <c r="A159" i="115"/>
  <c r="K158" i="115"/>
  <c r="I158" i="115"/>
  <c r="H158" i="115"/>
  <c r="G158" i="115"/>
  <c r="F158" i="115"/>
  <c r="E158" i="115"/>
  <c r="A158" i="115"/>
  <c r="K157" i="115"/>
  <c r="I157" i="115"/>
  <c r="H157" i="115"/>
  <c r="G157" i="115"/>
  <c r="F157" i="115"/>
  <c r="E157" i="115"/>
  <c r="A157" i="115"/>
  <c r="K156" i="115"/>
  <c r="I156" i="115"/>
  <c r="H156" i="115"/>
  <c r="G156" i="115"/>
  <c r="F156" i="115"/>
  <c r="E156" i="115"/>
  <c r="A156" i="115"/>
  <c r="K155" i="115"/>
  <c r="I155" i="115"/>
  <c r="H155" i="115"/>
  <c r="G155" i="115"/>
  <c r="F155" i="115"/>
  <c r="E155" i="115"/>
  <c r="A155" i="115"/>
  <c r="K154" i="115"/>
  <c r="I154" i="115"/>
  <c r="H154" i="115"/>
  <c r="G154" i="115"/>
  <c r="F154" i="115"/>
  <c r="E154" i="115"/>
  <c r="A154" i="115"/>
  <c r="K153" i="115"/>
  <c r="I153" i="115"/>
  <c r="H153" i="115"/>
  <c r="G153" i="115"/>
  <c r="F153" i="115"/>
  <c r="E153" i="115"/>
  <c r="A153" i="115"/>
  <c r="K152" i="115"/>
  <c r="I152" i="115"/>
  <c r="H152" i="115"/>
  <c r="G152" i="115"/>
  <c r="F152" i="115"/>
  <c r="E152" i="115"/>
  <c r="A152" i="115"/>
  <c r="K151" i="115"/>
  <c r="I151" i="115"/>
  <c r="H151" i="115"/>
  <c r="G151" i="115"/>
  <c r="F151" i="115"/>
  <c r="E151" i="115"/>
  <c r="A151" i="115"/>
  <c r="K150" i="115"/>
  <c r="I150" i="115"/>
  <c r="H150" i="115"/>
  <c r="G150" i="115"/>
  <c r="F150" i="115"/>
  <c r="E150" i="115"/>
  <c r="A150" i="115"/>
  <c r="K149" i="115"/>
  <c r="I149" i="115"/>
  <c r="H149" i="115"/>
  <c r="G149" i="115"/>
  <c r="F149" i="115"/>
  <c r="E149" i="115"/>
  <c r="A149" i="115"/>
  <c r="K148" i="115"/>
  <c r="I148" i="115"/>
  <c r="H148" i="115"/>
  <c r="G148" i="115"/>
  <c r="F148" i="115"/>
  <c r="E148" i="115"/>
  <c r="A148" i="115"/>
  <c r="K147" i="115"/>
  <c r="I147" i="115"/>
  <c r="H147" i="115"/>
  <c r="G147" i="115"/>
  <c r="F147" i="115"/>
  <c r="E147" i="115"/>
  <c r="A147" i="115"/>
  <c r="K146" i="115"/>
  <c r="I146" i="115"/>
  <c r="H146" i="115"/>
  <c r="G146" i="115"/>
  <c r="F146" i="115"/>
  <c r="E146" i="115"/>
  <c r="A146" i="115"/>
  <c r="K145" i="115"/>
  <c r="I145" i="115"/>
  <c r="H145" i="115"/>
  <c r="G145" i="115"/>
  <c r="F145" i="115"/>
  <c r="E145" i="115"/>
  <c r="A145" i="115"/>
  <c r="K144" i="115"/>
  <c r="I144" i="115"/>
  <c r="H144" i="115"/>
  <c r="G144" i="115"/>
  <c r="F144" i="115"/>
  <c r="E144" i="115"/>
  <c r="A144" i="115"/>
  <c r="K143" i="115"/>
  <c r="I143" i="115"/>
  <c r="H143" i="115"/>
  <c r="G143" i="115"/>
  <c r="F143" i="115"/>
  <c r="E143" i="115"/>
  <c r="A143" i="115"/>
  <c r="K142" i="115"/>
  <c r="I142" i="115"/>
  <c r="H142" i="115"/>
  <c r="G142" i="115"/>
  <c r="F142" i="115"/>
  <c r="E142" i="115"/>
  <c r="A142" i="115"/>
  <c r="K141" i="115"/>
  <c r="I141" i="115"/>
  <c r="H141" i="115"/>
  <c r="G141" i="115"/>
  <c r="F141" i="115"/>
  <c r="E141" i="115"/>
  <c r="A141" i="115"/>
  <c r="K140" i="115"/>
  <c r="I140" i="115"/>
  <c r="H140" i="115"/>
  <c r="G140" i="115"/>
  <c r="F140" i="115"/>
  <c r="E140" i="115"/>
  <c r="A140" i="115"/>
  <c r="K139" i="115"/>
  <c r="I139" i="115"/>
  <c r="H139" i="115"/>
  <c r="G139" i="115"/>
  <c r="F139" i="115"/>
  <c r="E139" i="115"/>
  <c r="A139" i="115"/>
  <c r="K138" i="115"/>
  <c r="I138" i="115"/>
  <c r="H138" i="115"/>
  <c r="G138" i="115"/>
  <c r="F138" i="115"/>
  <c r="E138" i="115"/>
  <c r="A138" i="115"/>
  <c r="K137" i="115"/>
  <c r="I137" i="115"/>
  <c r="H137" i="115"/>
  <c r="G137" i="115"/>
  <c r="F137" i="115"/>
  <c r="E137" i="115"/>
  <c r="A137" i="115"/>
  <c r="K136" i="115"/>
  <c r="I136" i="115"/>
  <c r="H136" i="115"/>
  <c r="G136" i="115"/>
  <c r="F136" i="115"/>
  <c r="E136" i="115"/>
  <c r="A136" i="115"/>
  <c r="K135" i="115"/>
  <c r="I135" i="115"/>
  <c r="H135" i="115"/>
  <c r="G135" i="115"/>
  <c r="F135" i="115"/>
  <c r="E135" i="115"/>
  <c r="A135" i="115"/>
  <c r="K134" i="115"/>
  <c r="I134" i="115"/>
  <c r="H134" i="115"/>
  <c r="G134" i="115"/>
  <c r="F134" i="115"/>
  <c r="E134" i="115"/>
  <c r="A134" i="115"/>
  <c r="K133" i="115"/>
  <c r="I133" i="115"/>
  <c r="H133" i="115"/>
  <c r="G133" i="115"/>
  <c r="F133" i="115"/>
  <c r="E133" i="115"/>
  <c r="A133" i="115"/>
  <c r="K132" i="115"/>
  <c r="I132" i="115"/>
  <c r="H132" i="115"/>
  <c r="G132" i="115"/>
  <c r="F132" i="115"/>
  <c r="E132" i="115"/>
  <c r="A132" i="115"/>
  <c r="K131" i="115"/>
  <c r="I131" i="115"/>
  <c r="H131" i="115"/>
  <c r="G131" i="115"/>
  <c r="F131" i="115"/>
  <c r="E131" i="115"/>
  <c r="A131" i="115"/>
  <c r="K130" i="115"/>
  <c r="I130" i="115"/>
  <c r="H130" i="115"/>
  <c r="G130" i="115"/>
  <c r="F130" i="115"/>
  <c r="E130" i="115"/>
  <c r="A130" i="115"/>
  <c r="K129" i="115"/>
  <c r="I129" i="115"/>
  <c r="H129" i="115"/>
  <c r="G129" i="115"/>
  <c r="F129" i="115"/>
  <c r="E129" i="115"/>
  <c r="A129" i="115"/>
  <c r="K128" i="115"/>
  <c r="I128" i="115"/>
  <c r="H128" i="115"/>
  <c r="G128" i="115"/>
  <c r="F128" i="115"/>
  <c r="E128" i="115"/>
  <c r="A128" i="115"/>
  <c r="K127" i="115"/>
  <c r="I127" i="115"/>
  <c r="H127" i="115"/>
  <c r="G127" i="115"/>
  <c r="F127" i="115"/>
  <c r="E127" i="115"/>
  <c r="A127" i="115"/>
  <c r="K126" i="115"/>
  <c r="I126" i="115"/>
  <c r="H126" i="115"/>
  <c r="G126" i="115"/>
  <c r="F126" i="115"/>
  <c r="E126" i="115"/>
  <c r="A126" i="115"/>
  <c r="K125" i="115"/>
  <c r="I125" i="115"/>
  <c r="H125" i="115"/>
  <c r="G125" i="115"/>
  <c r="F125" i="115"/>
  <c r="E125" i="115"/>
  <c r="A125" i="115"/>
  <c r="K124" i="115"/>
  <c r="I124" i="115"/>
  <c r="H124" i="115"/>
  <c r="G124" i="115"/>
  <c r="F124" i="115"/>
  <c r="E124" i="115"/>
  <c r="A124" i="115"/>
  <c r="K123" i="115"/>
  <c r="I123" i="115"/>
  <c r="H123" i="115"/>
  <c r="G123" i="115"/>
  <c r="F123" i="115"/>
  <c r="E123" i="115"/>
  <c r="A123" i="115"/>
  <c r="K122" i="115"/>
  <c r="I122" i="115"/>
  <c r="H122" i="115"/>
  <c r="G122" i="115"/>
  <c r="F122" i="115"/>
  <c r="E122" i="115"/>
  <c r="A122" i="115"/>
  <c r="K121" i="115"/>
  <c r="I121" i="115"/>
  <c r="H121" i="115"/>
  <c r="G121" i="115"/>
  <c r="F121" i="115"/>
  <c r="E121" i="115"/>
  <c r="A121" i="115"/>
  <c r="K120" i="115"/>
  <c r="I120" i="115"/>
  <c r="H120" i="115"/>
  <c r="G120" i="115"/>
  <c r="F120" i="115"/>
  <c r="E120" i="115"/>
  <c r="A120" i="115"/>
  <c r="K119" i="115"/>
  <c r="I119" i="115"/>
  <c r="H119" i="115"/>
  <c r="G119" i="115"/>
  <c r="F119" i="115"/>
  <c r="E119" i="115"/>
  <c r="A119" i="115"/>
  <c r="K118" i="115"/>
  <c r="I118" i="115"/>
  <c r="H118" i="115"/>
  <c r="G118" i="115"/>
  <c r="F118" i="115"/>
  <c r="E118" i="115"/>
  <c r="A118" i="115"/>
  <c r="K117" i="115"/>
  <c r="I117" i="115"/>
  <c r="H117" i="115"/>
  <c r="G117" i="115"/>
  <c r="F117" i="115"/>
  <c r="E117" i="115"/>
  <c r="A117" i="115"/>
  <c r="K116" i="115"/>
  <c r="I116" i="115"/>
  <c r="H116" i="115"/>
  <c r="G116" i="115"/>
  <c r="F116" i="115"/>
  <c r="E116" i="115"/>
  <c r="A116" i="115"/>
  <c r="K115" i="115"/>
  <c r="I115" i="115"/>
  <c r="H115" i="115"/>
  <c r="G115" i="115"/>
  <c r="F115" i="115"/>
  <c r="E115" i="115"/>
  <c r="A115" i="115"/>
  <c r="K114" i="115"/>
  <c r="I114" i="115"/>
  <c r="H114" i="115"/>
  <c r="G114" i="115"/>
  <c r="F114" i="115"/>
  <c r="E114" i="115"/>
  <c r="A114" i="115"/>
  <c r="K113" i="115"/>
  <c r="I113" i="115"/>
  <c r="H113" i="115"/>
  <c r="G113" i="115"/>
  <c r="F113" i="115"/>
  <c r="E113" i="115"/>
  <c r="A113" i="115"/>
  <c r="K112" i="115"/>
  <c r="I112" i="115"/>
  <c r="H112" i="115"/>
  <c r="G112" i="115"/>
  <c r="F112" i="115"/>
  <c r="E112" i="115"/>
  <c r="A112" i="115"/>
  <c r="K111" i="115"/>
  <c r="I111" i="115"/>
  <c r="H111" i="115"/>
  <c r="G111" i="115"/>
  <c r="F111" i="115"/>
  <c r="E111" i="115"/>
  <c r="A111" i="115"/>
  <c r="K110" i="115"/>
  <c r="I110" i="115"/>
  <c r="H110" i="115"/>
  <c r="G110" i="115"/>
  <c r="F110" i="115"/>
  <c r="E110" i="115"/>
  <c r="A110" i="115"/>
  <c r="K109" i="115"/>
  <c r="I109" i="115"/>
  <c r="H109" i="115"/>
  <c r="G109" i="115"/>
  <c r="F109" i="115"/>
  <c r="E109" i="115"/>
  <c r="A109" i="115"/>
  <c r="K108" i="115"/>
  <c r="I108" i="115"/>
  <c r="H108" i="115"/>
  <c r="G108" i="115"/>
  <c r="F108" i="115"/>
  <c r="E108" i="115"/>
  <c r="A108" i="115"/>
  <c r="K107" i="115"/>
  <c r="I107" i="115"/>
  <c r="H107" i="115"/>
  <c r="G107" i="115"/>
  <c r="F107" i="115"/>
  <c r="E107" i="115"/>
  <c r="A107" i="115"/>
  <c r="K106" i="115"/>
  <c r="I106" i="115"/>
  <c r="H106" i="115"/>
  <c r="G106" i="115"/>
  <c r="F106" i="115"/>
  <c r="E106" i="115"/>
  <c r="A106" i="115"/>
  <c r="K105" i="115"/>
  <c r="I105" i="115"/>
  <c r="H105" i="115"/>
  <c r="G105" i="115"/>
  <c r="F105" i="115"/>
  <c r="E105" i="115"/>
  <c r="A105" i="115"/>
  <c r="K104" i="115"/>
  <c r="I104" i="115"/>
  <c r="H104" i="115"/>
  <c r="G104" i="115"/>
  <c r="F104" i="115"/>
  <c r="E104" i="115"/>
  <c r="A104" i="115"/>
  <c r="K103" i="115"/>
  <c r="I103" i="115"/>
  <c r="H103" i="115"/>
  <c r="G103" i="115"/>
  <c r="F103" i="115"/>
  <c r="E103" i="115"/>
  <c r="A103" i="115"/>
  <c r="K102" i="115"/>
  <c r="I102" i="115"/>
  <c r="H102" i="115"/>
  <c r="G102" i="115"/>
  <c r="F102" i="115"/>
  <c r="E102" i="115"/>
  <c r="A102" i="115"/>
  <c r="K101" i="115"/>
  <c r="I101" i="115"/>
  <c r="H101" i="115"/>
  <c r="G101" i="115"/>
  <c r="F101" i="115"/>
  <c r="E101" i="115"/>
  <c r="A101" i="115"/>
  <c r="K100" i="115"/>
  <c r="I100" i="115"/>
  <c r="H100" i="115"/>
  <c r="G100" i="115"/>
  <c r="F100" i="115"/>
  <c r="E100" i="115"/>
  <c r="A100" i="115"/>
  <c r="K99" i="115"/>
  <c r="I99" i="115"/>
  <c r="H99" i="115"/>
  <c r="G99" i="115"/>
  <c r="F99" i="115"/>
  <c r="E99" i="115"/>
  <c r="A99" i="115"/>
  <c r="K98" i="115"/>
  <c r="I98" i="115"/>
  <c r="H98" i="115"/>
  <c r="G98" i="115"/>
  <c r="F98" i="115"/>
  <c r="E98" i="115"/>
  <c r="A98" i="115"/>
  <c r="K97" i="115"/>
  <c r="I97" i="115"/>
  <c r="H97" i="115"/>
  <c r="G97" i="115"/>
  <c r="F97" i="115"/>
  <c r="E97" i="115"/>
  <c r="A97" i="115"/>
  <c r="K96" i="115"/>
  <c r="I96" i="115"/>
  <c r="H96" i="115"/>
  <c r="G96" i="115"/>
  <c r="F96" i="115"/>
  <c r="E96" i="115"/>
  <c r="A96" i="115"/>
  <c r="K95" i="115"/>
  <c r="I95" i="115"/>
  <c r="H95" i="115"/>
  <c r="G95" i="115"/>
  <c r="F95" i="115"/>
  <c r="E95" i="115"/>
  <c r="A95" i="115"/>
  <c r="K94" i="115"/>
  <c r="I94" i="115"/>
  <c r="H94" i="115"/>
  <c r="G94" i="115"/>
  <c r="F94" i="115"/>
  <c r="E94" i="115"/>
  <c r="A94" i="115"/>
  <c r="K93" i="115"/>
  <c r="I93" i="115"/>
  <c r="H93" i="115"/>
  <c r="G93" i="115"/>
  <c r="F93" i="115"/>
  <c r="E93" i="115"/>
  <c r="A93" i="115"/>
  <c r="K92" i="115"/>
  <c r="I92" i="115"/>
  <c r="H92" i="115"/>
  <c r="G92" i="115"/>
  <c r="F92" i="115"/>
  <c r="E92" i="115"/>
  <c r="A92" i="115"/>
  <c r="K91" i="115"/>
  <c r="I91" i="115"/>
  <c r="H91" i="115"/>
  <c r="G91" i="115"/>
  <c r="F91" i="115"/>
  <c r="E91" i="115"/>
  <c r="A91" i="115"/>
  <c r="K90" i="115"/>
  <c r="I90" i="115"/>
  <c r="H90" i="115"/>
  <c r="G90" i="115"/>
  <c r="F90" i="115"/>
  <c r="E90" i="115"/>
  <c r="A90" i="115"/>
  <c r="K89" i="115"/>
  <c r="I89" i="115"/>
  <c r="H89" i="115"/>
  <c r="G89" i="115"/>
  <c r="F89" i="115"/>
  <c r="E89" i="115"/>
  <c r="A89" i="115"/>
  <c r="K88" i="115"/>
  <c r="I88" i="115"/>
  <c r="H88" i="115"/>
  <c r="G88" i="115"/>
  <c r="F88" i="115"/>
  <c r="E88" i="115"/>
  <c r="A88" i="115"/>
  <c r="K87" i="115"/>
  <c r="I87" i="115"/>
  <c r="H87" i="115"/>
  <c r="G87" i="115"/>
  <c r="F87" i="115"/>
  <c r="E87" i="115"/>
  <c r="A87" i="115"/>
  <c r="K86" i="115"/>
  <c r="I86" i="115"/>
  <c r="H86" i="115"/>
  <c r="G86" i="115"/>
  <c r="F86" i="115"/>
  <c r="E86" i="115"/>
  <c r="A86" i="115"/>
  <c r="K85" i="115"/>
  <c r="I85" i="115"/>
  <c r="H85" i="115"/>
  <c r="G85" i="115"/>
  <c r="F85" i="115"/>
  <c r="E85" i="115"/>
  <c r="A85" i="115"/>
  <c r="K84" i="115"/>
  <c r="I84" i="115"/>
  <c r="H84" i="115"/>
  <c r="G84" i="115"/>
  <c r="F84" i="115"/>
  <c r="E84" i="115"/>
  <c r="A84" i="115"/>
  <c r="K83" i="115"/>
  <c r="I83" i="115"/>
  <c r="H83" i="115"/>
  <c r="G83" i="115"/>
  <c r="F83" i="115"/>
  <c r="E83" i="115"/>
  <c r="A83" i="115"/>
  <c r="K82" i="115"/>
  <c r="I82" i="115"/>
  <c r="H82" i="115"/>
  <c r="G82" i="115"/>
  <c r="F82" i="115"/>
  <c r="E82" i="115"/>
  <c r="A82" i="115"/>
  <c r="K81" i="115"/>
  <c r="I81" i="115"/>
  <c r="H81" i="115"/>
  <c r="G81" i="115"/>
  <c r="F81" i="115"/>
  <c r="E81" i="115"/>
  <c r="A81" i="115"/>
  <c r="K80" i="115"/>
  <c r="I80" i="115"/>
  <c r="H80" i="115"/>
  <c r="G80" i="115"/>
  <c r="F80" i="115"/>
  <c r="E80" i="115"/>
  <c r="A80" i="115"/>
  <c r="K79" i="115"/>
  <c r="I79" i="115"/>
  <c r="H79" i="115"/>
  <c r="G79" i="115"/>
  <c r="F79" i="115"/>
  <c r="E79" i="115"/>
  <c r="A79" i="115"/>
  <c r="K78" i="115"/>
  <c r="I78" i="115"/>
  <c r="H78" i="115"/>
  <c r="G78" i="115"/>
  <c r="F78" i="115"/>
  <c r="E78" i="115"/>
  <c r="A78" i="115"/>
  <c r="K77" i="115"/>
  <c r="I77" i="115"/>
  <c r="H77" i="115"/>
  <c r="G77" i="115"/>
  <c r="F77" i="115"/>
  <c r="E77" i="115"/>
  <c r="A77" i="115"/>
  <c r="K76" i="115"/>
  <c r="I76" i="115"/>
  <c r="H76" i="115"/>
  <c r="G76" i="115"/>
  <c r="F76" i="115"/>
  <c r="E76" i="115"/>
  <c r="A76" i="115"/>
  <c r="K75" i="115"/>
  <c r="I75" i="115"/>
  <c r="H75" i="115"/>
  <c r="G75" i="115"/>
  <c r="F75" i="115"/>
  <c r="E75" i="115"/>
  <c r="A75" i="115"/>
  <c r="K74" i="115"/>
  <c r="I74" i="115"/>
  <c r="H74" i="115"/>
  <c r="G74" i="115"/>
  <c r="F74" i="115"/>
  <c r="E74" i="115"/>
  <c r="A74" i="115"/>
  <c r="K73" i="115"/>
  <c r="I73" i="115"/>
  <c r="H73" i="115"/>
  <c r="G73" i="115"/>
  <c r="F73" i="115"/>
  <c r="E73" i="115"/>
  <c r="A73" i="115"/>
  <c r="K72" i="115"/>
  <c r="I72" i="115"/>
  <c r="H72" i="115"/>
  <c r="G72" i="115"/>
  <c r="F72" i="115"/>
  <c r="E72" i="115"/>
  <c r="A72" i="115"/>
  <c r="K71" i="115"/>
  <c r="I71" i="115"/>
  <c r="H71" i="115"/>
  <c r="G71" i="115"/>
  <c r="F71" i="115"/>
  <c r="E71" i="115"/>
  <c r="A71" i="115"/>
  <c r="K70" i="115"/>
  <c r="I70" i="115"/>
  <c r="H70" i="115"/>
  <c r="G70" i="115"/>
  <c r="F70" i="115"/>
  <c r="E70" i="115"/>
  <c r="A70" i="115"/>
  <c r="K69" i="115"/>
  <c r="I69" i="115"/>
  <c r="H69" i="115"/>
  <c r="G69" i="115"/>
  <c r="F69" i="115"/>
  <c r="E69" i="115"/>
  <c r="A69" i="115"/>
  <c r="K68" i="115"/>
  <c r="I68" i="115"/>
  <c r="H68" i="115"/>
  <c r="G68" i="115"/>
  <c r="F68" i="115"/>
  <c r="E68" i="115"/>
  <c r="A68" i="115"/>
  <c r="K67" i="115"/>
  <c r="I67" i="115"/>
  <c r="H67" i="115"/>
  <c r="G67" i="115"/>
  <c r="F67" i="115"/>
  <c r="E67" i="115"/>
  <c r="A67" i="115"/>
  <c r="K66" i="115"/>
  <c r="I66" i="115"/>
  <c r="H66" i="115"/>
  <c r="G66" i="115"/>
  <c r="F66" i="115"/>
  <c r="E66" i="115"/>
  <c r="A66" i="115"/>
  <c r="K65" i="115"/>
  <c r="I65" i="115"/>
  <c r="H65" i="115"/>
  <c r="G65" i="115"/>
  <c r="F65" i="115"/>
  <c r="E65" i="115"/>
  <c r="A65" i="115"/>
  <c r="K64" i="115"/>
  <c r="I64" i="115"/>
  <c r="H64" i="115"/>
  <c r="G64" i="115"/>
  <c r="F64" i="115"/>
  <c r="E64" i="115"/>
  <c r="A64" i="115"/>
  <c r="K63" i="115"/>
  <c r="I63" i="115"/>
  <c r="H63" i="115"/>
  <c r="G63" i="115"/>
  <c r="F63" i="115"/>
  <c r="E63" i="115"/>
  <c r="A63" i="115"/>
  <c r="K62" i="115"/>
  <c r="I62" i="115"/>
  <c r="H62" i="115"/>
  <c r="G62" i="115"/>
  <c r="F62" i="115"/>
  <c r="E62" i="115"/>
  <c r="A62" i="115"/>
  <c r="K61" i="115"/>
  <c r="I61" i="115"/>
  <c r="H61" i="115"/>
  <c r="G61" i="115"/>
  <c r="F61" i="115"/>
  <c r="E61" i="115"/>
  <c r="A61" i="115"/>
  <c r="K60" i="115"/>
  <c r="I60" i="115"/>
  <c r="H60" i="115"/>
  <c r="G60" i="115"/>
  <c r="F60" i="115"/>
  <c r="E60" i="115"/>
  <c r="A60" i="115"/>
  <c r="K59" i="115"/>
  <c r="I59" i="115"/>
  <c r="H59" i="115"/>
  <c r="G59" i="115"/>
  <c r="F59" i="115"/>
  <c r="E59" i="115"/>
  <c r="A59" i="115"/>
  <c r="K58" i="115"/>
  <c r="I58" i="115"/>
  <c r="H58" i="115"/>
  <c r="G58" i="115"/>
  <c r="F58" i="115"/>
  <c r="E58" i="115"/>
  <c r="A58" i="115"/>
  <c r="K57" i="115"/>
  <c r="I57" i="115"/>
  <c r="H57" i="115"/>
  <c r="G57" i="115"/>
  <c r="F57" i="115"/>
  <c r="E57" i="115"/>
  <c r="A57" i="115"/>
  <c r="K56" i="115"/>
  <c r="I56" i="115"/>
  <c r="H56" i="115"/>
  <c r="G56" i="115"/>
  <c r="F56" i="115"/>
  <c r="E56" i="115"/>
  <c r="A56" i="115"/>
  <c r="K55" i="115"/>
  <c r="I55" i="115"/>
  <c r="H55" i="115"/>
  <c r="G55" i="115"/>
  <c r="F55" i="115"/>
  <c r="E55" i="115"/>
  <c r="A55" i="115"/>
  <c r="K54" i="115"/>
  <c r="I54" i="115"/>
  <c r="H54" i="115"/>
  <c r="G54" i="115"/>
  <c r="F54" i="115"/>
  <c r="E54" i="115"/>
  <c r="A54" i="115"/>
  <c r="K53" i="115"/>
  <c r="I53" i="115"/>
  <c r="H53" i="115"/>
  <c r="G53" i="115"/>
  <c r="F53" i="115"/>
  <c r="E53" i="115"/>
  <c r="A53" i="115"/>
  <c r="K52" i="115"/>
  <c r="I52" i="115"/>
  <c r="H52" i="115"/>
  <c r="G52" i="115"/>
  <c r="F52" i="115"/>
  <c r="E52" i="115"/>
  <c r="A52" i="115"/>
  <c r="K51" i="115"/>
  <c r="I51" i="115"/>
  <c r="H51" i="115"/>
  <c r="G51" i="115"/>
  <c r="F51" i="115"/>
  <c r="E51" i="115"/>
  <c r="A51" i="115"/>
  <c r="K50" i="115"/>
  <c r="I50" i="115"/>
  <c r="H50" i="115"/>
  <c r="G50" i="115"/>
  <c r="F50" i="115"/>
  <c r="E50" i="115"/>
  <c r="A50" i="115"/>
  <c r="K49" i="115"/>
  <c r="I49" i="115"/>
  <c r="H49" i="115"/>
  <c r="G49" i="115"/>
  <c r="F49" i="115"/>
  <c r="E49" i="115"/>
  <c r="A49" i="115"/>
  <c r="K48" i="115"/>
  <c r="I48" i="115"/>
  <c r="H48" i="115"/>
  <c r="G48" i="115"/>
  <c r="F48" i="115"/>
  <c r="E48" i="115"/>
  <c r="A48" i="115"/>
  <c r="K47" i="115"/>
  <c r="I47" i="115"/>
  <c r="H47" i="115"/>
  <c r="G47" i="115"/>
  <c r="F47" i="115"/>
  <c r="E47" i="115"/>
  <c r="A47" i="115"/>
  <c r="K46" i="115"/>
  <c r="I46" i="115"/>
  <c r="H46" i="115"/>
  <c r="G46" i="115"/>
  <c r="F46" i="115"/>
  <c r="E46" i="115"/>
  <c r="A46" i="115"/>
  <c r="K45" i="115"/>
  <c r="I45" i="115"/>
  <c r="H45" i="115"/>
  <c r="G45" i="115"/>
  <c r="F45" i="115"/>
  <c r="E45" i="115"/>
  <c r="A45" i="115"/>
  <c r="K44" i="115"/>
  <c r="I44" i="115"/>
  <c r="H44" i="115"/>
  <c r="G44" i="115"/>
  <c r="F44" i="115"/>
  <c r="E44" i="115"/>
  <c r="A44" i="115"/>
  <c r="K43" i="115"/>
  <c r="I43" i="115"/>
  <c r="H43" i="115"/>
  <c r="G43" i="115"/>
  <c r="F43" i="115"/>
  <c r="E43" i="115"/>
  <c r="A43" i="115"/>
  <c r="K42" i="115"/>
  <c r="I42" i="115"/>
  <c r="H42" i="115"/>
  <c r="G42" i="115"/>
  <c r="F42" i="115"/>
  <c r="E42" i="115"/>
  <c r="A42" i="115"/>
  <c r="K41" i="115"/>
  <c r="I41" i="115"/>
  <c r="H41" i="115"/>
  <c r="G41" i="115"/>
  <c r="F41" i="115"/>
  <c r="E41" i="115"/>
  <c r="A41" i="115"/>
  <c r="K40" i="115"/>
  <c r="I40" i="115"/>
  <c r="H40" i="115"/>
  <c r="G40" i="115"/>
  <c r="F40" i="115"/>
  <c r="E40" i="115"/>
  <c r="A40" i="115"/>
  <c r="K39" i="115"/>
  <c r="I39" i="115"/>
  <c r="H39" i="115"/>
  <c r="G39" i="115"/>
  <c r="F39" i="115"/>
  <c r="E39" i="115"/>
  <c r="A39" i="115"/>
  <c r="K38" i="115"/>
  <c r="I38" i="115"/>
  <c r="H38" i="115"/>
  <c r="G38" i="115"/>
  <c r="F38" i="115"/>
  <c r="E38" i="115"/>
  <c r="A38" i="115"/>
  <c r="K37" i="115"/>
  <c r="I37" i="115"/>
  <c r="H37" i="115"/>
  <c r="G37" i="115"/>
  <c r="F37" i="115"/>
  <c r="E37" i="115"/>
  <c r="A37" i="115"/>
  <c r="K36" i="115"/>
  <c r="I36" i="115"/>
  <c r="H36" i="115"/>
  <c r="G36" i="115"/>
  <c r="F36" i="115"/>
  <c r="E36" i="115"/>
  <c r="A36" i="115"/>
  <c r="K35" i="115"/>
  <c r="I35" i="115"/>
  <c r="H35" i="115"/>
  <c r="G35" i="115"/>
  <c r="F35" i="115"/>
  <c r="E35" i="115"/>
  <c r="A35" i="115"/>
  <c r="K34" i="115"/>
  <c r="I34" i="115"/>
  <c r="H34" i="115"/>
  <c r="G34" i="115"/>
  <c r="F34" i="115"/>
  <c r="E34" i="115"/>
  <c r="A34" i="115"/>
  <c r="K33" i="115"/>
  <c r="I33" i="115"/>
  <c r="H33" i="115"/>
  <c r="G33" i="115"/>
  <c r="F33" i="115"/>
  <c r="E33" i="115"/>
  <c r="A33" i="115"/>
  <c r="K32" i="115"/>
  <c r="I32" i="115"/>
  <c r="H32" i="115"/>
  <c r="G32" i="115"/>
  <c r="F32" i="115"/>
  <c r="E32" i="115"/>
  <c r="A32" i="115"/>
  <c r="K31" i="115"/>
  <c r="I31" i="115"/>
  <c r="H31" i="115"/>
  <c r="G31" i="115"/>
  <c r="F31" i="115"/>
  <c r="E31" i="115"/>
  <c r="A31" i="115"/>
  <c r="K30" i="115"/>
  <c r="I30" i="115"/>
  <c r="H30" i="115"/>
  <c r="G30" i="115"/>
  <c r="F30" i="115"/>
  <c r="E30" i="115"/>
  <c r="A30" i="115"/>
  <c r="K29" i="115"/>
  <c r="I29" i="115"/>
  <c r="H29" i="115"/>
  <c r="G29" i="115"/>
  <c r="F29" i="115"/>
  <c r="E29" i="115"/>
  <c r="A29" i="115"/>
  <c r="K28" i="115"/>
  <c r="I28" i="115"/>
  <c r="H28" i="115"/>
  <c r="G28" i="115"/>
  <c r="F28" i="115"/>
  <c r="E28" i="115"/>
  <c r="A28" i="115"/>
  <c r="K27" i="115"/>
  <c r="I27" i="115"/>
  <c r="H27" i="115"/>
  <c r="G27" i="115"/>
  <c r="F27" i="115"/>
  <c r="E27" i="115"/>
  <c r="A27" i="115"/>
  <c r="K26" i="115"/>
  <c r="I26" i="115"/>
  <c r="H26" i="115"/>
  <c r="G26" i="115"/>
  <c r="F26" i="115"/>
  <c r="E26" i="115"/>
  <c r="A26" i="115"/>
  <c r="K25" i="115"/>
  <c r="I25" i="115"/>
  <c r="H25" i="115"/>
  <c r="G25" i="115"/>
  <c r="F25" i="115"/>
  <c r="E25" i="115"/>
  <c r="A25" i="115"/>
  <c r="K24" i="115"/>
  <c r="I24" i="115"/>
  <c r="H24" i="115"/>
  <c r="G24" i="115"/>
  <c r="F24" i="115"/>
  <c r="E24" i="115"/>
  <c r="A24" i="115"/>
  <c r="K23" i="115"/>
  <c r="I23" i="115"/>
  <c r="H23" i="115"/>
  <c r="G23" i="115"/>
  <c r="F23" i="115"/>
  <c r="E23" i="115"/>
  <c r="A23" i="115"/>
  <c r="K22" i="115"/>
  <c r="I22" i="115"/>
  <c r="H22" i="115"/>
  <c r="G22" i="115"/>
  <c r="F22" i="115"/>
  <c r="E22" i="115"/>
  <c r="A22" i="115"/>
  <c r="K21" i="115"/>
  <c r="I21" i="115"/>
  <c r="H21" i="115"/>
  <c r="G21" i="115"/>
  <c r="F21" i="115"/>
  <c r="E21" i="115"/>
  <c r="A21" i="115"/>
  <c r="K20" i="115"/>
  <c r="I20" i="115"/>
  <c r="H20" i="115"/>
  <c r="G20" i="115"/>
  <c r="F20" i="115"/>
  <c r="E20" i="115"/>
  <c r="A20" i="115"/>
  <c r="K19" i="115"/>
  <c r="I19" i="115"/>
  <c r="H19" i="115"/>
  <c r="G19" i="115"/>
  <c r="F19" i="115"/>
  <c r="E19" i="115"/>
  <c r="A19" i="115"/>
  <c r="K18" i="115"/>
  <c r="I18" i="115"/>
  <c r="H18" i="115"/>
  <c r="G18" i="115"/>
  <c r="F18" i="115"/>
  <c r="E18" i="115"/>
  <c r="A18" i="115"/>
  <c r="K17" i="115"/>
  <c r="I17" i="115"/>
  <c r="H17" i="115"/>
  <c r="G17" i="115"/>
  <c r="F17" i="115"/>
  <c r="E17" i="115"/>
  <c r="A17" i="115"/>
  <c r="K16" i="115"/>
  <c r="I16" i="115"/>
  <c r="H16" i="115"/>
  <c r="G16" i="115"/>
  <c r="F16" i="115"/>
  <c r="E16" i="115"/>
  <c r="A16" i="115"/>
  <c r="K15" i="115"/>
  <c r="I15" i="115"/>
  <c r="H15" i="115"/>
  <c r="G15" i="115"/>
  <c r="F15" i="115"/>
  <c r="E15" i="115"/>
  <c r="A15" i="115"/>
  <c r="K14" i="115"/>
  <c r="I14" i="115"/>
  <c r="H14" i="115"/>
  <c r="G14" i="115"/>
  <c r="F14" i="115"/>
  <c r="E14" i="115"/>
  <c r="A14" i="115"/>
  <c r="K13" i="115"/>
  <c r="I13" i="115"/>
  <c r="H13" i="115"/>
  <c r="G13" i="115"/>
  <c r="F13" i="115"/>
  <c r="E13" i="115"/>
  <c r="A13" i="115"/>
  <c r="K12" i="115"/>
  <c r="I12" i="115"/>
  <c r="H12" i="115"/>
  <c r="G12" i="115"/>
  <c r="F12" i="115"/>
  <c r="E12" i="115"/>
  <c r="A12" i="115"/>
  <c r="K11" i="115"/>
  <c r="I11" i="115"/>
  <c r="H11" i="115"/>
  <c r="G11" i="115"/>
  <c r="F11" i="115"/>
  <c r="E11" i="115"/>
  <c r="A11" i="115"/>
  <c r="K10" i="115"/>
  <c r="I10" i="115"/>
  <c r="H10" i="115"/>
  <c r="G10" i="115"/>
  <c r="F10" i="115"/>
  <c r="E10" i="115"/>
  <c r="A10" i="115"/>
  <c r="K9" i="115"/>
  <c r="I9" i="115"/>
  <c r="H9" i="115"/>
  <c r="G9" i="115"/>
  <c r="F9" i="115"/>
  <c r="E9" i="115"/>
  <c r="A9" i="115"/>
  <c r="K8" i="115"/>
  <c r="I8" i="115"/>
  <c r="H8" i="115"/>
  <c r="G8" i="115"/>
  <c r="F8" i="115"/>
  <c r="E8" i="115"/>
  <c r="A8" i="115"/>
  <c r="K7" i="115"/>
  <c r="I7" i="115"/>
  <c r="H7" i="115"/>
  <c r="G7" i="115"/>
  <c r="F7" i="115"/>
  <c r="E7" i="115"/>
  <c r="A7" i="115"/>
  <c r="K6" i="115"/>
  <c r="I6" i="115"/>
  <c r="H6" i="115"/>
  <c r="G6" i="115"/>
  <c r="F6" i="115"/>
  <c r="E6" i="115"/>
  <c r="A6" i="115"/>
  <c r="K5" i="115"/>
  <c r="I5" i="115"/>
  <c r="H5" i="115"/>
  <c r="G5" i="115"/>
  <c r="F5" i="115"/>
  <c r="E5" i="115"/>
  <c r="A5" i="115"/>
  <c r="K4" i="115"/>
  <c r="I4" i="115"/>
  <c r="H4" i="115"/>
  <c r="G4" i="115"/>
  <c r="F4" i="115"/>
  <c r="E4" i="115"/>
  <c r="A4" i="115"/>
  <c r="K3" i="115"/>
  <c r="I3" i="115"/>
  <c r="H3" i="115"/>
  <c r="G3" i="115"/>
  <c r="F3" i="115"/>
  <c r="E3" i="115"/>
  <c r="A3" i="115"/>
  <c r="K2" i="115"/>
  <c r="I2" i="115"/>
  <c r="H2" i="115"/>
  <c r="G2" i="115"/>
  <c r="F2" i="115"/>
  <c r="E2" i="115"/>
  <c r="A2" i="115"/>
  <c r="F255" i="128"/>
  <c r="F249" i="128"/>
  <c r="F244" i="128"/>
  <c r="F228" i="128"/>
  <c r="F224" i="128"/>
  <c r="F222" i="128"/>
  <c r="F219" i="128"/>
  <c r="F189" i="128"/>
  <c r="F179" i="128"/>
  <c r="F175" i="128"/>
  <c r="F165" i="128"/>
  <c r="F124" i="128"/>
  <c r="F101" i="128"/>
  <c r="F95" i="128"/>
  <c r="F91" i="128"/>
  <c r="F61" i="128"/>
  <c r="F20" i="128"/>
  <c r="F19" i="128"/>
  <c r="F2" i="128"/>
</calcChain>
</file>

<file path=xl/sharedStrings.xml><?xml version="1.0" encoding="utf-8"?>
<sst xmlns="http://schemas.openxmlformats.org/spreadsheetml/2006/main" count="8365" uniqueCount="721">
  <si>
    <t>ZH</t>
  </si>
  <si>
    <t>Trends Junior</t>
  </si>
  <si>
    <t>Trends Woman</t>
  </si>
  <si>
    <t>Trends Sarees</t>
  </si>
  <si>
    <t>Payless</t>
  </si>
  <si>
    <t>Trends Man</t>
  </si>
  <si>
    <t>Trends</t>
  </si>
  <si>
    <t>Performax</t>
  </si>
  <si>
    <t>Grand Total</t>
  </si>
  <si>
    <t>Zone</t>
  </si>
  <si>
    <t>State</t>
  </si>
  <si>
    <t>Format</t>
  </si>
  <si>
    <t>Site Name</t>
  </si>
  <si>
    <t>A</t>
  </si>
  <si>
    <t>FBB to Trends</t>
  </si>
  <si>
    <t>FBB to Saree</t>
  </si>
  <si>
    <t>Smart Bazar</t>
  </si>
  <si>
    <t>Brand Factory to Fashion Factory</t>
  </si>
  <si>
    <t>Zivame EBO</t>
  </si>
  <si>
    <t>F. SCM</t>
  </si>
  <si>
    <t>Value DC</t>
  </si>
  <si>
    <t>Digital DC</t>
  </si>
  <si>
    <t>F&amp;L DC</t>
  </si>
  <si>
    <t>PCS</t>
  </si>
  <si>
    <t>Smart Hub - DC</t>
  </si>
  <si>
    <t>Pharma-DC</t>
  </si>
  <si>
    <t>Smart Net - DC</t>
  </si>
  <si>
    <t>Urban Ladder DC</t>
  </si>
  <si>
    <t>G. GreenField and Other Large Scale Projects</t>
  </si>
  <si>
    <t>Greenfield</t>
  </si>
  <si>
    <t>My Jio Store</t>
  </si>
  <si>
    <t>Smart</t>
  </si>
  <si>
    <t>Signature</t>
  </si>
  <si>
    <t>7-Eleven</t>
  </si>
  <si>
    <t>Johnplayer EBO</t>
  </si>
  <si>
    <t>Furniture - Mid Premium Store (UL)</t>
  </si>
  <si>
    <t>Launched Date</t>
  </si>
  <si>
    <t>A. Consumer Electronics</t>
  </si>
  <si>
    <t>B. Fashion &amp; Lifestyle</t>
  </si>
  <si>
    <t>I. Petro</t>
  </si>
  <si>
    <t>H. New Energy Business</t>
  </si>
  <si>
    <t>C. Grocery</t>
  </si>
  <si>
    <t>E. Other Business</t>
  </si>
  <si>
    <t>Urban ladder in Smart Bazar</t>
  </si>
  <si>
    <t>Digital Stores</t>
  </si>
  <si>
    <t>Resque ( COCO + COFO+FOFO)</t>
  </si>
  <si>
    <t>MINIDX Refit</t>
  </si>
  <si>
    <t xml:space="preserve">Digital- Refit </t>
  </si>
  <si>
    <t>Jewels SAS</t>
  </si>
  <si>
    <t>Digital in Smart Bazar</t>
  </si>
  <si>
    <t>Petro</t>
  </si>
  <si>
    <t>Mini Depo - Aug</t>
  </si>
  <si>
    <t>Terminal Aug</t>
  </si>
  <si>
    <t>J. Jio Business</t>
  </si>
  <si>
    <t>Jio Mart - Kirana</t>
  </si>
  <si>
    <t>JAISURYA</t>
  </si>
  <si>
    <t>Trends Footwear SIS</t>
  </si>
  <si>
    <t>Lee Cooper EBO</t>
  </si>
  <si>
    <t>Trends - Refit</t>
  </si>
  <si>
    <t>Trends Small Town</t>
  </si>
  <si>
    <t>Trends Footwear</t>
  </si>
  <si>
    <t>EV Battery Swapping</t>
  </si>
  <si>
    <t>Small Store/Easyday to Signature Fresh</t>
  </si>
  <si>
    <t>D. Pharma Format</t>
  </si>
  <si>
    <t>Netmed</t>
  </si>
  <si>
    <t>SCM BF</t>
  </si>
  <si>
    <t>Central to Centro</t>
  </si>
  <si>
    <t>Trends in Smart Bazar</t>
  </si>
  <si>
    <t xml:space="preserve">Small Store/Easyday to Footwear </t>
  </si>
  <si>
    <t>Small Store/Easyday to Man</t>
  </si>
  <si>
    <t>Small Store/Easyday to Woman</t>
  </si>
  <si>
    <t>FBB to Fashion Factory</t>
  </si>
  <si>
    <t>TDSC</t>
  </si>
  <si>
    <t>7 Eleven in Smart Bazar</t>
  </si>
  <si>
    <t>Milk Basket</t>
  </si>
  <si>
    <t>Small Store/Easyday to Smart  Point</t>
  </si>
  <si>
    <t>Other Fashion &amp; Lifestyle Formats</t>
  </si>
  <si>
    <t>Beauty &amp; Cosmetic EBO</t>
  </si>
  <si>
    <t>Amante</t>
  </si>
  <si>
    <t>GAP EBO</t>
  </si>
  <si>
    <t>FBB TO Footwear</t>
  </si>
  <si>
    <t>FBB to Portico</t>
  </si>
  <si>
    <t>Zivame in Smart Bazar</t>
  </si>
  <si>
    <t>Jio Point</t>
  </si>
  <si>
    <t>Jewels Refit</t>
  </si>
  <si>
    <t>Smart Bazar NSO</t>
  </si>
  <si>
    <t>Sl. No.</t>
  </si>
  <si>
    <t>Azorte in Smart Bazar</t>
  </si>
  <si>
    <t>FBB TO Woman</t>
  </si>
  <si>
    <t>Site Type</t>
  </si>
  <si>
    <t>GAP in Smart Bazar</t>
  </si>
  <si>
    <t>Milk basket in Smart Bazar</t>
  </si>
  <si>
    <t>Portico EBO</t>
  </si>
  <si>
    <t>Admin Office (Corporate Services)</t>
  </si>
  <si>
    <t>Smart Bazar DC</t>
  </si>
  <si>
    <t>3P- Market Place</t>
  </si>
  <si>
    <t>Smart Point</t>
  </si>
  <si>
    <t>Clovia</t>
  </si>
  <si>
    <t>Cover Story</t>
  </si>
  <si>
    <t>B2B</t>
  </si>
  <si>
    <t>CPC</t>
  </si>
  <si>
    <t>Sub Format</t>
  </si>
  <si>
    <t>EPC Status</t>
  </si>
  <si>
    <t>Business Format</t>
  </si>
  <si>
    <t>GAP in Centro</t>
  </si>
  <si>
    <t>RFC Date</t>
  </si>
  <si>
    <t>RFC Weekwise Bucket</t>
  </si>
  <si>
    <t>Actual Start Weekwise</t>
  </si>
  <si>
    <t>Ajio</t>
  </si>
  <si>
    <t>Beauty (TIRA)</t>
  </si>
  <si>
    <t>Standard Duration</t>
  </si>
  <si>
    <t>EIC</t>
  </si>
  <si>
    <t xml:space="preserve">Digital Store - Dehire </t>
  </si>
  <si>
    <t>AOP</t>
  </si>
  <si>
    <t>October</t>
  </si>
  <si>
    <t>Footwear Refit</t>
  </si>
  <si>
    <t>Swadesh</t>
  </si>
  <si>
    <t>November</t>
  </si>
  <si>
    <t>Jewels SIS</t>
  </si>
  <si>
    <t>Ancestry</t>
  </si>
  <si>
    <t xml:space="preserve">Smart point Conversion </t>
  </si>
  <si>
    <t xml:space="preserve">SKDS - Value Format </t>
  </si>
  <si>
    <t>B2C</t>
  </si>
  <si>
    <t>Beauty DC</t>
  </si>
  <si>
    <t>Jewels DC</t>
  </si>
  <si>
    <t>Milkbasket in SmartNET</t>
  </si>
  <si>
    <t>Market Place</t>
  </si>
  <si>
    <t>Food DC</t>
  </si>
  <si>
    <t>Transport HUB- F&amp;L</t>
  </si>
  <si>
    <t>Record Room</t>
  </si>
  <si>
    <t>CNC</t>
  </si>
  <si>
    <t>NDC</t>
  </si>
  <si>
    <t>HoReCa</t>
  </si>
  <si>
    <t>Collection centre</t>
  </si>
  <si>
    <t>Groceries</t>
  </si>
  <si>
    <t>Mall Revamp</t>
  </si>
  <si>
    <t>Consumer Pump</t>
  </si>
  <si>
    <t>K. Other Office Infrastructure</t>
  </si>
  <si>
    <t>FBB TO Junior</t>
  </si>
  <si>
    <t>WH Property</t>
  </si>
  <si>
    <t>WH</t>
  </si>
  <si>
    <t>Fashion Factory</t>
  </si>
  <si>
    <t>Jio Store (SSST)</t>
  </si>
  <si>
    <t>Kalanikethan Conversion</t>
  </si>
  <si>
    <t>Signature Conversion</t>
  </si>
  <si>
    <t>Digital 3K</t>
  </si>
  <si>
    <t>Digital Lab</t>
  </si>
  <si>
    <t>B</t>
  </si>
  <si>
    <t>a</t>
  </si>
  <si>
    <t>GAP_Azorte SIS</t>
  </si>
  <si>
    <t>GAP_Mens SIS</t>
  </si>
  <si>
    <t>GAP KIDS SIS</t>
  </si>
  <si>
    <t>GAP WOMAN SIS</t>
  </si>
  <si>
    <t>Johnplayer SIS</t>
  </si>
  <si>
    <t>Payless SIS</t>
  </si>
  <si>
    <t>b</t>
  </si>
  <si>
    <t>Jewels &amp; Allied Formats</t>
  </si>
  <si>
    <t>Jewels Flagship</t>
  </si>
  <si>
    <t>c</t>
  </si>
  <si>
    <t>Beauty &amp; Cosmetic SIS</t>
  </si>
  <si>
    <t>Interior and Kitchen Fitouts</t>
  </si>
  <si>
    <t>Furniture - SIS - SimplyWud</t>
  </si>
  <si>
    <t>Brands India</t>
  </si>
  <si>
    <t>Brands UK</t>
  </si>
  <si>
    <t>C</t>
  </si>
  <si>
    <t>FreshPik</t>
  </si>
  <si>
    <t>R&amp;D FMCG Lab</t>
  </si>
  <si>
    <t>D</t>
  </si>
  <si>
    <t>Smart Point Pharma</t>
  </si>
  <si>
    <t>HN OP Pharmacy</t>
  </si>
  <si>
    <t>HN IP Pharmacy</t>
  </si>
  <si>
    <t>Seven Hills</t>
  </si>
  <si>
    <t>E</t>
  </si>
  <si>
    <t>F</t>
  </si>
  <si>
    <t>Staple HUB</t>
  </si>
  <si>
    <t>G</t>
  </si>
  <si>
    <t>H</t>
  </si>
  <si>
    <t>I</t>
  </si>
  <si>
    <t>Other Petro Projects</t>
  </si>
  <si>
    <t>AFS Aug</t>
  </si>
  <si>
    <t>AFS New</t>
  </si>
  <si>
    <t>ALDS</t>
  </si>
  <si>
    <t>Driveway</t>
  </si>
  <si>
    <t>Highmast</t>
  </si>
  <si>
    <t>MDU</t>
  </si>
  <si>
    <t>NH Affected</t>
  </si>
  <si>
    <t>NRO</t>
  </si>
  <si>
    <t>PFC</t>
  </si>
  <si>
    <t>R&amp;H-Canopy</t>
  </si>
  <si>
    <t>R&amp;H-Driveway</t>
  </si>
  <si>
    <t>RO Augmentation</t>
  </si>
  <si>
    <t>QwikMart</t>
  </si>
  <si>
    <t>Railway Consumer Depot</t>
  </si>
  <si>
    <t>RO ReCommissioning</t>
  </si>
  <si>
    <t>J</t>
  </si>
  <si>
    <t>Jio Centre</t>
  </si>
  <si>
    <t>K</t>
  </si>
  <si>
    <t>Zivame Office</t>
  </si>
  <si>
    <t>Beauty in Smart Bazar</t>
  </si>
  <si>
    <t>BWS in Smart Bazar</t>
  </si>
  <si>
    <t>Fresh food in Smart Bazar</t>
  </si>
  <si>
    <t>Sweet in Smart Bazar</t>
  </si>
  <si>
    <t>SIS in Smart Bazar</t>
  </si>
  <si>
    <t>d</t>
  </si>
  <si>
    <t>FBB to Signature</t>
  </si>
  <si>
    <t>FBB to Smart Point</t>
  </si>
  <si>
    <t>Packhouse</t>
  </si>
  <si>
    <t>Ecom</t>
  </si>
  <si>
    <t>MSR</t>
  </si>
  <si>
    <t>FC</t>
  </si>
  <si>
    <t>Kalanikethan / VRK Heritage</t>
  </si>
  <si>
    <t>Value Refit (Inc. CNC Conversion)</t>
  </si>
  <si>
    <t>Pharma COCO Store (SP Fix Setup)</t>
  </si>
  <si>
    <t>Forecasted Finish Weekwise</t>
  </si>
  <si>
    <t>Maintenance &amp; Service Location (MSL)</t>
  </si>
  <si>
    <t>Trends &amp; Allied Formats (Part A)</t>
  </si>
  <si>
    <t>Trends &amp; Allied Formats (Part B)</t>
  </si>
  <si>
    <t>Digital Bismi</t>
  </si>
  <si>
    <t>Blushlace</t>
  </si>
  <si>
    <t>Blushlace in Smart Bazar</t>
  </si>
  <si>
    <t xml:space="preserve">Trends 3.0 </t>
  </si>
  <si>
    <t>SCM</t>
  </si>
  <si>
    <t>Grocery</t>
  </si>
  <si>
    <t>Consumer Electronics</t>
  </si>
  <si>
    <t>Pharma Format</t>
  </si>
  <si>
    <t>Other Business</t>
  </si>
  <si>
    <t>GreenField and Other Large Scale Projects</t>
  </si>
  <si>
    <t>Jio Business</t>
  </si>
  <si>
    <t>Other Office Infrastructure</t>
  </si>
  <si>
    <t>POS Migration</t>
  </si>
  <si>
    <t>Smart Bazar Refit</t>
  </si>
  <si>
    <t>ResQ Training Lab</t>
  </si>
  <si>
    <t>Training Centre</t>
  </si>
  <si>
    <t>MINI DX</t>
  </si>
  <si>
    <t>Digital Bismi - Refit</t>
  </si>
  <si>
    <t>Catwalk</t>
  </si>
  <si>
    <t>Fashion Factory NEW Design</t>
  </si>
  <si>
    <t>Centro New Design</t>
  </si>
  <si>
    <t>Centro FAÇADE Refurbishment</t>
  </si>
  <si>
    <t>Trends Small Town 3.0</t>
  </si>
  <si>
    <t>Trends WIW 3.0</t>
  </si>
  <si>
    <t>New Independent Ivory Mall Centro</t>
  </si>
  <si>
    <t>Kalanikethan New Design</t>
  </si>
  <si>
    <t>Kalanikethan Chennai -Old Design</t>
  </si>
  <si>
    <t>New Jewels 3K</t>
  </si>
  <si>
    <t>Cover Story SIS</t>
  </si>
  <si>
    <t>Signature Fresh Plus</t>
  </si>
  <si>
    <t>Smart 3.O</t>
  </si>
  <si>
    <t>Mall Food courts</t>
  </si>
  <si>
    <t>BWS IN SMART</t>
  </si>
  <si>
    <t>Autonomous Store @ Experience Center</t>
  </si>
  <si>
    <t>New  Whole sale store Format</t>
  </si>
  <si>
    <t>BB to Smart</t>
  </si>
  <si>
    <t>Green Field Malls with Seamless Stores 
With Format Allocation</t>
  </si>
  <si>
    <t>Jio Mart Digital</t>
  </si>
  <si>
    <t>Cover Story Office</t>
  </si>
  <si>
    <t>Office Areas in Malls</t>
  </si>
  <si>
    <t>Date</t>
  </si>
  <si>
    <t>Month</t>
  </si>
  <si>
    <t>Day</t>
  </si>
  <si>
    <t>No.</t>
  </si>
  <si>
    <t>Week No.</t>
  </si>
  <si>
    <t>Concatenate Month &amp; Week</t>
  </si>
  <si>
    <t>Year</t>
  </si>
  <si>
    <t>April</t>
  </si>
  <si>
    <t>May</t>
  </si>
  <si>
    <t>June</t>
  </si>
  <si>
    <t>July</t>
  </si>
  <si>
    <t>August</t>
  </si>
  <si>
    <t>September</t>
  </si>
  <si>
    <t>December</t>
  </si>
  <si>
    <t>January</t>
  </si>
  <si>
    <t>February</t>
  </si>
  <si>
    <t>March</t>
  </si>
  <si>
    <t>PLANNED</t>
  </si>
  <si>
    <t>Month for Plan</t>
  </si>
  <si>
    <t>Plan</t>
  </si>
  <si>
    <t>Concatenate Month &amp; Plan</t>
  </si>
  <si>
    <t>Actual Start Date</t>
  </si>
  <si>
    <t>Planned Finish Date</t>
  </si>
  <si>
    <t>Planned Finish Weekwise Bucket</t>
  </si>
  <si>
    <t>Actual Finish Date</t>
  </si>
  <si>
    <t>Actual Finish Weekwise Bucket</t>
  </si>
  <si>
    <t>Forecasted Finish Date</t>
  </si>
  <si>
    <t>Planned (Month) Bucket</t>
  </si>
  <si>
    <t>City</t>
  </si>
  <si>
    <t>Area (Sqft)</t>
  </si>
  <si>
    <t>PD</t>
  </si>
  <si>
    <t>Ancestry SIS</t>
  </si>
  <si>
    <t>Portico SIS</t>
  </si>
  <si>
    <t>Actual (Month) Bucket</t>
  </si>
  <si>
    <t>Device DC</t>
  </si>
  <si>
    <t>Misc Toilet Works @ SBZ</t>
  </si>
  <si>
    <t>Avantara Façade Replacement Works</t>
  </si>
  <si>
    <t>Blushlace in Smart</t>
  </si>
  <si>
    <t>Pharma-Partition Modi. Work (Refit)</t>
  </si>
  <si>
    <t>Catwalk SIS</t>
  </si>
  <si>
    <t>Centro Footwear (V Retail)</t>
  </si>
  <si>
    <t>Centro Footwear (V Retail) - Refit</t>
  </si>
  <si>
    <t>Centro NSO</t>
  </si>
  <si>
    <t>GAP SIS</t>
  </si>
  <si>
    <t>F&amp;L Wholesale Formats</t>
  </si>
  <si>
    <t>Wholesale Store</t>
  </si>
  <si>
    <t>B2B2C</t>
  </si>
  <si>
    <t>Sambandam Store</t>
  </si>
  <si>
    <t>e</t>
  </si>
  <si>
    <t>Rise Hub (Swadesh)</t>
  </si>
  <si>
    <t>CNC to Metro</t>
  </si>
  <si>
    <t>Pharma SIS</t>
  </si>
  <si>
    <t>Office at IBC (TDSC+Office+Cafeteria+Design Studio)</t>
  </si>
  <si>
    <t>Grocery Bismi DC</t>
  </si>
  <si>
    <t>Grocery Bismi</t>
  </si>
  <si>
    <t>Grocery Bismi - Refit</t>
  </si>
  <si>
    <t>VRK Silks</t>
  </si>
  <si>
    <t>Pharma SKDS - Refit</t>
  </si>
  <si>
    <t>AOP / NON AOP</t>
  </si>
  <si>
    <t>NON AOP</t>
  </si>
  <si>
    <t>Centro Footwear (V Retail) in Smart Bazar</t>
  </si>
  <si>
    <t>Smart Point to Bismi</t>
  </si>
  <si>
    <t>Women's World @ SBZ</t>
  </si>
  <si>
    <t>Lift</t>
  </si>
  <si>
    <t>New Energy Business</t>
  </si>
  <si>
    <t>Fashion World</t>
  </si>
  <si>
    <t>SCM - Dehire</t>
  </si>
  <si>
    <t>Centro - Refit</t>
  </si>
  <si>
    <t>FMCG Manufacturing</t>
  </si>
  <si>
    <t>Azorte</t>
  </si>
  <si>
    <t>Azorte SIS</t>
  </si>
  <si>
    <t>Yousta</t>
  </si>
  <si>
    <t>Trends to Yousta</t>
  </si>
  <si>
    <t>FBB to Yousta</t>
  </si>
  <si>
    <t>F&amp;L - Dehire</t>
  </si>
  <si>
    <t>Misc - Dehire</t>
  </si>
  <si>
    <t>Grocery - Dehire</t>
  </si>
  <si>
    <t>Apex ID</t>
  </si>
  <si>
    <t>PM Head</t>
  </si>
  <si>
    <t>Ketan Shah</t>
  </si>
  <si>
    <t>Srinivas P</t>
  </si>
  <si>
    <t>Anand P</t>
  </si>
  <si>
    <t>Shahaji Gohatre</t>
  </si>
  <si>
    <t>NSO</t>
  </si>
  <si>
    <t>West</t>
  </si>
  <si>
    <t>North</t>
  </si>
  <si>
    <t>East</t>
  </si>
  <si>
    <t>South</t>
  </si>
  <si>
    <t>KC</t>
  </si>
  <si>
    <t>Refit</t>
  </si>
  <si>
    <t>Maharashtra</t>
  </si>
  <si>
    <t>Chattisgarh</t>
  </si>
  <si>
    <t>Uttar Pradesh</t>
  </si>
  <si>
    <t>Madhya Pradesh</t>
  </si>
  <si>
    <t>West Bengal</t>
  </si>
  <si>
    <t>Tamil Nadu</t>
  </si>
  <si>
    <t>Jharkhand</t>
  </si>
  <si>
    <t>Telangana</t>
  </si>
  <si>
    <t>Huzurnagar</t>
  </si>
  <si>
    <t>NETMWQBUA00</t>
  </si>
  <si>
    <t>NETMWQB3F00</t>
  </si>
  <si>
    <t>NETMBQBZC00</t>
  </si>
  <si>
    <t>NETMNQB5R00</t>
  </si>
  <si>
    <t>NETMVQ30S00</t>
  </si>
  <si>
    <t>NETM5QBXG00</t>
  </si>
  <si>
    <t>NETMWQB3Y00</t>
  </si>
  <si>
    <t>NETMTQB7C00</t>
  </si>
  <si>
    <t>NETMWQBWB00</t>
  </si>
  <si>
    <t>NETMKQB3Z00</t>
  </si>
  <si>
    <t>NETMKQB3X00</t>
  </si>
  <si>
    <t>NETMTQBXS00</t>
  </si>
  <si>
    <t>NETMTQB4O00</t>
  </si>
  <si>
    <t>NETMWQBXC00</t>
  </si>
  <si>
    <t>NETMBQ3H900</t>
  </si>
  <si>
    <t>NETMTQB7O00</t>
  </si>
  <si>
    <t>NETMAQBVZ00</t>
  </si>
  <si>
    <t>NETMTQB2P00</t>
  </si>
  <si>
    <t>NETMWQGGX00</t>
  </si>
  <si>
    <t>NETMUQBXQ00</t>
  </si>
  <si>
    <t>NETMWQB3A00</t>
  </si>
  <si>
    <t>NETMCQB6P00</t>
  </si>
  <si>
    <t>NETMCQBZE00</t>
  </si>
  <si>
    <t>NETMRQGEB00</t>
  </si>
  <si>
    <t>NETM9QB4F00</t>
  </si>
  <si>
    <t>NETMKQF4N00</t>
  </si>
  <si>
    <t>NETMKQF4P00</t>
  </si>
  <si>
    <t>NETMBQLCC00</t>
  </si>
  <si>
    <t>NETM9QGQE00</t>
  </si>
  <si>
    <t>NETMUQFYP00</t>
  </si>
  <si>
    <t>NETMFQFXE00</t>
  </si>
  <si>
    <t>NETMWQGIJ00</t>
  </si>
  <si>
    <t>NETMWQFYJ00</t>
  </si>
  <si>
    <t>NETMQQGIC00</t>
  </si>
  <si>
    <t>NETMQQB2O00</t>
  </si>
  <si>
    <t>NETMIQ3M500</t>
  </si>
  <si>
    <t>NETMRQGQI00</t>
  </si>
  <si>
    <t>NETMKQ3H800</t>
  </si>
  <si>
    <t>NETMAQ8FT00</t>
  </si>
  <si>
    <t>NETMMQ9Q100</t>
  </si>
  <si>
    <t>NETMFQ7Y600</t>
  </si>
  <si>
    <t>NETMBQ9I400</t>
  </si>
  <si>
    <t>NETMAQ7Z300</t>
  </si>
  <si>
    <t>NETMVQ8XD00</t>
  </si>
  <si>
    <t>NETMBQEFK00</t>
  </si>
  <si>
    <t>NETMEQBOV00</t>
  </si>
  <si>
    <t>NETMBQCTB00</t>
  </si>
  <si>
    <t>NETMAQBRB00</t>
  </si>
  <si>
    <t>NETMBQBNP00</t>
  </si>
  <si>
    <t>NETMAQ6RF00</t>
  </si>
  <si>
    <t>Ranjit Sinha</t>
  </si>
  <si>
    <t xml:space="preserve">Avinandan Kumar </t>
  </si>
  <si>
    <t>EPC Ready</t>
  </si>
  <si>
    <t>WIP</t>
  </si>
  <si>
    <t>WIP - On Hold</t>
  </si>
  <si>
    <t>YTS Remarks</t>
  </si>
  <si>
    <t>Column Labels</t>
  </si>
  <si>
    <t>Count of Site Name</t>
  </si>
  <si>
    <t>PM Team End To End Monitoring Dashboard</t>
  </si>
  <si>
    <t>EPC Status - PM</t>
  </si>
  <si>
    <t>Plan Start Date</t>
  </si>
  <si>
    <t>Mobilization Ageing</t>
  </si>
  <si>
    <t>EPC Status - PM2</t>
  </si>
  <si>
    <t>Column3</t>
  </si>
  <si>
    <t>Budget Submitted - Approval Awaited</t>
  </si>
  <si>
    <t>Column2</t>
  </si>
  <si>
    <t>Chennai</t>
  </si>
  <si>
    <t>Bhopal</t>
  </si>
  <si>
    <t>MIAGKC70</t>
  </si>
  <si>
    <t>Tilbegumpur - Additional works in Phase II project</t>
  </si>
  <si>
    <t>TER_2020_21_TILBEGUMPUR</t>
  </si>
  <si>
    <t>Neeraj Kumar</t>
  </si>
  <si>
    <t>Vasanth A</t>
  </si>
  <si>
    <t>Arifur Rehman</t>
  </si>
  <si>
    <t>Abhay Shrivastava</t>
  </si>
  <si>
    <t>Anand Singh</t>
  </si>
  <si>
    <t>Office</t>
  </si>
  <si>
    <t>Delhi NCR</t>
  </si>
  <si>
    <t>Rewari</t>
  </si>
  <si>
    <t>Umesh Yadav</t>
  </si>
  <si>
    <t>NRFC</t>
  </si>
  <si>
    <t>Kanpur</t>
  </si>
  <si>
    <t>CP - 2 x 30 KL Consumer Pump,M/s LLYODS METAL &amp; ENERGY LIMTED,Gadchiroli, MH</t>
  </si>
  <si>
    <t>Gadchiroli</t>
  </si>
  <si>
    <t>Tilbegampur-Transformer replacement at (7 Mini Depots ) with statutory approvals</t>
  </si>
  <si>
    <t>Petro-Mini Depo - Aug</t>
  </si>
  <si>
    <t>PETRO-MDUPTI4</t>
  </si>
  <si>
    <t>MIAGKC12175</t>
  </si>
  <si>
    <t>COPUKC12917</t>
  </si>
  <si>
    <t>Petro-Consumer Pump</t>
  </si>
  <si>
    <t>Korba</t>
  </si>
  <si>
    <t>Huzurnagar Mini Depo - Boundary Wall</t>
  </si>
  <si>
    <t>Bhopal - Additional works in Ethanol 20% Phase II</t>
  </si>
  <si>
    <t>Kanpur - Additional works in Ethanol 20% Phase II</t>
  </si>
  <si>
    <t xml:space="preserve">Bhopal - Enhancing Illumination of Boundary wall works </t>
  </si>
  <si>
    <t>PETRO-MDTGHU1</t>
  </si>
  <si>
    <t>MIAGAK12873</t>
  </si>
  <si>
    <t>TEAGKC11575</t>
  </si>
  <si>
    <t>TEAGKC12180</t>
  </si>
  <si>
    <t>Setup a petrol pump at RIL (Shyam Sel Group), Kharagpur site</t>
  </si>
  <si>
    <t>Kharagpur</t>
  </si>
  <si>
    <t>Bhopal- Earthing grid additional 50mm strip provision at all 5 OTs in line with Earthing adequacy study recommendations.</t>
  </si>
  <si>
    <t>Chennai - Drivers Amenity Block to be constructed to provide basic facilities for drivers and cleaners.</t>
  </si>
  <si>
    <t>Chennai- Earthing grid additional 50mm strip provision at all 5 OTs in line with Earthing adequacy study recommendations.</t>
  </si>
  <si>
    <t>Haldia - Drivers Amenity Block to be constructed to provide basic facilities for drivers and cleaners.</t>
  </si>
  <si>
    <t xml:space="preserve">Haldia - Paving below DP Vessel area </t>
  </si>
  <si>
    <t>Haldia - Expansion of TT Parking P3 &amp; development of approach Road from HPL Link Rd to TT Parking area</t>
  </si>
  <si>
    <t>Haldia- Earthing grid additional 50mm strip provision at all 5 OTs in line with Earthing adequacy study recommendations.</t>
  </si>
  <si>
    <t>Kanpur - Drivers Amenity Block to be constructed to provide basic facilities for drivers and cleaners.</t>
  </si>
  <si>
    <t>Kanpur- Earthing grid additional 50mm strip provision at all 5 OTs in line with Earthing adequacy study recommendations.</t>
  </si>
  <si>
    <t>Kanpur - Borewell Structure Works</t>
  </si>
  <si>
    <t>Rewari - Area paving behind  Rail siding</t>
  </si>
  <si>
    <t>Rewari- Earthing grid additional 50mm strip provision at all 5 OTs in line with Earthing adequacy study recommendations.</t>
  </si>
  <si>
    <t>PETRO-CP-UPCTR04</t>
  </si>
  <si>
    <t>PETRO-CP-UPCTR08</t>
  </si>
  <si>
    <t>PETRO-CP-UPCTR01</t>
  </si>
  <si>
    <t>PETRO-CP-UPCTR03</t>
  </si>
  <si>
    <t>PETRO-CP-UPCTR02</t>
  </si>
  <si>
    <t>PETRO-CP-UPCTR06</t>
  </si>
  <si>
    <t>PETRO-CP-UPCTR07</t>
  </si>
  <si>
    <t>Haldia</t>
  </si>
  <si>
    <t>Manmohan Nautiyal</t>
  </si>
  <si>
    <t>Petro-Terminal Aug</t>
  </si>
  <si>
    <t>COPUKC13442</t>
  </si>
  <si>
    <t>COPUKC13443</t>
  </si>
  <si>
    <t>COPUKC13444</t>
  </si>
  <si>
    <t>COPUKC13445</t>
  </si>
  <si>
    <t>COPUKC13446</t>
  </si>
  <si>
    <t>COPUKC13447</t>
  </si>
  <si>
    <t>COPUKC13448</t>
  </si>
  <si>
    <t>COPUKC13449</t>
  </si>
  <si>
    <t>TEAGKC13450</t>
  </si>
  <si>
    <t>TEAGKC13451</t>
  </si>
  <si>
    <t>TEAGAK13452</t>
  </si>
  <si>
    <t>TEAGAK13453</t>
  </si>
  <si>
    <t>TEAGAK13454</t>
  </si>
  <si>
    <t>TEAGAK13455</t>
  </si>
  <si>
    <t>TEAGAK13456</t>
  </si>
  <si>
    <t>TEAGAK13457</t>
  </si>
  <si>
    <t>TEAGAK13458</t>
  </si>
  <si>
    <t>TEAGAK13459</t>
  </si>
  <si>
    <t>TEAGKC13460</t>
  </si>
  <si>
    <t>TEAGKC13462</t>
  </si>
  <si>
    <t>TEAGKC13463</t>
  </si>
  <si>
    <t>TEAGKC13464</t>
  </si>
  <si>
    <t>TEAGKC13465</t>
  </si>
  <si>
    <t>TEAGKC13466</t>
  </si>
  <si>
    <t xml:space="preserve">Haldia - Additional works in Ethanol 20% Phase III
 </t>
  </si>
  <si>
    <t>TEAGAK13493</t>
  </si>
  <si>
    <t xml:space="preserve">Haldia - Wind Girder &amp; MVWSS Replacement - Haldia - Tk 1A, 1B , 7A &amp; 7B </t>
  </si>
  <si>
    <t>Chennai - Cement Concrete paving under pipeline manifold area</t>
  </si>
  <si>
    <t>Rewari - Additional works in Ethanol 20% Phase II</t>
  </si>
  <si>
    <t xml:space="preserve">Rewari - Cement Concrete paving under pipeline manifold area </t>
  </si>
  <si>
    <t>TEAGAK13568</t>
  </si>
  <si>
    <t>TEAGKC11574</t>
  </si>
  <si>
    <t>CP - Coal India SECL, Gevra Phase II</t>
  </si>
  <si>
    <t>CP - JSPL Gare IV/6(Mines) _ CG</t>
  </si>
  <si>
    <t>COPUKC13575</t>
  </si>
  <si>
    <t>COPUKC13576</t>
  </si>
  <si>
    <t>Raigarh</t>
  </si>
  <si>
    <t>Chennai - Additional works Phase II</t>
  </si>
  <si>
    <t>TEAGAK13669</t>
  </si>
  <si>
    <t xml:space="preserve">Chennai - Schematic for Tank 6A &amp; 6B - Recirculation Line </t>
  </si>
  <si>
    <t>Bhopal - 3 Porta Cabin</t>
  </si>
  <si>
    <t>CP - 30 KL - ABCI- SCPL-SIPS (JV) - Dhanbad - Mouza – Nagrikala</t>
  </si>
  <si>
    <t>Dhanbad</t>
  </si>
  <si>
    <t>Kanpur-Safety Shower at Rail unloading Gantry (3 Nos) - Instrumentation works</t>
  </si>
  <si>
    <t>TEAGAK13678</t>
  </si>
  <si>
    <t>TEAGKC13679</t>
  </si>
  <si>
    <t>TEAGKC13680</t>
  </si>
  <si>
    <t>COPUAK11571</t>
  </si>
  <si>
    <t xml:space="preserve">Bhopal - Cement Concrete paving under pipeline manifold area </t>
  </si>
  <si>
    <t>CP - SAHIBABAD,UP</t>
  </si>
  <si>
    <t>CP - SIDDHARTHNAGAR,UP</t>
  </si>
  <si>
    <t>CP - ORAI,UP</t>
  </si>
  <si>
    <t>CP - MAHOBA,UP</t>
  </si>
  <si>
    <t>CP - BANDA,UP</t>
  </si>
  <si>
    <t>CP - HARDOI,UP</t>
  </si>
  <si>
    <t>CP - GOLA,UP</t>
  </si>
  <si>
    <t xml:space="preserve">Haldia - Cement Concrete paving under pipeline manifold area </t>
  </si>
  <si>
    <t>Rewari - Implementing Rainwater Harvesting</t>
  </si>
  <si>
    <t>TEAGKC13803</t>
  </si>
  <si>
    <t>Kanpur - Implementing Rainwater Harvesting</t>
  </si>
  <si>
    <t>Chennai - Grating over Strom water drain</t>
  </si>
  <si>
    <t>Haldia - Grating over Strom water drain</t>
  </si>
  <si>
    <t>Rewari - Grating over Strom water drain</t>
  </si>
  <si>
    <t>TEAGKC13816</t>
  </si>
  <si>
    <t>TEAGAK13817</t>
  </si>
  <si>
    <t>TEAGAK13818</t>
  </si>
  <si>
    <t>TEAGKC13819</t>
  </si>
  <si>
    <t>CP - BPSP - Hindustan Construction Company Ltd, Karjat, Raigad</t>
  </si>
  <si>
    <t>Karjat</t>
  </si>
  <si>
    <t>COPUKC13923</t>
  </si>
  <si>
    <t>CP - Manuguru</t>
  </si>
  <si>
    <t>PETRO-CP-TGCCM11</t>
  </si>
  <si>
    <t>Manuguru</t>
  </si>
  <si>
    <t>Huzurnagar Mini Depo - Phase I Works</t>
  </si>
  <si>
    <t>PETRO-MDTGHU2</t>
  </si>
  <si>
    <t xml:space="preserve">Kanpur - Cement Concrete paving under pipeline manifold area </t>
  </si>
  <si>
    <t xml:space="preserve">OVERALL SUMMARY OF PETRO </t>
  </si>
  <si>
    <t xml:space="preserve">Kanpur - Grating on Storm Water Drains </t>
  </si>
  <si>
    <t>COPUAK13993</t>
  </si>
  <si>
    <t>MIAGAK13851</t>
  </si>
  <si>
    <t>TEAGKC13852</t>
  </si>
  <si>
    <t>Plan % Completion</t>
  </si>
  <si>
    <t>Actual % completed</t>
  </si>
  <si>
    <t>CP - BHADRACHALAM</t>
  </si>
  <si>
    <t>CP - DEVARAKONDA</t>
  </si>
  <si>
    <t>CP - SATTUPALLI</t>
  </si>
  <si>
    <t>Hyderabad</t>
  </si>
  <si>
    <t>Bhopal - Grating over Strom water drain</t>
  </si>
  <si>
    <t>Chennai - Enhancing Water Management with Garland Drain Installation Along Boundary Walls.</t>
  </si>
  <si>
    <t>Shifting of ROSOV LCS (24 No’s) at Chennai from Dyke area to area near Tank Farm approach Road along with FLP Distribution Box</t>
  </si>
  <si>
    <t>Huzurnagar Mini Depo - Admin Building</t>
  </si>
  <si>
    <t>Haldia - Implementing Rainwater Harvesting</t>
  </si>
  <si>
    <t>TEAGKC14563</t>
  </si>
  <si>
    <t>TEAGAK14564</t>
  </si>
  <si>
    <t>TEAGAK14565</t>
  </si>
  <si>
    <t>MIAGAK14566</t>
  </si>
  <si>
    <t>TEAGAK14567</t>
  </si>
  <si>
    <t>COPUAK14536</t>
  </si>
  <si>
    <t>COPUAK14537</t>
  </si>
  <si>
    <t>COPUAK14538</t>
  </si>
  <si>
    <t>Vasant A</t>
  </si>
  <si>
    <t>Rohin Chand</t>
  </si>
  <si>
    <t>TEAGKC11588</t>
  </si>
  <si>
    <t>Chennai - Grating on strom water Drain Phase II</t>
  </si>
  <si>
    <t>Vendor finalization - In Process</t>
  </si>
  <si>
    <t>TEAGAK14681</t>
  </si>
  <si>
    <t xml:space="preserve">Bhopal - Additional Bay of Mix load works </t>
  </si>
  <si>
    <t>CP - M/s Shivam Condev Pvt Ltd, Korput, OD</t>
  </si>
  <si>
    <t>CP - M/s Ankush Rao Tope, Jalna, MH</t>
  </si>
  <si>
    <t>Bhubaneswar</t>
  </si>
  <si>
    <t>Jalna</t>
  </si>
  <si>
    <t>Odissa</t>
  </si>
  <si>
    <t>Tilbegumpur</t>
  </si>
  <si>
    <t>MIAGKC14705</t>
  </si>
  <si>
    <t>COPUAK14706</t>
  </si>
  <si>
    <t>COPUKC14707</t>
  </si>
  <si>
    <t xml:space="preserve">CP - Installation of Single Nozzle DU </t>
  </si>
  <si>
    <t>Ramgarh</t>
  </si>
  <si>
    <t>Girisola</t>
  </si>
  <si>
    <t>Dobhi</t>
  </si>
  <si>
    <t>Baharagora</t>
  </si>
  <si>
    <t>Tada</t>
  </si>
  <si>
    <t>Patran</t>
  </si>
  <si>
    <t>Mandar</t>
  </si>
  <si>
    <t>Pollachi</t>
  </si>
  <si>
    <t>Bihar</t>
  </si>
  <si>
    <t>Rajasthan</t>
  </si>
  <si>
    <t>Punjab</t>
  </si>
  <si>
    <t>Andhra Pradesh</t>
  </si>
  <si>
    <t>Orissa</t>
  </si>
  <si>
    <t>Girisola - Provision of Hazardous waste Shed.</t>
  </si>
  <si>
    <t>Girisola- - Exhaust Stack to be provided for DG 82.5 KVA</t>
  </si>
  <si>
    <t>Girisola - Louvers on FW Ph shed. Phase I (6 Depot’s)</t>
  </si>
  <si>
    <t>Dobhi- Provision of Hazardous waste Shed.</t>
  </si>
  <si>
    <t>Dobhi- Exhaust Stack to be provided for DG 82.5 KVA</t>
  </si>
  <si>
    <t>Dobhi - Louvers on FW Ph shed. Phase I (6 Depot’s)</t>
  </si>
  <si>
    <t>Bahargora - Provision of Hazardous waste Shed.</t>
  </si>
  <si>
    <t>Bharagoda- Exhaust Stack to be provided for DG 82.5 KVA</t>
  </si>
  <si>
    <t>Bharagoda - Louvers on FW Ph shed. Phase I (6 Depot’s)</t>
  </si>
  <si>
    <t>Pollachi - Provision of Hazardous waste Shed.</t>
  </si>
  <si>
    <t>Pollachi - Louvers on FW Ph shed. Phase II (4 Depot’s)</t>
  </si>
  <si>
    <t>Tada - Provision of Hazardous waste Shed.</t>
  </si>
  <si>
    <t>Tada- Exhaust Stack to be provided for DG 82.5 KVA</t>
  </si>
  <si>
    <t>Tada - Louvers on FW Ph shed. Phase I (6 Depot’s)</t>
  </si>
  <si>
    <t>Patran - Provision of Hazardous waste Shed.</t>
  </si>
  <si>
    <t>Patran - Louvers on FW Ph shed. Phase II (4 Depot’s)</t>
  </si>
  <si>
    <t>Mandar - Provision of Hazardous waste Shed.</t>
  </si>
  <si>
    <t>Mandar - Exhaust Stack to be provided for DG 82.5 KVA</t>
  </si>
  <si>
    <t>Mandar - Louvers on FW Ph shed. Phase I (6 Depot’s)</t>
  </si>
  <si>
    <t>Huzurnagar - Provision of Hazardous waste Shed.</t>
  </si>
  <si>
    <t>Huzurnagar - Exhaust Stack to be provided for DG 82.5 KVA</t>
  </si>
  <si>
    <t>Huzurnagar - Louvers on FW Ph shed. Phase II (4 Depot’s)</t>
  </si>
  <si>
    <t>Tilbegumpur - Provision of Hazardous waste Shed.</t>
  </si>
  <si>
    <t>Tilbegumpur- Exhaust Stack to be provided for DG 82.5 KVA</t>
  </si>
  <si>
    <t>Tilbegumpur - Louvers on FW Ph shed. Phase I (6 Depot’s)</t>
  </si>
  <si>
    <t>Huzurnagar - Borewell Head Protection</t>
  </si>
  <si>
    <t>Patran - Borewell Head Protection</t>
  </si>
  <si>
    <t>Pollachi - Borewell Head Protection</t>
  </si>
  <si>
    <t>Baharagora - Borewell Head Protection</t>
  </si>
  <si>
    <t>Dobhi - Borewell Head Protection</t>
  </si>
  <si>
    <t>Atul3 Garg</t>
  </si>
  <si>
    <t>COPUAK14791</t>
  </si>
  <si>
    <t>MIAGAK14792</t>
  </si>
  <si>
    <t>MIAGAK14793</t>
  </si>
  <si>
    <t>MIAGAK14794</t>
  </si>
  <si>
    <t>MIAGAK14795</t>
  </si>
  <si>
    <t>MIAGAK14796</t>
  </si>
  <si>
    <t>MIAGAK14797</t>
  </si>
  <si>
    <t>MIAGAK14798</t>
  </si>
  <si>
    <t>MIAGAK14799</t>
  </si>
  <si>
    <t>MIAGAK14800</t>
  </si>
  <si>
    <t>MIAGAK14801</t>
  </si>
  <si>
    <t>MIAGAK14802</t>
  </si>
  <si>
    <t>MIAGAK14803</t>
  </si>
  <si>
    <t>MIAGAK14804</t>
  </si>
  <si>
    <t>MIAGAK14805</t>
  </si>
  <si>
    <t>MIAGAK14806</t>
  </si>
  <si>
    <t>MIAGAK14807</t>
  </si>
  <si>
    <t>MIAGAK14808</t>
  </si>
  <si>
    <t>MIAGKC14809</t>
  </si>
  <si>
    <t>MIAGKC14810</t>
  </si>
  <si>
    <t>MIAGKC14811</t>
  </si>
  <si>
    <t>MIAGKC14812</t>
  </si>
  <si>
    <t>MIAGKC14813</t>
  </si>
  <si>
    <t>MIAGKC14814</t>
  </si>
  <si>
    <t>MIAGAK14815</t>
  </si>
  <si>
    <t>MIAGAK14816</t>
  </si>
  <si>
    <t>MIAGAK14817</t>
  </si>
  <si>
    <t>MIAGAK14818</t>
  </si>
  <si>
    <t>MIAGKC14819</t>
  </si>
  <si>
    <t>MIAGKC14820</t>
  </si>
  <si>
    <t>MIAGKC14821</t>
  </si>
  <si>
    <t xml:space="preserve">Bhopal - Provision of engineered pipeline supports (120 locations) </t>
  </si>
  <si>
    <t>Kanpur - Emergency Exit (Staircase) for Control Room</t>
  </si>
  <si>
    <t>Vishakhapatnam</t>
  </si>
  <si>
    <t>TEAGKC14845</t>
  </si>
  <si>
    <t>TEAGKC14846</t>
  </si>
  <si>
    <t>COPUAK14847</t>
  </si>
  <si>
    <t>Sushanta Behera</t>
  </si>
  <si>
    <t>CP – M/s Rashtriya Ispat Nigam Ltd, Vizag Steel, AP</t>
  </si>
  <si>
    <t>NOA - In Process</t>
  </si>
  <si>
    <t>CP –UPSRTC depot, Loni, UP</t>
  </si>
  <si>
    <t>Loni</t>
  </si>
  <si>
    <t>TEAGKC13668</t>
  </si>
  <si>
    <t>COPUKC15009</t>
  </si>
  <si>
    <t>Budget Approved WO - On Hold</t>
  </si>
  <si>
    <t>YTS</t>
  </si>
  <si>
    <t>AK</t>
  </si>
  <si>
    <t>HUZURNAGAR MINI DEPO_Phase I Piping works</t>
  </si>
  <si>
    <t>CP - Tank Exhuming works, Gadibrahma, OD</t>
  </si>
  <si>
    <t>Gadibrahma</t>
  </si>
  <si>
    <t>Avinandan Kumar</t>
  </si>
  <si>
    <t>CP - TSRTC - Bhadrachalam Canopy works</t>
  </si>
  <si>
    <t>CP - TSRTC - Sattupalli Canopy works</t>
  </si>
  <si>
    <t>CP - UPSRTC - Hardoi Canopy works</t>
  </si>
  <si>
    <t>CP - UPSRTC - Gola Canopy works</t>
  </si>
  <si>
    <t>CP - UPSRTC - Siddarthnagar Canopy works</t>
  </si>
  <si>
    <t>CP - UPSRTC - Banda Canopy works</t>
  </si>
  <si>
    <t>Bhadrachalam</t>
  </si>
  <si>
    <t>Sattupalli</t>
  </si>
  <si>
    <t>Hardoi</t>
  </si>
  <si>
    <t>Gola</t>
  </si>
  <si>
    <t>Siddarthnagar</t>
  </si>
  <si>
    <t>Banda</t>
  </si>
  <si>
    <t>CP - HRTC - Palwal</t>
  </si>
  <si>
    <t>CP - HRTC - Asandh</t>
  </si>
  <si>
    <t>CP - HRTC - Rohtak</t>
  </si>
  <si>
    <t>Haryana</t>
  </si>
  <si>
    <t>Palwal</t>
  </si>
  <si>
    <t>Asandh</t>
  </si>
  <si>
    <t>Rohtak</t>
  </si>
  <si>
    <t>COPUAK15905</t>
  </si>
  <si>
    <t>MIAGAK15906</t>
  </si>
  <si>
    <t>COPUAK16106</t>
  </si>
  <si>
    <t>COPUAK16107</t>
  </si>
  <si>
    <t>COPUKC16108</t>
  </si>
  <si>
    <t>COPUKC16109</t>
  </si>
  <si>
    <t>COPUKC16110</t>
  </si>
  <si>
    <t>COPUKC16111</t>
  </si>
  <si>
    <t>COPUKC16112</t>
  </si>
  <si>
    <t>COPUKC16113</t>
  </si>
  <si>
    <t>COPUKC16114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</si>
</sst>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3" formatCode="_ * #,##0.00_ ;_ * \-#,##0.00_ ;_ * &quot;-&quot;??_ ;_ @_ "/>
    <numFmt numFmtId="164" formatCode="#;#;\-"/>
    <numFmt numFmtId="165" formatCode="_(* #,##0.00_);_(* \(#,##0.00\);_(* &quot;-&quot;??_);_(@_)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6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9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70C0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9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0" fontId="3" fillId="0" borderId="0" applyNumberForma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4">
    <xf numFmtId="0" fontId="0" fillId="0" borderId="0" xfId="0"/>
    <xf numFmtId="0" fontId="2" fillId="0" borderId="0" xfId="0" applyFont="1" applyBorder="1"/>
    <xf numFmtId="0" fontId="2" fillId="0" borderId="0" xfId="0" applyFont="1" applyAlignment="1">
      <alignment horizontal="center" vertical="center" wrapText="1"/>
    </xf>
    <xf numFmtId="15" fontId="2" fillId="0" borderId="0" xfId="0" applyNumberFormat="1" applyFont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5" fontId="2" fillId="0" borderId="0" xfId="0" applyNumberFormat="1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4" fillId="4" borderId="3" xfId="0" applyNumberFormat="1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/>
    </xf>
    <xf numFmtId="164" fontId="4" fillId="3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164" fontId="2" fillId="0" borderId="1" xfId="0" applyNumberFormat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left" vertical="center"/>
    </xf>
    <xf numFmtId="164" fontId="2" fillId="6" borderId="1" xfId="0" applyNumberFormat="1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left" vertical="center"/>
    </xf>
    <xf numFmtId="164" fontId="4" fillId="4" borderId="2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0" fontId="5" fillId="0" borderId="1" xfId="0" applyFont="1" applyFill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Fill="1" applyBorder="1" applyAlignment="1">
      <alignment horizontal="left" vertical="center"/>
    </xf>
    <xf numFmtId="164" fontId="6" fillId="0" borderId="1" xfId="0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8" fillId="0" borderId="0" xfId="0" applyNumberFormat="1" applyFont="1" applyAlignment="1">
      <alignment horizontal="center" vertical="center"/>
    </xf>
    <xf numFmtId="15" fontId="8" fillId="0" borderId="0" xfId="0" applyNumberFormat="1" applyFont="1" applyAlignment="1">
      <alignment horizontal="center" vertical="center"/>
    </xf>
    <xf numFmtId="1" fontId="8" fillId="0" borderId="0" xfId="0" applyNumberFormat="1" applyFont="1" applyAlignment="1">
      <alignment horizontal="center" vertical="center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pivotButton="1" applyFont="1"/>
    <xf numFmtId="0" fontId="0" fillId="0" borderId="0" xfId="0" pivotButton="1" applyFont="1" applyAlignment="1">
      <alignment wrapText="1"/>
    </xf>
    <xf numFmtId="0" fontId="0" fillId="0" borderId="1" xfId="0" applyNumberFormat="1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wrapText="1"/>
    </xf>
    <xf numFmtId="0" fontId="0" fillId="0" borderId="1" xfId="0" applyFont="1" applyBorder="1" applyAlignment="1">
      <alignment horizontal="center" vertical="center" wrapText="1"/>
    </xf>
    <xf numFmtId="0" fontId="0" fillId="0" borderId="1" xfId="0" applyFont="1" applyBorder="1" applyAlignment="1">
      <alignment horizontal="center" vertical="center"/>
    </xf>
    <xf numFmtId="14" fontId="0" fillId="0" borderId="1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Font="1" applyFill="1" applyBorder="1" applyAlignment="1">
      <alignment horizontal="center" vertical="center"/>
    </xf>
    <xf numFmtId="0" fontId="10" fillId="0" borderId="0" xfId="0" applyFont="1" applyBorder="1"/>
    <xf numFmtId="0" fontId="11" fillId="0" borderId="1" xfId="2" applyNumberFormat="1" applyFont="1" applyFill="1" applyBorder="1" applyAlignment="1">
      <alignment horizontal="center" vertical="center" wrapText="1"/>
    </xf>
    <xf numFmtId="14" fontId="11" fillId="0" borderId="1" xfId="2" applyNumberFormat="1" applyFont="1" applyFill="1" applyBorder="1" applyAlignment="1">
      <alignment horizontal="center" vertical="center" wrapText="1"/>
    </xf>
    <xf numFmtId="0" fontId="12" fillId="2" borderId="1" xfId="2" applyNumberFormat="1" applyFont="1" applyFill="1" applyBorder="1" applyAlignment="1">
      <alignment horizontal="center" vertical="center" wrapText="1"/>
    </xf>
    <xf numFmtId="0" fontId="13" fillId="8" borderId="1" xfId="2" applyNumberFormat="1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14" fontId="14" fillId="10" borderId="1" xfId="0" applyNumberFormat="1" applyFont="1" applyFill="1" applyBorder="1" applyAlignment="1">
      <alignment horizontal="center" vertical="center"/>
    </xf>
    <xf numFmtId="0" fontId="14" fillId="10" borderId="7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 vertical="center" wrapText="1"/>
    </xf>
    <xf numFmtId="14" fontId="15" fillId="0" borderId="1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center" vertical="center" wrapText="1"/>
    </xf>
    <xf numFmtId="0" fontId="15" fillId="0" borderId="1" xfId="0" applyNumberFormat="1" applyFont="1" applyFill="1" applyBorder="1" applyAlignment="1">
      <alignment horizontal="left" vertical="center"/>
    </xf>
    <xf numFmtId="14" fontId="15" fillId="0" borderId="1" xfId="0" applyNumberFormat="1" applyFont="1" applyFill="1" applyBorder="1" applyAlignment="1">
      <alignment horizontal="center" vertical="center"/>
    </xf>
    <xf numFmtId="0" fontId="15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 wrapText="1"/>
    </xf>
    <xf numFmtId="0" fontId="16" fillId="0" borderId="1" xfId="0" applyNumberFormat="1" applyFont="1" applyFill="1" applyBorder="1" applyAlignment="1">
      <alignment horizontal="left" vertical="center"/>
    </xf>
    <xf numFmtId="0" fontId="17" fillId="0" borderId="1" xfId="0" applyNumberFormat="1" applyFont="1" applyFill="1" applyBorder="1" applyAlignment="1">
      <alignment horizontal="left" vertical="center"/>
    </xf>
    <xf numFmtId="0" fontId="15" fillId="0" borderId="1" xfId="0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3" fontId="17" fillId="0" borderId="1" xfId="0" applyNumberFormat="1" applyFont="1" applyFill="1" applyBorder="1" applyAlignment="1">
      <alignment horizontal="center" vertical="center" wrapText="1"/>
    </xf>
    <xf numFmtId="0" fontId="17" fillId="0" borderId="1" xfId="0" applyNumberFormat="1" applyFont="1" applyFill="1" applyBorder="1" applyAlignment="1">
      <alignment horizontal="center" vertical="center" wrapText="1"/>
    </xf>
    <xf numFmtId="14" fontId="17" fillId="0" borderId="1" xfId="0" applyNumberFormat="1" applyFont="1" applyFill="1" applyBorder="1" applyAlignment="1">
      <alignment horizontal="center" vertical="center" wrapText="1"/>
    </xf>
    <xf numFmtId="14" fontId="16" fillId="0" borderId="1" xfId="0" applyNumberFormat="1" applyFont="1" applyFill="1" applyBorder="1" applyAlignment="1">
      <alignment horizontal="center" vertical="center" wrapText="1"/>
    </xf>
    <xf numFmtId="14" fontId="17" fillId="0" borderId="1" xfId="0" applyNumberFormat="1" applyFont="1" applyFill="1" applyBorder="1" applyAlignment="1">
      <alignment horizontal="center" vertical="center"/>
    </xf>
    <xf numFmtId="14" fontId="16" fillId="0" borderId="1" xfId="0" applyNumberFormat="1" applyFont="1" applyFill="1" applyBorder="1" applyAlignment="1">
      <alignment horizontal="center" vertical="center"/>
    </xf>
    <xf numFmtId="0" fontId="17" fillId="0" borderId="1" xfId="0" applyNumberFormat="1" applyFont="1" applyFill="1" applyBorder="1" applyAlignment="1">
      <alignment horizontal="center" vertical="center"/>
    </xf>
    <xf numFmtId="0" fontId="16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5" fontId="0" fillId="0" borderId="1" xfId="0" applyNumberFormat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11" fillId="0" borderId="10" xfId="2" applyNumberFormat="1" applyFont="1" applyFill="1" applyBorder="1" applyAlignment="1">
      <alignment horizontal="center" vertical="center" wrapText="1"/>
    </xf>
    <xf numFmtId="0" fontId="0" fillId="0" borderId="8" xfId="0" applyNumberFormat="1" applyFont="1" applyFill="1" applyBorder="1" applyAlignment="1">
      <alignment horizontal="left" vertical="center"/>
    </xf>
    <xf numFmtId="0" fontId="16" fillId="0" borderId="8" xfId="0" applyNumberFormat="1" applyFont="1" applyFill="1" applyBorder="1" applyAlignment="1">
      <alignment horizontal="left" vertical="center"/>
    </xf>
    <xf numFmtId="0" fontId="17" fillId="0" borderId="8" xfId="0" applyNumberFormat="1" applyFont="1" applyFill="1" applyBorder="1" applyAlignment="1">
      <alignment horizontal="left" vertical="center"/>
    </xf>
    <xf numFmtId="0" fontId="15" fillId="0" borderId="8" xfId="0" applyNumberFormat="1" applyFont="1" applyFill="1" applyBorder="1" applyAlignment="1">
      <alignment horizontal="left" vertical="center"/>
    </xf>
    <xf numFmtId="0" fontId="10" fillId="0" borderId="0" xfId="0" applyFont="1" applyFill="1" applyBorder="1"/>
    <xf numFmtId="0" fontId="0" fillId="0" borderId="0" xfId="0" applyFill="1" applyBorder="1"/>
    <xf numFmtId="0" fontId="19" fillId="0" borderId="1" xfId="0" applyNumberFormat="1" applyFont="1" applyBorder="1" applyAlignment="1">
      <alignment horizontal="center" vertical="center" wrapText="1"/>
    </xf>
    <xf numFmtId="0" fontId="21" fillId="11" borderId="1" xfId="0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0" fillId="0" borderId="1" xfId="0" applyFont="1" applyFill="1" applyBorder="1" applyAlignment="1">
      <alignment horizontal="center" vertical="center"/>
    </xf>
    <xf numFmtId="0" fontId="0" fillId="0" borderId="2" xfId="0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left" vertical="center"/>
    </xf>
    <xf numFmtId="0" fontId="0" fillId="0" borderId="2" xfId="0" applyNumberFormat="1" applyFont="1" applyFill="1" applyBorder="1" applyAlignment="1">
      <alignment horizontal="left" vertical="center"/>
    </xf>
    <xf numFmtId="0" fontId="20" fillId="0" borderId="1" xfId="0" applyFont="1" applyFill="1" applyBorder="1" applyAlignment="1">
      <alignment horizontal="left" vertical="center"/>
    </xf>
    <xf numFmtId="0" fontId="0" fillId="0" borderId="2" xfId="0" applyFont="1" applyFill="1" applyBorder="1" applyAlignment="1">
      <alignment horizontal="left" vertical="center"/>
    </xf>
    <xf numFmtId="0" fontId="20" fillId="0" borderId="1" xfId="0" applyNumberFormat="1" applyFont="1" applyFill="1" applyBorder="1" applyAlignment="1">
      <alignment horizontal="center" vertical="center" wrapText="1"/>
    </xf>
    <xf numFmtId="0" fontId="0" fillId="0" borderId="2" xfId="0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14" fontId="20" fillId="0" borderId="1" xfId="0" applyNumberFormat="1" applyFont="1" applyFill="1" applyBorder="1" applyAlignment="1">
      <alignment horizontal="center" vertical="center" wrapText="1"/>
    </xf>
    <xf numFmtId="14" fontId="0" fillId="0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horizontal="center" vertical="center" wrapText="1"/>
    </xf>
    <xf numFmtId="14" fontId="20" fillId="0" borderId="1" xfId="0" applyNumberFormat="1" applyFont="1" applyFill="1" applyBorder="1" applyAlignment="1">
      <alignment horizontal="center" vertical="center"/>
    </xf>
    <xf numFmtId="14" fontId="0" fillId="0" borderId="2" xfId="0" applyNumberFormat="1" applyFont="1" applyFill="1" applyBorder="1" applyAlignment="1">
      <alignment horizontal="center" vertical="center"/>
    </xf>
    <xf numFmtId="0" fontId="20" fillId="0" borderId="1" xfId="0" applyNumberFormat="1" applyFont="1" applyFill="1" applyBorder="1" applyAlignment="1">
      <alignment horizontal="center" vertical="center"/>
    </xf>
    <xf numFmtId="0" fontId="0" fillId="0" borderId="2" xfId="0" applyNumberFormat="1" applyFont="1" applyFill="1" applyBorder="1" applyAlignment="1">
      <alignment horizontal="center" vertical="center"/>
    </xf>
    <xf numFmtId="0" fontId="20" fillId="0" borderId="8" xfId="0" applyNumberFormat="1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left" vertical="center"/>
    </xf>
    <xf numFmtId="0" fontId="22" fillId="0" borderId="1" xfId="0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left" vertical="center"/>
    </xf>
    <xf numFmtId="0" fontId="22" fillId="0" borderId="1" xfId="0" applyNumberFormat="1" applyFont="1" applyFill="1" applyBorder="1" applyAlignment="1">
      <alignment horizontal="center" vertical="center"/>
    </xf>
    <xf numFmtId="0" fontId="22" fillId="0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>
      <alignment horizontal="center" vertical="center" wrapText="1"/>
    </xf>
    <xf numFmtId="14" fontId="22" fillId="0" borderId="1" xfId="0" applyNumberFormat="1" applyFont="1" applyFill="1" applyBorder="1" applyAlignment="1">
      <alignment horizontal="center" vertical="center"/>
    </xf>
    <xf numFmtId="0" fontId="22" fillId="0" borderId="2" xfId="0" applyFont="1" applyFill="1" applyBorder="1" applyAlignment="1">
      <alignment horizontal="left" vertical="center"/>
    </xf>
    <xf numFmtId="0" fontId="22" fillId="0" borderId="2" xfId="0" applyFont="1" applyFill="1" applyBorder="1" applyAlignment="1">
      <alignment horizontal="center" vertical="center"/>
    </xf>
    <xf numFmtId="0" fontId="22" fillId="0" borderId="2" xfId="0" applyNumberFormat="1" applyFont="1" applyFill="1" applyBorder="1" applyAlignment="1">
      <alignment horizontal="left" vertical="center"/>
    </xf>
    <xf numFmtId="0" fontId="22" fillId="0" borderId="2" xfId="0" applyNumberFormat="1" applyFont="1" applyFill="1" applyBorder="1" applyAlignment="1">
      <alignment horizontal="center" vertical="center"/>
    </xf>
    <xf numFmtId="0" fontId="22" fillId="0" borderId="2" xfId="0" applyNumberFormat="1" applyFont="1" applyFill="1" applyBorder="1" applyAlignment="1">
      <alignment horizontal="center" vertical="center" wrapText="1"/>
    </xf>
    <xf numFmtId="14" fontId="22" fillId="0" borderId="2" xfId="0" applyNumberFormat="1" applyFont="1" applyFill="1" applyBorder="1" applyAlignment="1">
      <alignment horizontal="center" vertical="center" wrapText="1"/>
    </xf>
    <xf numFmtId="14" fontId="22" fillId="0" borderId="2" xfId="0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6" fontId="0" fillId="0" borderId="2" xfId="0" applyNumberFormat="1" applyBorder="1" applyAlignment="1">
      <alignment horizontal="center" vertical="center"/>
    </xf>
    <xf numFmtId="9" fontId="0" fillId="0" borderId="1" xfId="0" applyNumberFormat="1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22" fillId="0" borderId="1" xfId="0" applyFont="1" applyFill="1" applyBorder="1" applyAlignment="1">
      <alignment horizontal="center" vertical="center" wrapText="1"/>
    </xf>
    <xf numFmtId="0" fontId="22" fillId="0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6" fillId="0" borderId="1" xfId="0" applyFont="1" applyFill="1" applyBorder="1" applyAlignment="1">
      <alignment horizontal="center" vertical="center" wrapText="1"/>
    </xf>
    <xf numFmtId="0" fontId="13" fillId="8" borderId="1" xfId="2" applyNumberFormat="1" applyFont="1" applyFill="1" applyBorder="1" applyAlignment="1">
      <alignment horizontal="left" vertical="center" wrapText="1"/>
    </xf>
    <xf numFmtId="0" fontId="10" fillId="0" borderId="0" xfId="0" applyFont="1"/>
    <xf numFmtId="14" fontId="0" fillId="0" borderId="1" xfId="0" applyNumberFormat="1" applyBorder="1" applyAlignment="1">
      <alignment horizontal="center" vertical="center" wrapText="1"/>
    </xf>
    <xf numFmtId="9" fontId="0" fillId="0" borderId="1" xfId="2" applyFont="1" applyFill="1" applyBorder="1" applyAlignment="1">
      <alignment horizontal="center" vertical="center" wrapText="1"/>
    </xf>
    <xf numFmtId="0" fontId="0" fillId="0" borderId="2" xfId="2" applyNumberFormat="1" applyFont="1" applyFill="1" applyBorder="1" applyAlignment="1">
      <alignment horizontal="center" vertical="center" wrapText="1"/>
    </xf>
    <xf numFmtId="0" fontId="22" fillId="0" borderId="12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3" xfId="0" applyNumberFormat="1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4" fontId="0" fillId="0" borderId="7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6" fontId="0" fillId="0" borderId="1" xfId="0" applyNumberFormat="1" applyBorder="1" applyAlignment="1">
      <alignment horizontal="center" vertical="center"/>
    </xf>
    <xf numFmtId="0" fontId="0" fillId="0" borderId="0" xfId="0" applyFill="1" applyBorder="1" applyAlignment="1"/>
    <xf numFmtId="0" fontId="0" fillId="0" borderId="1" xfId="2" applyNumberFormat="1" applyFont="1" applyFill="1" applyBorder="1" applyAlignment="1">
      <alignment horizontal="center" vertical="center" wrapText="1"/>
    </xf>
    <xf numFmtId="14" fontId="10" fillId="0" borderId="0" xfId="0" applyNumberFormat="1" applyFont="1" applyFill="1" applyBorder="1"/>
    <xf numFmtId="0" fontId="0" fillId="0" borderId="0" xfId="0" applyFont="1" applyAlignment="1">
      <alignment horizontal="left" vertical="center"/>
    </xf>
    <xf numFmtId="0" fontId="0" fillId="0" borderId="9" xfId="0" applyFont="1" applyFill="1" applyBorder="1" applyAlignment="1">
      <alignment horizontal="left" vertical="center"/>
    </xf>
    <xf numFmtId="0" fontId="0" fillId="0" borderId="9" xfId="5" applyNumberFormat="1" applyFont="1" applyBorder="1" applyAlignment="1">
      <alignment horizontal="left" vertical="center"/>
    </xf>
    <xf numFmtId="0" fontId="0" fillId="0" borderId="1" xfId="0" pivotButton="1" applyFont="1" applyBorder="1" applyAlignment="1">
      <alignment wrapText="1"/>
    </xf>
    <xf numFmtId="0" fontId="0" fillId="0" borderId="1" xfId="0" pivotButton="1" applyFont="1" applyBorder="1"/>
    <xf numFmtId="0" fontId="0" fillId="0" borderId="1" xfId="0" applyFont="1" applyBorder="1" applyAlignment="1">
      <alignment wrapText="1"/>
    </xf>
    <xf numFmtId="0" fontId="10" fillId="0" borderId="28" xfId="0" pivotButton="1" applyFont="1" applyBorder="1" applyAlignment="1">
      <alignment horizontal="center" vertical="center" wrapText="1"/>
    </xf>
    <xf numFmtId="0" fontId="10" fillId="0" borderId="28" xfId="0" applyFont="1" applyBorder="1" applyAlignment="1">
      <alignment horizontal="center" vertical="center" wrapText="1"/>
    </xf>
    <xf numFmtId="0" fontId="10" fillId="0" borderId="33" xfId="0" applyFont="1" applyBorder="1" applyAlignment="1">
      <alignment horizontal="center" vertical="center" wrapText="1"/>
    </xf>
    <xf numFmtId="0" fontId="0" fillId="0" borderId="18" xfId="0" applyNumberFormat="1" applyFont="1" applyBorder="1" applyAlignment="1">
      <alignment horizontal="center" vertical="center" wrapText="1"/>
    </xf>
    <xf numFmtId="0" fontId="0" fillId="0" borderId="27" xfId="0" applyNumberFormat="1" applyFont="1" applyBorder="1" applyAlignment="1">
      <alignment horizontal="center" vertical="center"/>
    </xf>
    <xf numFmtId="0" fontId="0" fillId="0" borderId="27" xfId="0" applyNumberFormat="1" applyFont="1" applyBorder="1" applyAlignment="1">
      <alignment horizontal="center" vertical="center" wrapText="1"/>
    </xf>
    <xf numFmtId="0" fontId="0" fillId="0" borderId="19" xfId="0" applyNumberFormat="1" applyFont="1" applyBorder="1" applyAlignment="1">
      <alignment horizontal="center" vertical="center"/>
    </xf>
    <xf numFmtId="0" fontId="10" fillId="0" borderId="34" xfId="0" applyFont="1" applyBorder="1" applyAlignment="1">
      <alignment horizontal="center" vertical="center" wrapText="1"/>
    </xf>
    <xf numFmtId="0" fontId="0" fillId="0" borderId="29" xfId="0" applyFont="1" applyBorder="1" applyAlignment="1">
      <alignment horizontal="left" vertical="center" wrapText="1"/>
    </xf>
    <xf numFmtId="0" fontId="0" fillId="0" borderId="18" xfId="0" applyNumberFormat="1" applyFont="1" applyBorder="1" applyAlignment="1">
      <alignment horizontal="center" vertical="center"/>
    </xf>
    <xf numFmtId="0" fontId="0" fillId="0" borderId="30" xfId="0" applyFont="1" applyBorder="1" applyAlignment="1">
      <alignment horizontal="left" vertical="center" wrapText="1"/>
    </xf>
    <xf numFmtId="0" fontId="0" fillId="0" borderId="20" xfId="0" applyNumberFormat="1" applyFont="1" applyBorder="1" applyAlignment="1">
      <alignment horizontal="center" vertical="center"/>
    </xf>
    <xf numFmtId="0" fontId="0" fillId="0" borderId="31" xfId="0" applyFont="1" applyBorder="1" applyAlignment="1">
      <alignment horizontal="left" vertical="center" wrapText="1"/>
    </xf>
    <xf numFmtId="0" fontId="10" fillId="0" borderId="24" xfId="0" applyNumberFormat="1" applyFont="1" applyBorder="1" applyAlignment="1">
      <alignment horizontal="center" vertical="center" wrapText="1"/>
    </xf>
    <xf numFmtId="0" fontId="10" fillId="0" borderId="22" xfId="0" applyNumberFormat="1" applyFont="1" applyBorder="1" applyAlignment="1">
      <alignment horizontal="center" vertical="center"/>
    </xf>
    <xf numFmtId="0" fontId="10" fillId="0" borderId="23" xfId="0" applyNumberFormat="1" applyFont="1" applyBorder="1" applyAlignment="1">
      <alignment horizontal="center" vertical="center" wrapText="1"/>
    </xf>
    <xf numFmtId="0" fontId="10" fillId="0" borderId="23" xfId="0" applyNumberFormat="1" applyFont="1" applyBorder="1" applyAlignment="1">
      <alignment horizontal="center" vertical="center"/>
    </xf>
    <xf numFmtId="0" fontId="0" fillId="0" borderId="22" xfId="0" applyNumberFormat="1" applyFont="1" applyBorder="1" applyAlignment="1">
      <alignment horizontal="center" vertical="center"/>
    </xf>
    <xf numFmtId="0" fontId="0" fillId="0" borderId="23" xfId="0" applyNumberFormat="1" applyFont="1" applyBorder="1" applyAlignment="1">
      <alignment horizontal="center" vertical="center" wrapText="1"/>
    </xf>
    <xf numFmtId="0" fontId="0" fillId="0" borderId="23" xfId="0" applyNumberFormat="1" applyFont="1" applyBorder="1" applyAlignment="1">
      <alignment horizontal="center" vertical="center"/>
    </xf>
    <xf numFmtId="0" fontId="0" fillId="0" borderId="24" xfId="0" applyNumberFormat="1" applyFont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/>
    </xf>
    <xf numFmtId="0" fontId="14" fillId="3" borderId="28" xfId="0" applyFont="1" applyFill="1" applyBorder="1" applyAlignment="1">
      <alignment horizontal="center" vertical="center" wrapText="1"/>
    </xf>
    <xf numFmtId="3" fontId="0" fillId="0" borderId="2" xfId="0" applyNumberFormat="1" applyFont="1" applyFill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/>
    </xf>
    <xf numFmtId="0" fontId="23" fillId="0" borderId="0" xfId="0" applyFont="1" applyAlignment="1">
      <alignment horizontal="left" vertical="center"/>
    </xf>
    <xf numFmtId="0" fontId="0" fillId="0" borderId="13" xfId="0" applyFont="1" applyBorder="1" applyAlignment="1">
      <alignment horizontal="left" vertical="center"/>
    </xf>
    <xf numFmtId="0" fontId="0" fillId="0" borderId="11" xfId="0" applyFont="1" applyBorder="1" applyAlignment="1">
      <alignment horizontal="left" vertical="center"/>
    </xf>
    <xf numFmtId="0" fontId="0" fillId="0" borderId="14" xfId="0" applyFont="1" applyBorder="1" applyAlignment="1">
      <alignment horizontal="left" vertical="center"/>
    </xf>
    <xf numFmtId="0" fontId="9" fillId="0" borderId="0" xfId="0" applyFont="1" applyFill="1" applyBorder="1" applyAlignment="1">
      <alignment vertical="center"/>
    </xf>
    <xf numFmtId="0" fontId="10" fillId="0" borderId="32" xfId="0" applyFont="1" applyBorder="1" applyAlignment="1">
      <alignment horizontal="center" vertical="center" wrapText="1"/>
    </xf>
    <xf numFmtId="0" fontId="14" fillId="3" borderId="23" xfId="0" applyNumberFormat="1" applyFont="1" applyFill="1" applyBorder="1" applyAlignment="1">
      <alignment horizontal="center" vertical="center"/>
    </xf>
    <xf numFmtId="0" fontId="14" fillId="3" borderId="23" xfId="0" applyNumberFormat="1" applyFont="1" applyFill="1" applyBorder="1" applyAlignment="1">
      <alignment horizontal="center" vertical="center" wrapText="1"/>
    </xf>
    <xf numFmtId="0" fontId="14" fillId="3" borderId="24" xfId="0" applyNumberFormat="1" applyFont="1" applyFill="1" applyBorder="1" applyAlignment="1">
      <alignment horizontal="center" vertical="center"/>
    </xf>
    <xf numFmtId="0" fontId="14" fillId="3" borderId="34" xfId="0" applyFont="1" applyFill="1" applyBorder="1" applyAlignment="1">
      <alignment horizontal="center" vertical="center" wrapText="1"/>
    </xf>
    <xf numFmtId="0" fontId="14" fillId="3" borderId="33" xfId="0" applyFont="1" applyFill="1" applyBorder="1" applyAlignment="1">
      <alignment horizontal="center" vertical="center" wrapText="1"/>
    </xf>
    <xf numFmtId="0" fontId="14" fillId="3" borderId="17" xfId="0" applyFont="1" applyFill="1" applyBorder="1" applyAlignment="1">
      <alignment horizontal="center" vertical="center"/>
    </xf>
    <xf numFmtId="0" fontId="0" fillId="0" borderId="29" xfId="0" applyFont="1" applyBorder="1" applyAlignment="1">
      <alignment horizontal="left" vertical="center"/>
    </xf>
    <xf numFmtId="0" fontId="0" fillId="0" borderId="31" xfId="0" applyFont="1" applyBorder="1" applyAlignment="1">
      <alignment horizontal="left" vertical="center"/>
    </xf>
    <xf numFmtId="0" fontId="14" fillId="3" borderId="22" xfId="0" applyNumberFormat="1" applyFont="1" applyFill="1" applyBorder="1" applyAlignment="1">
      <alignment horizontal="center" vertical="center"/>
    </xf>
    <xf numFmtId="0" fontId="14" fillId="3" borderId="35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vertical="center" wrapText="1"/>
    </xf>
    <xf numFmtId="0" fontId="10" fillId="0" borderId="27" xfId="0" applyFont="1" applyBorder="1" applyAlignment="1">
      <alignment horizontal="center" vertical="center" wrapText="1"/>
    </xf>
    <xf numFmtId="0" fontId="0" fillId="0" borderId="19" xfId="0" applyNumberFormat="1" applyFont="1" applyBorder="1" applyAlignment="1">
      <alignment horizontal="center" vertical="center" wrapText="1"/>
    </xf>
    <xf numFmtId="0" fontId="0" fillId="0" borderId="21" xfId="0" applyNumberFormat="1" applyFont="1" applyBorder="1" applyAlignment="1">
      <alignment horizontal="center" vertical="center" wrapText="1"/>
    </xf>
    <xf numFmtId="0" fontId="0" fillId="0" borderId="24" xfId="0" applyNumberFormat="1" applyFont="1" applyBorder="1" applyAlignment="1">
      <alignment horizontal="center" vertical="center" wrapText="1"/>
    </xf>
    <xf numFmtId="9" fontId="0" fillId="0" borderId="2" xfId="0" applyNumberFormat="1" applyFont="1" applyFill="1" applyBorder="1" applyAlignment="1">
      <alignment horizontal="center" vertical="center" wrapText="1"/>
    </xf>
    <xf numFmtId="0" fontId="25" fillId="0" borderId="1" xfId="0" applyFont="1" applyFill="1" applyBorder="1" applyAlignment="1">
      <alignment horizontal="center" vertical="center"/>
    </xf>
    <xf numFmtId="0" fontId="25" fillId="0" borderId="1" xfId="0" applyNumberFormat="1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left" vertical="center"/>
    </xf>
    <xf numFmtId="0" fontId="25" fillId="0" borderId="1" xfId="0" applyFont="1" applyFill="1" applyBorder="1" applyAlignment="1">
      <alignment horizontal="center" vertical="center" wrapText="1"/>
    </xf>
    <xf numFmtId="0" fontId="25" fillId="0" borderId="1" xfId="0" applyNumberFormat="1" applyFont="1" applyFill="1" applyBorder="1" applyAlignment="1">
      <alignment horizontal="center" vertical="center"/>
    </xf>
    <xf numFmtId="3" fontId="25" fillId="0" borderId="1" xfId="0" applyNumberFormat="1" applyFont="1" applyFill="1" applyBorder="1" applyAlignment="1">
      <alignment horizontal="center" vertical="center" wrapText="1"/>
    </xf>
    <xf numFmtId="0" fontId="25" fillId="0" borderId="1" xfId="0" applyNumberFormat="1" applyFont="1" applyFill="1" applyBorder="1" applyAlignment="1">
      <alignment horizontal="center" vertical="center" wrapText="1"/>
    </xf>
    <xf numFmtId="14" fontId="25" fillId="0" borderId="1" xfId="0" applyNumberFormat="1" applyFont="1" applyFill="1" applyBorder="1" applyAlignment="1">
      <alignment horizontal="center" vertical="center" wrapText="1"/>
    </xf>
    <xf numFmtId="14" fontId="25" fillId="0" borderId="1" xfId="0" applyNumberFormat="1" applyFont="1" applyFill="1" applyBorder="1" applyAlignment="1">
      <alignment horizontal="center" vertical="center"/>
    </xf>
    <xf numFmtId="0" fontId="25" fillId="0" borderId="2" xfId="0" applyFont="1" applyFill="1" applyBorder="1" applyAlignment="1">
      <alignment horizontal="center" vertical="center"/>
    </xf>
    <xf numFmtId="0" fontId="25" fillId="0" borderId="2" xfId="0" applyNumberFormat="1" applyFont="1" applyFill="1" applyBorder="1" applyAlignment="1">
      <alignment horizontal="left" vertical="center"/>
    </xf>
    <xf numFmtId="0" fontId="25" fillId="0" borderId="2" xfId="0" applyFont="1" applyFill="1" applyBorder="1" applyAlignment="1">
      <alignment horizontal="left" vertical="center"/>
    </xf>
    <xf numFmtId="0" fontId="25" fillId="0" borderId="2" xfId="0" applyFont="1" applyFill="1" applyBorder="1" applyAlignment="1">
      <alignment horizontal="center" vertical="center" wrapText="1"/>
    </xf>
    <xf numFmtId="0" fontId="25" fillId="0" borderId="2" xfId="0" applyNumberFormat="1" applyFont="1" applyFill="1" applyBorder="1" applyAlignment="1">
      <alignment horizontal="center" vertical="center"/>
    </xf>
    <xf numFmtId="3" fontId="25" fillId="0" borderId="2" xfId="0" applyNumberFormat="1" applyFont="1" applyFill="1" applyBorder="1" applyAlignment="1">
      <alignment horizontal="center" vertical="center" wrapText="1"/>
    </xf>
    <xf numFmtId="0" fontId="25" fillId="0" borderId="2" xfId="0" applyNumberFormat="1" applyFont="1" applyFill="1" applyBorder="1" applyAlignment="1">
      <alignment horizontal="center" vertical="center" wrapText="1"/>
    </xf>
    <xf numFmtId="14" fontId="25" fillId="0" borderId="2" xfId="0" applyNumberFormat="1" applyFont="1" applyFill="1" applyBorder="1" applyAlignment="1">
      <alignment horizontal="center" vertical="center" wrapText="1"/>
    </xf>
    <xf numFmtId="14" fontId="25" fillId="0" borderId="2" xfId="0" applyNumberFormat="1" applyFont="1" applyFill="1" applyBorder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 wrapText="1"/>
    </xf>
    <xf numFmtId="0" fontId="25" fillId="0" borderId="3" xfId="0" applyFont="1" applyFill="1" applyBorder="1" applyAlignment="1">
      <alignment horizontal="center" vertical="center"/>
    </xf>
    <xf numFmtId="0" fontId="25" fillId="0" borderId="3" xfId="0" applyFont="1" applyFill="1" applyBorder="1" applyAlignment="1">
      <alignment horizontal="center" vertical="center" wrapText="1"/>
    </xf>
    <xf numFmtId="3" fontId="25" fillId="0" borderId="3" xfId="0" applyNumberFormat="1" applyFont="1" applyFill="1" applyBorder="1" applyAlignment="1">
      <alignment horizontal="center" vertical="center" wrapText="1"/>
    </xf>
    <xf numFmtId="0" fontId="25" fillId="0" borderId="3" xfId="0" applyNumberFormat="1" applyFont="1" applyFill="1" applyBorder="1" applyAlignment="1">
      <alignment horizontal="center" vertical="center" wrapText="1"/>
    </xf>
    <xf numFmtId="14" fontId="25" fillId="0" borderId="3" xfId="0" applyNumberFormat="1" applyFont="1" applyFill="1" applyBorder="1" applyAlignment="1">
      <alignment horizontal="center" vertical="center" wrapText="1"/>
    </xf>
    <xf numFmtId="0" fontId="0" fillId="0" borderId="3" xfId="0" applyNumberFormat="1" applyFont="1" applyFill="1" applyBorder="1" applyAlignment="1">
      <alignment horizontal="left" vertical="center"/>
    </xf>
    <xf numFmtId="0" fontId="24" fillId="3" borderId="36" xfId="0" applyFont="1" applyFill="1" applyBorder="1" applyAlignment="1">
      <alignment horizontal="center" vertical="center" wrapText="1"/>
    </xf>
    <xf numFmtId="0" fontId="2" fillId="0" borderId="4" xfId="4" applyNumberFormat="1" applyFont="1" applyFill="1" applyBorder="1" applyAlignment="1">
      <alignment horizontal="center" vertical="center"/>
    </xf>
    <xf numFmtId="0" fontId="2" fillId="0" borderId="6" xfId="4" applyNumberFormat="1" applyFont="1" applyFill="1" applyBorder="1" applyAlignment="1">
      <alignment horizontal="center" vertical="center"/>
    </xf>
    <xf numFmtId="9" fontId="0" fillId="0" borderId="3" xfId="2" applyFont="1" applyFill="1" applyBorder="1" applyAlignment="1">
      <alignment horizontal="center" vertical="center" wrapText="1"/>
    </xf>
    <xf numFmtId="9" fontId="0" fillId="0" borderId="2" xfId="2" applyFont="1" applyFill="1" applyBorder="1" applyAlignment="1">
      <alignment horizontal="center" vertical="center" wrapText="1"/>
    </xf>
    <xf numFmtId="0" fontId="18" fillId="9" borderId="15" xfId="0" applyFont="1" applyFill="1" applyBorder="1" applyAlignment="1">
      <alignment horizontal="center" vertical="center" wrapText="1"/>
    </xf>
    <xf numFmtId="0" fontId="18" fillId="9" borderId="16" xfId="0" applyFont="1" applyFill="1" applyBorder="1" applyAlignment="1">
      <alignment horizontal="center" vertical="center" wrapText="1"/>
    </xf>
    <xf numFmtId="0" fontId="18" fillId="9" borderId="17" xfId="0" applyFont="1" applyFill="1" applyBorder="1" applyAlignment="1">
      <alignment horizontal="center" vertical="center" wrapText="1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9" fillId="11" borderId="15" xfId="0" applyFont="1" applyFill="1" applyBorder="1" applyAlignment="1">
      <alignment horizontal="center" vertical="center"/>
    </xf>
    <xf numFmtId="0" fontId="9" fillId="11" borderId="16" xfId="0" applyFont="1" applyFill="1" applyBorder="1" applyAlignment="1">
      <alignment horizontal="center" vertical="center"/>
    </xf>
    <xf numFmtId="0" fontId="9" fillId="11" borderId="17" xfId="0" applyFont="1" applyFill="1" applyBorder="1" applyAlignment="1">
      <alignment horizontal="center" vertical="center"/>
    </xf>
  </cellXfs>
  <cellStyles count="6">
    <cellStyle name="=C:\WINNT\SYSTEM32\COMMAND.COM 3" xfId="1" xr:uid="{00000000-0005-0000-0000-000000000000}"/>
    <cellStyle name="Comma" xfId="5" builtinId="3"/>
    <cellStyle name="Comma 2" xfId="3" xr:uid="{00000000-0005-0000-0000-000002000000}"/>
    <cellStyle name="Comma 3" xfId="4" xr:uid="{00000000-0005-0000-0000-000003000000}"/>
    <cellStyle name="Normal" xfId="0" builtinId="0"/>
    <cellStyle name="Percent" xfId="2" builtinId="5"/>
  </cellStyles>
  <dxfs count="737"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name val="Calibri"/>
      </font>
    </dxf>
    <dxf>
      <font>
        <strike val="0"/>
        <outline val="0"/>
        <shadow val="0"/>
        <u val="none"/>
        <vertAlign val="baseline"/>
        <sz val="12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1" formatCode="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20" formatCode="dd/mmm/yy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#;#;\-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solid">
          <fgColor indexed="64"/>
          <bgColor theme="4" tint="0.39997558519241921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z val="11"/>
      </font>
    </dxf>
    <dxf>
      <font>
        <sz val="11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font>
        <sz val="12"/>
      </font>
      <alignment horizontal="center" vertical="center" wrapText="1"/>
    </dxf>
    <dxf>
      <border>
        <top style="medium">
          <color indexed="64"/>
        </top>
      </border>
    </dxf>
    <dxf>
      <font>
        <sz val="12"/>
      </font>
      <alignment wrapText="1"/>
    </dxf>
    <dxf>
      <alignment vertical="center"/>
    </dxf>
    <dxf>
      <alignment horizontal="center"/>
    </dxf>
    <dxf>
      <alignment wrapText="1"/>
    </dxf>
    <dxf>
      <alignment wrapText="1"/>
    </dxf>
    <dxf>
      <border>
        <top style="medium">
          <color indexed="64"/>
        </top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bottom style="medium">
          <color indexed="64"/>
        </bottom>
      </border>
    </dxf>
    <dxf>
      <font>
        <sz val="12"/>
      </font>
      <alignment horizontal="center" vertical="center" wrapText="1"/>
    </dxf>
    <dxf>
      <font>
        <sz val="12"/>
      </font>
    </dxf>
    <dxf>
      <font>
        <sz val="12"/>
      </font>
    </dxf>
    <dxf>
      <font>
        <sz val="11"/>
      </font>
    </dxf>
    <dxf>
      <font>
        <sz val="12"/>
      </font>
    </dxf>
    <dxf>
      <alignment horizontal="center" vertical="center" wrapText="1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vertical="center"/>
    </dxf>
    <dxf>
      <alignment horizontal="center"/>
    </dxf>
    <dxf>
      <alignment vertical="center"/>
    </dxf>
    <dxf>
      <alignment horizontal="center"/>
    </dxf>
    <dxf>
      <alignment wrapText="1"/>
    </dxf>
    <dxf>
      <alignment vertical="center"/>
    </dxf>
    <dxf>
      <alignment horizontal="center"/>
    </dxf>
    <dxf>
      <font>
        <sz val="12"/>
      </font>
      <alignment horizontal="center" vertical="center" wrapText="1"/>
    </dxf>
    <dxf>
      <alignment horizontal="left"/>
    </dxf>
    <dxf>
      <alignment wrapText="1"/>
    </dxf>
    <dxf>
      <alignment horizontal="center"/>
    </dxf>
    <dxf>
      <alignment vertical="center"/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border>
        <left style="thin">
          <color indexed="64"/>
        </left>
        <right style="thin">
          <color indexed="64"/>
        </right>
      </border>
    </dxf>
    <dxf>
      <fill>
        <patternFill>
          <bgColor auto="1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font>
        <sz val="12"/>
      </font>
      <alignment horizontal="center" vertical="center" wrapText="1"/>
    </dxf>
    <dxf>
      <font>
        <sz val="12"/>
      </font>
      <alignment horizontal="center" vertical="center" wrapText="1"/>
    </dxf>
    <dxf>
      <border>
        <top style="thin">
          <color indexed="64"/>
        </top>
      </border>
    </dxf>
    <dxf>
      <font>
        <sz val="12"/>
      </font>
      <alignment horizontal="center" vertical="center" wrapText="1"/>
    </dxf>
    <dxf>
      <border>
        <top style="thin">
          <color indexed="64"/>
        </top>
        <horizontal style="thin">
          <color indexed="64"/>
        </horizontal>
      </border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</border>
    </dxf>
    <dxf>
      <alignment wrapText="1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font>
        <sz val="12"/>
      </font>
      <alignment wrapText="1" readingOrder="0"/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border>
        <top style="thin">
          <color indexed="64"/>
        </top>
        <horizontal style="thin">
          <color indexed="64"/>
        </horizontal>
      </border>
    </dxf>
    <dxf>
      <border>
        <top style="thin">
          <color indexed="64"/>
        </top>
        <horizontal style="thin">
          <color indexed="64"/>
        </horizontal>
      </border>
    </dxf>
    <dxf>
      <font>
        <sz val="12"/>
      </font>
      <alignment horizontal="center" vertical="center" wrapText="1" readingOrder="0"/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0" readingOrder="0"/>
    </dxf>
    <dxf>
      <border>
        <vertical style="thin">
          <color indexed="64"/>
        </vertical>
      </border>
    </dxf>
    <dxf>
      <alignment wrapText="1" readingOrder="0"/>
    </dxf>
    <dxf>
      <alignment wrapText="0" readingOrder="0"/>
    </dxf>
    <dxf>
      <border>
        <vertical style="thin">
          <color indexed="64"/>
        </vertical>
      </border>
    </dxf>
    <dxf>
      <alignment wrapText="1" readingOrder="0"/>
    </dxf>
    <dxf>
      <alignment wrapText="0" readingOrder="0"/>
    </dxf>
    <dxf>
      <border>
        <vertical style="thin">
          <color indexed="64"/>
        </vertical>
      </border>
    </dxf>
    <dxf>
      <alignment wrapText="1" readingOrder="0"/>
    </dxf>
    <dxf>
      <alignment wrapText="0" readingOrder="0"/>
    </dxf>
    <dxf>
      <border>
        <vertical style="thin">
          <color indexed="64"/>
        </vertical>
      </border>
    </dxf>
    <dxf>
      <alignment wrapText="1" readingOrder="0"/>
    </dxf>
    <dxf>
      <alignment wrapText="1" readingOrder="0"/>
    </dxf>
    <dxf>
      <alignment wrapText="0" readingOrder="0"/>
    </dxf>
    <dxf>
      <border>
        <vertical style="thin">
          <color indexed="64"/>
        </vertical>
      </border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font>
        <sz val="12"/>
      </font>
      <alignment wrapText="1" readingOrder="0"/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vertical="center" readingOrder="0"/>
    </dxf>
    <dxf>
      <alignment wrapText="1" readingOrder="0"/>
    </dxf>
    <dxf>
      <alignment wrapText="0" readingOrder="0"/>
    </dxf>
    <dxf>
      <border>
        <vertical style="thin">
          <color indexed="64"/>
        </vertical>
      </border>
    </dxf>
    <dxf>
      <border>
        <vertical style="thin">
          <color indexed="64"/>
        </vertical>
      </border>
    </dxf>
    <dxf>
      <alignment wrapText="1" readingOrder="0"/>
    </dxf>
    <dxf>
      <alignment wrapText="0" readingOrder="0"/>
    </dxf>
    <dxf>
      <border>
        <vertical style="thin">
          <color indexed="64"/>
        </vertical>
        <horizontal style="thin">
          <color indexed="64"/>
        </horizontal>
      </border>
    </dxf>
    <dxf>
      <border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font>
        <sz val="12"/>
      </font>
    </dxf>
    <dxf>
      <alignment wrapText="1" readingOrder="0"/>
    </dxf>
    <dxf>
      <alignment wrapText="0" readingOrder="0"/>
    </dxf>
    <dxf>
      <alignment wrapText="1" readingOrder="0"/>
    </dxf>
    <dxf>
      <font>
        <sz val="12"/>
      </font>
    </dxf>
    <dxf>
      <alignment horizontal="center" readingOrder="0"/>
    </dxf>
    <dxf>
      <alignment vertical="center" readingOrder="0"/>
    </dxf>
    <dxf>
      <alignment wrapText="1" readingOrder="0"/>
    </dxf>
    <dxf>
      <alignment wrapText="0" readingOrder="0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0" readingOrder="0"/>
    </dxf>
    <dxf>
      <font>
        <sz val="12"/>
      </font>
      <alignment horizontal="center" vertical="center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horizontal="center" readingOrder="0"/>
    </dxf>
    <dxf>
      <alignment wrapText="1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wrapText="1" readingOrder="0"/>
    </dxf>
    <dxf>
      <alignment wrapText="0" readingOrder="0"/>
    </dxf>
    <dxf>
      <alignment wrapText="1" readingOrder="0"/>
    </dxf>
    <dxf>
      <alignment wrapText="1" readingOrder="0"/>
    </dxf>
    <dxf>
      <alignment wrapText="0" readingOrder="0"/>
    </dxf>
    <dxf>
      <border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font>
        <sz val="12"/>
      </font>
      <alignment horizontal="center" vertical="center" wrapText="1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font>
        <sz val="12"/>
      </font>
      <alignment horizontal="center" vertical="center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border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border>
        <left style="thin">
          <color indexed="64"/>
        </left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vertical="bottom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alignment horizontal="general" readingOrder="0"/>
    </dxf>
    <dxf>
      <border>
        <left style="thin">
          <color indexed="64"/>
        </left>
        <vertical style="thin">
          <color indexed="64"/>
        </vertical>
      </border>
    </dxf>
    <dxf>
      <alignment horizontal="center" readingOrder="0"/>
    </dxf>
    <dxf>
      <alignment horizontal="general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1"/>
      </font>
    </dxf>
    <dxf>
      <font>
        <sz val="11"/>
      </font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bottom style="medium">
          <color indexed="64"/>
        </bottom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</border>
    </dxf>
    <dxf>
      <border>
        <right style="medium">
          <color indexed="64"/>
        </right>
      </border>
    </dxf>
    <dxf>
      <border>
        <right style="medium">
          <color indexed="64"/>
        </right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horizont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alignment wrapText="1"/>
    </dxf>
    <dxf>
      <border>
        <top style="thin">
          <color indexed="64"/>
        </top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alignment wrapText="1" readingOrder="0"/>
    </dxf>
    <dxf>
      <alignment wrapText="0" readingOrder="0"/>
    </dxf>
    <dxf>
      <alignment wrapText="1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alignment wrapText="0" readingOrder="0"/>
    </dxf>
    <dxf>
      <alignment wrapText="1" readingOrder="0"/>
    </dxf>
    <dxf>
      <border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0" readingOrder="0"/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top style="thin">
          <color indexed="64"/>
        </top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alignment wrapText="1" readingOrder="0"/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0" readingOrder="0"/>
    </dxf>
    <dxf>
      <alignment wrapText="1" readingOrder="0"/>
    </dxf>
    <dxf>
      <alignment wrapText="0" readingOrder="0"/>
    </dxf>
    <dxf>
      <border>
        <top style="thin">
          <color indexed="64"/>
        </top>
        <horizontal style="thin">
          <color indexed="64"/>
        </horizontal>
      </border>
    </dxf>
    <dxf>
      <font>
        <color auto="1"/>
      </font>
      <fill>
        <patternFill patternType="solid">
          <fgColor indexed="64"/>
          <bgColor theme="4" tint="0.39997558519241921"/>
        </patternFill>
      </fill>
      <alignment horizontal="center" vertical="center" readingOrder="0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border>
        <vertical style="thin">
          <color indexed="64"/>
        </vertical>
        <horizontal style="thin">
          <color indexed="64"/>
        </horizontal>
      </border>
    </dxf>
    <dxf>
      <border>
        <vertical style="thin">
          <color indexed="64"/>
        </vertical>
        <horizontal style="thin">
          <color indexed="64"/>
        </horizontal>
      </border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sz val="12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fill>
        <patternFill>
          <bgColor theme="4" tint="0.39997558519241921"/>
        </patternFill>
      </fill>
    </dxf>
    <dxf>
      <alignment wrapText="1" readingOrder="0"/>
    </dxf>
    <dxf>
      <alignment wrapText="1" readingOrder="0"/>
    </dxf>
    <dxf>
      <alignment wrapText="0" readingOrder="0"/>
    </dxf>
    <dxf>
      <alignment wrapText="0" readingOrder="0"/>
    </dxf>
    <dxf>
      <alignment wrapText="1" readingOrder="0"/>
    </dxf>
    <dxf>
      <alignment wrapText="1" readingOrder="0"/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ill>
        <patternFill patternType="solid">
          <bgColor theme="3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3" tint="-0.499984740745262"/>
        </patternFill>
      </fill>
    </dxf>
    <dxf>
      <fill>
        <patternFill patternType="solid">
          <bgColor theme="3" tint="-0.499984740745262"/>
        </patternFill>
      </fill>
    </dxf>
    <dxf>
      <alignment horizontal="right" readingOrder="0"/>
    </dxf>
    <dxf>
      <alignment horizontal="left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alignment horizontal="center" indent="0" readingOrder="0"/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ill>
        <patternFill patternType="solid">
          <fgColor theme="4" tint="0.79998168889431442"/>
          <bgColor theme="4" tint="0.79998168889431442"/>
        </patternFill>
      </fill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bottom style="thin">
          <color theme="4" tint="0.39997558519241921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0" tint="-0.14999847407452621"/>
          <bgColor theme="0" tint="-0.14999847407452621"/>
        </patternFill>
      </fill>
    </dxf>
    <dxf>
      <fill>
        <patternFill patternType="solid">
          <fgColor theme="0" tint="-0.14999847407452621"/>
          <bgColor theme="0" tint="-0.14999847407452621"/>
        </patternFill>
      </fill>
      <border>
        <left style="thin">
          <color theme="0" tint="-0.249977111117893"/>
        </left>
        <right style="thin">
          <color theme="0" tint="-0.249977111117893"/>
        </right>
      </border>
    </dxf>
    <dxf>
      <fill>
        <patternFill patternType="solid">
          <fgColor theme="0" tint="-0.14999847407452621"/>
          <bgColor theme="0" tint="-0.14999847407452621"/>
        </patternFill>
      </fill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  <dxf>
      <font>
        <b/>
        <color theme="1"/>
      </font>
      <fill>
        <patternFill patternType="solid">
          <fgColor theme="4" tint="0.79998168889431442"/>
          <bgColor theme="4" tint="0.79998168889431442"/>
        </patternFill>
      </fill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  <dxf>
      <border>
        <left style="medium">
          <color auto="1"/>
        </left>
        <right style="medium">
          <color auto="1"/>
        </right>
        <top style="medium">
          <color auto="1"/>
        </top>
        <bottom style="medium">
          <color auto="1"/>
        </bottom>
        <vertical style="medium">
          <color auto="1"/>
        </vertical>
        <horizontal style="thin">
          <color auto="1"/>
        </horizontal>
      </border>
    </dxf>
  </dxfs>
  <tableStyles count="1" defaultTableStyle="TableStyleMedium2" defaultPivotStyle="PivotStyleLight16">
    <tableStyle name="PivotStyleLight16 2" table="0" count="12" xr9:uid="{00000000-0011-0000-FFFF-FFFF00000000}">
      <tableStyleElement type="wholeTable" dxfId="736"/>
      <tableStyleElement type="headerRow" dxfId="735"/>
      <tableStyleElement type="totalRow" dxfId="734"/>
      <tableStyleElement type="firstRowStripe" dxfId="733"/>
      <tableStyleElement type="firstColumnStripe" dxfId="732"/>
      <tableStyleElement type="firstSubtotalColumn" dxfId="731"/>
      <tableStyleElement type="firstSubtotalRow" dxfId="730"/>
      <tableStyleElement type="secondSubtotalRow" dxfId="729"/>
      <tableStyleElement type="firstRowSubheading" dxfId="728"/>
      <tableStyleElement type="secondRowSubheading" dxfId="727"/>
      <tableStyleElement type="pageFieldLabels" dxfId="726"/>
      <tableStyleElement type="pageFieldValues" dxfId="725"/>
    </tableStyle>
  </tableStyles>
  <colors>
    <mruColors>
      <color rgb="FFFF99FF"/>
      <color rgb="FFFFCCFF"/>
      <color rgb="FF00FF00"/>
      <color rgb="FF2DD2F3"/>
      <color rgb="FFCCFFCC"/>
      <color rgb="FFDC82DE"/>
      <color rgb="FFD260D5"/>
      <color rgb="FFC73FD5"/>
      <color rgb="FF66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6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5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externalLink" Target="externalLinks/externalLink15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24" Type="http://schemas.openxmlformats.org/officeDocument/2006/relationships/pivotCacheDefinition" Target="pivotCache/pivotCacheDefinition1.xml"/><Relationship Id="rId32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23" Type="http://schemas.openxmlformats.org/officeDocument/2006/relationships/externalLink" Target="externalLinks/externalLink18.xml"/><Relationship Id="rId28" Type="http://schemas.openxmlformats.org/officeDocument/2006/relationships/sharedStrings" Target="sharedStrings.xml"/><Relationship Id="rId10" Type="http://schemas.openxmlformats.org/officeDocument/2006/relationships/externalLink" Target="externalLinks/externalLink5.xml"/><Relationship Id="rId19" Type="http://schemas.openxmlformats.org/officeDocument/2006/relationships/externalLink" Target="externalLinks/externalLink14.xml"/><Relationship Id="rId31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externalLink" Target="externalLinks/externalLink17.xml"/><Relationship Id="rId27" Type="http://schemas.openxmlformats.org/officeDocument/2006/relationships/styles" Target="styles.xml"/><Relationship Id="rId30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New%20Folder\ALL%20M&amp;A%20Projects\Spark%20Revived!\Indurain\BC\Indurain%20BC%20v2%208_Graph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GERT\Flas9900\FD%20Report\TEDGraph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8.35.74\work\Pricing%20cell\Pricedata\NorthRegion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ebffps\group\WINDOWS\TEMP\RESERV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ebffps\group\Contabil\Relatorios%20Gerenciais%202004\Gerencial\BRASCAN\Fev\M&#243;dulo%20Base%20Gerencial%200402%20040304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KCDC04\Groups\My%20Documents\OVERALL\Complex_F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CorpNY\Finance\BUDGET\2009\2009%20BFP%20Business%20Plan%20Budget%20Files\One%20Liberty%20Plaza%2009%20BP%20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M:\HBC%20Accounting%202002\Budget%202003\2002%20Reforecast\Allocation%20of%20Shared%20Costs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RCFH01\d\My%20Documents\LoanPKG\Drafts\Drafts\valuation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Basic_Reports\Analyst\Properties\Property's\Kensington\Ken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hrikhandews\DDRIVE\Harpreet\9CrudeProp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sad\root\Metro%20Capital\2003%20Sale\Debt\Existing\1150-1200%20Kingston%20Amort%20Table%20(rev%20I-O)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pxsydpaf2\MPXShare\Commercial%20Property\Finance\Overheads%20-%20restricted\Commercial%20Forecasting%20Summary%20&amp;%20Analysis%20Revised%20Jan09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THWAY_NT\USR\FILING\HATHINV\ACCS9596\JAYESH\DEL1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611%20Fixed%20Assets%20Sub%20lead%20sheet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Standard\Standard%20Ind%20Ltd\Standard%20Ind%20Ltd\Standard\March%202005\Standard-PRS\march05\8140%20Revenue%20-%20Substantive%20Test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rashri.Hanwate/AppData/Local/Microsoft/Windows/INetCache/Content.Outlook/K9BNP5OW/Master%20File%20(01-04-2024)%20-%20Sites%20to%20be%20added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Virashri.Hanwate/Documents/Misc%20Projects/MIS/Daily/15.03.2024/Misc%20Formats%20-%20SSB%20Tracker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 "/>
      <sheetName val="NPO Customers"/>
      <sheetName val="NPO - Model"/>
      <sheetName val="NPO - 2G market"/>
      <sheetName val="NPO - 3G Market"/>
      <sheetName val="Total NPO"/>
      <sheetName val="Graphs"/>
      <sheetName val="ROI"/>
      <sheetName val="NPO Customers (2)"/>
      <sheetName val="Validation"/>
      <sheetName val="Sheet3"/>
      <sheetName val="Sheet4"/>
      <sheetName val="MCH Coding (Buying)"/>
      <sheetName val="Allowed Values"/>
      <sheetName val="Color Code"/>
      <sheetName val="Allowed Values GSV"/>
      <sheetName val="Att Values GSV"/>
      <sheetName val="Validations"/>
      <sheetName val="Article Validation"/>
      <sheetName val="Sheet2"/>
      <sheetName val="Independent DD Master"/>
      <sheetName val="Sheet1"/>
      <sheetName val="Conditional DD"/>
      <sheetName val="__hidden__"/>
      <sheetName val="hidden"/>
      <sheetName val="Noida"/>
      <sheetName val="Future Grocery"/>
      <sheetName val="CLovia P&amp;L"/>
      <sheetName val="Indurain BC v2 8_Graphs"/>
      <sheetName val="WB0203-OLDLOAN"/>
      <sheetName val="rate"/>
    </sheetNames>
    <sheetDataSet>
      <sheetData sheetId="0">
        <row r="8">
          <cell r="H8">
            <v>45792999.999999993</v>
          </cell>
        </row>
      </sheetData>
      <sheetData sheetId="1">
        <row r="8">
          <cell r="H8">
            <v>45792999.999999993</v>
          </cell>
        </row>
      </sheetData>
      <sheetData sheetId="2">
        <row r="8">
          <cell r="H8">
            <v>45792999.999999993</v>
          </cell>
        </row>
      </sheetData>
      <sheetData sheetId="3"/>
      <sheetData sheetId="4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Reporting Levels"/>
      <sheetName val="Investments"/>
      <sheetName val="weighted averages"/>
      <sheetName val="Spread"/>
      <sheetName val="Consolidated Model (Detailed)"/>
      <sheetName val="$ DPU"/>
      <sheetName val="DPU in cents"/>
      <sheetName val="Issue Price"/>
      <sheetName val="NTA or closing prices"/>
      <sheetName val="WA Issue Price"/>
      <sheetName val="TEDGraph"/>
      <sheetName val="CF Checks"/>
      <sheetName val="Entities"/>
      <sheetName val="Prop_List"/>
      <sheetName val="Sheet3"/>
      <sheetName val="Controls"/>
      <sheetName val="HR BP15"/>
      <sheetName val="Charge_Code"/>
      <sheetName val="Charge Code"/>
      <sheetName val="Cashflow"/>
      <sheetName val="SUMMARY"/>
      <sheetName val="Drop down lists"/>
      <sheetName val="SELECTIONS"/>
      <sheetName val="Listing"/>
      <sheetName val="HFM"/>
      <sheetName val="Reporting_Levels"/>
      <sheetName val="weighted_averages"/>
      <sheetName val="Consolidated_Model_(Detailed)"/>
      <sheetName val="$_DPU"/>
      <sheetName val="DPU_in_cents"/>
      <sheetName val="Issue_Price"/>
      <sheetName val="NTA_or_closing_prices"/>
      <sheetName val="WA_Issue_Price"/>
      <sheetName val="CF_Checks"/>
      <sheetName val="Charge_Code1"/>
      <sheetName val="HR_BP15"/>
      <sheetName val="Drop_down_lists"/>
      <sheetName val="DoNotDelete"/>
      <sheetName val="Mapping"/>
      <sheetName val="Entitlement"/>
      <sheetName val="Control"/>
      <sheetName val="Legend"/>
      <sheetName val="Downdrops"/>
      <sheetName val="Mapping - Investments"/>
      <sheetName val="Dropdowns"/>
      <sheetName val="TIMELINES"/>
      <sheetName val="TownsendInfo"/>
      <sheetName val="Lookups &amp; Dropdowns"/>
      <sheetName val="#REF"/>
      <sheetName val="List"/>
      <sheetName val="Wall"/>
      <sheetName val="col-reinft1"/>
      <sheetName val="Waterfall - APAC"/>
      <sheetName val="Blad1"/>
      <sheetName val="Data List"/>
      <sheetName val="QonQ Movement"/>
      <sheetName val="HFM_GL Breakdown CQ"/>
      <sheetName val="Reporting_Levels1"/>
      <sheetName val="weighted_averages1"/>
      <sheetName val="Consolidated_Model_(Detailed)1"/>
      <sheetName val="$_DPU1"/>
      <sheetName val="DPU_in_cents1"/>
      <sheetName val="Issue_Price1"/>
      <sheetName val="NTA_or_closing_prices1"/>
      <sheetName val="WA_Issue_Price1"/>
      <sheetName val="CF_Checks1"/>
      <sheetName val="HR_BP151"/>
      <sheetName val="Charge_Code2"/>
      <sheetName val="Drop_down_lists1"/>
      <sheetName val="Mapping_-_Investments"/>
      <sheetName val="Waterfall_-_APAC"/>
      <sheetName val="Lookups_&amp;_Dropdowns"/>
      <sheetName val="rate"/>
      <sheetName val="Progress Reoprt"/>
      <sheetName val="Plan"/>
    </sheetNames>
    <sheetDataSet>
      <sheetData sheetId="0" refreshError="1"/>
      <sheetData sheetId="1" refreshError="1">
        <row r="3">
          <cell r="D3" t="str">
            <v>MONTHLY BROKER'S PROFIT FORECASTS</v>
          </cell>
        </row>
        <row r="7">
          <cell r="D7">
            <v>288.60000000000002</v>
          </cell>
          <cell r="E7">
            <v>288.60000000000002</v>
          </cell>
          <cell r="F7">
            <v>291.8</v>
          </cell>
          <cell r="G7">
            <v>302.89999999999998</v>
          </cell>
          <cell r="H7">
            <v>302.89999999999998</v>
          </cell>
          <cell r="I7">
            <v>302.89999999999998</v>
          </cell>
          <cell r="J7">
            <v>302.89999999999998</v>
          </cell>
          <cell r="K7">
            <v>306.10000000000002</v>
          </cell>
          <cell r="L7">
            <v>315.2</v>
          </cell>
          <cell r="M7">
            <v>314</v>
          </cell>
          <cell r="N7">
            <v>314</v>
          </cell>
          <cell r="O7">
            <v>314</v>
          </cell>
          <cell r="P7">
            <v>313</v>
          </cell>
          <cell r="Q7">
            <v>319</v>
          </cell>
          <cell r="R7">
            <v>319</v>
          </cell>
          <cell r="S7">
            <v>325</v>
          </cell>
          <cell r="T7">
            <v>323</v>
          </cell>
          <cell r="U7">
            <v>323</v>
          </cell>
        </row>
        <row r="8">
          <cell r="D8">
            <v>310.85000000000002</v>
          </cell>
          <cell r="E8">
            <v>310.85000000000002</v>
          </cell>
          <cell r="F8">
            <v>311.7</v>
          </cell>
          <cell r="G8">
            <v>314</v>
          </cell>
          <cell r="H8">
            <v>315.31</v>
          </cell>
          <cell r="I8">
            <v>315.31</v>
          </cell>
          <cell r="J8">
            <v>317</v>
          </cell>
          <cell r="K8">
            <v>317.8</v>
          </cell>
          <cell r="L8">
            <v>319.3</v>
          </cell>
          <cell r="M8">
            <v>318</v>
          </cell>
          <cell r="N8">
            <v>327</v>
          </cell>
          <cell r="O8">
            <v>327</v>
          </cell>
          <cell r="P8">
            <v>327</v>
          </cell>
          <cell r="Q8">
            <v>330</v>
          </cell>
          <cell r="R8">
            <v>330</v>
          </cell>
          <cell r="S8">
            <v>331</v>
          </cell>
          <cell r="T8">
            <v>332</v>
          </cell>
          <cell r="U8">
            <v>332</v>
          </cell>
        </row>
        <row r="9">
          <cell r="D9">
            <v>330.4</v>
          </cell>
          <cell r="E9">
            <v>330.4</v>
          </cell>
          <cell r="F9">
            <v>330.4</v>
          </cell>
          <cell r="G9">
            <v>341.2</v>
          </cell>
          <cell r="H9">
            <v>338.9</v>
          </cell>
          <cell r="I9">
            <v>338.9</v>
          </cell>
          <cell r="J9">
            <v>338.9</v>
          </cell>
          <cell r="K9">
            <v>330</v>
          </cell>
          <cell r="L9">
            <v>345.9</v>
          </cell>
          <cell r="M9">
            <v>329</v>
          </cell>
          <cell r="N9">
            <v>332</v>
          </cell>
          <cell r="O9">
            <v>332</v>
          </cell>
          <cell r="P9">
            <v>345</v>
          </cell>
          <cell r="Q9">
            <v>339</v>
          </cell>
          <cell r="R9">
            <v>342</v>
          </cell>
          <cell r="S9">
            <v>342</v>
          </cell>
          <cell r="T9">
            <v>342</v>
          </cell>
          <cell r="U9">
            <v>343</v>
          </cell>
        </row>
        <row r="10">
          <cell r="P10">
            <v>385</v>
          </cell>
          <cell r="Q10">
            <v>385</v>
          </cell>
          <cell r="R10">
            <v>386</v>
          </cell>
          <cell r="S10">
            <v>386</v>
          </cell>
          <cell r="T10">
            <v>386</v>
          </cell>
          <cell r="U10">
            <v>397</v>
          </cell>
        </row>
        <row r="11">
          <cell r="P11">
            <v>375</v>
          </cell>
          <cell r="Q11">
            <v>375</v>
          </cell>
          <cell r="R11">
            <v>375</v>
          </cell>
          <cell r="S11">
            <v>377</v>
          </cell>
          <cell r="T11">
            <v>372</v>
          </cell>
          <cell r="U11">
            <v>380</v>
          </cell>
        </row>
        <row r="12">
          <cell r="P12">
            <v>363</v>
          </cell>
          <cell r="Q12">
            <v>363</v>
          </cell>
          <cell r="R12">
            <v>360</v>
          </cell>
          <cell r="S12">
            <v>360</v>
          </cell>
          <cell r="T12">
            <v>360</v>
          </cell>
          <cell r="U12">
            <v>363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>
        <row r="7">
          <cell r="D7" t="str">
            <v>HP</v>
          </cell>
        </row>
      </sheetData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 refreshError="1"/>
      <sheetData sheetId="75" refreshError="1"/>
      <sheetData sheetId="7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e"/>
      <sheetName val="rpo"/>
      <sheetName val="JOSH"/>
      <sheetName val="SHAKTI"/>
      <sheetName val="UTMAP001"/>
      <sheetName val="WB0203-OLDLOAN"/>
      <sheetName val="COMPLEXALL"/>
      <sheetName val="Drop Downs"/>
      <sheetName val="NorthRegion"/>
      <sheetName val="Progress Reoprt"/>
      <sheetName val="Plan"/>
      <sheetName val="#REF"/>
      <sheetName val="BLK2"/>
      <sheetName val="BLK3"/>
      <sheetName val="E &amp; R"/>
      <sheetName val="radar"/>
      <sheetName val="U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es Cèdres"/>
      <sheetName val="apports"/>
      <sheetName val="RESERVE"/>
      <sheetName val="6M DEC FORECAST FUM"/>
      <sheetName val="FMV Breakdown"/>
      <sheetName val="Les_Cèdres"/>
      <sheetName val="Les_Cèdres1"/>
      <sheetName val="6M_DEC_FORECAST_FUM"/>
      <sheetName val="FMV_Breakdown"/>
      <sheetName val="PDFLO_WK"/>
      <sheetName val="Les_Cèdres2"/>
      <sheetName val="6M_DEC_FORECAST_FUM1"/>
      <sheetName val="FMV_Breakdown1"/>
      <sheetName val="Valerie Falls"/>
      <sheetName val="Wawa"/>
      <sheetName val="Sault Power"/>
      <sheetName val="Mississagi"/>
      <sheetName val="Lievre"/>
      <sheetName val="Hydro Pontiac"/>
      <sheetName val="Groundhog"/>
      <sheetName val="Nagagami"/>
      <sheetName val="Beaver"/>
      <sheetName val="Powell River"/>
      <sheetName val="Pingston"/>
      <sheetName val="East Twin"/>
      <sheetName val="Prince I"/>
      <sheetName val="Prince II"/>
      <sheetName val="Comber"/>
      <sheetName val="Gosfield"/>
      <sheetName val="LSP"/>
      <sheetName val="Financials"/>
      <sheetName val="CF_Ratio"/>
      <sheetName val="TESTE"/>
      <sheetName val="HFLOR"/>
      <sheetName val="TaxReportInclAdjustment.Report"/>
      <sheetName val="Konsolidierungsbuchungen"/>
      <sheetName val="(KPMG Mod) Entity List"/>
      <sheetName val="Les_Cèdres3"/>
      <sheetName val="6M_DEC_FORECAST_FUM2"/>
      <sheetName val="FMV_Breakdown2"/>
      <sheetName val="Valerie_Falls"/>
      <sheetName val="Sault_Power"/>
      <sheetName val="Hydro_Pontiac"/>
      <sheetName val="Powell_River"/>
      <sheetName val="East_Twin"/>
      <sheetName val="Prince_I"/>
      <sheetName val="Prince_II"/>
      <sheetName val="#REF"/>
      <sheetName val="INFO"/>
      <sheetName val="NOTES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 refreshError="1"/>
      <sheetData sheetId="48" refreshError="1"/>
      <sheetData sheetId="4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BS"/>
      <sheetName val="LE Balance 2004"/>
      <sheetName val="LE Balance 2005"/>
      <sheetName val="Balanço 2003 - Plano - LE "/>
      <sheetName val="Balanço 2004"/>
      <sheetName val="CF"/>
      <sheetName val="CF 2004"/>
      <sheetName val="CF 2005"/>
      <sheetName val="Fluxo"/>
      <sheetName val="DRE"/>
      <sheetName val="P&amp;L"/>
      <sheetName val="LE P&amp;L 2004"/>
      <sheetName val="LE P&amp;L 2005"/>
      <sheetName val="P&amp;L Breakdown"/>
      <sheetName val="IS"/>
      <sheetName val="IS 2004"/>
      <sheetName val="IS 2005"/>
      <sheetName val="FCF"/>
      <sheetName val="LE FCF 2004"/>
      <sheetName val="LE FCF 2005"/>
      <sheetName val="Vol &amp; PV"/>
      <sheetName val="Vol &amp; PV 2004"/>
      <sheetName val="COSTS"/>
      <sheetName val="COSTS 2004"/>
      <sheetName val="COSTS 2005"/>
      <sheetName val="OPEX"/>
      <sheetName val="OPEX 2004"/>
      <sheetName val="OPEX 2005"/>
      <sheetName val="Base Opex 2004"/>
      <sheetName val="CAPEX"/>
      <sheetName val="CAPEX 2004"/>
      <sheetName val="CAPEX 2005"/>
      <sheetName val="CFFO Budget"/>
      <sheetName val="FCF Budget 2004"/>
      <sheetName val="FCF Budget 2005"/>
      <sheetName val="CF Budget"/>
      <sheetName val="P&amp;L Budget"/>
      <sheetName val="Vol &amp; PV Budget"/>
      <sheetName val="COSTS Budget"/>
      <sheetName val="OPEX Budget"/>
      <sheetName val="CAPEX Budget"/>
      <sheetName val="CFFO 2003"/>
      <sheetName val="P&amp;L 2003"/>
      <sheetName val="FCF 2003"/>
      <sheetName val="Vol &amp; PV 2003"/>
      <sheetName val="Breakdown 2003"/>
      <sheetName val="Costs 2003"/>
      <sheetName val="OPEX 2003"/>
      <sheetName val="Tabela"/>
      <sheetName val="DESP_ADM"/>
      <sheetName val="METALS"/>
      <sheetName val="SOLDERS"/>
      <sheetName val="Les Cèdres"/>
      <sheetName val="Changes in shareholders"/>
      <sheetName val="BRL TB"/>
      <sheetName val="LYData"/>
      <sheetName val="Links"/>
      <sheetName val="Lead"/>
      <sheetName val="Investments"/>
      <sheetName val="Nature"/>
      <sheetName val="Assumptions"/>
      <sheetName val="01"/>
      <sheetName val="macrovar"/>
      <sheetName val="Cover Page"/>
      <sheetName val="A2"/>
      <sheetName val="Check"/>
      <sheetName val="Tab-Infra"/>
      <sheetName val="Upper-Hudson River"/>
      <sheetName val="Lower L-O Other Rivers"/>
      <sheetName val="Lower L-O Oswego River"/>
      <sheetName val="Upper L-O Beaver River"/>
      <sheetName val="Upper L-O Black River"/>
      <sheetName val="Lower-Hudson River"/>
      <sheetName val="St.Lawrence Raquette River"/>
      <sheetName val="St.Lawrence Oswegatchie River"/>
      <sheetName val="Inputs"/>
      <sheetName val="Plant Database"/>
      <sheetName val="revenue"/>
      <sheetName val="Ops report charts"/>
      <sheetName val="EXCHANGE RATE"/>
      <sheetName val="A1"/>
      <sheetName val="Forward Prices"/>
      <sheetName val="LPERDAS (2)"/>
      <sheetName val="LE_Balance_2004"/>
      <sheetName val="LE_Balance_2005"/>
      <sheetName val="Balanço_2003_-_Plano_-_LE_"/>
      <sheetName val="Balanço_2004"/>
      <sheetName val="CF_2004"/>
      <sheetName val="CF_2005"/>
      <sheetName val="LE_P&amp;L_2004"/>
      <sheetName val="LE_P&amp;L_2005"/>
      <sheetName val="P&amp;L_Breakdown"/>
      <sheetName val="IS_2004"/>
      <sheetName val="IS_2005"/>
      <sheetName val="LE_FCF_2004"/>
      <sheetName val="LE_FCF_2005"/>
      <sheetName val="Vol_&amp;_PV"/>
      <sheetName val="Vol_&amp;_PV_2004"/>
      <sheetName val="COSTS_2004"/>
      <sheetName val="COSTS_2005"/>
      <sheetName val="OPEX_2004"/>
      <sheetName val="OPEX_2005"/>
      <sheetName val="Base_Opex_2004"/>
      <sheetName val="CAPEX_2004"/>
      <sheetName val="CAPEX_2005"/>
      <sheetName val="CFFO_Budget"/>
      <sheetName val="FCF_Budget_2004"/>
      <sheetName val="FCF_Budget_2005"/>
      <sheetName val="CF_Budget"/>
      <sheetName val="P&amp;L_Budget"/>
      <sheetName val="Vol_&amp;_PV_Budget"/>
      <sheetName val="COSTS_Budget"/>
      <sheetName val="OPEX_Budget"/>
      <sheetName val="CAPEX_Budget"/>
      <sheetName val="CFFO_2003"/>
      <sheetName val="P&amp;L_2003"/>
      <sheetName val="FCF_2003"/>
      <sheetName val="Vol_&amp;_PV_2003"/>
      <sheetName val="Breakdown_2003"/>
      <sheetName val="Costs_2003"/>
      <sheetName val="OPEX_2003"/>
      <sheetName val="IS - Annual"/>
      <sheetName val="NPV Breakdown "/>
      <sheetName val="Control Sheet"/>
      <sheetName val="Info"/>
      <sheetName val="FX rates"/>
      <sheetName val="Consolidated Revenue Q3"/>
      <sheetName val="FS&gt;&gt;"/>
      <sheetName val=""/>
      <sheetName val="LE_Balance_20041"/>
      <sheetName val="LE_Balance_20051"/>
      <sheetName val="Balanço_2003_-_Plano_-_LE_1"/>
      <sheetName val="Balanço_20041"/>
      <sheetName val="CF_20041"/>
      <sheetName val="CF_20051"/>
      <sheetName val="LE_P&amp;L_20041"/>
      <sheetName val="LE_P&amp;L_20051"/>
      <sheetName val="P&amp;L_Breakdown1"/>
      <sheetName val="IS_20041"/>
      <sheetName val="IS_20051"/>
      <sheetName val="LE_FCF_20041"/>
      <sheetName val="LE_FCF_20051"/>
      <sheetName val="Vol_&amp;_PV1"/>
      <sheetName val="Vol_&amp;_PV_20041"/>
      <sheetName val="COSTS_20041"/>
      <sheetName val="COSTS_20051"/>
      <sheetName val="OPEX_20041"/>
      <sheetName val="OPEX_20051"/>
      <sheetName val="Base_Opex_20041"/>
      <sheetName val="CAPEX_20041"/>
      <sheetName val="CAPEX_20051"/>
      <sheetName val="CFFO_Budget1"/>
      <sheetName val="FCF_Budget_20041"/>
      <sheetName val="FCF_Budget_20051"/>
      <sheetName val="CF_Budget1"/>
      <sheetName val="P&amp;L_Budget1"/>
      <sheetName val="Vol_&amp;_PV_Budget1"/>
      <sheetName val="COSTS_Budget1"/>
      <sheetName val="OPEX_Budget1"/>
      <sheetName val="CAPEX_Budget1"/>
      <sheetName val="CFFO_20031"/>
      <sheetName val="P&amp;L_20031"/>
      <sheetName val="FCF_20031"/>
      <sheetName val="Vol_&amp;_PV_20031"/>
      <sheetName val="Breakdown_20031"/>
      <sheetName val="Costs_20031"/>
      <sheetName val="OPEX_20031"/>
      <sheetName val="Les_Cèdres"/>
      <sheetName val="BRL_TB"/>
      <sheetName val="Changes_in_shareholders"/>
      <sheetName val="Cover_Page"/>
      <sheetName val="Upper-Hudson_River"/>
      <sheetName val="Lower_L-O_Other_Rivers"/>
      <sheetName val="Lower_L-O_Oswego_River"/>
      <sheetName val="Upper_L-O_Beaver_River"/>
      <sheetName val="Upper_L-O_Black_River"/>
      <sheetName val="Lower-Hudson_River"/>
      <sheetName val="St_Lawrence_Raquette_River"/>
      <sheetName val="St_Lawrence_Oswegatchie_River"/>
      <sheetName val="Plant_Database"/>
      <sheetName val="Ops_report_charts"/>
      <sheetName val="EXCHANGE_RATE"/>
      <sheetName val="Forward_Prices"/>
      <sheetName val="LPERDAS_(2)"/>
      <sheetName val="IS_-_Annual"/>
      <sheetName val="NPV_Breakdown_"/>
      <sheetName val="Control_Sheet"/>
      <sheetName val="FX_rates"/>
      <sheetName val="Consolidated_Revenue_Q3"/>
      <sheetName val="apports"/>
      <sheetName val="A PARAMETROS"/>
      <sheetName val="B"/>
      <sheetName val="NOTES "/>
      <sheetName val="SC-E-02-03"/>
      <sheetName val="TB-JUNE-2003-18.7.0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LEXALL"/>
      <sheetName val="Bi_Week_20_02_11"/>
      <sheetName val="Bi_Weekly"/>
      <sheetName val="Assumptions"/>
      <sheetName val="Assmpns"/>
      <sheetName val="Input"/>
      <sheetName val="fco"/>
      <sheetName val="Equipment"/>
      <sheetName val="DETAIL_SHEET"/>
      <sheetName val="NLD_-_Assum"/>
      <sheetName val="Nature"/>
      <sheetName val="Const QMS Dash Board"/>
      <sheetName val="1_PROGRESS_BY_LOCATION_FINAL"/>
      <sheetName val="1_PROGRESS_FINAL"/>
      <sheetName val="narrative"/>
      <sheetName val="Data Valid"/>
      <sheetName val="Const_QMS_Dash_Board"/>
      <sheetName val="Data_Valid"/>
      <sheetName val="MAG1 tracker"/>
      <sheetName val="NLD AG1"/>
      <sheetName val="Valid Inputs"/>
      <sheetName val="Sheet2"/>
      <sheetName val="Reasons"/>
      <sheetName val="Site Findings Status Sheet"/>
      <sheetName val="daywork- Tham khao"/>
      <sheetName val="Const_QMS_Dash_Board1"/>
      <sheetName val="Data_Valid1"/>
      <sheetName val="MAG1_tracker"/>
      <sheetName val="NLD_AG1"/>
      <sheetName val="Valid_Inputs"/>
      <sheetName val="Droupdown"/>
      <sheetName val="Phase-1_4th-Addition(Sector)"/>
      <sheetName val="JC Database"/>
      <sheetName val=" Values"/>
      <sheetName val="Data Val."/>
      <sheetName val="Sheet1"/>
      <sheetName val="Const_QMS_Dash_Board2"/>
      <sheetName val="Site_Findings_Status_Sheet"/>
      <sheetName val="daywork-_Tham_khao"/>
      <sheetName val="Data_Valid2"/>
      <sheetName val="MAG1_tracker1"/>
      <sheetName val="NLD_AG11"/>
      <sheetName val="Valid_Inputs1"/>
      <sheetName val="_Values"/>
      <sheetName val="EZ"/>
      <sheetName val="Tag"/>
      <sheetName val="Conditions"/>
      <sheetName val="Ins Erection"/>
      <sheetName val="Consequences Categories"/>
      <sheetName val="Cause Categories"/>
      <sheetName val="Note"/>
      <sheetName val="Dropdown"/>
      <sheetName val="Sheet3"/>
      <sheetName val="City Codes"/>
      <sheetName val="Const_QMS_Dash_Board4"/>
      <sheetName val="Data_Valid4"/>
      <sheetName val="MAG1_tracker3"/>
      <sheetName val="NLD_AG13"/>
      <sheetName val="Valid_Inputs3"/>
      <sheetName val="Site_Findings_Status_Sheet2"/>
      <sheetName val="daywork-_Tham_khao2"/>
      <sheetName val="JC_Database2"/>
      <sheetName val="Data_Val_2"/>
      <sheetName val="_Values2"/>
      <sheetName val="JC_Database"/>
      <sheetName val="Data_Val_"/>
      <sheetName val="Const_QMS_Dash_Board3"/>
      <sheetName val="Data_Valid3"/>
      <sheetName val="MAG1_tracker2"/>
      <sheetName val="NLD_AG12"/>
      <sheetName val="Valid_Inputs2"/>
      <sheetName val="Site_Findings_Status_Sheet1"/>
      <sheetName val="daywork-_Tham_khao1"/>
      <sheetName val="JC_Database1"/>
      <sheetName val="Data_Val_1"/>
      <sheetName val="_Values1"/>
      <sheetName val="gVL"/>
      <sheetName val="Estimate"/>
      <sheetName val="EMPL-ETIME"/>
      <sheetName val="Risk"/>
      <sheetName val="Invoices"/>
      <sheetName val="Evaluate"/>
      <sheetName val="FitOutConfCentre"/>
      <sheetName val="Fiber Work"/>
      <sheetName val="SCO Support Sites"/>
      <sheetName val="FTTH Fiber Work"/>
      <sheetName val="Milestones"/>
      <sheetName val="Additional 96F Blowing"/>
      <sheetName val="Inside Premises"/>
      <sheetName val="Distribution College only"/>
      <sheetName val="Scope Productivity"/>
      <sheetName val="MP Productivity"/>
      <sheetName val="#REF"/>
      <sheetName val="COLUMN"/>
      <sheetName val="Pass-Thru Income JE"/>
      <sheetName val="Data Dictionery"/>
      <sheetName val="New Drop Down Menu"/>
      <sheetName val="SPT vs PHI"/>
      <sheetName val="Const_QMS_Dash_Board5"/>
      <sheetName val="Data_Valid5"/>
      <sheetName val="MAG1_tracker4"/>
      <sheetName val="NLD_AG14"/>
      <sheetName val="Valid_Inputs4"/>
      <sheetName val="Site_Findings_Status_Sheet3"/>
      <sheetName val="daywork-_Tham_khao3"/>
      <sheetName val="JC_Database3"/>
      <sheetName val="_Values3"/>
      <sheetName val="Data_Val_3"/>
      <sheetName val="Ins_Erection"/>
      <sheetName val="Consequences_Categories"/>
      <sheetName val="Cause_Categories"/>
      <sheetName val="City_Codes"/>
      <sheetName val="Fiber_Work"/>
      <sheetName val="SCO_Support_Sites"/>
      <sheetName val="FTTH_Fiber_Work"/>
      <sheetName val="Additional_96F_Blowing"/>
      <sheetName val="Inside_Premises"/>
      <sheetName val="Distribution_College_only"/>
      <sheetName val="Scope_Productivity"/>
      <sheetName val="MP_Productivity"/>
      <sheetName val="Pass-Thru_Income_JE"/>
      <sheetName val="Data_Dictionery"/>
      <sheetName val="New_Drop_Down_Menu"/>
      <sheetName val="Overview"/>
      <sheetName val="IIb"/>
      <sheetName val="Earnings model"/>
      <sheetName val="JAN91"/>
      <sheetName val="Calculations"/>
      <sheetName val="Civil Boq"/>
      <sheetName val="L-Planks"/>
      <sheetName val="Pre-cast Qty"/>
      <sheetName val="precast RC element"/>
      <sheetName val="Typical floor on 3BHK -STD"/>
      <sheetName val="Loads"/>
      <sheetName val="1"/>
      <sheetName val="CASHFLOWS"/>
      <sheetName val="BS"/>
      <sheetName val="Assum"/>
      <sheetName val="BSHEET"/>
      <sheetName val="DATA 91-98"/>
      <sheetName val="upa"/>
      <sheetName val="hist&amp;proj"/>
      <sheetName val="InputPO_Del"/>
      <sheetName val="Material "/>
      <sheetName val="Complex_F"/>
      <sheetName val="PROCTOR"/>
      <sheetName val="98Price"/>
      <sheetName val="Intro"/>
      <sheetName val="CP-R0"/>
      <sheetName val="Back up"/>
      <sheetName val="Summary"/>
      <sheetName val="Summary MEP"/>
      <sheetName val="Summary MEP (2)"/>
      <sheetName val="Electrical  (2)"/>
      <sheetName val="Fire (2)"/>
      <sheetName val="Plumbing (2)"/>
      <sheetName val="All Assumptions"/>
      <sheetName val="Finishing Schedule"/>
      <sheetName val="KP MALL-Area Take Off"/>
      <sheetName val="Arera, Peri.Basement"/>
      <sheetName val="BOH Area"/>
      <sheetName val="Bulk Head"/>
      <sheetName val="Retail Area (TI)"/>
      <sheetName val="KPM-Rate Analysis"/>
      <sheetName val="Electrical "/>
      <sheetName val="Fire"/>
      <sheetName val="Plumbing"/>
      <sheetName val="Elevator &amp; Escalator"/>
      <sheetName val="HVAC"/>
      <sheetName val="MP Working"/>
      <sheetName val="Rate Analysis"/>
      <sheetName val="SC Cost FEB 03"/>
      <sheetName val="sheet6"/>
      <sheetName val="Cash Flow Working"/>
      <sheetName val="Labor abs-NMR"/>
      <sheetName val="Design"/>
      <sheetName val="NPO - Model"/>
      <sheetName val="UK Report"/>
      <sheetName val="Const_QMS_Dash_Board6"/>
      <sheetName val="Data_Valid6"/>
      <sheetName val="MAG1_tracker5"/>
      <sheetName val="NLD_AG15"/>
      <sheetName val="Valid_Inputs5"/>
      <sheetName val="Site_Findings_Status_Sheet4"/>
      <sheetName val="daywork-_Tham_khao4"/>
      <sheetName val="JC_Database4"/>
      <sheetName val="_Values4"/>
      <sheetName val="Data_Val_4"/>
      <sheetName val="Ins_Erection1"/>
      <sheetName val="Consequences_Categories1"/>
      <sheetName val="Cause_Categories1"/>
      <sheetName val="City_Codes1"/>
      <sheetName val="Fiber_Work1"/>
      <sheetName val="SCO_Support_Sites1"/>
      <sheetName val="FTTH_Fiber_Work1"/>
      <sheetName val="Additional_96F_Blowing1"/>
      <sheetName val="Inside_Premises1"/>
      <sheetName val="Distribution_College_only1"/>
      <sheetName val="Scope_Productivity1"/>
      <sheetName val="MP_Productivity1"/>
      <sheetName val="Pass-Thru_Income_JE1"/>
      <sheetName val="Data_Dictionery1"/>
      <sheetName val="New_Drop_Down_Menu1"/>
      <sheetName val="SPT_vs_PHI"/>
      <sheetName val="Earnings_model"/>
      <sheetName val="Civil_Boq"/>
      <sheetName val="Pre-cast_Qty"/>
      <sheetName val="precast_RC_element"/>
      <sheetName val="Typical_floor_on_3BHK_-STD"/>
      <sheetName val="DATA_91-98"/>
      <sheetName val="NPO_-_Model"/>
      <sheetName val="Rate_Analysis"/>
      <sheetName val="Material_"/>
      <sheetName val="UK_Report"/>
      <sheetName val="Coalmine"/>
      <sheetName val="Aus&amp; Sing"/>
      <sheetName val="duct1"/>
      <sheetName val="Eq. Mobilization"/>
      <sheetName val="purpose&amp;input"/>
      <sheetName val="Proposed"/>
      <sheetName val="Pro Pavement"/>
      <sheetName val="17"/>
      <sheetName val="Cost of O &amp; O"/>
      <sheetName val="Diesel Analysis"/>
      <sheetName val="Mix Design"/>
      <sheetName val="P-Ins &amp; Bonds"/>
      <sheetName val="63611648"/>
      <sheetName val="Const_QMS_Dash_Board7"/>
      <sheetName val="Data_Valid7"/>
      <sheetName val="MAG1_tracker6"/>
      <sheetName val="NLD_AG16"/>
      <sheetName val="Valid_Inputs6"/>
      <sheetName val="Site_Findings_Status_Sheet5"/>
      <sheetName val="daywork-_Tham_khao5"/>
      <sheetName val="JC_Database5"/>
      <sheetName val="Data_Val_5"/>
      <sheetName val="_Values5"/>
      <sheetName val="Ins_Erection2"/>
      <sheetName val="Consequences_Categories2"/>
      <sheetName val="Cause_Categories2"/>
      <sheetName val="City_Codes2"/>
      <sheetName val="Fiber_Work2"/>
      <sheetName val="SCO_Support_Sites2"/>
      <sheetName val="FTTH_Fiber_Work2"/>
      <sheetName val="Additional_96F_Blowing2"/>
      <sheetName val="Inside_Premises2"/>
      <sheetName val="Distribution_College_only2"/>
      <sheetName val="Scope_Productivity2"/>
      <sheetName val="MP_Productivity2"/>
      <sheetName val="Pass-Thru_Income_JE2"/>
      <sheetName val="Data_Dictionery2"/>
      <sheetName val="New_Drop_Down_Menu2"/>
      <sheetName val="SPT_vs_PHI1"/>
      <sheetName val="Earnings_model1"/>
      <sheetName val="Civil_Boq1"/>
      <sheetName val="Pre-cast_Qty1"/>
      <sheetName val="precast_RC_element1"/>
      <sheetName val="Typical_floor_on_3BHK_-STD1"/>
      <sheetName val="DATA_91-981"/>
      <sheetName val="Material_1"/>
      <sheetName val="IIIa"/>
      <sheetName val="xSeries255"/>
      <sheetName val="Input sheet"/>
      <sheetName val="Section_by_layers_old"/>
      <sheetName val="Section_by_layers"/>
      <sheetName val="Torsion_Properties"/>
      <sheetName val="02"/>
      <sheetName val="08"/>
      <sheetName val="03"/>
      <sheetName val="04"/>
      <sheetName val="05"/>
      <sheetName val="FT-05-02IsoBOM"/>
      <sheetName val="BASIC RATES"/>
      <sheetName val="data"/>
      <sheetName val="Rate_Analysis1"/>
      <sheetName val="NPO_-_Model1"/>
      <sheetName val="Back_up"/>
      <sheetName val="Summary_MEP"/>
      <sheetName val="Summary_MEP_(2)"/>
      <sheetName val="Electrical__(2)"/>
      <sheetName val="Fire_(2)"/>
      <sheetName val="Plumbing_(2)"/>
      <sheetName val="All_Assumptions"/>
      <sheetName val="Finishing_Schedule"/>
      <sheetName val="KP_MALL-Area_Take_Off"/>
      <sheetName val="Arera,_Peri_Basement"/>
      <sheetName val="BOH_Area"/>
      <sheetName val="Bulk_Head"/>
      <sheetName val="Retail_Area_(TI)"/>
      <sheetName val="KPM-Rate_Analysis"/>
      <sheetName val="Electrical_"/>
      <sheetName val="Elevator_&amp;_Escalator"/>
      <sheetName val="MP_Working"/>
      <sheetName val="UK_Report1"/>
      <sheetName val="Aus&amp;_Sing"/>
      <sheetName val="BOQ-for Main DB"/>
      <sheetName val="Labour &amp; Plant"/>
      <sheetName val="Const_QMS_Dash_Board8"/>
      <sheetName val="Site_Findings_Status_Sheet6"/>
      <sheetName val="daywork-_Tham_khao6"/>
      <sheetName val="Data_Valid8"/>
      <sheetName val="MAG1_tracker7"/>
      <sheetName val="NLD_AG17"/>
      <sheetName val="Valid_Inputs7"/>
      <sheetName val="_Values6"/>
      <sheetName val="JC_Database6"/>
      <sheetName val="Data_Val_6"/>
      <sheetName val="Consequences_Categories3"/>
      <sheetName val="Cause_Categories3"/>
      <sheetName val="City_Codes3"/>
      <sheetName val="Ins_Erection3"/>
      <sheetName val="Fiber_Work3"/>
      <sheetName val="SCO_Support_Sites3"/>
      <sheetName val="FTTH_Fiber_Work3"/>
      <sheetName val="Additional_96F_Blowing3"/>
      <sheetName val="Inside_Premises3"/>
      <sheetName val="Distribution_College_only3"/>
      <sheetName val="Scope_Productivity3"/>
      <sheetName val="MP_Productivity3"/>
      <sheetName val="Pass-Thru_Income_JE3"/>
      <sheetName val="Data_Dictionery3"/>
      <sheetName val="New_Drop_Down_Menu3"/>
      <sheetName val="SPT_vs_PHI2"/>
      <sheetName val="Earnings_model2"/>
      <sheetName val="Civil_Boq2"/>
      <sheetName val="Pre-cast_Qty2"/>
      <sheetName val="precast_RC_element2"/>
      <sheetName val="Typical_floor_on_3BHK_-STD2"/>
      <sheetName val="DATA_91-982"/>
      <sheetName val="Rate_Analysis2"/>
      <sheetName val="Material_2"/>
      <sheetName val="NPO_-_Model2"/>
      <sheetName val="Back_up1"/>
      <sheetName val="Summary_MEP1"/>
      <sheetName val="Summary_MEP_(2)1"/>
      <sheetName val="Electrical__(2)1"/>
      <sheetName val="Fire_(2)1"/>
      <sheetName val="Plumbing_(2)1"/>
      <sheetName val="All_Assumptions1"/>
      <sheetName val="Finishing_Schedule1"/>
      <sheetName val="KP_MALL-Area_Take_Off1"/>
      <sheetName val="Arera,_Peri_Basement1"/>
      <sheetName val="BOH_Area1"/>
      <sheetName val="Bulk_Head1"/>
      <sheetName val="Retail_Area_(TI)1"/>
      <sheetName val="KPM-Rate_Analysis1"/>
      <sheetName val="Electrical_1"/>
      <sheetName val="Elevator_&amp;_Escalator1"/>
      <sheetName val="MP_Working1"/>
      <sheetName val="UK_Report2"/>
      <sheetName val="Aus&amp;_Sing1"/>
      <sheetName val="No-5"/>
      <sheetName val="SC_Cost_FEB_03"/>
      <sheetName val="SC_Cost_FEB_031"/>
      <sheetName val="BLK2"/>
      <sheetName val="BLK3"/>
      <sheetName val="E &amp; R"/>
      <sheetName val="radar"/>
      <sheetName val="UG"/>
      <sheetName val="01.11.2004"/>
      <sheetName val="Sump"/>
      <sheetName val="Activity"/>
      <sheetName val="Crew"/>
      <sheetName val="Piping"/>
      <sheetName val="Pipe Supports"/>
      <sheetName val="GF Columns"/>
      <sheetName val="beam-reinft-machine rm"/>
      <sheetName val="Cash_Flow_Working"/>
      <sheetName val="Labor_abs-NMR"/>
      <sheetName val="SALES"/>
      <sheetName val="x-rate"/>
      <sheetName val="Const_QMS_Dash_Board9"/>
      <sheetName val="Data_Valid9"/>
      <sheetName val="MAG1_tracker8"/>
      <sheetName val="NLD_AG18"/>
      <sheetName val="Valid_Inputs8"/>
      <sheetName val="Site_Findings_Status_Sheet7"/>
      <sheetName val="daywork-_Tham_khao7"/>
      <sheetName val="JC_Database7"/>
      <sheetName val="Data_Val_7"/>
      <sheetName val="_Values7"/>
      <sheetName val="Ins_Erection4"/>
      <sheetName val="Consequences_Categories4"/>
      <sheetName val="Cause_Categories4"/>
      <sheetName val="City_Codes4"/>
      <sheetName val="Fiber_Work4"/>
      <sheetName val="SCO_Support_Sites4"/>
      <sheetName val="FTTH_Fiber_Work4"/>
      <sheetName val="Additional_96F_Blowing4"/>
      <sheetName val="Inside_Premises4"/>
      <sheetName val="Distribution_College_only4"/>
      <sheetName val="Scope_Productivity4"/>
      <sheetName val="MP_Productivity4"/>
      <sheetName val="Pass-Thru_Income_JE4"/>
      <sheetName val="Data_Dictionery4"/>
      <sheetName val="New_Drop_Down_Menu4"/>
      <sheetName val="SPT_vs_PHI3"/>
      <sheetName val="Earnings_model3"/>
      <sheetName val="Civil_Boq3"/>
      <sheetName val="Pre-cast_Qty3"/>
      <sheetName val="precast_RC_element3"/>
      <sheetName val="Typical_floor_on_3BHK_-STD3"/>
      <sheetName val="DATA_91-983"/>
      <sheetName val="Material_3"/>
      <sheetName val="Cash_Flow_Working1"/>
      <sheetName val="Labor_abs-NMR1"/>
      <sheetName val="Const_QMS_Dash_Board10"/>
      <sheetName val="Data_Valid10"/>
      <sheetName val="MAG1_tracker9"/>
      <sheetName val="NLD_AG19"/>
      <sheetName val="Valid_Inputs9"/>
      <sheetName val="Site_Findings_Status_Sheet8"/>
      <sheetName val="daywork-_Tham_khao8"/>
      <sheetName val="JC_Database8"/>
      <sheetName val="_Values8"/>
      <sheetName val="Data_Val_8"/>
      <sheetName val="Ins_Erection5"/>
      <sheetName val="Consequences_Categories5"/>
      <sheetName val="Cause_Categories5"/>
      <sheetName val="City_Codes5"/>
      <sheetName val="Fiber_Work5"/>
      <sheetName val="SCO_Support_Sites5"/>
      <sheetName val="FTTH_Fiber_Work5"/>
      <sheetName val="Additional_96F_Blowing5"/>
      <sheetName val="Inside_Premises5"/>
      <sheetName val="Distribution_College_only5"/>
      <sheetName val="Scope_Productivity5"/>
      <sheetName val="MP_Productivity5"/>
      <sheetName val="Pass-Thru_Income_JE5"/>
      <sheetName val="Data_Dictionery5"/>
      <sheetName val="New_Drop_Down_Menu5"/>
      <sheetName val="SPT_vs_PHI4"/>
      <sheetName val="Earnings_model4"/>
      <sheetName val="Civil_Boq4"/>
      <sheetName val="Pre-cast_Qty4"/>
      <sheetName val="precast_RC_element4"/>
      <sheetName val="Typical_floor_on_3BHK_-STD4"/>
      <sheetName val="DATA_91-984"/>
      <sheetName val="Material_4"/>
      <sheetName val="Back_up2"/>
      <sheetName val="Summary_MEP2"/>
      <sheetName val="Summary_MEP_(2)2"/>
      <sheetName val="Electrical__(2)2"/>
      <sheetName val="Fire_(2)2"/>
      <sheetName val="Plumbing_(2)2"/>
      <sheetName val="All_Assumptions2"/>
      <sheetName val="Finishing_Schedule2"/>
      <sheetName val="KP_MALL-Area_Take_Off2"/>
      <sheetName val="Arera,_Peri_Basement2"/>
      <sheetName val="BOH_Area2"/>
      <sheetName val="Bulk_Head2"/>
      <sheetName val="Retail_Area_(TI)2"/>
      <sheetName val="KPM-Rate_Analysis2"/>
      <sheetName val="Electrical_2"/>
      <sheetName val="Elevator_&amp;_Escalator2"/>
      <sheetName val="MP_Working2"/>
      <sheetName val="SC_Cost_FEB_032"/>
      <sheetName val="Cash_Flow_Working2"/>
      <sheetName val="Labor_abs-NMR2"/>
      <sheetName val="Eq__Mobilization"/>
      <sheetName val="Pro_Pavement"/>
      <sheetName val="Cost_of_O_&amp;_O"/>
      <sheetName val="Diesel_Analysis"/>
      <sheetName val="Mix_Design"/>
      <sheetName val="P-Ins_&amp;_Bonds"/>
      <sheetName val="입찰내역 발주처 양식"/>
      <sheetName val="old_serial no."/>
      <sheetName val="tot_ass_9697"/>
      <sheetName val="ancillary"/>
      <sheetName val="BASIS -DEC 08"/>
      <sheetName val="MASTER_RATE ANALYSIS"/>
      <sheetName val="col-reinft1"/>
      <sheetName val="BFS"/>
      <sheetName val="CASH-FLOW"/>
      <sheetName val="TB"/>
      <sheetName val="PRECAST lightconc-II"/>
      <sheetName val="MSP Distrbution Linking to S-1"/>
      <sheetName val="RateAnalysis"/>
      <sheetName val="Combined Results "/>
      <sheetName val="Cashflow"/>
      <sheetName val="pile Fabrication"/>
      <sheetName val="BQMPALOC"/>
      <sheetName val="abst-of -cost"/>
      <sheetName val="P &amp; l "/>
      <sheetName val="shanghai計算BASE10"/>
      <sheetName val="Price Working -SRP"/>
      <sheetName val="Sheet4"/>
      <sheetName val="entitlements"/>
      <sheetName val="Mat.Cost"/>
      <sheetName val="PLC"/>
      <sheetName val="Costing"/>
      <sheetName val="ABB_Alt1"/>
      <sheetName val="Price Schedule_ME"/>
      <sheetName val="Price Schedule_ME (2)"/>
      <sheetName val="DetEst"/>
      <sheetName val="labour"/>
      <sheetName val="Fill this out first..."/>
      <sheetName val="Lead"/>
      <sheetName val="Mat_Cost"/>
      <sheetName val="Price_Schedule_ME"/>
      <sheetName val="Price_Schedule_ME_(2)"/>
      <sheetName val="Fill_this_out_first___"/>
      <sheetName val="Debits as on 12.04.08"/>
      <sheetName val="Debits_as_on_12_04_08"/>
      <sheetName val="Chennai"/>
      <sheetName val="MN T.B."/>
      <sheetName val="Cost_any"/>
      <sheetName val="inWords"/>
      <sheetName val="220Kv (2)"/>
      <sheetName val="starter"/>
      <sheetName val="Mat_Cost1"/>
      <sheetName val="Price_Schedule_ME1"/>
      <sheetName val="Price_Schedule_ME_(2)1"/>
      <sheetName val="Debits_as_on_12_04_081"/>
      <sheetName val="Fill_this_out_first___1"/>
      <sheetName val="Mat_Cost2"/>
      <sheetName val="Price_Schedule_ME2"/>
      <sheetName val="Price_Schedule_ME_(2)2"/>
      <sheetName val="Debits_as_on_12_04_082"/>
      <sheetName val="Fill_this_out_first___2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Quote Sheet"/>
      <sheetName val="Key Ratios"/>
      <sheetName val="Table"/>
      <sheetName val="SUPPORT1"/>
      <sheetName val="Historical IS"/>
      <sheetName val="Rate_Analysis4"/>
      <sheetName val="NPO_-_Model4"/>
      <sheetName val="Back_up3"/>
      <sheetName val="Summary_MEP3"/>
      <sheetName val="Summary_MEP_(2)3"/>
      <sheetName val="Electrical__(2)3"/>
      <sheetName val="Fire_(2)3"/>
      <sheetName val="Plumbing_(2)3"/>
      <sheetName val="All_Assumptions3"/>
      <sheetName val="Finishing_Schedule3"/>
      <sheetName val="KP_MALL-Area_Take_Off3"/>
      <sheetName val="Arera,_Peri_Basement3"/>
      <sheetName val="BOH_Area3"/>
      <sheetName val="Bulk_Head3"/>
      <sheetName val="Retail_Area_(TI)3"/>
      <sheetName val="KPM-Rate_Analysis3"/>
      <sheetName val="Electrical_3"/>
      <sheetName val="Elevator_&amp;_Escalator3"/>
      <sheetName val="MP_Working3"/>
      <sheetName val="UK_Report4"/>
      <sheetName val="Aus&amp;_Sing3"/>
      <sheetName val="Cash_Flow_Working3"/>
      <sheetName val="Labor_abs-NMR3"/>
      <sheetName val="SC_Cost_FEB_033"/>
      <sheetName val="Eq__Mobilization3"/>
      <sheetName val="Pro_Pavement3"/>
      <sheetName val="Cost_of_O_&amp;_O3"/>
      <sheetName val="Diesel_Analysis3"/>
      <sheetName val="Mix_Design3"/>
      <sheetName val="P-Ins_&amp;_Bonds3"/>
      <sheetName val="Eq__Mobilization1"/>
      <sheetName val="Pro_Pavement1"/>
      <sheetName val="Cost_of_O_&amp;_O1"/>
      <sheetName val="Diesel_Analysis1"/>
      <sheetName val="Mix_Design1"/>
      <sheetName val="P-Ins_&amp;_Bonds1"/>
      <sheetName val="Rate_Analysis3"/>
      <sheetName val="NPO_-_Model3"/>
      <sheetName val="UK_Report3"/>
      <sheetName val="Aus&amp;_Sing2"/>
      <sheetName val="Eq__Mobilization2"/>
      <sheetName val="Pro_Pavement2"/>
      <sheetName val="Cost_of_O_&amp;_O2"/>
      <sheetName val="Diesel_Analysis2"/>
      <sheetName val="Mix_Design2"/>
      <sheetName val="P-Ins_&amp;_Bonds2"/>
      <sheetName val="Const_QMS_Dash_Board13"/>
      <sheetName val="Data_Valid13"/>
      <sheetName val="MAG1_tracker12"/>
      <sheetName val="NLD_AG112"/>
      <sheetName val="Valid_Inputs12"/>
      <sheetName val="Site_Findings_Status_Sheet11"/>
      <sheetName val="daywork-_Tham_khao11"/>
      <sheetName val="JC_Database11"/>
      <sheetName val="_Values11"/>
      <sheetName val="Data_Val_11"/>
      <sheetName val="Ins_Erection8"/>
      <sheetName val="City_Codes8"/>
      <sheetName val="Consequences_Categories8"/>
      <sheetName val="Cause_Categories8"/>
      <sheetName val="Fiber_Work8"/>
      <sheetName val="SCO_Support_Sites8"/>
      <sheetName val="FTTH_Fiber_Work8"/>
      <sheetName val="Additional_96F_Blowing8"/>
      <sheetName val="Inside_Premises8"/>
      <sheetName val="Distribution_College_only8"/>
      <sheetName val="Scope_Productivity8"/>
      <sheetName val="MP_Productivity8"/>
      <sheetName val="Pass-Thru_Income_JE8"/>
      <sheetName val="Data_Dictionery8"/>
      <sheetName val="New_Drop_Down_Menu8"/>
      <sheetName val="SPT_vs_PHI7"/>
      <sheetName val="Earnings_model7"/>
      <sheetName val="Civil_Boq7"/>
      <sheetName val="Pre-cast_Qty7"/>
      <sheetName val="precast_RC_element7"/>
      <sheetName val="Typical_floor_on_3BHK_-STD7"/>
      <sheetName val="DATA_91-987"/>
      <sheetName val="Rate_Analysis7"/>
      <sheetName val="Material_7"/>
      <sheetName val="NPO_-_Model7"/>
      <sheetName val="Back_up6"/>
      <sheetName val="Summary_MEP6"/>
      <sheetName val="Summary_MEP_(2)6"/>
      <sheetName val="Electrical__(2)6"/>
      <sheetName val="Fire_(2)6"/>
      <sheetName val="Plumbing_(2)6"/>
      <sheetName val="All_Assumptions6"/>
      <sheetName val="Finishing_Schedule6"/>
      <sheetName val="KP_MALL-Area_Take_Off6"/>
      <sheetName val="Arera,_Peri_Basement6"/>
      <sheetName val="BOH_Area6"/>
      <sheetName val="Bulk_Head6"/>
      <sheetName val="Retail_Area_(TI)6"/>
      <sheetName val="KPM-Rate_Analysis6"/>
      <sheetName val="Electrical_6"/>
      <sheetName val="Elevator_&amp;_Escalator6"/>
      <sheetName val="MP_Working6"/>
      <sheetName val="UK_Report7"/>
      <sheetName val="Aus&amp;_Sing6"/>
      <sheetName val="Cash_Flow_Working6"/>
      <sheetName val="Labor_abs-NMR6"/>
      <sheetName val="SC_Cost_FEB_036"/>
      <sheetName val="Eq__Mobilization6"/>
      <sheetName val="Pro_Pavement6"/>
      <sheetName val="Cost_of_O_&amp;_O6"/>
      <sheetName val="Diesel_Analysis6"/>
      <sheetName val="Mix_Design6"/>
      <sheetName val="P-Ins_&amp;_Bonds6"/>
      <sheetName val="Input_sheet2"/>
      <sheetName val="BASIC_RATES2"/>
      <sheetName val="BOQ-for_Main_DB1"/>
      <sheetName val="Labour_&amp;_Plant1"/>
      <sheetName val="E_&amp;_R1"/>
      <sheetName val="01_11_20041"/>
      <sheetName val="Pipe_Supports1"/>
      <sheetName val="GF_Columns1"/>
      <sheetName val="beam-reinft-machine_rm1"/>
      <sheetName val="P_&amp;_l_1"/>
      <sheetName val="Const_QMS_Dash_Board11"/>
      <sheetName val="Data_Valid11"/>
      <sheetName val="MAG1_tracker10"/>
      <sheetName val="NLD_AG110"/>
      <sheetName val="Valid_Inputs10"/>
      <sheetName val="Site_Findings_Status_Sheet9"/>
      <sheetName val="daywork-_Tham_khao9"/>
      <sheetName val="JC_Database9"/>
      <sheetName val="_Values9"/>
      <sheetName val="Data_Val_9"/>
      <sheetName val="Ins_Erection6"/>
      <sheetName val="City_Codes6"/>
      <sheetName val="Consequences_Categories6"/>
      <sheetName val="Cause_Categories6"/>
      <sheetName val="Fiber_Work6"/>
      <sheetName val="SCO_Support_Sites6"/>
      <sheetName val="FTTH_Fiber_Work6"/>
      <sheetName val="Additional_96F_Blowing6"/>
      <sheetName val="Inside_Premises6"/>
      <sheetName val="Distribution_College_only6"/>
      <sheetName val="Scope_Productivity6"/>
      <sheetName val="MP_Productivity6"/>
      <sheetName val="Pass-Thru_Income_JE6"/>
      <sheetName val="Data_Dictionery6"/>
      <sheetName val="New_Drop_Down_Menu6"/>
      <sheetName val="SPT_vs_PHI5"/>
      <sheetName val="Earnings_model5"/>
      <sheetName val="Civil_Boq5"/>
      <sheetName val="Pre-cast_Qty5"/>
      <sheetName val="precast_RC_element5"/>
      <sheetName val="Typical_floor_on_3BHK_-STD5"/>
      <sheetName val="DATA_91-985"/>
      <sheetName val="Rate_Analysis5"/>
      <sheetName val="Material_5"/>
      <sheetName val="NPO_-_Model5"/>
      <sheetName val="Back_up4"/>
      <sheetName val="Summary_MEP4"/>
      <sheetName val="Summary_MEP_(2)4"/>
      <sheetName val="Electrical__(2)4"/>
      <sheetName val="Fire_(2)4"/>
      <sheetName val="Plumbing_(2)4"/>
      <sheetName val="All_Assumptions4"/>
      <sheetName val="Finishing_Schedule4"/>
      <sheetName val="KP_MALL-Area_Take_Off4"/>
      <sheetName val="Arera,_Peri_Basement4"/>
      <sheetName val="BOH_Area4"/>
      <sheetName val="Bulk_Head4"/>
      <sheetName val="Retail_Area_(TI)4"/>
      <sheetName val="KPM-Rate_Analysis4"/>
      <sheetName val="Electrical_4"/>
      <sheetName val="Elevator_&amp;_Escalator4"/>
      <sheetName val="MP_Working4"/>
      <sheetName val="UK_Report5"/>
      <sheetName val="Aus&amp;_Sing4"/>
      <sheetName val="Cash_Flow_Working4"/>
      <sheetName val="Labor_abs-NMR4"/>
      <sheetName val="SC_Cost_FEB_034"/>
      <sheetName val="Eq__Mobilization4"/>
      <sheetName val="Pro_Pavement4"/>
      <sheetName val="Cost_of_O_&amp;_O4"/>
      <sheetName val="Diesel_Analysis4"/>
      <sheetName val="Mix_Design4"/>
      <sheetName val="P-Ins_&amp;_Bonds4"/>
      <sheetName val="Input_sheet"/>
      <sheetName val="BASIC_RATES"/>
      <sheetName val="Const_QMS_Dash_Board12"/>
      <sheetName val="Data_Valid12"/>
      <sheetName val="MAG1_tracker11"/>
      <sheetName val="NLD_AG111"/>
      <sheetName val="Valid_Inputs11"/>
      <sheetName val="Site_Findings_Status_Sheet10"/>
      <sheetName val="daywork-_Tham_khao10"/>
      <sheetName val="JC_Database10"/>
      <sheetName val="_Values10"/>
      <sheetName val="Data_Val_10"/>
      <sheetName val="Ins_Erection7"/>
      <sheetName val="City_Codes7"/>
      <sheetName val="Consequences_Categories7"/>
      <sheetName val="Cause_Categories7"/>
      <sheetName val="Fiber_Work7"/>
      <sheetName val="SCO_Support_Sites7"/>
      <sheetName val="FTTH_Fiber_Work7"/>
      <sheetName val="Additional_96F_Blowing7"/>
      <sheetName val="Inside_Premises7"/>
      <sheetName val="Distribution_College_only7"/>
      <sheetName val="Scope_Productivity7"/>
      <sheetName val="MP_Productivity7"/>
      <sheetName val="Pass-Thru_Income_JE7"/>
      <sheetName val="Data_Dictionery7"/>
      <sheetName val="New_Drop_Down_Menu7"/>
      <sheetName val="SPT_vs_PHI6"/>
      <sheetName val="Earnings_model6"/>
      <sheetName val="Civil_Boq6"/>
      <sheetName val="Pre-cast_Qty6"/>
      <sheetName val="precast_RC_element6"/>
      <sheetName val="Typical_floor_on_3BHK_-STD6"/>
      <sheetName val="DATA_91-986"/>
      <sheetName val="Rate_Analysis6"/>
      <sheetName val="Material_6"/>
      <sheetName val="NPO_-_Model6"/>
      <sheetName val="Back_up5"/>
      <sheetName val="Summary_MEP5"/>
      <sheetName val="Summary_MEP_(2)5"/>
      <sheetName val="Electrical__(2)5"/>
      <sheetName val="Fire_(2)5"/>
      <sheetName val="Plumbing_(2)5"/>
      <sheetName val="All_Assumptions5"/>
      <sheetName val="Finishing_Schedule5"/>
      <sheetName val="KP_MALL-Area_Take_Off5"/>
      <sheetName val="Arera,_Peri_Basement5"/>
      <sheetName val="BOH_Area5"/>
      <sheetName val="Bulk_Head5"/>
      <sheetName val="Retail_Area_(TI)5"/>
      <sheetName val="KPM-Rate_Analysis5"/>
      <sheetName val="Electrical_5"/>
      <sheetName val="Elevator_&amp;_Escalator5"/>
      <sheetName val="MP_Working5"/>
      <sheetName val="UK_Report6"/>
      <sheetName val="Aus&amp;_Sing5"/>
      <sheetName val="Cash_Flow_Working5"/>
      <sheetName val="Labor_abs-NMR5"/>
      <sheetName val="SC_Cost_FEB_035"/>
      <sheetName val="Eq__Mobilization5"/>
      <sheetName val="Pro_Pavement5"/>
      <sheetName val="Cost_of_O_&amp;_O5"/>
      <sheetName val="Diesel_Analysis5"/>
      <sheetName val="Mix_Design5"/>
      <sheetName val="P-Ins_&amp;_Bonds5"/>
      <sheetName val="Input_sheet1"/>
      <sheetName val="BASIC_RATES1"/>
      <sheetName val="BOQ-for_Main_DB"/>
      <sheetName val="Labour_&amp;_Plant"/>
      <sheetName val="E_&amp;_R"/>
      <sheetName val="01_11_2004"/>
      <sheetName val="Pipe_Supports"/>
      <sheetName val="GF_Columns"/>
      <sheetName val="beam-reinft-machine_rm"/>
      <sheetName val="P_&amp;_l_"/>
      <sheetName val="Const_QMS_Dash_Board14"/>
      <sheetName val="Data_Valid14"/>
      <sheetName val="MAG1_tracker13"/>
      <sheetName val="NLD_AG113"/>
      <sheetName val="Valid_Inputs13"/>
      <sheetName val="Site_Findings_Status_Sheet12"/>
      <sheetName val="daywork-_Tham_khao12"/>
      <sheetName val="JC_Database12"/>
      <sheetName val="_Values12"/>
      <sheetName val="Data_Val_12"/>
      <sheetName val="Ins_Erection9"/>
      <sheetName val="City_Codes9"/>
      <sheetName val="Consequences_Categories9"/>
      <sheetName val="Cause_Categories9"/>
      <sheetName val="Fiber_Work9"/>
      <sheetName val="SCO_Support_Sites9"/>
      <sheetName val="FTTH_Fiber_Work9"/>
      <sheetName val="Additional_96F_Blowing9"/>
      <sheetName val="Inside_Premises9"/>
      <sheetName val="Distribution_College_only9"/>
      <sheetName val="Scope_Productivity9"/>
      <sheetName val="MP_Productivity9"/>
      <sheetName val="Pass-Thru_Income_JE9"/>
      <sheetName val="Data_Dictionery9"/>
      <sheetName val="New_Drop_Down_Menu9"/>
      <sheetName val="SPT_vs_PHI8"/>
      <sheetName val="Earnings_model8"/>
      <sheetName val="Civil_Boq8"/>
      <sheetName val="Pre-cast_Qty8"/>
      <sheetName val="precast_RC_element8"/>
      <sheetName val="Typical_floor_on_3BHK_-STD8"/>
      <sheetName val="DATA_91-988"/>
      <sheetName val="Rate_Analysis8"/>
      <sheetName val="Material_8"/>
      <sheetName val="NPO_-_Model8"/>
      <sheetName val="Back_up7"/>
      <sheetName val="Summary_MEP7"/>
      <sheetName val="Summary_MEP_(2)7"/>
      <sheetName val="Electrical__(2)7"/>
      <sheetName val="Fire_(2)7"/>
      <sheetName val="Plumbing_(2)7"/>
      <sheetName val="All_Assumptions7"/>
      <sheetName val="Finishing_Schedule7"/>
      <sheetName val="KP_MALL-Area_Take_Off7"/>
      <sheetName val="Arera,_Peri_Basement7"/>
      <sheetName val="BOH_Area7"/>
      <sheetName val="Bulk_Head7"/>
      <sheetName val="Retail_Area_(TI)7"/>
      <sheetName val="KPM-Rate_Analysis7"/>
      <sheetName val="Electrical_7"/>
      <sheetName val="Elevator_&amp;_Escalator7"/>
      <sheetName val="MP_Working7"/>
      <sheetName val="UK_Report8"/>
      <sheetName val="Aus&amp;_Sing7"/>
      <sheetName val="Cash_Flow_Working7"/>
      <sheetName val="Labor_abs-NMR7"/>
      <sheetName val="SC_Cost_FEB_037"/>
      <sheetName val="Eq__Mobilization7"/>
      <sheetName val="Pro_Pavement7"/>
      <sheetName val="Cost_of_O_&amp;_O7"/>
      <sheetName val="Diesel_Analysis7"/>
      <sheetName val="Mix_Design7"/>
      <sheetName val="P-Ins_&amp;_Bonds7"/>
      <sheetName val="Const_QMS_Dash_Board16"/>
      <sheetName val="Data_Valid16"/>
      <sheetName val="MAG1_tracker15"/>
      <sheetName val="NLD_AG115"/>
      <sheetName val="Valid_Inputs15"/>
      <sheetName val="Site_Findings_Status_Sheet14"/>
      <sheetName val="daywork-_Tham_khao14"/>
      <sheetName val="JC_Database14"/>
      <sheetName val="_Values14"/>
      <sheetName val="Data_Val_14"/>
      <sheetName val="Ins_Erection11"/>
      <sheetName val="City_Codes11"/>
      <sheetName val="Consequences_Categories11"/>
      <sheetName val="Cause_Categories11"/>
      <sheetName val="Fiber_Work11"/>
      <sheetName val="SCO_Support_Sites11"/>
      <sheetName val="FTTH_Fiber_Work11"/>
      <sheetName val="Additional_96F_Blowing11"/>
      <sheetName val="Inside_Premises11"/>
      <sheetName val="Distribution_College_only11"/>
      <sheetName val="Scope_Productivity11"/>
      <sheetName val="MP_Productivity11"/>
      <sheetName val="Pass-Thru_Income_JE11"/>
      <sheetName val="Data_Dictionery11"/>
      <sheetName val="New_Drop_Down_Menu11"/>
      <sheetName val="SPT_vs_PHI10"/>
      <sheetName val="Earnings_model10"/>
      <sheetName val="Civil_Boq10"/>
      <sheetName val="Pre-cast_Qty10"/>
      <sheetName val="precast_RC_element10"/>
      <sheetName val="Typical_floor_on_3BHK_-STD10"/>
      <sheetName val="DATA_91-9810"/>
      <sheetName val="Rate_Analysis10"/>
      <sheetName val="Material_10"/>
      <sheetName val="NPO_-_Model10"/>
      <sheetName val="Back_up9"/>
      <sheetName val="Summary_MEP9"/>
      <sheetName val="Summary_MEP_(2)9"/>
      <sheetName val="Electrical__(2)9"/>
      <sheetName val="Fire_(2)9"/>
      <sheetName val="Plumbing_(2)9"/>
      <sheetName val="All_Assumptions9"/>
      <sheetName val="Finishing_Schedule9"/>
      <sheetName val="KP_MALL-Area_Take_Off9"/>
      <sheetName val="Arera,_Peri_Basement9"/>
      <sheetName val="BOH_Area9"/>
      <sheetName val="Bulk_Head9"/>
      <sheetName val="Retail_Area_(TI)9"/>
      <sheetName val="KPM-Rate_Analysis9"/>
      <sheetName val="Electrical_9"/>
      <sheetName val="Elevator_&amp;_Escalator9"/>
      <sheetName val="MP_Working9"/>
      <sheetName val="UK_Report10"/>
      <sheetName val="Aus&amp;_Sing9"/>
      <sheetName val="Cash_Flow_Working9"/>
      <sheetName val="Labor_abs-NMR9"/>
      <sheetName val="SC_Cost_FEB_039"/>
      <sheetName val="Eq__Mobilization9"/>
      <sheetName val="Pro_Pavement9"/>
      <sheetName val="Cost_of_O_&amp;_O9"/>
      <sheetName val="Diesel_Analysis9"/>
      <sheetName val="Mix_Design9"/>
      <sheetName val="P-Ins_&amp;_Bonds9"/>
      <sheetName val="Input_sheet4"/>
      <sheetName val="BASIC_RATES4"/>
      <sheetName val="BOQ-for_Main_DB3"/>
      <sheetName val="Labour_&amp;_Plant3"/>
      <sheetName val="E_&amp;_R3"/>
      <sheetName val="01_11_20043"/>
      <sheetName val="Pipe_Supports3"/>
      <sheetName val="GF_Columns3"/>
      <sheetName val="beam-reinft-machine_rm3"/>
      <sheetName val="P_&amp;_l_3"/>
      <sheetName val="입찰내역_발주처_양식1"/>
      <sheetName val="old_serial_no_1"/>
      <sheetName val="BASIS_-DEC_081"/>
      <sheetName val="pile_Fabrication1"/>
      <sheetName val="PRECAST_lightconc-II1"/>
      <sheetName val="MSP_Distrbution_Linking_to_S-11"/>
      <sheetName val="Combined_Results_1"/>
      <sheetName val="MASTER_RATE_ANALYSIS1"/>
      <sheetName val="abst-of_-cost1"/>
      <sheetName val="Const_QMS_Dash_Board15"/>
      <sheetName val="Data_Valid15"/>
      <sheetName val="MAG1_tracker14"/>
      <sheetName val="NLD_AG114"/>
      <sheetName val="Valid_Inputs14"/>
      <sheetName val="Site_Findings_Status_Sheet13"/>
      <sheetName val="daywork-_Tham_khao13"/>
      <sheetName val="JC_Database13"/>
      <sheetName val="_Values13"/>
      <sheetName val="Data_Val_13"/>
      <sheetName val="Ins_Erection10"/>
      <sheetName val="City_Codes10"/>
      <sheetName val="Consequences_Categories10"/>
      <sheetName val="Cause_Categories10"/>
      <sheetName val="Fiber_Work10"/>
      <sheetName val="SCO_Support_Sites10"/>
      <sheetName val="FTTH_Fiber_Work10"/>
      <sheetName val="Additional_96F_Blowing10"/>
      <sheetName val="Inside_Premises10"/>
      <sheetName val="Distribution_College_only10"/>
      <sheetName val="Scope_Productivity10"/>
      <sheetName val="MP_Productivity10"/>
      <sheetName val="Pass-Thru_Income_JE10"/>
      <sheetName val="Data_Dictionery10"/>
      <sheetName val="New_Drop_Down_Menu10"/>
      <sheetName val="SPT_vs_PHI9"/>
      <sheetName val="Earnings_model9"/>
      <sheetName val="Civil_Boq9"/>
      <sheetName val="Pre-cast_Qty9"/>
      <sheetName val="precast_RC_element9"/>
      <sheetName val="Typical_floor_on_3BHK_-STD9"/>
      <sheetName val="DATA_91-989"/>
      <sheetName val="Rate_Analysis9"/>
      <sheetName val="Material_9"/>
      <sheetName val="NPO_-_Model9"/>
      <sheetName val="Back_up8"/>
      <sheetName val="Summary_MEP8"/>
      <sheetName val="Summary_MEP_(2)8"/>
      <sheetName val="Electrical__(2)8"/>
      <sheetName val="Fire_(2)8"/>
      <sheetName val="Plumbing_(2)8"/>
      <sheetName val="All_Assumptions8"/>
      <sheetName val="Finishing_Schedule8"/>
      <sheetName val="KP_MALL-Area_Take_Off8"/>
      <sheetName val="Arera,_Peri_Basement8"/>
      <sheetName val="BOH_Area8"/>
      <sheetName val="Bulk_Head8"/>
      <sheetName val="Retail_Area_(TI)8"/>
      <sheetName val="KPM-Rate_Analysis8"/>
      <sheetName val="Electrical_8"/>
      <sheetName val="Elevator_&amp;_Escalator8"/>
      <sheetName val="MP_Working8"/>
      <sheetName val="UK_Report9"/>
      <sheetName val="Aus&amp;_Sing8"/>
      <sheetName val="Cash_Flow_Working8"/>
      <sheetName val="Labor_abs-NMR8"/>
      <sheetName val="SC_Cost_FEB_038"/>
      <sheetName val="Eq__Mobilization8"/>
      <sheetName val="Pro_Pavement8"/>
      <sheetName val="Cost_of_O_&amp;_O8"/>
      <sheetName val="Diesel_Analysis8"/>
      <sheetName val="Mix_Design8"/>
      <sheetName val="P-Ins_&amp;_Bonds8"/>
      <sheetName val="Input_sheet3"/>
      <sheetName val="BASIC_RATES3"/>
      <sheetName val="BOQ-for_Main_DB2"/>
      <sheetName val="Labour_&amp;_Plant2"/>
      <sheetName val="E_&amp;_R2"/>
      <sheetName val="01_11_20042"/>
      <sheetName val="Pipe_Supports2"/>
      <sheetName val="GF_Columns2"/>
      <sheetName val="beam-reinft-machine_rm2"/>
      <sheetName val="P_&amp;_l_2"/>
      <sheetName val="입찰내역_발주처_양식"/>
      <sheetName val="old_serial_no_"/>
      <sheetName val="BASIS_-DEC_08"/>
      <sheetName val="pile_Fabrication"/>
      <sheetName val="PRECAST_lightconc-II"/>
      <sheetName val="MSP_Distrbution_Linking_to_S-1"/>
      <sheetName val="Combined_Results_"/>
      <sheetName val="MASTER_RATE_ANALYSIS"/>
      <sheetName val="abst-of_-cost"/>
      <sheetName val="Contractor Details"/>
      <sheetName val="Template"/>
      <sheetName val="Headings"/>
      <sheetName val="India F&amp;S Template"/>
      <sheetName val="Core Data"/>
      <sheetName val="Settings"/>
      <sheetName val="Mezzanine Floor Beam"/>
      <sheetName val="Detailed Summary (4)"/>
      <sheetName val="p&amp;m"/>
      <sheetName val="Fee Rate Summary"/>
      <sheetName val="feasi"/>
      <sheetName val="INDIGINEOUS ITEMS "/>
      <sheetName val="BHANDUP"/>
      <sheetName val="cost Sft"/>
      <sheetName val="calcul"/>
      <sheetName val="activit-graph  "/>
      <sheetName val=" "/>
      <sheetName val="Internal Plaster-FTP-Block D4"/>
      <sheetName val="CABLERET"/>
      <sheetName val="11-hsd"/>
      <sheetName val="Drop Down"/>
      <sheetName val="TBAL9697 -group wise  sdpl"/>
      <sheetName val="Fin Sum"/>
      <sheetName val="Steel-Circular"/>
      <sheetName val="Original"/>
      <sheetName val="Process"/>
      <sheetName val="Chart2 Tornado"/>
      <sheetName val="PAN INDIA DETAILS"/>
      <sheetName val="BULK"/>
      <sheetName val="Bill No-11"/>
      <sheetName val="WAGERATE BY CRAFT"/>
      <sheetName val="Direct_Lbr"/>
      <sheetName val="Rates"/>
      <sheetName val="Bech_Lab"/>
      <sheetName val="Detail"/>
      <sheetName val="A"/>
      <sheetName val="B"/>
      <sheetName val="FORM-16"/>
      <sheetName val="대비표"/>
      <sheetName val="FI"/>
      <sheetName val="PCA"/>
      <sheetName val="oresreqsum"/>
      <sheetName val="C &amp; G RHS"/>
      <sheetName val="LTG-STG"/>
      <sheetName val="Pier-H"/>
      <sheetName val="REL"/>
      <sheetName val="ncp"/>
      <sheetName val="Final Basic rate"/>
      <sheetName val="basdat"/>
      <sheetName val="doq"/>
      <sheetName val="Materials Cost(PCC)"/>
      <sheetName val="ANX3A70R"/>
      <sheetName val="PRECAST CONCRETE"/>
      <sheetName val="Status"/>
      <sheetName val="Project ODC_NDEU"/>
      <sheetName val="SC-E-02-03"/>
      <sheetName val="TB-JUNE-2003-18.7.03"/>
      <sheetName val="计算表（TF-54)"/>
      <sheetName val="计算表（PS-18)"/>
      <sheetName val="土方计算表（PS-18)"/>
      <sheetName val="计算表（TF-8)"/>
      <sheetName val="土方计算表（TF-8)"/>
      <sheetName val="计算表（TF-51)"/>
      <sheetName val="土方计算表（TF-51)"/>
      <sheetName val="计算表（TF-44)"/>
      <sheetName val="土方计算表（TF-44)"/>
      <sheetName val="土方计算表（TF-54)"/>
      <sheetName val="计算表（GANTRY)"/>
      <sheetName val="土方计算表（GANTRY)"/>
      <sheetName val="计算表（TF-35电缆沟)"/>
      <sheetName val="土方计算表（TF-35电缆沟)"/>
      <sheetName val="License Area"/>
      <sheetName val="Form 6"/>
      <sheetName val="analysis"/>
      <sheetName val="Const_QMS_Dash_Board17"/>
      <sheetName val="Data_Valid17"/>
      <sheetName val="MAG1_tracker16"/>
      <sheetName val="NLD_AG116"/>
      <sheetName val="Valid_Inputs16"/>
      <sheetName val="Site_Findings_Status_Sheet15"/>
      <sheetName val="daywork-_Tham_khao15"/>
      <sheetName val="JC_Database15"/>
      <sheetName val="Data_Val_15"/>
      <sheetName val="_Values15"/>
      <sheetName val="City_Codes12"/>
      <sheetName val="Ins_Erection12"/>
      <sheetName val="Fiber_Work12"/>
      <sheetName val="SCO_Support_Sites12"/>
      <sheetName val="FTTH_Fiber_Work12"/>
      <sheetName val="Additional_96F_Blowing12"/>
      <sheetName val="Inside_Premises12"/>
      <sheetName val="Distribution_College_only12"/>
      <sheetName val="Scope_Productivity12"/>
      <sheetName val="MP_Productivity12"/>
      <sheetName val="Consequences_Categories12"/>
      <sheetName val="Cause_Categories12"/>
      <sheetName val="Pass-Thru_Income_JE12"/>
      <sheetName val="Data_Dictionery12"/>
      <sheetName val="New_Drop_Down_Menu12"/>
      <sheetName val="SPT_vs_PHI11"/>
      <sheetName val="Earnings_model11"/>
      <sheetName val="Civil_Boq11"/>
      <sheetName val="Pre-cast_Qty11"/>
      <sheetName val="precast_RC_element11"/>
      <sheetName val="Typical_floor_on_3BHK_-STD11"/>
      <sheetName val="DATA_91-9811"/>
      <sheetName val="Rate_Analysis11"/>
      <sheetName val="Material_11"/>
      <sheetName val="NPO_-_Model11"/>
      <sheetName val="Back_up10"/>
      <sheetName val="Summary_MEP10"/>
      <sheetName val="Summary_MEP_(2)10"/>
      <sheetName val="Electrical__(2)10"/>
      <sheetName val="Fire_(2)10"/>
      <sheetName val="Plumbing_(2)10"/>
      <sheetName val="All_Assumptions10"/>
      <sheetName val="Finishing_Schedule10"/>
      <sheetName val="KP_MALL-Area_Take_Off10"/>
      <sheetName val="Arera,_Peri_Basement10"/>
      <sheetName val="BOH_Area10"/>
      <sheetName val="Bulk_Head10"/>
      <sheetName val="Retail_Area_(TI)10"/>
      <sheetName val="KPM-Rate_Analysis10"/>
      <sheetName val="Electrical_10"/>
      <sheetName val="Elevator_&amp;_Escalator10"/>
      <sheetName val="MP_Working10"/>
      <sheetName val="UK_Report11"/>
      <sheetName val="Aus&amp;_Sing10"/>
      <sheetName val="Cash_Flow_Working10"/>
      <sheetName val="Labor_abs-NMR10"/>
      <sheetName val="SC_Cost_FEB_0310"/>
      <sheetName val="Eq__Mobilization10"/>
      <sheetName val="Pro_Pavement10"/>
      <sheetName val="Cost_of_O_&amp;_O10"/>
      <sheetName val="Diesel_Analysis10"/>
      <sheetName val="Mix_Design10"/>
      <sheetName val="P-Ins_&amp;_Bonds10"/>
      <sheetName val="Input_sheet5"/>
      <sheetName val="BASIC_RATES5"/>
      <sheetName val="BOQ-for_Main_DB4"/>
      <sheetName val="Labour_&amp;_Plant4"/>
      <sheetName val="E_&amp;_R4"/>
      <sheetName val="01_11_20044"/>
      <sheetName val="Pipe_Supports4"/>
      <sheetName val="GF_Columns4"/>
      <sheetName val="beam-reinft-machine_rm4"/>
      <sheetName val="P_&amp;_l_4"/>
      <sheetName val="입찰내역_발주처_양식2"/>
      <sheetName val="old_serial_no_2"/>
      <sheetName val="BASIS_-DEC_082"/>
      <sheetName val="pile_Fabrication2"/>
      <sheetName val="PRECAST_lightconc-II2"/>
      <sheetName val="MSP_Distrbution_Linking_to_S-12"/>
      <sheetName val="Combined_Results_2"/>
      <sheetName val="MASTER_RATE_ANALYSIS2"/>
      <sheetName val="abst-of_-cost2"/>
      <sheetName val="Categories"/>
      <sheetName val="Category"/>
      <sheetName val="UK"/>
      <sheetName val="15"/>
      <sheetName val="NN"/>
      <sheetName val="Summary year Plan"/>
      <sheetName val="SBI(Siliguri)"/>
      <sheetName val="RES-PLANNING"/>
      <sheetName val="Material List "/>
      <sheetName val="beam-reinft-IIInd floor"/>
      <sheetName val="Set"/>
      <sheetName val="RCC Rates"/>
      <sheetName val="Flooring1"/>
      <sheetName val="Civil Works"/>
      <sheetName val="factors"/>
      <sheetName val="NPV"/>
      <sheetName val="Costcal"/>
      <sheetName val="Mat_Cost3"/>
      <sheetName val="Price_Schedule_ME3"/>
      <sheetName val="Price_Schedule_ME_(2)3"/>
      <sheetName val="Fill_this_out_first___3"/>
      <sheetName val="Debits_as_on_12_04_083"/>
      <sheetName val="MN_T_B_"/>
      <sheetName val="220Kv_(2)"/>
      <sheetName val="ACAD_Finishes"/>
      <sheetName val="Site_Details"/>
      <sheetName val="Site_Area_Statement"/>
      <sheetName val="Mat_Cost4"/>
      <sheetName val="Price_Schedule_ME4"/>
      <sheetName val="Price_Schedule_ME_(2)4"/>
      <sheetName val="Fill_this_out_first___4"/>
      <sheetName val="Debits_as_on_12_04_084"/>
      <sheetName val="MN_T_B_1"/>
      <sheetName val="220Kv_(2)1"/>
      <sheetName val="ACAD_Finishes1"/>
      <sheetName val="Site_Details1"/>
      <sheetName val="Site_Area_Statement1"/>
      <sheetName val="Price_Working_-SRP"/>
      <sheetName val="Const_QMS_Dash_Board18"/>
      <sheetName val="Site_Findings_Status_Sheet16"/>
      <sheetName val="Data_Valid18"/>
      <sheetName val="MAG1_tracker17"/>
      <sheetName val="NLD_AG117"/>
      <sheetName val="Valid_Inputs17"/>
      <sheetName val="daywork-_Tham_khao16"/>
      <sheetName val="JC_Database16"/>
      <sheetName val="_Values16"/>
      <sheetName val="Data_Val_16"/>
      <sheetName val="Ins_Erection13"/>
      <sheetName val="City_Codes13"/>
      <sheetName val="Consequences_Categories13"/>
      <sheetName val="Cause_Categories13"/>
      <sheetName val="Fiber_Work13"/>
      <sheetName val="SCO_Support_Sites13"/>
      <sheetName val="FTTH_Fiber_Work13"/>
      <sheetName val="Additional_96F_Blowing13"/>
      <sheetName val="Inside_Premises13"/>
      <sheetName val="Distribution_College_only13"/>
      <sheetName val="Scope_Productivity13"/>
      <sheetName val="MP_Productivity13"/>
      <sheetName val="Pass-Thru_Income_JE13"/>
      <sheetName val="Data_Dictionery13"/>
      <sheetName val="New_Drop_Down_Menu13"/>
      <sheetName val="SPT_vs_PHI12"/>
      <sheetName val="Earnings_model12"/>
      <sheetName val="Civil_Boq12"/>
      <sheetName val="Pre-cast_Qty12"/>
      <sheetName val="precast_RC_element12"/>
      <sheetName val="Typical_floor_on_3BHK_-STD12"/>
      <sheetName val="DATA_91-9812"/>
      <sheetName val="Rate_Analysis12"/>
      <sheetName val="Material_12"/>
      <sheetName val="NPO_-_Model12"/>
      <sheetName val="Back_up11"/>
      <sheetName val="Summary_MEP11"/>
      <sheetName val="Summary_MEP_(2)11"/>
      <sheetName val="Electrical__(2)11"/>
      <sheetName val="Fire_(2)11"/>
      <sheetName val="Plumbing_(2)11"/>
      <sheetName val="All_Assumptions11"/>
      <sheetName val="Finishing_Schedule11"/>
      <sheetName val="KP_MALL-Area_Take_Off11"/>
      <sheetName val="Arera,_Peri_Basement11"/>
      <sheetName val="BOH_Area11"/>
      <sheetName val="Bulk_Head11"/>
      <sheetName val="Retail_Area_(TI)11"/>
      <sheetName val="KPM-Rate_Analysis11"/>
      <sheetName val="Electrical_11"/>
      <sheetName val="Elevator_&amp;_Escalator11"/>
      <sheetName val="MP_Working11"/>
      <sheetName val="UK_Report12"/>
      <sheetName val="Aus&amp;_Sing11"/>
      <sheetName val="Cash_Flow_Working11"/>
      <sheetName val="Labor_abs-NMR11"/>
      <sheetName val="SC_Cost_FEB_0311"/>
      <sheetName val="Eq__Mobilization11"/>
      <sheetName val="Pro_Pavement11"/>
      <sheetName val="Cost_of_O_&amp;_O11"/>
      <sheetName val="Diesel_Analysis11"/>
      <sheetName val="Mix_Design11"/>
      <sheetName val="P-Ins_&amp;_Bonds11"/>
      <sheetName val="Input_sheet6"/>
      <sheetName val="BASIC_RATES6"/>
      <sheetName val="BOQ-for_Main_DB5"/>
      <sheetName val="Labour_&amp;_Plant5"/>
      <sheetName val="E_&amp;_R5"/>
      <sheetName val="01_11_20045"/>
      <sheetName val="Pipe_Supports5"/>
      <sheetName val="GF_Columns5"/>
      <sheetName val="beam-reinft-machine_rm5"/>
      <sheetName val="P_&amp;_l_5"/>
      <sheetName val="입찰내역_발주처_양식3"/>
      <sheetName val="old_serial_no_3"/>
      <sheetName val="BASIS_-DEC_083"/>
      <sheetName val="pile_Fabrication3"/>
      <sheetName val="PRECAST_lightconc-II3"/>
      <sheetName val="MSP_Distrbution_Linking_to_S-13"/>
      <sheetName val="Combined_Results_3"/>
      <sheetName val="MASTER_RATE_ANALYSIS3"/>
      <sheetName val="abst-of_-cost3"/>
      <sheetName val="Price_Working_-SRP1"/>
      <sheetName val="Historical_IS"/>
      <sheetName val="Chart2_Tornado"/>
      <sheetName val="VARIABLE"/>
      <sheetName val="13-septic"/>
      <sheetName val="7-ug"/>
      <sheetName val="2-utility"/>
      <sheetName val="storm water1"/>
      <sheetName val="std-rates"/>
      <sheetName val="SB_SCH_A3"/>
      <sheetName val="SB SCH_A7"/>
      <sheetName val="Stub Col"/>
      <sheetName val="F.Slab"/>
      <sheetName val="Plinth Beam1"/>
      <sheetName val="Frist Floor"/>
      <sheetName val="Col up to plinth (RL)"/>
      <sheetName val="FORM7"/>
      <sheetName val="BLOCK WORK B2"/>
      <sheetName val="FF SlabBeam"/>
      <sheetName val="Detailed Summary (5)"/>
      <sheetName val="Pipe Bedding"/>
      <sheetName val="SGS ACQ"/>
      <sheetName val="switch"/>
      <sheetName val="PPA Summary"/>
      <sheetName val="Plinth beam"/>
      <sheetName val="Bed Class"/>
      <sheetName val="Cd"/>
      <sheetName val="BOQ"/>
      <sheetName val="TOTCO"/>
      <sheetName val="EXPENSES"/>
      <sheetName val="Drop_Down"/>
      <sheetName val="License_Area"/>
      <sheetName val="Const_QMS_Dash_Board19"/>
      <sheetName val="Data_Valid19"/>
      <sheetName val="MAG1_tracker18"/>
      <sheetName val="NLD_AG118"/>
      <sheetName val="Valid_Inputs18"/>
      <sheetName val="Site_Findings_Status_Sheet17"/>
      <sheetName val="daywork-_Tham_khao17"/>
      <sheetName val="JC_Database17"/>
      <sheetName val="_Values17"/>
      <sheetName val="Data_Val_17"/>
      <sheetName val="Ins_Erection14"/>
      <sheetName val="City_Codes14"/>
      <sheetName val="Consequences_Categories14"/>
      <sheetName val="Cause_Categories14"/>
      <sheetName val="Fiber_Work14"/>
      <sheetName val="SCO_Support_Sites14"/>
      <sheetName val="FTTH_Fiber_Work14"/>
      <sheetName val="Additional_96F_Blowing14"/>
      <sheetName val="Inside_Premises14"/>
      <sheetName val="Distribution_College_only14"/>
      <sheetName val="Scope_Productivity14"/>
      <sheetName val="MP_Productivity14"/>
      <sheetName val="Pass-Thru_Income_JE14"/>
      <sheetName val="Data_Dictionery14"/>
      <sheetName val="New_Drop_Down_Menu14"/>
      <sheetName val="SPT_vs_PHI13"/>
      <sheetName val="Earnings_model13"/>
      <sheetName val="Civil_Boq13"/>
      <sheetName val="Pre-cast_Qty13"/>
      <sheetName val="precast_RC_element13"/>
      <sheetName val="Typical_floor_on_3BHK_-STD13"/>
      <sheetName val="DATA_91-9813"/>
      <sheetName val="Rate_Analysis13"/>
      <sheetName val="Material_13"/>
      <sheetName val="NPO_-_Model13"/>
      <sheetName val="Back_up12"/>
      <sheetName val="Summary_MEP12"/>
      <sheetName val="Summary_MEP_(2)12"/>
      <sheetName val="Electrical__(2)12"/>
      <sheetName val="Fire_(2)12"/>
      <sheetName val="Plumbing_(2)12"/>
      <sheetName val="All_Assumptions12"/>
      <sheetName val="Finishing_Schedule12"/>
      <sheetName val="KP_MALL-Area_Take_Off12"/>
      <sheetName val="Arera,_Peri_Basement12"/>
      <sheetName val="BOH_Area12"/>
      <sheetName val="Bulk_Head12"/>
      <sheetName val="Retail_Area_(TI)12"/>
      <sheetName val="KPM-Rate_Analysis12"/>
      <sheetName val="Electrical_12"/>
      <sheetName val="Elevator_&amp;_Escalator12"/>
      <sheetName val="MP_Working12"/>
      <sheetName val="UK_Report13"/>
      <sheetName val="Aus&amp;_Sing12"/>
      <sheetName val="Cash_Flow_Working12"/>
      <sheetName val="Labor_abs-NMR12"/>
      <sheetName val="SC_Cost_FEB_0312"/>
      <sheetName val="Eq__Mobilization12"/>
      <sheetName val="Pro_Pavement12"/>
      <sheetName val="Cost_of_O_&amp;_O12"/>
      <sheetName val="Diesel_Analysis12"/>
      <sheetName val="Mix_Design12"/>
      <sheetName val="P-Ins_&amp;_Bonds12"/>
      <sheetName val="Input_sheet7"/>
      <sheetName val="BASIC_RATES7"/>
      <sheetName val="BOQ-for_Main_DB6"/>
      <sheetName val="Labour_&amp;_Plant6"/>
      <sheetName val="E_&amp;_R6"/>
      <sheetName val="01_11_20046"/>
      <sheetName val="Pipe_Supports6"/>
      <sheetName val="GF_Columns6"/>
      <sheetName val="beam-reinft-machine_rm6"/>
      <sheetName val="P_&amp;_l_6"/>
      <sheetName val="입찰내역_발주처_양식4"/>
      <sheetName val="old_serial_no_4"/>
      <sheetName val="BASIS_-DEC_084"/>
      <sheetName val="pile_Fabrication4"/>
      <sheetName val="PRECAST_lightconc-II4"/>
      <sheetName val="MSP_Distrbution_Linking_to_S-14"/>
      <sheetName val="Combined_Results_4"/>
      <sheetName val="MASTER_RATE_ANALYSIS4"/>
      <sheetName val="abst-of_-cost4"/>
      <sheetName val="Price_Working_-SRP2"/>
      <sheetName val="Historical_IS1"/>
      <sheetName val="Chart2_Tornado1"/>
      <sheetName val="Drop_Down1"/>
      <sheetName val="License_Area1"/>
      <sheetName val="Contractor_Details"/>
      <sheetName val="Mezzanine_Floor_Beam"/>
      <sheetName val="Detailed_Summary_(4)"/>
      <sheetName val="Fee_Rate_Summary"/>
      <sheetName val="INDIGINEOUS_ITEMS_"/>
      <sheetName val="cost_Sft"/>
      <sheetName val="activit-graph__"/>
      <sheetName val="_"/>
      <sheetName val="Internal_Plaster-FTP-Block_D4"/>
      <sheetName val="TBAL9697_-group_wise__sdpl"/>
      <sheetName val="Fin_Sum"/>
      <sheetName val="Quote_Sheet"/>
      <sheetName val="Form_6"/>
      <sheetName val="Summary_year_Plan"/>
      <sheetName val="Material_List_"/>
      <sheetName val="beam-reinft-IIInd_floor"/>
      <sheetName val="RCC_Rates"/>
      <sheetName val="Civil_Works"/>
      <sheetName val="storm_water1"/>
      <sheetName val="SB_SCH_A7"/>
      <sheetName val="Stub_Col"/>
      <sheetName val="F_Slab"/>
      <sheetName val="Plinth_Beam1"/>
      <sheetName val="Frist_Floor"/>
      <sheetName val="Col_up_to_plinth_(RL)"/>
      <sheetName val="BLOCK_WORK_B2"/>
      <sheetName val="FF_SlabBeam"/>
      <sheetName val="Detailed_Summary_(5)"/>
      <sheetName val="Pipe_Bedding"/>
      <sheetName val="SGS_ACQ"/>
      <sheetName val="PPA_Summary"/>
      <sheetName val="Plinth_beam"/>
      <sheetName val="Bed_Class"/>
      <sheetName val="PAN_INDIA_DETAILS"/>
      <sheetName val="Bus Ways"/>
      <sheetName val="ANAL"/>
      <sheetName val="DATA SHEET"/>
      <sheetName val="Achievements_Highlights 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Base Data"/>
      <sheetName val="North Zone-Tot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>
        <row r="179">
          <cell r="H179">
            <v>540</v>
          </cell>
        </row>
      </sheetData>
      <sheetData sheetId="150">
        <row r="179">
          <cell r="H179">
            <v>540</v>
          </cell>
        </row>
      </sheetData>
      <sheetData sheetId="151">
        <row r="179">
          <cell r="H179">
            <v>540</v>
          </cell>
        </row>
      </sheetData>
      <sheetData sheetId="152"/>
      <sheetData sheetId="153"/>
      <sheetData sheetId="154">
        <row r="179">
          <cell r="H179">
            <v>540</v>
          </cell>
        </row>
      </sheetData>
      <sheetData sheetId="155">
        <row r="179">
          <cell r="H179">
            <v>540</v>
          </cell>
        </row>
      </sheetData>
      <sheetData sheetId="156">
        <row r="179">
          <cell r="H179">
            <v>540</v>
          </cell>
        </row>
      </sheetData>
      <sheetData sheetId="157">
        <row r="179">
          <cell r="H179">
            <v>540</v>
          </cell>
        </row>
      </sheetData>
      <sheetData sheetId="158"/>
      <sheetData sheetId="159"/>
      <sheetData sheetId="160">
        <row r="179">
          <cell r="H179">
            <v>540</v>
          </cell>
        </row>
      </sheetData>
      <sheetData sheetId="161">
        <row r="179">
          <cell r="H179">
            <v>540</v>
          </cell>
        </row>
      </sheetData>
      <sheetData sheetId="162">
        <row r="179">
          <cell r="H179">
            <v>540</v>
          </cell>
        </row>
      </sheetData>
      <sheetData sheetId="163"/>
      <sheetData sheetId="164"/>
      <sheetData sheetId="165"/>
      <sheetData sheetId="166"/>
      <sheetData sheetId="167">
        <row r="179">
          <cell r="H179">
            <v>540</v>
          </cell>
        </row>
      </sheetData>
      <sheetData sheetId="168">
        <row r="179">
          <cell r="H179">
            <v>540</v>
          </cell>
        </row>
      </sheetData>
      <sheetData sheetId="169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>
        <row r="179">
          <cell r="H179">
            <v>540</v>
          </cell>
        </row>
      </sheetData>
      <sheetData sheetId="179">
        <row r="179">
          <cell r="H179">
            <v>540</v>
          </cell>
        </row>
      </sheetData>
      <sheetData sheetId="180"/>
      <sheetData sheetId="181"/>
      <sheetData sheetId="182">
        <row r="179">
          <cell r="H179">
            <v>540</v>
          </cell>
        </row>
      </sheetData>
      <sheetData sheetId="183">
        <row r="179">
          <cell r="H179">
            <v>540</v>
          </cell>
        </row>
      </sheetData>
      <sheetData sheetId="184">
        <row r="179">
          <cell r="H179">
            <v>540</v>
          </cell>
        </row>
      </sheetData>
      <sheetData sheetId="185">
        <row r="179">
          <cell r="H179">
            <v>540</v>
          </cell>
        </row>
      </sheetData>
      <sheetData sheetId="186"/>
      <sheetData sheetId="187"/>
      <sheetData sheetId="188">
        <row r="179">
          <cell r="H179">
            <v>540</v>
          </cell>
        </row>
      </sheetData>
      <sheetData sheetId="189">
        <row r="179">
          <cell r="H179">
            <v>540</v>
          </cell>
        </row>
      </sheetData>
      <sheetData sheetId="190">
        <row r="179">
          <cell r="H179">
            <v>540</v>
          </cell>
        </row>
      </sheetData>
      <sheetData sheetId="191"/>
      <sheetData sheetId="192"/>
      <sheetData sheetId="193"/>
      <sheetData sheetId="194">
        <row r="179">
          <cell r="H179">
            <v>540</v>
          </cell>
        </row>
      </sheetData>
      <sheetData sheetId="195">
        <row r="179">
          <cell r="H179">
            <v>540</v>
          </cell>
        </row>
      </sheetData>
      <sheetData sheetId="196">
        <row r="179">
          <cell r="H179">
            <v>540</v>
          </cell>
        </row>
      </sheetData>
      <sheetData sheetId="197"/>
      <sheetData sheetId="198"/>
      <sheetData sheetId="199"/>
      <sheetData sheetId="200">
        <row r="179">
          <cell r="H179">
            <v>540</v>
          </cell>
        </row>
      </sheetData>
      <sheetData sheetId="201">
        <row r="179">
          <cell r="H179">
            <v>540</v>
          </cell>
        </row>
      </sheetData>
      <sheetData sheetId="202"/>
      <sheetData sheetId="203"/>
      <sheetData sheetId="204"/>
      <sheetData sheetId="205"/>
      <sheetData sheetId="206">
        <row r="179">
          <cell r="H179">
            <v>540</v>
          </cell>
        </row>
      </sheetData>
      <sheetData sheetId="207">
        <row r="179">
          <cell r="H179">
            <v>540</v>
          </cell>
        </row>
      </sheetData>
      <sheetData sheetId="208"/>
      <sheetData sheetId="209"/>
      <sheetData sheetId="210">
        <row r="179">
          <cell r="H179">
            <v>540</v>
          </cell>
        </row>
      </sheetData>
      <sheetData sheetId="211">
        <row r="179">
          <cell r="H179">
            <v>540</v>
          </cell>
        </row>
      </sheetData>
      <sheetData sheetId="212"/>
      <sheetData sheetId="213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>
        <row r="179">
          <cell r="H179">
            <v>540</v>
          </cell>
        </row>
      </sheetData>
      <sheetData sheetId="228">
        <row r="179">
          <cell r="H179">
            <v>540</v>
          </cell>
        </row>
      </sheetData>
      <sheetData sheetId="229"/>
      <sheetData sheetId="230"/>
      <sheetData sheetId="231"/>
      <sheetData sheetId="232">
        <row r="179">
          <cell r="H179">
            <v>540</v>
          </cell>
        </row>
      </sheetData>
      <sheetData sheetId="233">
        <row r="179">
          <cell r="H179">
            <v>540</v>
          </cell>
        </row>
      </sheetData>
      <sheetData sheetId="234"/>
      <sheetData sheetId="235"/>
      <sheetData sheetId="236"/>
      <sheetData sheetId="237"/>
      <sheetData sheetId="238">
        <row r="179">
          <cell r="H179">
            <v>540</v>
          </cell>
        </row>
      </sheetData>
      <sheetData sheetId="239">
        <row r="179">
          <cell r="H179">
            <v>540</v>
          </cell>
        </row>
      </sheetData>
      <sheetData sheetId="240">
        <row r="179">
          <cell r="H179">
            <v>540</v>
          </cell>
        </row>
      </sheetData>
      <sheetData sheetId="241"/>
      <sheetData sheetId="242"/>
      <sheetData sheetId="243"/>
      <sheetData sheetId="244">
        <row r="179">
          <cell r="H179">
            <v>540</v>
          </cell>
        </row>
      </sheetData>
      <sheetData sheetId="245">
        <row r="179">
          <cell r="H179">
            <v>540</v>
          </cell>
        </row>
      </sheetData>
      <sheetData sheetId="246">
        <row r="179">
          <cell r="H179">
            <v>540</v>
          </cell>
        </row>
      </sheetData>
      <sheetData sheetId="247"/>
      <sheetData sheetId="248"/>
      <sheetData sheetId="249"/>
      <sheetData sheetId="250">
        <row r="179">
          <cell r="H179">
            <v>540</v>
          </cell>
        </row>
      </sheetData>
      <sheetData sheetId="251">
        <row r="179">
          <cell r="H179">
            <v>540</v>
          </cell>
        </row>
      </sheetData>
      <sheetData sheetId="252"/>
      <sheetData sheetId="253"/>
      <sheetData sheetId="254"/>
      <sheetData sheetId="255"/>
      <sheetData sheetId="256">
        <row r="179">
          <cell r="H179">
            <v>540</v>
          </cell>
        </row>
      </sheetData>
      <sheetData sheetId="257"/>
      <sheetData sheetId="258"/>
      <sheetData sheetId="259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/>
      <sheetData sheetId="353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/>
      <sheetData sheetId="369">
        <row r="179">
          <cell r="H179">
            <v>540</v>
          </cell>
        </row>
      </sheetData>
      <sheetData sheetId="370" refreshError="1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>
        <row r="179">
          <cell r="H179">
            <v>540</v>
          </cell>
        </row>
      </sheetData>
      <sheetData sheetId="489">
        <row r="179">
          <cell r="H179">
            <v>540</v>
          </cell>
        </row>
      </sheetData>
      <sheetData sheetId="490" refreshError="1"/>
      <sheetData sheetId="491">
        <row r="179">
          <cell r="H179">
            <v>540</v>
          </cell>
        </row>
      </sheetData>
      <sheetData sheetId="492">
        <row r="179">
          <cell r="H179">
            <v>540</v>
          </cell>
        </row>
      </sheetData>
      <sheetData sheetId="493">
        <row r="179">
          <cell r="H179">
            <v>540</v>
          </cell>
        </row>
      </sheetData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>
        <row r="179">
          <cell r="H179">
            <v>540</v>
          </cell>
        </row>
      </sheetData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>
        <row r="179">
          <cell r="H179">
            <v>540</v>
          </cell>
        </row>
      </sheetData>
      <sheetData sheetId="511">
        <row r="179">
          <cell r="H179">
            <v>540</v>
          </cell>
        </row>
      </sheetData>
      <sheetData sheetId="512">
        <row r="179">
          <cell r="H179">
            <v>540</v>
          </cell>
        </row>
      </sheetData>
      <sheetData sheetId="513">
        <row r="179">
          <cell r="H179">
            <v>540</v>
          </cell>
        </row>
      </sheetData>
      <sheetData sheetId="514">
        <row r="179">
          <cell r="H179">
            <v>540</v>
          </cell>
        </row>
      </sheetData>
      <sheetData sheetId="515" refreshError="1"/>
      <sheetData sheetId="516" refreshError="1"/>
      <sheetData sheetId="517"/>
      <sheetData sheetId="518"/>
      <sheetData sheetId="519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 refreshError="1"/>
      <sheetData sheetId="527" refreshError="1"/>
      <sheetData sheetId="528" refreshError="1"/>
      <sheetData sheetId="529" refreshError="1"/>
      <sheetData sheetId="530" refreshError="1"/>
      <sheetData sheetId="531" refreshError="1"/>
      <sheetData sheetId="532" refreshError="1"/>
      <sheetData sheetId="533" refreshError="1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>
        <row r="179">
          <cell r="H179">
            <v>540</v>
          </cell>
        </row>
      </sheetData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/>
      <sheetData sheetId="1292"/>
      <sheetData sheetId="1293"/>
      <sheetData sheetId="1294"/>
      <sheetData sheetId="1295"/>
      <sheetData sheetId="1296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/>
      <sheetData sheetId="1325"/>
      <sheetData sheetId="1326"/>
      <sheetData sheetId="1327"/>
      <sheetData sheetId="1328"/>
      <sheetData sheetId="1329"/>
      <sheetData sheetId="1330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 refreshError="1"/>
      <sheetData sheetId="1458" refreshError="1"/>
      <sheetData sheetId="1459" refreshError="1"/>
      <sheetData sheetId="1460" refreshError="1"/>
      <sheetData sheetId="1461" refreshError="1"/>
      <sheetData sheetId="1462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"/>
      <sheetName val="Adjust"/>
      <sheetName val="CFlow"/>
      <sheetName val="Mnthly Oper Exp"/>
      <sheetName val="CFlow2"/>
      <sheetName val="CFlow3"/>
      <sheetName val="IRR"/>
      <sheetName val="Quarterly CF"/>
      <sheetName val="Variance"/>
      <sheetName val="Debt"/>
      <sheetName val="Debt 2"/>
      <sheetName val="L"/>
      <sheetName val="Exec Sum"/>
      <sheetName val="Asset Sum"/>
      <sheetName val="dyna cash flow"/>
      <sheetName val="Value"/>
      <sheetName val="Value 2"/>
      <sheetName val="Budget"/>
      <sheetName val="Sheet1"/>
      <sheetName val="Credit Ten CF"/>
      <sheetName val="SC-E-02-03"/>
      <sheetName val="TB-JUNE-2003-18.7.03"/>
      <sheetName val="INFO"/>
      <sheetName val="NOTES 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ed Cost %"/>
      <sheetName val="Hyperion Roll-up"/>
      <sheetName val="Hyperion Roll-up (2)"/>
      <sheetName val="Ownership split"/>
      <sheetName val="Owners %  Excl Hotel in 840"/>
      <sheetName val="Bay &amp; Parking Rev Alloc"/>
      <sheetName val="105 Adelaide"/>
      <sheetName val="Royal Centre (Standard Life)"/>
      <sheetName val="Hudson Bay Centre Amort"/>
      <sheetName val="Validation"/>
      <sheetName val="PDFLO_WK"/>
      <sheetName val="Expense Adjustments"/>
      <sheetName val="Les Cèdres"/>
      <sheetName val="B"/>
      <sheetName val="ecc_res"/>
      <sheetName val="Do Not Delete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valuation"/>
      <sheetName val="Prop_List"/>
      <sheetName val="Parameters"/>
      <sheetName val="resumo"/>
      <sheetName val="NPV_Combo"/>
      <sheetName val="Fund Waterfall"/>
      <sheetName val="taxcalcs"/>
      <sheetName val="Community List"/>
      <sheetName val="F9_Hidden_Lists"/>
      <sheetName val="by Bucket (Hol)"/>
      <sheetName val="LISTS"/>
      <sheetName val="by Bucket (Timber)"/>
      <sheetName val="ago03"/>
      <sheetName val="Sheet1"/>
      <sheetName val="apports"/>
      <sheetName val="B_Sheet_1lacs"/>
      <sheetName val="B_Sheet"/>
      <sheetName val="Stabilized"/>
      <sheetName val="Stats"/>
      <sheetName val="Operating Assets"/>
      <sheetName val="Margin Check"/>
      <sheetName val="Sorts"/>
      <sheetName val="Revs"/>
      <sheetName val="SS mkts"/>
      <sheetName val="Budg compare"/>
      <sheetName val="Rollup"/>
      <sheetName val="SS64"/>
      <sheetName val="SS63"/>
      <sheetName val="SS81"/>
      <sheetName val="SS85"/>
      <sheetName val="Stab87"/>
      <sheetName val="14LU"/>
      <sheetName val="Transit"/>
      <sheetName val="22218"/>
      <sheetName val="Virtus"/>
      <sheetName val="Wst"/>
      <sheetName val="Core"/>
      <sheetName val="20111"/>
      <sheetName val="20128"/>
      <sheetName val="20152"/>
      <sheetName val="20153"/>
      <sheetName val="20154"/>
      <sheetName val="20155"/>
      <sheetName val="20156"/>
      <sheetName val="20157"/>
      <sheetName val="20501"/>
      <sheetName val="20502"/>
      <sheetName val="20516"/>
      <sheetName val="20604"/>
      <sheetName val="20612"/>
      <sheetName val="20613"/>
      <sheetName val="20614"/>
      <sheetName val="20615"/>
      <sheetName val="20616"/>
      <sheetName val="20619"/>
      <sheetName val="20620"/>
      <sheetName val="20712"/>
      <sheetName val="20713"/>
      <sheetName val="20714"/>
      <sheetName val="20715"/>
      <sheetName val="20716"/>
      <sheetName val="20807"/>
      <sheetName val="20905"/>
      <sheetName val="20907"/>
      <sheetName val="20908"/>
      <sheetName val="20909"/>
      <sheetName val="20916"/>
      <sheetName val="20921"/>
      <sheetName val="20922"/>
      <sheetName val="20923"/>
      <sheetName val="20924"/>
      <sheetName val="20925"/>
      <sheetName val="20926"/>
      <sheetName val="20929"/>
      <sheetName val="20931"/>
      <sheetName val="22002"/>
      <sheetName val="22109"/>
      <sheetName val="22207"/>
      <sheetName val="22212"/>
      <sheetName val="22215"/>
      <sheetName val="22216"/>
      <sheetName val="22217"/>
      <sheetName val="22409"/>
      <sheetName val="22410"/>
      <sheetName val="22601"/>
      <sheetName val="22820"/>
      <sheetName val="22821"/>
      <sheetName val="22822"/>
      <sheetName val="22823"/>
      <sheetName val="22824"/>
      <sheetName val="22825"/>
      <sheetName val="22826"/>
      <sheetName val="22900"/>
      <sheetName val="22901"/>
      <sheetName val="22902"/>
      <sheetName val="23313"/>
      <sheetName val="23314"/>
      <sheetName val="23317"/>
      <sheetName val="23318"/>
      <sheetName val="23319"/>
      <sheetName val="23320"/>
      <sheetName val="23501"/>
      <sheetName val="20305"/>
      <sheetName val="Trans"/>
      <sheetName val="20309"/>
      <sheetName val="20310"/>
      <sheetName val="20503"/>
      <sheetName val="20805"/>
      <sheetName val="20808"/>
      <sheetName val="20809"/>
      <sheetName val="20810"/>
      <sheetName val="20811"/>
      <sheetName val="20906"/>
      <sheetName val="20936"/>
      <sheetName val="20934"/>
      <sheetName val="22310"/>
      <sheetName val="22520"/>
      <sheetName val="22521"/>
      <sheetName val="22522"/>
      <sheetName val="22827"/>
      <sheetName val="22828"/>
      <sheetName val="23315"/>
      <sheetName val="23316"/>
      <sheetName val="Virt"/>
      <sheetName val="20804"/>
      <sheetName val="20927"/>
      <sheetName val="20928"/>
      <sheetName val="22903"/>
      <sheetName val="23200"/>
      <sheetName val="23300"/>
      <sheetName val="23301"/>
      <sheetName val="23302"/>
      <sheetName val="23303"/>
      <sheetName val="23304"/>
      <sheetName val="23305"/>
      <sheetName val="23306"/>
      <sheetName val="West"/>
      <sheetName val="23106"/>
      <sheetName val="23107"/>
      <sheetName val="23108"/>
      <sheetName val="23500"/>
      <sheetName val="Portfolio Op_ALL CF"/>
      <sheetName val="Financials&gt;"/>
      <sheetName val="Jan17"/>
      <sheetName val="Feb17"/>
      <sheetName val="Mar17"/>
      <sheetName val="Apr17"/>
      <sheetName val="May17"/>
      <sheetName val="Jun17"/>
      <sheetName val="Jul17"/>
      <sheetName val="Aug17"/>
      <sheetName val="Sep17"/>
      <sheetName val="Oct17"/>
      <sheetName val="Nov17"/>
      <sheetName val="Dec17"/>
      <sheetName val="Jan17E"/>
      <sheetName val="Feb17E"/>
      <sheetName val="Mar17E"/>
      <sheetName val="Apr17E"/>
      <sheetName val="May17E"/>
      <sheetName val="Jun17E"/>
      <sheetName val="Jul17E"/>
      <sheetName val="Aug17E"/>
      <sheetName val="Sep17E"/>
      <sheetName val="Oct17E"/>
      <sheetName val="Nov17E"/>
      <sheetName val="Dec17E"/>
      <sheetName val="Jan18E"/>
      <sheetName val="Feb18E"/>
      <sheetName val="Mar18E"/>
      <sheetName val="Apr18E"/>
      <sheetName val="May18E"/>
      <sheetName val="Jun18E"/>
      <sheetName val="Jul18E"/>
      <sheetName val="Aug18E"/>
      <sheetName val="Sep18E"/>
      <sheetName val="Oct18E"/>
      <sheetName val="Nov18E"/>
      <sheetName val="Dec18E"/>
      <sheetName val="Jan18"/>
      <sheetName val="Feb18"/>
      <sheetName val="Mar18"/>
      <sheetName val="Apr18"/>
      <sheetName val="May18"/>
      <sheetName val="Jun18"/>
      <sheetName val="Jul18"/>
      <sheetName val="Aug18"/>
      <sheetName val="Sep18"/>
      <sheetName val="Oct18"/>
      <sheetName val="Nov18"/>
      <sheetName val="Dec18"/>
      <sheetName val="Jan19E"/>
      <sheetName val="Feb19E"/>
      <sheetName val="Mar19E"/>
      <sheetName val="Apr19E"/>
      <sheetName val="May19E"/>
      <sheetName val="Jun19E"/>
      <sheetName val="Jul19E"/>
      <sheetName val="Aug19E"/>
      <sheetName val="Sep19E"/>
      <sheetName val="Oct19E"/>
      <sheetName val="Nov19E"/>
      <sheetName val="Dec19E"/>
      <sheetName val="Jan19"/>
      <sheetName val="Feb19"/>
      <sheetName val="Mar19"/>
      <sheetName val="Apr19"/>
      <sheetName val="May19"/>
      <sheetName val="Jun19"/>
      <sheetName val="Jul19"/>
      <sheetName val="Jan20E"/>
      <sheetName val="Feb20E"/>
      <sheetName val="Mar20E"/>
      <sheetName val="Apr20E"/>
      <sheetName val="May20E"/>
      <sheetName val="Jun20E"/>
      <sheetName val="Jul20E"/>
      <sheetName val="Aug20E"/>
      <sheetName val="Sep20E"/>
      <sheetName val="Oct20E"/>
      <sheetName val="Nov20E"/>
      <sheetName val="Dec20E"/>
      <sheetName val="Fund_Waterfall"/>
      <sheetName val="Community_List"/>
      <sheetName val="by_Bucket_(Hol)"/>
      <sheetName val="by_Bucket_(Timber)"/>
      <sheetName val="Les Cèdres"/>
      <sheetName val="Site Details"/>
      <sheetName val="Services"/>
    </sheetNames>
    <sheetDataSet>
      <sheetData sheetId="0" refreshError="1">
        <row r="1">
          <cell r="A1" t="str">
            <v>DATE</v>
          </cell>
        </row>
        <row r="106">
          <cell r="E106" t="str">
            <v xml:space="preserve"> Assisted Living</v>
          </cell>
          <cell r="F106">
            <v>0</v>
          </cell>
        </row>
        <row r="107">
          <cell r="E107" t="str">
            <v xml:space="preserve"> Res. Rel./Mkt.</v>
          </cell>
          <cell r="F107">
            <v>2.5869693980707278E-2</v>
          </cell>
        </row>
        <row r="108">
          <cell r="E108" t="str">
            <v xml:space="preserve"> Dietary</v>
          </cell>
          <cell r="F108">
            <v>0.23784987771234778</v>
          </cell>
        </row>
        <row r="109">
          <cell r="E109" t="str">
            <v xml:space="preserve"> Housekeeping</v>
          </cell>
          <cell r="F109">
            <v>5.3033171685964067E-2</v>
          </cell>
        </row>
        <row r="110">
          <cell r="E110" t="str">
            <v xml:space="preserve"> Emp. Ben.</v>
          </cell>
          <cell r="F110">
            <v>9.5140947836652945E-2</v>
          </cell>
        </row>
        <row r="111">
          <cell r="E111" t="str">
            <v xml:space="preserve"> Maint. &amp; Rep.</v>
          </cell>
          <cell r="F111">
            <v>5.9996479158770613E-2</v>
          </cell>
        </row>
        <row r="112">
          <cell r="E112" t="str">
            <v xml:space="preserve"> Plant</v>
          </cell>
          <cell r="F112">
            <v>0.12025809427341963</v>
          </cell>
        </row>
        <row r="113">
          <cell r="E113" t="str">
            <v xml:space="preserve"> Gen. &amp; Admin.</v>
          </cell>
          <cell r="F113">
            <v>9.8079371889019634E-2</v>
          </cell>
        </row>
        <row r="114">
          <cell r="E114" t="str">
            <v xml:space="preserve"> Mgmnt.Fee</v>
          </cell>
          <cell r="F114">
            <v>0.13105478117365144</v>
          </cell>
        </row>
        <row r="115">
          <cell r="E115" t="str">
            <v xml:space="preserve"> Property Taxes</v>
          </cell>
          <cell r="F115">
            <v>0.15519424184311179</v>
          </cell>
        </row>
        <row r="116">
          <cell r="E116" t="str">
            <v xml:space="preserve"> Reserves</v>
          </cell>
          <cell r="F116">
            <v>2.3523340446354773E-2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>
        <row r="106">
          <cell r="E106">
            <v>3.1582547886895629E-2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 refreshError="1"/>
      <sheetData sheetId="228" refreshError="1"/>
      <sheetData sheetId="22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ver"/>
      <sheetName val="Sensitivity"/>
      <sheetName val="Assume"/>
      <sheetName val="Tenancy"/>
      <sheetName val="RENT"/>
      <sheetName val="Fut_Perf"/>
      <sheetName val="Entities"/>
      <sheetName val="A"/>
      <sheetName val="SUMMARY"/>
      <sheetName val="B_Sheet_1lacs"/>
      <sheetName val="B_Sheet"/>
      <sheetName val="TESTE"/>
      <sheetName val="COMPLEXALL"/>
      <sheetName val="COA-IPC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9CrudeProp"/>
      <sheetName val="#REF"/>
      <sheetName val="Selprices1"/>
      <sheetName val="AC"/>
      <sheetName val="27 Value Scenarios"/>
      <sheetName val="03 Detailed"/>
      <sheetName val="01 Bid Price summary"/>
      <sheetName val="Level-1-3 WBDS"/>
      <sheetName val="COMPLEXALL"/>
      <sheetName val="BS_RSLACS"/>
      <sheetName val="Satyen"/>
      <sheetName val="27_Value_Scenarios"/>
      <sheetName val="03_Detailed"/>
      <sheetName val="01_Bid_Price_summary"/>
      <sheetName val="Level-1-3_WBDS"/>
      <sheetName val="Bspl Main"/>
      <sheetName val="Progress Reoprt"/>
      <sheetName val="Plan"/>
      <sheetName val="rate"/>
      <sheetName val="PANDU"/>
      <sheetName val="A"/>
      <sheetName val="Services"/>
      <sheetName val="Summary"/>
      <sheetName val="AFL"/>
      <sheetName val="CIPL"/>
      <sheetName val="IPL"/>
      <sheetName val="OPL"/>
      <sheetName val="RSL"/>
      <sheetName val="SIPL"/>
      <sheetName val="CRUDE UPDAT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ingston 1st Amort Table"/>
      <sheetName val="Hudson Bay Centre Amort"/>
      <sheetName val="#REF"/>
      <sheetName val="105 Adelaide"/>
      <sheetName val="Mapping - Investments"/>
      <sheetName val="PARKING"/>
      <sheetName val="Tables"/>
      <sheetName val="Inputs"/>
      <sheetName val="CORPACT"/>
      <sheetName val="Prepaid expenses"/>
      <sheetName val="Title"/>
      <sheetName val="Valuation"/>
      <sheetName val="13TH SKYLINE"/>
      <sheetName val="BS"/>
      <sheetName val="1150-1200 Kingston Amort Table "/>
      <sheetName val="JV"/>
      <sheetName val="Page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ormation"/>
      <sheetName val="Budget Summary"/>
      <sheetName val="Rent &amp; Shared Service Costs"/>
      <sheetName val="Depreciation &amp; FBT"/>
      <sheetName val="Account Codes"/>
      <sheetName val="Account Mapping to BAM"/>
      <sheetName val="Macro1"/>
      <sheetName val="Contents"/>
      <sheetName val="Entities"/>
      <sheetName val="SUMMARY"/>
      <sheetName val="SELECTIONS"/>
      <sheetName val="BPY SUM"/>
      <sheetName val="Current Vs Prior"/>
      <sheetName val="PY ANNUAL"/>
      <sheetName val="Personnel"/>
      <sheetName val="1. Main Sheet"/>
      <sheetName val="PickLists"/>
      <sheetName val="Data"/>
      <sheetName val="Budget_Summary"/>
      <sheetName val="Rent_&amp;_Shared_Service_Costs"/>
      <sheetName val="Depreciation_&amp;_FBT"/>
      <sheetName val="Account_Codes"/>
      <sheetName val="Account_Mapping_to_BAM"/>
      <sheetName val="1__Main_Sheet"/>
      <sheetName val="Inputs"/>
      <sheetName val="Reference Tables"/>
      <sheetName val="leasdat"/>
      <sheetName val="Commercial Forecasting Summary "/>
      <sheetName val="Comp"/>
      <sheetName val="COLUMN"/>
      <sheetName val="Conditions"/>
      <sheetName val="Liability Mgmt"/>
      <sheetName val="Shell Future_18Feb"/>
      <sheetName val="Sheet1"/>
    </sheetNames>
    <sheetDataSet>
      <sheetData sheetId="0" refreshError="1">
        <row r="1">
          <cell r="E1" t="str">
            <v>&lt;Region&gt;</v>
          </cell>
        </row>
        <row r="2">
          <cell r="E2" t="str">
            <v>NSW</v>
          </cell>
        </row>
        <row r="3">
          <cell r="E3" t="str">
            <v>VIC</v>
          </cell>
        </row>
        <row r="4">
          <cell r="E4" t="str">
            <v>QLD</v>
          </cell>
        </row>
        <row r="5">
          <cell r="E5" t="str">
            <v>WA</v>
          </cell>
        </row>
        <row r="6">
          <cell r="E6" t="str">
            <v>Asset Management</v>
          </cell>
        </row>
        <row r="7">
          <cell r="E7" t="str">
            <v xml:space="preserve">Executive </v>
          </cell>
        </row>
        <row r="8">
          <cell r="E8" t="str">
            <v>Accounting Shared Services</v>
          </cell>
        </row>
        <row r="9">
          <cell r="E9" t="str">
            <v>Legal</v>
          </cell>
        </row>
        <row r="10">
          <cell r="E10" t="str">
            <v>Project Solutions</v>
          </cell>
        </row>
        <row r="11">
          <cell r="E11" t="str">
            <v>Marketing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BCOPY (3)"/>
      <sheetName val="ORIGINAL"/>
      <sheetName val="INT.INV. "/>
      <sheetName val="BS"/>
      <sheetName val="PL"/>
      <sheetName val="Dep Sch"/>
      <sheetName val="BSSCH"/>
      <sheetName val="PLSCH"/>
      <sheetName val="Dep Cal"/>
      <sheetName val="Smry Dep"/>
      <sheetName val="Groupings"/>
      <sheetName val="Trial Bal HM 31-03-2004"/>
      <sheetName val="FA"/>
      <sheetName val="Data"/>
      <sheetName val="Summary"/>
      <sheetName val="Other"/>
      <sheetName val="TB-New"/>
      <sheetName val="Final Inc Tax computation"/>
      <sheetName val="Drilling"/>
      <sheetName val="Assum"/>
      <sheetName val="115JB"/>
      <sheetName val="Main"/>
      <sheetName val="TBCOPY_(3)"/>
      <sheetName val="INT_INV__"/>
      <sheetName val="Dep_Sch"/>
      <sheetName val="Dep_Cal"/>
      <sheetName val="Smry_Dep"/>
      <sheetName val="Trial_Bal_HM_31-03-2004"/>
      <sheetName val="RES"/>
      <sheetName val="P &amp; L"/>
      <sheetName val="Reserves &amp; Surplus"/>
      <sheetName val="Other Expenses"/>
      <sheetName val="200B"/>
      <sheetName val="INDORAMA Group June 02"/>
      <sheetName val="entitlements"/>
      <sheetName val="Grouping"/>
      <sheetName val="Profit &amp; Loss Account"/>
      <sheetName val="Macro"/>
      <sheetName val="Invest"/>
      <sheetName val="tower"/>
      <sheetName val="Addi Jan - Dec 99"/>
      <sheetName val="sep01"/>
      <sheetName val="IG-fixed ROIC"/>
      <sheetName val="IG fixed RONIC"/>
      <sheetName val="CASH FLOW AND BALANCE SHEET"/>
      <sheetName val="DCF Analysis"/>
      <sheetName val="Sheet1"/>
      <sheetName val="Delhi"/>
      <sheetName val="PGW"/>
      <sheetName val="BudgetVsActualFY2014"/>
      <sheetName val="Ann IS"/>
      <sheetName val="2.Valuation"/>
      <sheetName val="3.Summary"/>
      <sheetName val="HBI NCD"/>
      <sheetName val="Occupancy &amp; Trade density wkng"/>
      <sheetName val="Parameter"/>
      <sheetName val="Agency BS"/>
      <sheetName val="Détails plans d'actions"/>
      <sheetName val="inve"/>
      <sheetName val="Base Info"/>
      <sheetName val="Vivarea"/>
      <sheetName val="KEY INPUTS"/>
      <sheetName val="DEL1"/>
      <sheetName val="TB"/>
      <sheetName val="Bal Sheet"/>
      <sheetName val="Rising Main"/>
      <sheetName val="Revenue-Invoicewise"/>
      <sheetName val="CAPITAL ADV"/>
      <sheetName val="Cover"/>
      <sheetName val="CUSTOMER STRATEGIES"/>
      <sheetName val="CustOrg"/>
      <sheetName val="#REF"/>
      <sheetName val="BS-oct-01-mar-03"/>
      <sheetName val="SysNavigation"/>
      <sheetName val="dec98"/>
      <sheetName val="Key"/>
      <sheetName val="OC5-Push Diag"/>
      <sheetName val="Franchise Input"/>
      <sheetName val="Register"/>
      <sheetName val="STORE MANAGEMENT"/>
      <sheetName val="Depn chart"/>
      <sheetName val="COMBSCHEDULE"/>
      <sheetName val="TESORERIA"/>
      <sheetName val="a-4"/>
      <sheetName val="CockPit"/>
      <sheetName val="cell rel"/>
      <sheetName val="Information"/>
      <sheetName val="Return to Provision"/>
      <sheetName val="14"/>
      <sheetName val="Ledge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-Sch-E"/>
      <sheetName val="Leasehold "/>
      <sheetName val="Freehold land"/>
      <sheetName val="Building"/>
      <sheetName val="P&amp;M"/>
      <sheetName val="Elect Instal"/>
      <sheetName val="Equipment"/>
      <sheetName val="F&amp;F"/>
      <sheetName val="Vehicle"/>
      <sheetName val="Ship"/>
      <sheetName val="Aircrafts"/>
      <sheetName val="Jetties"/>
      <sheetName val="Develp"/>
      <sheetName val="Reserve"/>
      <sheetName val="FA Register"/>
      <sheetName val="Manual Posting"/>
      <sheetName val="Tech"/>
      <sheetName val="lease"/>
      <sheetName val="techwork"/>
      <sheetName val="software"/>
      <sheetName val="softlist"/>
      <sheetName val="XREF"/>
      <sheetName val="EA"/>
      <sheetName val="Conditions"/>
      <sheetName val="Liability Mgmt"/>
      <sheetName val="Total"/>
      <sheetName val="Cap.Com.Wk"/>
      <sheetName val="Consolidated"/>
      <sheetName val="NETTING OFF-Mar-15"/>
      <sheetName val="Data"/>
      <sheetName val="Home"/>
      <sheetName val="Base"/>
      <sheetName val="NOTES "/>
      <sheetName val="INFO"/>
      <sheetName val="SCH A-G"/>
      <sheetName val="SCH D"/>
      <sheetName val="JV"/>
      <sheetName val="ZSM37"/>
      <sheetName val="REFORMATE"/>
      <sheetName val="Realised Brkg"/>
      <sheetName val="MIS DUMP"/>
      <sheetName val="TRECUC"/>
      <sheetName val="TRENCP"/>
      <sheetName val="TREDSLPCI"/>
      <sheetName val="PF"/>
      <sheetName val="ECR &amp; IDC - LOI"/>
      <sheetName val="SUMM"/>
      <sheetName val="MONTH 1"/>
      <sheetName val="O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uidance"/>
      <sheetName val="GP Analysis"/>
      <sheetName val="Sales"/>
      <sheetName val="LS"/>
      <sheetName val="Obsv"/>
      <sheetName val="control"/>
      <sheetName val="codes"/>
      <sheetName val="Analytical"/>
      <sheetName val="Avg Rate"/>
      <sheetName val="Detail"/>
      <sheetName val="CN  Cut-off"/>
      <sheetName val="Cut off"/>
      <sheetName val="Sample-Monthwise"/>
      <sheetName val="Sample-Productwise"/>
      <sheetName val="Excess Calc"/>
      <sheetName val="XREF"/>
      <sheetName val="Tickmarks"/>
      <sheetName val="Threshold Calc"/>
      <sheetName val="ROMM Data for Validation"/>
      <sheetName val="Sheet1"/>
      <sheetName val="PDN"/>
      <sheetName val="TAB 1"/>
      <sheetName val="2.Control Sheet"/>
      <sheetName val=""/>
      <sheetName val="Home"/>
      <sheetName val="GP_Analysis"/>
      <sheetName val="Avg_Rate"/>
      <sheetName val="CN__Cut-off"/>
      <sheetName val="Cut_off"/>
      <sheetName val="Excess_Calc"/>
      <sheetName val="Threshold_Calc"/>
      <sheetName val="ROMM_Data_for_Validation"/>
      <sheetName val="TAB_1"/>
      <sheetName val="2_Control_Sheet"/>
      <sheetName val="#REF"/>
      <sheetName val="Service Function"/>
      <sheetName val="TB-WORK "/>
      <sheetName val="Leadsheet"/>
      <sheetName val="8140 Revenue - Substantive Test"/>
      <sheetName val="Testing"/>
      <sheetName val="XLR_NoRangeSheet"/>
      <sheetName val="BS-Sch-E"/>
      <sheetName val="oresreqsum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ster Standard Template"/>
      <sheetName val="PAN INDIA Summary"/>
      <sheetName val="Main Backup"/>
      <sheetName val="AOP Calender"/>
    </sheetNames>
    <sheetDataSet>
      <sheetData sheetId="0" refreshError="1"/>
      <sheetData sheetId="1" refreshError="1"/>
      <sheetData sheetId="2" refreshError="1">
        <row r="1">
          <cell r="A1" t="str">
            <v>APEX ID</v>
          </cell>
          <cell r="B1" t="str">
            <v>Sl. No.</v>
          </cell>
          <cell r="C1" t="str">
            <v>Land ID</v>
          </cell>
          <cell r="D1" t="str">
            <v>9008 Store Code</v>
          </cell>
          <cell r="E1" t="str">
            <v>NP01 Site Code</v>
          </cell>
          <cell r="F1" t="str">
            <v>PD</v>
          </cell>
          <cell r="G1" t="str">
            <v>Business Format</v>
          </cell>
          <cell r="H1" t="str">
            <v>Format</v>
          </cell>
          <cell r="I1" t="str">
            <v>Sub Format</v>
          </cell>
        </row>
        <row r="2">
          <cell r="A2" t="str">
            <v>DIRFAS4654</v>
          </cell>
          <cell r="B2">
            <v>1</v>
          </cell>
          <cell r="C2"/>
          <cell r="D2">
            <v>8716</v>
          </cell>
          <cell r="E2" t="str">
            <v>NEJ1</v>
          </cell>
          <cell r="F2" t="str">
            <v>DEXPTNEJ103</v>
          </cell>
          <cell r="G2" t="str">
            <v>A. Consumer Electronics</v>
          </cell>
          <cell r="H2" t="str">
            <v>Consumer Electronics</v>
          </cell>
          <cell r="I2" t="str">
            <v xml:space="preserve">Digital- Refit </v>
          </cell>
        </row>
        <row r="3">
          <cell r="A3" t="str">
            <v>DIGSRT164</v>
          </cell>
          <cell r="B3">
            <v>2</v>
          </cell>
          <cell r="C3"/>
          <cell r="D3" t="str">
            <v>TE95</v>
          </cell>
          <cell r="E3" t="str">
            <v>NVR4</v>
          </cell>
          <cell r="F3" t="str">
            <v>CDITUNVR401</v>
          </cell>
          <cell r="G3" t="str">
            <v>A. Consumer Electronics</v>
          </cell>
          <cell r="H3" t="str">
            <v>Consumer Electronics</v>
          </cell>
          <cell r="I3" t="str">
            <v>Digital Stores</v>
          </cell>
        </row>
        <row r="4">
          <cell r="A4" t="str">
            <v>DIGSAS188</v>
          </cell>
          <cell r="B4">
            <v>3</v>
          </cell>
          <cell r="C4"/>
          <cell r="D4" t="str">
            <v>T2LB</v>
          </cell>
          <cell r="E4" t="str">
            <v>QH0G</v>
          </cell>
          <cell r="F4" t="str">
            <v>CDITTQH0G00</v>
          </cell>
          <cell r="G4" t="str">
            <v>A. Consumer Electronics</v>
          </cell>
          <cell r="H4" t="str">
            <v>Consumer Electronics</v>
          </cell>
          <cell r="I4" t="str">
            <v>Digital Stores</v>
          </cell>
        </row>
        <row r="5">
          <cell r="A5" t="str">
            <v>DIGSBK204</v>
          </cell>
          <cell r="B5">
            <v>4</v>
          </cell>
          <cell r="C5"/>
          <cell r="D5" t="str">
            <v>T2UC</v>
          </cell>
          <cell r="E5" t="str">
            <v>QI0E</v>
          </cell>
          <cell r="F5" t="str">
            <v>CDITMQI0E00</v>
          </cell>
          <cell r="G5" t="str">
            <v>A. Consumer Electronics</v>
          </cell>
          <cell r="H5" t="str">
            <v>Consumer Electronics</v>
          </cell>
          <cell r="I5" t="str">
            <v>Digital Stores</v>
          </cell>
        </row>
        <row r="6">
          <cell r="A6" t="str">
            <v>DIGSSD272</v>
          </cell>
          <cell r="B6">
            <v>5</v>
          </cell>
          <cell r="C6"/>
          <cell r="D6" t="str">
            <v>T2UB</v>
          </cell>
          <cell r="E6" t="str">
            <v>QI0D</v>
          </cell>
          <cell r="F6" t="str">
            <v>CDITWQI0D00</v>
          </cell>
          <cell r="G6" t="str">
            <v>A. Consumer Electronics</v>
          </cell>
          <cell r="H6" t="str">
            <v>Consumer Electronics</v>
          </cell>
          <cell r="I6" t="str">
            <v>Digital Stores</v>
          </cell>
        </row>
        <row r="7">
          <cell r="A7" t="str">
            <v>DIGSRT273</v>
          </cell>
          <cell r="B7">
            <v>6</v>
          </cell>
          <cell r="C7"/>
          <cell r="D7" t="str">
            <v>T9RG</v>
          </cell>
          <cell r="E7" t="str">
            <v>QXIR</v>
          </cell>
          <cell r="F7" t="str">
            <v>CDITUQXIR00</v>
          </cell>
          <cell r="G7" t="str">
            <v>A. Consumer Electronics</v>
          </cell>
          <cell r="H7" t="str">
            <v>Consumer Electronics</v>
          </cell>
          <cell r="I7" t="str">
            <v>Digital Stores</v>
          </cell>
        </row>
        <row r="8">
          <cell r="A8" t="str">
            <v>DIGSRT277</v>
          </cell>
          <cell r="B8">
            <v>7</v>
          </cell>
          <cell r="C8"/>
          <cell r="D8" t="str">
            <v>T2SN</v>
          </cell>
          <cell r="E8" t="str">
            <v>QH7S</v>
          </cell>
          <cell r="F8" t="str">
            <v>CDITJQH7S00</v>
          </cell>
          <cell r="G8" t="str">
            <v>A. Consumer Electronics</v>
          </cell>
          <cell r="H8" t="str">
            <v>Consumer Electronics</v>
          </cell>
          <cell r="I8" t="str">
            <v>Digital Stores</v>
          </cell>
        </row>
        <row r="9">
          <cell r="A9" t="str">
            <v>DIGSSD280</v>
          </cell>
          <cell r="B9">
            <v>8</v>
          </cell>
          <cell r="C9"/>
          <cell r="D9" t="str">
            <v>T2LK</v>
          </cell>
          <cell r="E9" t="str">
            <v>QH0O</v>
          </cell>
          <cell r="F9" t="str">
            <v>CDITQQH0O00</v>
          </cell>
          <cell r="G9" t="str">
            <v>A. Consumer Electronics</v>
          </cell>
          <cell r="H9" t="str">
            <v>Consumer Electronics</v>
          </cell>
          <cell r="I9" t="str">
            <v>Digital Stores</v>
          </cell>
        </row>
        <row r="10">
          <cell r="A10" t="str">
            <v>DIGSKC4156</v>
          </cell>
          <cell r="B10">
            <v>9</v>
          </cell>
          <cell r="C10"/>
          <cell r="D10" t="str">
            <v>T2FO</v>
          </cell>
          <cell r="E10" t="str">
            <v>Q7BW</v>
          </cell>
          <cell r="F10" t="str">
            <v>CDITGQ7BW00</v>
          </cell>
          <cell r="G10" t="str">
            <v>A. Consumer Electronics</v>
          </cell>
          <cell r="H10" t="str">
            <v>Consumer Electronics</v>
          </cell>
          <cell r="I10" t="str">
            <v>Digital Stores</v>
          </cell>
        </row>
        <row r="11">
          <cell r="A11" t="str">
            <v>DIGSSD4630</v>
          </cell>
          <cell r="B11">
            <v>10</v>
          </cell>
          <cell r="C11"/>
          <cell r="D11" t="str">
            <v>T0XY</v>
          </cell>
          <cell r="E11" t="str">
            <v>Q5GR</v>
          </cell>
          <cell r="F11" t="str">
            <v>CDITNQ5GR00</v>
          </cell>
          <cell r="G11" t="str">
            <v>A. Consumer Electronics</v>
          </cell>
          <cell r="H11" t="str">
            <v>Consumer Electronics</v>
          </cell>
          <cell r="I11" t="str">
            <v>Digital Stores</v>
          </cell>
        </row>
        <row r="12">
          <cell r="A12" t="str">
            <v>DIGSSD4633</v>
          </cell>
          <cell r="B12">
            <v>11</v>
          </cell>
          <cell r="C12"/>
          <cell r="D12" t="str">
            <v>T2TZ</v>
          </cell>
          <cell r="E12" t="str">
            <v>QH8Z</v>
          </cell>
          <cell r="F12" t="str">
            <v>CDITQQH8Z00</v>
          </cell>
          <cell r="G12" t="str">
            <v>A. Consumer Electronics</v>
          </cell>
          <cell r="H12" t="str">
            <v>Consumer Electronics</v>
          </cell>
          <cell r="I12" t="str">
            <v>Digital Stores</v>
          </cell>
        </row>
        <row r="13">
          <cell r="A13" t="str">
            <v>DIGSRT4636</v>
          </cell>
          <cell r="B13">
            <v>12</v>
          </cell>
          <cell r="C13"/>
          <cell r="D13" t="str">
            <v>T2QM</v>
          </cell>
          <cell r="E13" t="str">
            <v>QH5Y</v>
          </cell>
          <cell r="F13" t="str">
            <v>CDITUQH5Y00</v>
          </cell>
          <cell r="G13" t="str">
            <v>A. Consumer Electronics</v>
          </cell>
          <cell r="H13" t="str">
            <v>Consumer Electronics</v>
          </cell>
          <cell r="I13" t="str">
            <v>Digital Stores</v>
          </cell>
        </row>
        <row r="14">
          <cell r="A14" t="str">
            <v>DIGSSD4639</v>
          </cell>
          <cell r="B14">
            <v>13</v>
          </cell>
          <cell r="C14"/>
          <cell r="D14" t="str">
            <v>T2WX</v>
          </cell>
          <cell r="E14" t="str">
            <v>QI2Y</v>
          </cell>
          <cell r="F14" t="str">
            <v>CDITWQI2Y00</v>
          </cell>
          <cell r="G14" t="str">
            <v>A. Consumer Electronics</v>
          </cell>
          <cell r="H14" t="str">
            <v>Consumer Electronics</v>
          </cell>
          <cell r="I14" t="str">
            <v>Digital Stores</v>
          </cell>
        </row>
        <row r="15">
          <cell r="A15" t="str">
            <v>DIGSJD4641</v>
          </cell>
          <cell r="B15">
            <v>14</v>
          </cell>
          <cell r="C15"/>
          <cell r="D15" t="str">
            <v>T2QN</v>
          </cell>
          <cell r="E15" t="str">
            <v>QH5Z</v>
          </cell>
          <cell r="F15" t="str">
            <v>CDITAQH5Z00</v>
          </cell>
          <cell r="G15" t="str">
            <v>A. Consumer Electronics</v>
          </cell>
          <cell r="H15" t="str">
            <v>Consumer Electronics</v>
          </cell>
          <cell r="I15" t="str">
            <v>Digital Stores</v>
          </cell>
        </row>
        <row r="16">
          <cell r="A16" t="str">
            <v>DIGSAS4645</v>
          </cell>
          <cell r="B16">
            <v>15</v>
          </cell>
          <cell r="C16"/>
          <cell r="D16" t="str">
            <v>T4FB</v>
          </cell>
          <cell r="E16" t="str">
            <v>QJ4T</v>
          </cell>
          <cell r="F16" t="str">
            <v>CDITTQJ4T00</v>
          </cell>
          <cell r="G16" t="str">
            <v>A. Consumer Electronics</v>
          </cell>
          <cell r="H16" t="str">
            <v>Consumer Electronics</v>
          </cell>
          <cell r="I16" t="str">
            <v>Digital Stores</v>
          </cell>
        </row>
        <row r="17">
          <cell r="A17" t="str">
            <v>DIGSJD4651</v>
          </cell>
          <cell r="B17">
            <v>16</v>
          </cell>
          <cell r="C17"/>
          <cell r="D17" t="str">
            <v>T2PR</v>
          </cell>
          <cell r="E17" t="str">
            <v>QH4Z</v>
          </cell>
          <cell r="F17" t="str">
            <v>CDITAQH4Z00</v>
          </cell>
          <cell r="G17" t="str">
            <v>A. Consumer Electronics</v>
          </cell>
          <cell r="H17" t="str">
            <v>Consumer Electronics</v>
          </cell>
          <cell r="I17" t="str">
            <v>Digital Stores</v>
          </cell>
        </row>
        <row r="18">
          <cell r="A18" t="str">
            <v>DIGSJD4921</v>
          </cell>
          <cell r="B18">
            <v>17</v>
          </cell>
          <cell r="C18"/>
          <cell r="D18" t="str">
            <v>T4QG</v>
          </cell>
          <cell r="E18" t="str">
            <v>QK0N</v>
          </cell>
          <cell r="F18" t="str">
            <v>CDITOQK0N00</v>
          </cell>
          <cell r="G18" t="str">
            <v>A. Consumer Electronics</v>
          </cell>
          <cell r="H18" t="str">
            <v>Consumer Electronics</v>
          </cell>
          <cell r="I18" t="str">
            <v>Digital Stores</v>
          </cell>
        </row>
        <row r="19">
          <cell r="A19" t="str">
            <v>DIGSRT10405</v>
          </cell>
          <cell r="B19">
            <v>18</v>
          </cell>
          <cell r="C19"/>
          <cell r="D19"/>
          <cell r="E19"/>
          <cell r="F19"/>
          <cell r="G19" t="str">
            <v>A. Consumer Electronics</v>
          </cell>
          <cell r="H19" t="str">
            <v>Consumer Electronics</v>
          </cell>
          <cell r="I19" t="str">
            <v>Digital Stores</v>
          </cell>
        </row>
        <row r="20">
          <cell r="A20" t="str">
            <v>DIGSSD10406</v>
          </cell>
          <cell r="B20">
            <v>19</v>
          </cell>
          <cell r="C20"/>
          <cell r="D20"/>
          <cell r="E20"/>
          <cell r="F20"/>
          <cell r="G20" t="str">
            <v>A. Consumer Electronics</v>
          </cell>
          <cell r="H20" t="str">
            <v>Consumer Electronics</v>
          </cell>
          <cell r="I20" t="str">
            <v>Digital Stores</v>
          </cell>
        </row>
        <row r="21">
          <cell r="A21" t="str">
            <v>DIGSRT10407</v>
          </cell>
          <cell r="B21">
            <v>20</v>
          </cell>
          <cell r="C21"/>
          <cell r="D21"/>
          <cell r="E21"/>
          <cell r="F21"/>
          <cell r="G21" t="str">
            <v>A. Consumer Electronics</v>
          </cell>
          <cell r="H21" t="str">
            <v>Consumer Electronics</v>
          </cell>
          <cell r="I21" t="str">
            <v>Digital Stores</v>
          </cell>
        </row>
        <row r="22">
          <cell r="A22" t="str">
            <v>DIGSRT10408</v>
          </cell>
          <cell r="B22">
            <v>21</v>
          </cell>
          <cell r="C22"/>
          <cell r="D22"/>
          <cell r="E22"/>
          <cell r="F22"/>
          <cell r="G22" t="str">
            <v>A. Consumer Electronics</v>
          </cell>
          <cell r="H22" t="str">
            <v>Consumer Electronics</v>
          </cell>
          <cell r="I22" t="str">
            <v>Digital Stores</v>
          </cell>
        </row>
        <row r="23">
          <cell r="A23" t="str">
            <v>DIGSRT10409</v>
          </cell>
          <cell r="B23">
            <v>22</v>
          </cell>
          <cell r="C23"/>
          <cell r="D23"/>
          <cell r="E23"/>
          <cell r="F23"/>
          <cell r="G23" t="str">
            <v>A. Consumer Electronics</v>
          </cell>
          <cell r="H23" t="str">
            <v>Consumer Electronics</v>
          </cell>
          <cell r="I23" t="str">
            <v>Digital Stores</v>
          </cell>
        </row>
        <row r="24">
          <cell r="A24" t="str">
            <v>DIGSAS10410</v>
          </cell>
          <cell r="B24">
            <v>23</v>
          </cell>
          <cell r="C24"/>
          <cell r="D24"/>
          <cell r="E24"/>
          <cell r="F24"/>
          <cell r="G24" t="str">
            <v>A. Consumer Electronics</v>
          </cell>
          <cell r="H24" t="str">
            <v>Consumer Electronics</v>
          </cell>
          <cell r="I24" t="str">
            <v>Digital Stores</v>
          </cell>
        </row>
        <row r="25">
          <cell r="A25" t="str">
            <v>DIGSBK10411</v>
          </cell>
          <cell r="B25">
            <v>24</v>
          </cell>
          <cell r="C25"/>
          <cell r="D25"/>
          <cell r="E25"/>
          <cell r="F25"/>
          <cell r="G25" t="str">
            <v>A. Consumer Electronics</v>
          </cell>
          <cell r="H25" t="str">
            <v>Consumer Electronics</v>
          </cell>
          <cell r="I25" t="str">
            <v>Digital Stores</v>
          </cell>
        </row>
        <row r="26">
          <cell r="A26" t="str">
            <v>DIGSBK10412</v>
          </cell>
          <cell r="B26">
            <v>25</v>
          </cell>
          <cell r="C26"/>
          <cell r="D26"/>
          <cell r="E26"/>
          <cell r="F26"/>
          <cell r="G26" t="str">
            <v>A. Consumer Electronics</v>
          </cell>
          <cell r="H26" t="str">
            <v>Consumer Electronics</v>
          </cell>
          <cell r="I26" t="str">
            <v>Digital Stores</v>
          </cell>
        </row>
        <row r="27">
          <cell r="A27" t="str">
            <v>DIGSBK10413</v>
          </cell>
          <cell r="B27">
            <v>26</v>
          </cell>
          <cell r="C27"/>
          <cell r="D27"/>
          <cell r="E27"/>
          <cell r="F27"/>
          <cell r="G27" t="str">
            <v>A. Consumer Electronics</v>
          </cell>
          <cell r="H27" t="str">
            <v>Consumer Electronics</v>
          </cell>
          <cell r="I27" t="str">
            <v>Digital Stores</v>
          </cell>
        </row>
        <row r="28">
          <cell r="A28" t="str">
            <v>DIGSRT10414</v>
          </cell>
          <cell r="B28">
            <v>27</v>
          </cell>
          <cell r="C28"/>
          <cell r="D28"/>
          <cell r="E28"/>
          <cell r="F28"/>
          <cell r="G28" t="str">
            <v>A. Consumer Electronics</v>
          </cell>
          <cell r="H28" t="str">
            <v>Consumer Electronics</v>
          </cell>
          <cell r="I28" t="str">
            <v>Digital Stores</v>
          </cell>
        </row>
        <row r="29">
          <cell r="A29" t="str">
            <v>DIGSRT10415</v>
          </cell>
          <cell r="B29">
            <v>28</v>
          </cell>
          <cell r="C29"/>
          <cell r="D29"/>
          <cell r="E29"/>
          <cell r="F29"/>
          <cell r="G29" t="str">
            <v>A. Consumer Electronics</v>
          </cell>
          <cell r="H29" t="str">
            <v>Consumer Electronics</v>
          </cell>
          <cell r="I29" t="str">
            <v>Digital Stores</v>
          </cell>
        </row>
        <row r="30">
          <cell r="A30" t="str">
            <v>DIGSBK10416</v>
          </cell>
          <cell r="B30">
            <v>29</v>
          </cell>
          <cell r="C30"/>
          <cell r="D30"/>
          <cell r="E30"/>
          <cell r="F30"/>
          <cell r="G30" t="str">
            <v>A. Consumer Electronics</v>
          </cell>
          <cell r="H30" t="str">
            <v>Consumer Electronics</v>
          </cell>
          <cell r="I30" t="str">
            <v>Digital Stores</v>
          </cell>
        </row>
        <row r="31">
          <cell r="A31" t="str">
            <v>DIGSRT10417</v>
          </cell>
          <cell r="B31">
            <v>30</v>
          </cell>
          <cell r="C31"/>
          <cell r="D31"/>
          <cell r="E31"/>
          <cell r="F31"/>
          <cell r="G31" t="str">
            <v>A. Consumer Electronics</v>
          </cell>
          <cell r="H31" t="str">
            <v>Consumer Electronics</v>
          </cell>
          <cell r="I31" t="str">
            <v>Digital Stores</v>
          </cell>
        </row>
        <row r="32">
          <cell r="A32" t="str">
            <v>DIGSRT10418</v>
          </cell>
          <cell r="B32">
            <v>31</v>
          </cell>
          <cell r="C32"/>
          <cell r="D32"/>
          <cell r="E32"/>
          <cell r="F32"/>
          <cell r="G32" t="str">
            <v>A. Consumer Electronics</v>
          </cell>
          <cell r="H32" t="str">
            <v>Consumer Electronics</v>
          </cell>
          <cell r="I32" t="str">
            <v>Digital Stores</v>
          </cell>
        </row>
        <row r="33">
          <cell r="A33" t="str">
            <v>DIGSAS10419</v>
          </cell>
          <cell r="B33">
            <v>32</v>
          </cell>
          <cell r="C33"/>
          <cell r="D33"/>
          <cell r="E33"/>
          <cell r="F33"/>
          <cell r="G33" t="str">
            <v>A. Consumer Electronics</v>
          </cell>
          <cell r="H33" t="str">
            <v>Consumer Electronics</v>
          </cell>
          <cell r="I33" t="str">
            <v>Digital Stores</v>
          </cell>
        </row>
        <row r="34">
          <cell r="A34" t="str">
            <v>DIGSAS10420</v>
          </cell>
          <cell r="B34">
            <v>33</v>
          </cell>
          <cell r="C34"/>
          <cell r="D34"/>
          <cell r="E34"/>
          <cell r="F34"/>
          <cell r="G34" t="str">
            <v>A. Consumer Electronics</v>
          </cell>
          <cell r="H34" t="str">
            <v>Consumer Electronics</v>
          </cell>
          <cell r="I34" t="str">
            <v>Digital Stores</v>
          </cell>
        </row>
        <row r="35">
          <cell r="A35" t="str">
            <v>DIGSBK10421</v>
          </cell>
          <cell r="B35">
            <v>34</v>
          </cell>
          <cell r="C35"/>
          <cell r="D35"/>
          <cell r="E35"/>
          <cell r="F35"/>
          <cell r="G35" t="str">
            <v>A. Consumer Electronics</v>
          </cell>
          <cell r="H35" t="str">
            <v>Consumer Electronics</v>
          </cell>
          <cell r="I35" t="str">
            <v>Digital Stores</v>
          </cell>
        </row>
        <row r="36">
          <cell r="A36" t="str">
            <v>DIGSRT10422</v>
          </cell>
          <cell r="B36">
            <v>35</v>
          </cell>
          <cell r="C36"/>
          <cell r="D36"/>
          <cell r="E36"/>
          <cell r="F36"/>
          <cell r="G36" t="str">
            <v>A. Consumer Electronics</v>
          </cell>
          <cell r="H36" t="str">
            <v>Consumer Electronics</v>
          </cell>
          <cell r="I36" t="str">
            <v>Digital Stores</v>
          </cell>
        </row>
        <row r="37">
          <cell r="A37" t="str">
            <v>DIGSSD10428</v>
          </cell>
          <cell r="B37">
            <v>36</v>
          </cell>
          <cell r="C37"/>
          <cell r="D37"/>
          <cell r="E37"/>
          <cell r="F37"/>
          <cell r="G37" t="str">
            <v>A. Consumer Electronics</v>
          </cell>
          <cell r="H37" t="str">
            <v>Consumer Electronics</v>
          </cell>
          <cell r="I37" t="str">
            <v>Digital Stores</v>
          </cell>
        </row>
        <row r="38">
          <cell r="A38" t="str">
            <v>DIGSRT10429</v>
          </cell>
          <cell r="B38">
            <v>37</v>
          </cell>
          <cell r="C38"/>
          <cell r="D38"/>
          <cell r="E38"/>
          <cell r="F38"/>
          <cell r="G38" t="str">
            <v>A. Consumer Electronics</v>
          </cell>
          <cell r="H38" t="str">
            <v>Consumer Electronics</v>
          </cell>
          <cell r="I38" t="str">
            <v>Digital Stores</v>
          </cell>
        </row>
        <row r="39">
          <cell r="A39" t="str">
            <v>DIGSRT10430</v>
          </cell>
          <cell r="B39">
            <v>38</v>
          </cell>
          <cell r="C39"/>
          <cell r="D39"/>
          <cell r="E39"/>
          <cell r="F39"/>
          <cell r="G39" t="str">
            <v>A. Consumer Electronics</v>
          </cell>
          <cell r="H39" t="str">
            <v>Consumer Electronics</v>
          </cell>
          <cell r="I39" t="str">
            <v>Digital Stores</v>
          </cell>
        </row>
        <row r="40">
          <cell r="A40" t="str">
            <v>DIGSAS10431</v>
          </cell>
          <cell r="B40">
            <v>39</v>
          </cell>
          <cell r="C40"/>
          <cell r="D40"/>
          <cell r="E40"/>
          <cell r="F40"/>
          <cell r="G40" t="str">
            <v>A. Consumer Electronics</v>
          </cell>
          <cell r="H40" t="str">
            <v>Consumer Electronics</v>
          </cell>
          <cell r="I40" t="str">
            <v>Digital Stores</v>
          </cell>
        </row>
        <row r="41">
          <cell r="A41" t="str">
            <v>DIGSBK10432</v>
          </cell>
          <cell r="B41">
            <v>40</v>
          </cell>
          <cell r="C41"/>
          <cell r="D41"/>
          <cell r="E41"/>
          <cell r="F41"/>
          <cell r="G41" t="str">
            <v>A. Consumer Electronics</v>
          </cell>
          <cell r="H41" t="str">
            <v>Consumer Electronics</v>
          </cell>
          <cell r="I41" t="str">
            <v>Digital Stores</v>
          </cell>
        </row>
        <row r="42">
          <cell r="A42" t="str">
            <v>DIGSRT10433</v>
          </cell>
          <cell r="B42">
            <v>41</v>
          </cell>
          <cell r="C42"/>
          <cell r="D42"/>
          <cell r="E42"/>
          <cell r="F42"/>
          <cell r="G42" t="str">
            <v>A. Consumer Electronics</v>
          </cell>
          <cell r="H42" t="str">
            <v>Consumer Electronics</v>
          </cell>
          <cell r="I42" t="str">
            <v>Digital Stores</v>
          </cell>
        </row>
        <row r="43">
          <cell r="A43" t="str">
            <v>DIGSRT10434</v>
          </cell>
          <cell r="B43">
            <v>42</v>
          </cell>
          <cell r="C43"/>
          <cell r="D43"/>
          <cell r="E43"/>
          <cell r="F43"/>
          <cell r="G43" t="str">
            <v>A. Consumer Electronics</v>
          </cell>
          <cell r="H43" t="str">
            <v>Consumer Electronics</v>
          </cell>
          <cell r="I43" t="str">
            <v>Digital Stores</v>
          </cell>
        </row>
        <row r="44">
          <cell r="A44" t="str">
            <v>DIGSSD10435</v>
          </cell>
          <cell r="B44">
            <v>43</v>
          </cell>
          <cell r="C44"/>
          <cell r="D44"/>
          <cell r="E44"/>
          <cell r="F44"/>
          <cell r="G44" t="str">
            <v>A. Consumer Electronics</v>
          </cell>
          <cell r="H44" t="str">
            <v>Consumer Electronics</v>
          </cell>
          <cell r="I44" t="str">
            <v>Digital Stores</v>
          </cell>
        </row>
        <row r="45">
          <cell r="A45" t="str">
            <v>DIGSRT10436</v>
          </cell>
          <cell r="B45">
            <v>44</v>
          </cell>
          <cell r="C45"/>
          <cell r="D45"/>
          <cell r="E45"/>
          <cell r="F45"/>
          <cell r="G45" t="str">
            <v>A. Consumer Electronics</v>
          </cell>
          <cell r="H45" t="str">
            <v>Consumer Electronics</v>
          </cell>
          <cell r="I45" t="str">
            <v>Digital Stores</v>
          </cell>
        </row>
        <row r="46">
          <cell r="A46" t="str">
            <v>DIGSAS10437</v>
          </cell>
          <cell r="B46">
            <v>45</v>
          </cell>
          <cell r="C46"/>
          <cell r="D46"/>
          <cell r="E46"/>
          <cell r="F46"/>
          <cell r="G46" t="str">
            <v>A. Consumer Electronics</v>
          </cell>
          <cell r="H46" t="str">
            <v>Consumer Electronics</v>
          </cell>
          <cell r="I46" t="str">
            <v>Digital Stores</v>
          </cell>
        </row>
        <row r="47">
          <cell r="A47" t="str">
            <v>DIGSBK10438</v>
          </cell>
          <cell r="B47">
            <v>46</v>
          </cell>
          <cell r="C47"/>
          <cell r="D47"/>
          <cell r="E47"/>
          <cell r="F47"/>
          <cell r="G47" t="str">
            <v>A. Consumer Electronics</v>
          </cell>
          <cell r="H47" t="str">
            <v>Consumer Electronics</v>
          </cell>
          <cell r="I47" t="str">
            <v>Digital Stores</v>
          </cell>
        </row>
        <row r="48">
          <cell r="A48" t="str">
            <v>DIGSSD10439</v>
          </cell>
          <cell r="B48">
            <v>47</v>
          </cell>
          <cell r="C48"/>
          <cell r="D48"/>
          <cell r="E48"/>
          <cell r="F48"/>
          <cell r="G48" t="str">
            <v>A. Consumer Electronics</v>
          </cell>
          <cell r="H48" t="str">
            <v>Consumer Electronics</v>
          </cell>
          <cell r="I48" t="str">
            <v>Digital Stores</v>
          </cell>
        </row>
        <row r="49">
          <cell r="A49" t="str">
            <v>DIGSBK10440</v>
          </cell>
          <cell r="B49">
            <v>48</v>
          </cell>
          <cell r="C49"/>
          <cell r="D49"/>
          <cell r="E49"/>
          <cell r="F49"/>
          <cell r="G49" t="str">
            <v>A. Consumer Electronics</v>
          </cell>
          <cell r="H49" t="str">
            <v>Consumer Electronics</v>
          </cell>
          <cell r="I49" t="str">
            <v>Digital Stores</v>
          </cell>
        </row>
        <row r="50">
          <cell r="A50" t="str">
            <v>DIGSBK10441</v>
          </cell>
          <cell r="B50">
            <v>49</v>
          </cell>
          <cell r="C50"/>
          <cell r="D50"/>
          <cell r="E50"/>
          <cell r="F50"/>
          <cell r="G50" t="str">
            <v>A. Consumer Electronics</v>
          </cell>
          <cell r="H50" t="str">
            <v>Consumer Electronics</v>
          </cell>
          <cell r="I50" t="str">
            <v>Digital Stores</v>
          </cell>
        </row>
        <row r="51">
          <cell r="A51" t="str">
            <v>DIGSRT10442</v>
          </cell>
          <cell r="B51">
            <v>50</v>
          </cell>
          <cell r="C51"/>
          <cell r="D51"/>
          <cell r="E51"/>
          <cell r="F51"/>
          <cell r="G51" t="str">
            <v>A. Consumer Electronics</v>
          </cell>
          <cell r="H51" t="str">
            <v>Consumer Electronics</v>
          </cell>
          <cell r="I51" t="str">
            <v>Digital Stores</v>
          </cell>
        </row>
        <row r="52">
          <cell r="A52" t="str">
            <v>DIGSAS10457</v>
          </cell>
          <cell r="B52">
            <v>51</v>
          </cell>
          <cell r="C52"/>
          <cell r="D52"/>
          <cell r="E52"/>
          <cell r="F52"/>
          <cell r="G52" t="str">
            <v>A. Consumer Electronics</v>
          </cell>
          <cell r="H52" t="str">
            <v>Consumer Electronics</v>
          </cell>
          <cell r="I52" t="str">
            <v>Digital Stores</v>
          </cell>
        </row>
        <row r="53">
          <cell r="A53" t="str">
            <v>DIGSSD10458</v>
          </cell>
          <cell r="B53">
            <v>52</v>
          </cell>
          <cell r="C53"/>
          <cell r="D53"/>
          <cell r="E53"/>
          <cell r="F53"/>
          <cell r="G53" t="str">
            <v>A. Consumer Electronics</v>
          </cell>
          <cell r="H53" t="str">
            <v>Consumer Electronics</v>
          </cell>
          <cell r="I53" t="str">
            <v>Digital Stores</v>
          </cell>
        </row>
        <row r="54">
          <cell r="A54" t="str">
            <v>DIGSSD10459</v>
          </cell>
          <cell r="B54">
            <v>53</v>
          </cell>
          <cell r="C54"/>
          <cell r="D54"/>
          <cell r="E54"/>
          <cell r="F54"/>
          <cell r="G54" t="str">
            <v>A. Consumer Electronics</v>
          </cell>
          <cell r="H54" t="str">
            <v>Consumer Electronics</v>
          </cell>
          <cell r="I54" t="str">
            <v>Digital Stores</v>
          </cell>
        </row>
        <row r="55">
          <cell r="A55" t="str">
            <v>DIGSBK10460</v>
          </cell>
          <cell r="B55">
            <v>54</v>
          </cell>
          <cell r="C55"/>
          <cell r="D55"/>
          <cell r="E55"/>
          <cell r="F55"/>
          <cell r="G55" t="str">
            <v>A. Consumer Electronics</v>
          </cell>
          <cell r="H55" t="str">
            <v>Consumer Electronics</v>
          </cell>
          <cell r="I55" t="str">
            <v>Digital Stores</v>
          </cell>
        </row>
        <row r="56">
          <cell r="A56" t="str">
            <v>DIGSRT10463</v>
          </cell>
          <cell r="B56">
            <v>55</v>
          </cell>
          <cell r="C56"/>
          <cell r="D56"/>
          <cell r="E56"/>
          <cell r="F56"/>
          <cell r="G56" t="str">
            <v>A. Consumer Electronics</v>
          </cell>
          <cell r="H56" t="str">
            <v>Consumer Electronics</v>
          </cell>
          <cell r="I56" t="str">
            <v>Digital Stores</v>
          </cell>
        </row>
        <row r="57">
          <cell r="A57" t="str">
            <v>DIGSAS10465</v>
          </cell>
          <cell r="B57">
            <v>56</v>
          </cell>
          <cell r="C57"/>
          <cell r="D57"/>
          <cell r="E57"/>
          <cell r="F57"/>
          <cell r="G57" t="str">
            <v>A. Consumer Electronics</v>
          </cell>
          <cell r="H57" t="str">
            <v>Consumer Electronics</v>
          </cell>
          <cell r="I57" t="str">
            <v>Digital Stores</v>
          </cell>
        </row>
        <row r="58">
          <cell r="A58" t="str">
            <v>DIGSAS10466</v>
          </cell>
          <cell r="B58">
            <v>57</v>
          </cell>
          <cell r="C58"/>
          <cell r="D58"/>
          <cell r="E58"/>
          <cell r="F58"/>
          <cell r="G58" t="str">
            <v>A. Consumer Electronics</v>
          </cell>
          <cell r="H58" t="str">
            <v>Consumer Electronics</v>
          </cell>
          <cell r="I58" t="str">
            <v>Digital Stores</v>
          </cell>
        </row>
        <row r="59">
          <cell r="A59" t="str">
            <v>DIGSRT10467</v>
          </cell>
          <cell r="B59">
            <v>58</v>
          </cell>
          <cell r="C59"/>
          <cell r="D59"/>
          <cell r="E59"/>
          <cell r="F59"/>
          <cell r="G59" t="str">
            <v>A. Consumer Electronics</v>
          </cell>
          <cell r="H59" t="str">
            <v>Consumer Electronics</v>
          </cell>
          <cell r="I59" t="str">
            <v>Digital Stores</v>
          </cell>
        </row>
        <row r="60">
          <cell r="A60" t="str">
            <v>DIGSBK10468</v>
          </cell>
          <cell r="B60">
            <v>59</v>
          </cell>
          <cell r="C60"/>
          <cell r="D60"/>
          <cell r="E60"/>
          <cell r="F60"/>
          <cell r="G60" t="str">
            <v>A. Consumer Electronics</v>
          </cell>
          <cell r="H60" t="str">
            <v>Consumer Electronics</v>
          </cell>
          <cell r="I60" t="str">
            <v>Digital Stores</v>
          </cell>
        </row>
        <row r="61">
          <cell r="A61" t="str">
            <v>DIGSAS10469</v>
          </cell>
          <cell r="B61">
            <v>60</v>
          </cell>
          <cell r="C61"/>
          <cell r="D61"/>
          <cell r="E61"/>
          <cell r="F61"/>
          <cell r="G61" t="str">
            <v>A. Consumer Electronics</v>
          </cell>
          <cell r="H61" t="str">
            <v>Consumer Electronics</v>
          </cell>
          <cell r="I61" t="str">
            <v>Digital Stores</v>
          </cell>
        </row>
        <row r="62">
          <cell r="A62" t="str">
            <v>DIGSAS10470</v>
          </cell>
          <cell r="B62">
            <v>61</v>
          </cell>
          <cell r="C62"/>
          <cell r="D62"/>
          <cell r="E62"/>
          <cell r="F62"/>
          <cell r="G62" t="str">
            <v>A. Consumer Electronics</v>
          </cell>
          <cell r="H62" t="str">
            <v>Consumer Electronics</v>
          </cell>
          <cell r="I62" t="str">
            <v>Digital Stores</v>
          </cell>
        </row>
        <row r="63">
          <cell r="A63" t="str">
            <v>DIGSBK10471</v>
          </cell>
          <cell r="B63">
            <v>62</v>
          </cell>
          <cell r="C63"/>
          <cell r="D63"/>
          <cell r="E63"/>
          <cell r="F63"/>
          <cell r="G63" t="str">
            <v>A. Consumer Electronics</v>
          </cell>
          <cell r="H63" t="str">
            <v>Consumer Electronics</v>
          </cell>
          <cell r="I63" t="str">
            <v>Digital Stores</v>
          </cell>
        </row>
        <row r="64">
          <cell r="A64" t="str">
            <v>DIGSRT10472</v>
          </cell>
          <cell r="B64">
            <v>63</v>
          </cell>
          <cell r="C64"/>
          <cell r="D64"/>
          <cell r="E64"/>
          <cell r="F64"/>
          <cell r="G64" t="str">
            <v>A. Consumer Electronics</v>
          </cell>
          <cell r="H64" t="str">
            <v>Consumer Electronics</v>
          </cell>
          <cell r="I64" t="str">
            <v>Digital Stores</v>
          </cell>
        </row>
        <row r="65">
          <cell r="A65" t="str">
            <v>DIGSAS10473</v>
          </cell>
          <cell r="B65">
            <v>64</v>
          </cell>
          <cell r="C65"/>
          <cell r="D65"/>
          <cell r="E65"/>
          <cell r="F65"/>
          <cell r="G65" t="str">
            <v>A. Consumer Electronics</v>
          </cell>
          <cell r="H65" t="str">
            <v>Consumer Electronics</v>
          </cell>
          <cell r="I65" t="str">
            <v>Digital Stores</v>
          </cell>
        </row>
        <row r="66">
          <cell r="A66" t="str">
            <v>DIGSBK10474</v>
          </cell>
          <cell r="B66">
            <v>65</v>
          </cell>
          <cell r="C66"/>
          <cell r="D66"/>
          <cell r="E66"/>
          <cell r="F66"/>
          <cell r="G66" t="str">
            <v>A. Consumer Electronics</v>
          </cell>
          <cell r="H66" t="str">
            <v>Consumer Electronics</v>
          </cell>
          <cell r="I66" t="str">
            <v>Digital Stores</v>
          </cell>
        </row>
        <row r="67">
          <cell r="A67" t="str">
            <v>DIGSRT10475</v>
          </cell>
          <cell r="B67">
            <v>66</v>
          </cell>
          <cell r="C67"/>
          <cell r="D67"/>
          <cell r="E67"/>
          <cell r="F67"/>
          <cell r="G67" t="str">
            <v>A. Consumer Electronics</v>
          </cell>
          <cell r="H67" t="str">
            <v>Consumer Electronics</v>
          </cell>
          <cell r="I67" t="str">
            <v>Digital Stores</v>
          </cell>
        </row>
        <row r="68">
          <cell r="A68" t="str">
            <v>DIGSBK10476</v>
          </cell>
          <cell r="B68">
            <v>67</v>
          </cell>
          <cell r="C68"/>
          <cell r="D68"/>
          <cell r="E68"/>
          <cell r="F68"/>
          <cell r="G68" t="str">
            <v>A. Consumer Electronics</v>
          </cell>
          <cell r="H68" t="str">
            <v>Consumer Electronics</v>
          </cell>
          <cell r="I68" t="str">
            <v>Digital Stores</v>
          </cell>
        </row>
        <row r="69">
          <cell r="A69" t="str">
            <v>DIGSBK10477</v>
          </cell>
          <cell r="B69">
            <v>68</v>
          </cell>
          <cell r="C69"/>
          <cell r="D69"/>
          <cell r="E69"/>
          <cell r="F69"/>
          <cell r="G69" t="str">
            <v>A. Consumer Electronics</v>
          </cell>
          <cell r="H69" t="str">
            <v>Consumer Electronics</v>
          </cell>
          <cell r="I69" t="str">
            <v>Digital Stores</v>
          </cell>
        </row>
        <row r="70">
          <cell r="A70" t="str">
            <v>DIGSRT10478</v>
          </cell>
          <cell r="B70">
            <v>69</v>
          </cell>
          <cell r="C70"/>
          <cell r="D70"/>
          <cell r="E70"/>
          <cell r="F70"/>
          <cell r="G70" t="str">
            <v>A. Consumer Electronics</v>
          </cell>
          <cell r="H70" t="str">
            <v>Consumer Electronics</v>
          </cell>
          <cell r="I70" t="str">
            <v>Digital Stores</v>
          </cell>
        </row>
        <row r="71">
          <cell r="A71" t="str">
            <v>DIGSRT10479</v>
          </cell>
          <cell r="B71">
            <v>70</v>
          </cell>
          <cell r="C71"/>
          <cell r="D71"/>
          <cell r="E71"/>
          <cell r="F71"/>
          <cell r="G71" t="str">
            <v>A. Consumer Electronics</v>
          </cell>
          <cell r="H71" t="str">
            <v>Consumer Electronics</v>
          </cell>
          <cell r="I71" t="str">
            <v>Digital Stores</v>
          </cell>
        </row>
        <row r="72">
          <cell r="A72" t="str">
            <v>DIGSBK10480</v>
          </cell>
          <cell r="B72">
            <v>71</v>
          </cell>
          <cell r="C72"/>
          <cell r="D72"/>
          <cell r="E72"/>
          <cell r="F72"/>
          <cell r="G72" t="str">
            <v>A. Consumer Electronics</v>
          </cell>
          <cell r="H72" t="str">
            <v>Consumer Electronics</v>
          </cell>
          <cell r="I72" t="str">
            <v>Digital Stores</v>
          </cell>
        </row>
        <row r="73">
          <cell r="A73" t="str">
            <v>DIGSRT10481</v>
          </cell>
          <cell r="B73">
            <v>72</v>
          </cell>
          <cell r="C73"/>
          <cell r="D73"/>
          <cell r="E73"/>
          <cell r="F73"/>
          <cell r="G73" t="str">
            <v>A. Consumer Electronics</v>
          </cell>
          <cell r="H73" t="str">
            <v>Consumer Electronics</v>
          </cell>
          <cell r="I73" t="str">
            <v>Digital Stores</v>
          </cell>
        </row>
        <row r="74">
          <cell r="A74" t="str">
            <v>DIGSRT10482</v>
          </cell>
          <cell r="B74">
            <v>73</v>
          </cell>
          <cell r="C74"/>
          <cell r="D74"/>
          <cell r="E74"/>
          <cell r="F74"/>
          <cell r="G74" t="str">
            <v>A. Consumer Electronics</v>
          </cell>
          <cell r="H74" t="str">
            <v>Consumer Electronics</v>
          </cell>
          <cell r="I74" t="str">
            <v>Digital Stores</v>
          </cell>
        </row>
        <row r="75">
          <cell r="A75" t="str">
            <v>DIGSRT10483</v>
          </cell>
          <cell r="B75">
            <v>74</v>
          </cell>
          <cell r="C75"/>
          <cell r="D75"/>
          <cell r="E75"/>
          <cell r="F75"/>
          <cell r="G75" t="str">
            <v>A. Consumer Electronics</v>
          </cell>
          <cell r="H75" t="str">
            <v>Consumer Electronics</v>
          </cell>
          <cell r="I75" t="str">
            <v>Digital Stores</v>
          </cell>
        </row>
        <row r="76">
          <cell r="A76" t="str">
            <v>DIGSBK10484</v>
          </cell>
          <cell r="B76">
            <v>75</v>
          </cell>
          <cell r="C76"/>
          <cell r="D76"/>
          <cell r="E76"/>
          <cell r="F76"/>
          <cell r="G76" t="str">
            <v>A. Consumer Electronics</v>
          </cell>
          <cell r="H76" t="str">
            <v>Consumer Electronics</v>
          </cell>
          <cell r="I76" t="str">
            <v>Digital Stores</v>
          </cell>
        </row>
        <row r="77">
          <cell r="A77" t="str">
            <v>DIGSBK10485</v>
          </cell>
          <cell r="B77">
            <v>76</v>
          </cell>
          <cell r="C77"/>
          <cell r="D77"/>
          <cell r="E77"/>
          <cell r="F77"/>
          <cell r="G77" t="str">
            <v>A. Consumer Electronics</v>
          </cell>
          <cell r="H77" t="str">
            <v>Consumer Electronics</v>
          </cell>
          <cell r="I77" t="str">
            <v>Digital Stores</v>
          </cell>
        </row>
        <row r="78">
          <cell r="A78" t="str">
            <v>MSLOSD10454</v>
          </cell>
          <cell r="B78">
            <v>77</v>
          </cell>
          <cell r="C78"/>
          <cell r="D78"/>
          <cell r="E78"/>
          <cell r="F78"/>
          <cell r="G78" t="str">
            <v>A. Consumer Electronics</v>
          </cell>
          <cell r="H78" t="str">
            <v>Consumer Electronics</v>
          </cell>
          <cell r="I78" t="str">
            <v>Maintenance &amp; Service Location (MSL)</v>
          </cell>
        </row>
        <row r="79">
          <cell r="A79" t="str">
            <v>MSLOAS10455</v>
          </cell>
          <cell r="B79">
            <v>78</v>
          </cell>
          <cell r="C79"/>
          <cell r="D79"/>
          <cell r="E79"/>
          <cell r="F79"/>
          <cell r="G79" t="str">
            <v>A. Consumer Electronics</v>
          </cell>
          <cell r="H79" t="str">
            <v>Consumer Electronics</v>
          </cell>
          <cell r="I79" t="str">
            <v>Maintenance &amp; Service Location (MSL)</v>
          </cell>
        </row>
        <row r="80">
          <cell r="A80" t="str">
            <v>MSLOSD10456</v>
          </cell>
          <cell r="B80">
            <v>79</v>
          </cell>
          <cell r="C80"/>
          <cell r="D80"/>
          <cell r="E80"/>
          <cell r="F80"/>
          <cell r="G80" t="str">
            <v>A. Consumer Electronics</v>
          </cell>
          <cell r="H80" t="str">
            <v>Consumer Electronics</v>
          </cell>
          <cell r="I80" t="str">
            <v>Maintenance &amp; Service Location (MSL)</v>
          </cell>
        </row>
        <row r="81">
          <cell r="A81" t="str">
            <v>MSLOAS10461</v>
          </cell>
          <cell r="B81">
            <v>80</v>
          </cell>
          <cell r="C81"/>
          <cell r="D81"/>
          <cell r="E81"/>
          <cell r="F81"/>
          <cell r="G81" t="str">
            <v>A. Consumer Electronics</v>
          </cell>
          <cell r="H81" t="str">
            <v>Consumer Electronics</v>
          </cell>
          <cell r="I81" t="str">
            <v>Maintenance &amp; Service Location (MSL)</v>
          </cell>
        </row>
        <row r="82">
          <cell r="A82" t="str">
            <v>MSLORT10462</v>
          </cell>
          <cell r="B82">
            <v>81</v>
          </cell>
          <cell r="C82"/>
          <cell r="D82"/>
          <cell r="E82"/>
          <cell r="F82"/>
          <cell r="G82" t="str">
            <v>A. Consumer Electronics</v>
          </cell>
          <cell r="H82" t="str">
            <v>Consumer Electronics</v>
          </cell>
          <cell r="I82" t="str">
            <v>Maintenance &amp; Service Location (MSL)</v>
          </cell>
        </row>
        <row r="83">
          <cell r="A83" t="str">
            <v>MYJOSD3669</v>
          </cell>
          <cell r="B83">
            <v>82</v>
          </cell>
          <cell r="C83"/>
          <cell r="D83" t="str">
            <v>T4LD</v>
          </cell>
          <cell r="E83" t="str">
            <v>QJ8J</v>
          </cell>
          <cell r="F83" t="str">
            <v>MDXPWQJ8J00</v>
          </cell>
          <cell r="G83" t="str">
            <v>A. Consumer Electronics</v>
          </cell>
          <cell r="H83" t="str">
            <v>Consumer Electronics</v>
          </cell>
          <cell r="I83" t="str">
            <v>My Jio Store</v>
          </cell>
        </row>
        <row r="84">
          <cell r="A84" t="str">
            <v>MYJORT3673</v>
          </cell>
          <cell r="B84">
            <v>83</v>
          </cell>
          <cell r="C84"/>
          <cell r="D84"/>
          <cell r="E84" t="str">
            <v>QJ7D</v>
          </cell>
          <cell r="F84" t="str">
            <v>MDXPUQJ7D00</v>
          </cell>
          <cell r="G84" t="str">
            <v>A. Consumer Electronics</v>
          </cell>
          <cell r="H84" t="str">
            <v>Consumer Electronics</v>
          </cell>
          <cell r="I84" t="str">
            <v>My Jio Store</v>
          </cell>
        </row>
        <row r="85">
          <cell r="A85" t="str">
            <v>MYJOBK4661</v>
          </cell>
          <cell r="B85">
            <v>84</v>
          </cell>
          <cell r="C85"/>
          <cell r="D85" t="str">
            <v>T4ON</v>
          </cell>
          <cell r="E85" t="str">
            <v>QJ9S</v>
          </cell>
          <cell r="F85" t="str">
            <v>MDXPMQJ9S00</v>
          </cell>
          <cell r="G85" t="str">
            <v>A. Consumer Electronics</v>
          </cell>
          <cell r="H85" t="str">
            <v>Consumer Electronics</v>
          </cell>
          <cell r="I85" t="str">
            <v>My Jio Store</v>
          </cell>
        </row>
        <row r="86">
          <cell r="A86" t="str">
            <v>MYJOSD10423</v>
          </cell>
          <cell r="B86">
            <v>85</v>
          </cell>
          <cell r="C86"/>
          <cell r="D86"/>
          <cell r="E86"/>
          <cell r="F86"/>
          <cell r="G86" t="str">
            <v>A. Consumer Electronics</v>
          </cell>
          <cell r="H86" t="str">
            <v>Consumer Electronics</v>
          </cell>
          <cell r="I86" t="str">
            <v>My Jio Store</v>
          </cell>
        </row>
        <row r="87">
          <cell r="A87" t="str">
            <v>MYJOAS10424</v>
          </cell>
          <cell r="B87">
            <v>86</v>
          </cell>
          <cell r="C87"/>
          <cell r="D87"/>
          <cell r="E87"/>
          <cell r="F87"/>
          <cell r="G87" t="str">
            <v>A. Consumer Electronics</v>
          </cell>
          <cell r="H87" t="str">
            <v>Consumer Electronics</v>
          </cell>
          <cell r="I87" t="str">
            <v>My Jio Store</v>
          </cell>
        </row>
        <row r="88">
          <cell r="A88" t="str">
            <v>MYJOAS10443</v>
          </cell>
          <cell r="B88">
            <v>87</v>
          </cell>
          <cell r="C88"/>
          <cell r="D88"/>
          <cell r="E88"/>
          <cell r="F88"/>
          <cell r="G88" t="str">
            <v>A. Consumer Electronics</v>
          </cell>
          <cell r="H88" t="str">
            <v>Consumer Electronics</v>
          </cell>
          <cell r="I88" t="str">
            <v>My Jio Store</v>
          </cell>
        </row>
        <row r="89">
          <cell r="A89" t="str">
            <v>MYJOAS10444</v>
          </cell>
          <cell r="B89">
            <v>88</v>
          </cell>
          <cell r="C89"/>
          <cell r="D89"/>
          <cell r="E89"/>
          <cell r="F89"/>
          <cell r="G89" t="str">
            <v>A. Consumer Electronics</v>
          </cell>
          <cell r="H89" t="str">
            <v>Consumer Electronics</v>
          </cell>
          <cell r="I89" t="str">
            <v>My Jio Store</v>
          </cell>
        </row>
        <row r="90">
          <cell r="A90" t="str">
            <v>MYJOSD10445</v>
          </cell>
          <cell r="B90">
            <v>89</v>
          </cell>
          <cell r="C90"/>
          <cell r="D90"/>
          <cell r="E90"/>
          <cell r="F90"/>
          <cell r="G90" t="str">
            <v>A. Consumer Electronics</v>
          </cell>
          <cell r="H90" t="str">
            <v>Consumer Electronics</v>
          </cell>
          <cell r="I90" t="str">
            <v>My Jio Store</v>
          </cell>
        </row>
        <row r="91">
          <cell r="A91" t="str">
            <v>MYJORT10446</v>
          </cell>
          <cell r="B91">
            <v>90</v>
          </cell>
          <cell r="C91"/>
          <cell r="D91"/>
          <cell r="E91"/>
          <cell r="F91"/>
          <cell r="G91" t="str">
            <v>A. Consumer Electronics</v>
          </cell>
          <cell r="H91" t="str">
            <v>Consumer Electronics</v>
          </cell>
          <cell r="I91" t="str">
            <v>My Jio Store</v>
          </cell>
        </row>
        <row r="92">
          <cell r="A92" t="str">
            <v>MYJORT10447</v>
          </cell>
          <cell r="B92">
            <v>91</v>
          </cell>
          <cell r="C92"/>
          <cell r="D92"/>
          <cell r="E92"/>
          <cell r="F92"/>
          <cell r="G92" t="str">
            <v>A. Consumer Electronics</v>
          </cell>
          <cell r="H92" t="str">
            <v>Consumer Electronics</v>
          </cell>
          <cell r="I92" t="str">
            <v>My Jio Store</v>
          </cell>
        </row>
        <row r="93">
          <cell r="A93" t="str">
            <v>MYJORT10448</v>
          </cell>
          <cell r="B93">
            <v>92</v>
          </cell>
          <cell r="C93"/>
          <cell r="D93"/>
          <cell r="E93"/>
          <cell r="F93"/>
          <cell r="G93" t="str">
            <v>A. Consumer Electronics</v>
          </cell>
          <cell r="H93" t="str">
            <v>Consumer Electronics</v>
          </cell>
          <cell r="I93" t="str">
            <v>My Jio Store</v>
          </cell>
        </row>
        <row r="94">
          <cell r="A94" t="str">
            <v>MYJORT10486</v>
          </cell>
          <cell r="B94">
            <v>93</v>
          </cell>
          <cell r="C94"/>
          <cell r="D94"/>
          <cell r="E94"/>
          <cell r="F94"/>
          <cell r="G94" t="str">
            <v>A. Consumer Electronics</v>
          </cell>
          <cell r="H94" t="str">
            <v>Consumer Electronics</v>
          </cell>
          <cell r="I94" t="str">
            <v>My Jio Store</v>
          </cell>
        </row>
        <row r="95">
          <cell r="A95" t="str">
            <v>MYJOAS10487</v>
          </cell>
          <cell r="B95">
            <v>94</v>
          </cell>
          <cell r="C95"/>
          <cell r="D95"/>
          <cell r="E95"/>
          <cell r="F95"/>
          <cell r="G95" t="str">
            <v>A. Consumer Electronics</v>
          </cell>
          <cell r="H95" t="str">
            <v>Consumer Electronics</v>
          </cell>
          <cell r="I95" t="str">
            <v>My Jio Store</v>
          </cell>
        </row>
        <row r="96">
          <cell r="A96" t="str">
            <v>MYJOAS10488</v>
          </cell>
          <cell r="B96">
            <v>95</v>
          </cell>
          <cell r="C96"/>
          <cell r="D96"/>
          <cell r="E96"/>
          <cell r="F96"/>
          <cell r="G96" t="str">
            <v>A. Consumer Electronics</v>
          </cell>
          <cell r="H96" t="str">
            <v>Consumer Electronics</v>
          </cell>
          <cell r="I96" t="str">
            <v>My Jio Store</v>
          </cell>
        </row>
        <row r="97">
          <cell r="A97" t="str">
            <v>MYJOSD10489</v>
          </cell>
          <cell r="B97">
            <v>96</v>
          </cell>
          <cell r="C97"/>
          <cell r="D97"/>
          <cell r="E97"/>
          <cell r="F97"/>
          <cell r="G97" t="str">
            <v>A. Consumer Electronics</v>
          </cell>
          <cell r="H97" t="str">
            <v>Consumer Electronics</v>
          </cell>
          <cell r="I97" t="str">
            <v>My Jio Store</v>
          </cell>
        </row>
        <row r="98">
          <cell r="A98" t="str">
            <v>MYJOSD10490</v>
          </cell>
          <cell r="B98">
            <v>97</v>
          </cell>
          <cell r="C98"/>
          <cell r="D98"/>
          <cell r="E98"/>
          <cell r="F98"/>
          <cell r="G98" t="str">
            <v>A. Consumer Electronics</v>
          </cell>
          <cell r="H98" t="str">
            <v>Consumer Electronics</v>
          </cell>
          <cell r="I98" t="str">
            <v>My Jio Store</v>
          </cell>
        </row>
        <row r="99">
          <cell r="A99" t="str">
            <v>MYJOBK10491</v>
          </cell>
          <cell r="B99">
            <v>98</v>
          </cell>
          <cell r="C99"/>
          <cell r="D99"/>
          <cell r="E99"/>
          <cell r="F99"/>
          <cell r="G99" t="str">
            <v>A. Consumer Electronics</v>
          </cell>
          <cell r="H99" t="str">
            <v>Consumer Electronics</v>
          </cell>
          <cell r="I99" t="str">
            <v>My Jio Store</v>
          </cell>
        </row>
        <row r="100">
          <cell r="A100" t="str">
            <v>AJIOAS10805</v>
          </cell>
          <cell r="B100">
            <v>99</v>
          </cell>
          <cell r="C100"/>
          <cell r="D100"/>
          <cell r="E100"/>
          <cell r="F100"/>
          <cell r="G100" t="str">
            <v>B. Fashion &amp; Lifestyle</v>
          </cell>
          <cell r="H100" t="str">
            <v>Trends &amp; Allied Formats (Part B)</v>
          </cell>
          <cell r="I100" t="str">
            <v>Ajio</v>
          </cell>
        </row>
        <row r="101">
          <cell r="A101" t="str">
            <v>AJIOAS11114</v>
          </cell>
          <cell r="B101">
            <v>100</v>
          </cell>
          <cell r="C101"/>
          <cell r="D101"/>
          <cell r="E101"/>
          <cell r="F101"/>
          <cell r="G101" t="str">
            <v>B. Fashion &amp; Lifestyle</v>
          </cell>
          <cell r="H101" t="str">
            <v>Trends &amp; Allied Formats (Part B)</v>
          </cell>
          <cell r="I101" t="str">
            <v>Ajio</v>
          </cell>
        </row>
        <row r="102">
          <cell r="A102" t="str">
            <v>AMANRT4572</v>
          </cell>
          <cell r="B102">
            <v>101</v>
          </cell>
          <cell r="C102"/>
          <cell r="D102"/>
          <cell r="E102"/>
          <cell r="F102"/>
          <cell r="G102" t="str">
            <v>B. Fashion &amp; Lifestyle</v>
          </cell>
          <cell r="H102" t="str">
            <v>Other Fashion &amp; Lifestyle Formats</v>
          </cell>
          <cell r="I102" t="str">
            <v>Amante</v>
          </cell>
        </row>
        <row r="103">
          <cell r="A103" t="str">
            <v>AMANRT4573</v>
          </cell>
          <cell r="B103">
            <v>102</v>
          </cell>
          <cell r="C103"/>
          <cell r="D103"/>
          <cell r="E103"/>
          <cell r="F103"/>
          <cell r="G103" t="str">
            <v>B. Fashion &amp; Lifestyle</v>
          </cell>
          <cell r="H103" t="str">
            <v>Other Fashion &amp; Lifestyle Formats</v>
          </cell>
          <cell r="I103" t="str">
            <v>Amante</v>
          </cell>
        </row>
        <row r="104">
          <cell r="A104" t="str">
            <v>AMANAS4575</v>
          </cell>
          <cell r="B104">
            <v>103</v>
          </cell>
          <cell r="C104"/>
          <cell r="D104"/>
          <cell r="E104"/>
          <cell r="F104"/>
          <cell r="G104" t="str">
            <v>B. Fashion &amp; Lifestyle</v>
          </cell>
          <cell r="H104" t="str">
            <v>Other Fashion &amp; Lifestyle Formats</v>
          </cell>
          <cell r="I104" t="str">
            <v>Amante</v>
          </cell>
        </row>
        <row r="105">
          <cell r="A105" t="str">
            <v>ANCEBK127</v>
          </cell>
          <cell r="B105">
            <v>104</v>
          </cell>
          <cell r="C105" t="str">
            <v>MH-SM-PUN-962</v>
          </cell>
          <cell r="D105" t="str">
            <v>T3JE</v>
          </cell>
          <cell r="E105" t="str">
            <v>QJ3I</v>
          </cell>
          <cell r="F105" t="str">
            <v>ANCSMQJ3I00</v>
          </cell>
          <cell r="G105" t="str">
            <v>B. Fashion &amp; Lifestyle</v>
          </cell>
          <cell r="H105" t="str">
            <v>Other Fashion &amp; Lifestyle Formats</v>
          </cell>
          <cell r="I105" t="str">
            <v>Ancestry</v>
          </cell>
        </row>
        <row r="106">
          <cell r="A106" t="str">
            <v>ANCESD4735</v>
          </cell>
          <cell r="B106">
            <v>105</v>
          </cell>
          <cell r="C106"/>
          <cell r="D106" t="str">
            <v>T2GT</v>
          </cell>
          <cell r="E106" t="str">
            <v>QB0L</v>
          </cell>
          <cell r="F106" t="str">
            <v>ANCSNQB0L00</v>
          </cell>
          <cell r="G106" t="str">
            <v>B. Fashion &amp; Lifestyle</v>
          </cell>
          <cell r="H106" t="str">
            <v>Other Fashion &amp; Lifestyle Formats</v>
          </cell>
          <cell r="I106" t="str">
            <v>Ancestry</v>
          </cell>
        </row>
        <row r="107">
          <cell r="A107" t="str">
            <v>AZORRT238</v>
          </cell>
          <cell r="B107">
            <v>106</v>
          </cell>
          <cell r="C107"/>
          <cell r="D107"/>
          <cell r="E107"/>
          <cell r="F107"/>
          <cell r="G107" t="str">
            <v>B. Fashion &amp; Lifestyle</v>
          </cell>
          <cell r="H107" t="str">
            <v>Trends &amp; Allied Formats (Part A)</v>
          </cell>
          <cell r="I107" t="str">
            <v>Azorte</v>
          </cell>
        </row>
        <row r="108">
          <cell r="A108" t="str">
            <v>AZORSD346</v>
          </cell>
          <cell r="B108">
            <v>107</v>
          </cell>
          <cell r="C108" t="str">
            <v>AP-SM-HYD-2011</v>
          </cell>
          <cell r="D108"/>
          <cell r="E108" t="str">
            <v>QZYH</v>
          </cell>
          <cell r="F108" t="str">
            <v>TAZONQZYH00</v>
          </cell>
          <cell r="G108" t="str">
            <v>B. Fashion &amp; Lifestyle</v>
          </cell>
          <cell r="H108" t="str">
            <v>Trends &amp; Allied Formats (Part A)</v>
          </cell>
          <cell r="I108" t="str">
            <v>Azorte</v>
          </cell>
        </row>
        <row r="109">
          <cell r="A109" t="str">
            <v>AZORAS408</v>
          </cell>
          <cell r="B109">
            <v>108</v>
          </cell>
          <cell r="C109" t="str">
            <v>KR-SM-UDP-908</v>
          </cell>
          <cell r="D109"/>
          <cell r="E109"/>
          <cell r="F109"/>
          <cell r="G109" t="str">
            <v>B. Fashion &amp; Lifestyle</v>
          </cell>
          <cell r="H109" t="str">
            <v>Trends &amp; Allied Formats (Part A)</v>
          </cell>
          <cell r="I109" t="str">
            <v>Azorte</v>
          </cell>
        </row>
        <row r="110">
          <cell r="A110" t="str">
            <v>AZORAS410</v>
          </cell>
          <cell r="B110">
            <v>109</v>
          </cell>
          <cell r="C110" t="str">
            <v>KR-SM-BAN-1078</v>
          </cell>
          <cell r="D110" t="str">
            <v>T0X9</v>
          </cell>
          <cell r="E110" t="str">
            <v>Q4KB</v>
          </cell>
          <cell r="F110" t="str">
            <v>TAZOKQ4KB00</v>
          </cell>
          <cell r="G110" t="str">
            <v>B. Fashion &amp; Lifestyle</v>
          </cell>
          <cell r="H110" t="str">
            <v>Trends &amp; Allied Formats (Part A)</v>
          </cell>
          <cell r="I110" t="str">
            <v>Azorte</v>
          </cell>
        </row>
        <row r="111">
          <cell r="A111" t="str">
            <v>AZORKC4113</v>
          </cell>
          <cell r="B111">
            <v>110</v>
          </cell>
          <cell r="C111" t="str">
            <v>GJ-SM-JAM-091</v>
          </cell>
          <cell r="D111" t="str">
            <v>T2FP</v>
          </cell>
          <cell r="E111" t="str">
            <v>Q7BZ</v>
          </cell>
          <cell r="F111" t="str">
            <v>TAZOGQ7BZ00</v>
          </cell>
          <cell r="G111" t="str">
            <v>B. Fashion &amp; Lifestyle</v>
          </cell>
          <cell r="H111" t="str">
            <v>Trends &amp; Allied Formats (Part A)</v>
          </cell>
          <cell r="I111" t="str">
            <v>Azorte</v>
          </cell>
        </row>
        <row r="112">
          <cell r="A112" t="str">
            <v>AZORBK4430</v>
          </cell>
          <cell r="B112">
            <v>111</v>
          </cell>
          <cell r="C112" t="str">
            <v>GJ-SM-VAD-912</v>
          </cell>
          <cell r="D112" t="str">
            <v>T2WE</v>
          </cell>
          <cell r="E112" t="str">
            <v>QI2H</v>
          </cell>
          <cell r="F112" t="str">
            <v>TAZOGQI2H00</v>
          </cell>
          <cell r="G112" t="str">
            <v>B. Fashion &amp; Lifestyle</v>
          </cell>
          <cell r="H112" t="str">
            <v>Trends &amp; Allied Formats (Part A)</v>
          </cell>
          <cell r="I112" t="str">
            <v>Azorte</v>
          </cell>
        </row>
        <row r="113">
          <cell r="A113" t="str">
            <v>AZORBK4433</v>
          </cell>
          <cell r="B113">
            <v>112</v>
          </cell>
          <cell r="C113"/>
          <cell r="D113"/>
          <cell r="E113"/>
          <cell r="F113"/>
          <cell r="G113" t="str">
            <v>B. Fashion &amp; Lifestyle</v>
          </cell>
          <cell r="H113" t="str">
            <v>Trends &amp; Allied Formats (Part A)</v>
          </cell>
          <cell r="I113" t="str">
            <v>Azorte</v>
          </cell>
        </row>
        <row r="114">
          <cell r="A114" t="str">
            <v>AZORBK4923</v>
          </cell>
          <cell r="B114">
            <v>113</v>
          </cell>
          <cell r="C114"/>
          <cell r="D114"/>
          <cell r="E114" t="str">
            <v>QJ3A</v>
          </cell>
          <cell r="F114" t="str">
            <v>TAZOGQJ3A00</v>
          </cell>
          <cell r="G114" t="str">
            <v>B. Fashion &amp; Lifestyle</v>
          </cell>
          <cell r="H114" t="str">
            <v>Trends &amp; Allied Formats (Part A)</v>
          </cell>
          <cell r="I114" t="str">
            <v>Azorte</v>
          </cell>
        </row>
        <row r="115">
          <cell r="A115" t="str">
            <v>AZORAS10664</v>
          </cell>
          <cell r="B115">
            <v>114</v>
          </cell>
          <cell r="C115"/>
          <cell r="D115"/>
          <cell r="E115"/>
          <cell r="F115"/>
          <cell r="G115" t="str">
            <v>B. Fashion &amp; Lifestyle</v>
          </cell>
          <cell r="H115" t="str">
            <v>Trends &amp; Allied Formats (Part A)</v>
          </cell>
          <cell r="I115" t="str">
            <v>Azorte</v>
          </cell>
        </row>
        <row r="116">
          <cell r="A116" t="str">
            <v>AZORBK10702</v>
          </cell>
          <cell r="B116">
            <v>115</v>
          </cell>
          <cell r="C116"/>
          <cell r="D116"/>
          <cell r="E116"/>
          <cell r="F116"/>
          <cell r="G116" t="str">
            <v>B. Fashion &amp; Lifestyle</v>
          </cell>
          <cell r="H116" t="str">
            <v>Trends &amp; Allied Formats (Part A)</v>
          </cell>
          <cell r="I116" t="str">
            <v>Azorte</v>
          </cell>
        </row>
        <row r="117">
          <cell r="A117" t="str">
            <v>AZORBK10708</v>
          </cell>
          <cell r="B117">
            <v>116</v>
          </cell>
          <cell r="C117"/>
          <cell r="D117"/>
          <cell r="E117"/>
          <cell r="F117"/>
          <cell r="G117" t="str">
            <v>B. Fashion &amp; Lifestyle</v>
          </cell>
          <cell r="H117" t="str">
            <v>Trends &amp; Allied Formats (Part A)</v>
          </cell>
          <cell r="I117" t="str">
            <v>Azorte</v>
          </cell>
        </row>
        <row r="118">
          <cell r="A118" t="str">
            <v>AZORBK10715</v>
          </cell>
          <cell r="B118">
            <v>117</v>
          </cell>
          <cell r="C118"/>
          <cell r="D118"/>
          <cell r="E118"/>
          <cell r="F118"/>
          <cell r="G118" t="str">
            <v>B. Fashion &amp; Lifestyle</v>
          </cell>
          <cell r="H118" t="str">
            <v>Trends &amp; Allied Formats (Part A)</v>
          </cell>
          <cell r="I118" t="str">
            <v>Azorte</v>
          </cell>
        </row>
        <row r="119">
          <cell r="A119" t="str">
            <v>AZORSD10753</v>
          </cell>
          <cell r="B119">
            <v>118</v>
          </cell>
          <cell r="C119"/>
          <cell r="D119"/>
          <cell r="E119"/>
          <cell r="F119"/>
          <cell r="G119" t="str">
            <v>B. Fashion &amp; Lifestyle</v>
          </cell>
          <cell r="H119" t="str">
            <v>Trends &amp; Allied Formats (Part A)</v>
          </cell>
          <cell r="I119" t="str">
            <v>Azorte</v>
          </cell>
        </row>
        <row r="120">
          <cell r="A120" t="str">
            <v>AZORBK10915</v>
          </cell>
          <cell r="B120">
            <v>119</v>
          </cell>
          <cell r="C120"/>
          <cell r="D120"/>
          <cell r="E120"/>
          <cell r="F120"/>
          <cell r="G120" t="str">
            <v>B. Fashion &amp; Lifestyle</v>
          </cell>
          <cell r="H120" t="str">
            <v>Trends &amp; Allied Formats (Part A)</v>
          </cell>
          <cell r="I120" t="str">
            <v>Azorte</v>
          </cell>
        </row>
        <row r="121">
          <cell r="A121" t="str">
            <v>AZORBK10917</v>
          </cell>
          <cell r="B121">
            <v>120</v>
          </cell>
          <cell r="C121"/>
          <cell r="D121"/>
          <cell r="E121"/>
          <cell r="F121"/>
          <cell r="G121" t="str">
            <v>B. Fashion &amp; Lifestyle</v>
          </cell>
          <cell r="H121" t="str">
            <v>Trends &amp; Allied Formats (Part A)</v>
          </cell>
          <cell r="I121" t="str">
            <v>Azorte</v>
          </cell>
        </row>
        <row r="122">
          <cell r="A122" t="str">
            <v>AZORSD11015</v>
          </cell>
          <cell r="B122">
            <v>121</v>
          </cell>
          <cell r="C122"/>
          <cell r="D122"/>
          <cell r="E122"/>
          <cell r="F122"/>
          <cell r="G122" t="str">
            <v>B. Fashion &amp; Lifestyle</v>
          </cell>
          <cell r="H122" t="str">
            <v>Trends &amp; Allied Formats (Part A)</v>
          </cell>
          <cell r="I122" t="str">
            <v>Azorte</v>
          </cell>
        </row>
        <row r="123">
          <cell r="A123" t="str">
            <v>AZORBK11066</v>
          </cell>
          <cell r="B123">
            <v>122</v>
          </cell>
          <cell r="C123"/>
          <cell r="D123"/>
          <cell r="E123"/>
          <cell r="F123"/>
          <cell r="G123" t="str">
            <v>B. Fashion &amp; Lifestyle</v>
          </cell>
          <cell r="H123" t="str">
            <v>Trends &amp; Allied Formats (Part A)</v>
          </cell>
          <cell r="I123" t="str">
            <v>Azorte</v>
          </cell>
        </row>
        <row r="124">
          <cell r="A124" t="str">
            <v>AZORBK11067</v>
          </cell>
          <cell r="B124">
            <v>123</v>
          </cell>
          <cell r="C124"/>
          <cell r="D124"/>
          <cell r="E124"/>
          <cell r="F124"/>
          <cell r="G124" t="str">
            <v>B. Fashion &amp; Lifestyle</v>
          </cell>
          <cell r="H124" t="str">
            <v>Trends &amp; Allied Formats (Part A)</v>
          </cell>
          <cell r="I124" t="str">
            <v>Azorte</v>
          </cell>
        </row>
        <row r="125">
          <cell r="A125" t="str">
            <v>AZORSD11129</v>
          </cell>
          <cell r="B125">
            <v>124</v>
          </cell>
          <cell r="C125"/>
          <cell r="D125"/>
          <cell r="E125"/>
          <cell r="F125"/>
          <cell r="G125" t="str">
            <v>B. Fashion &amp; Lifestyle</v>
          </cell>
          <cell r="H125" t="str">
            <v>Trends &amp; Allied Formats (Part A)</v>
          </cell>
          <cell r="I125" t="str">
            <v>Azorte</v>
          </cell>
        </row>
        <row r="126">
          <cell r="A126" t="str">
            <v>AZORRT11222</v>
          </cell>
          <cell r="B126">
            <v>125</v>
          </cell>
          <cell r="C126"/>
          <cell r="D126"/>
          <cell r="E126"/>
          <cell r="F126"/>
          <cell r="G126" t="str">
            <v>B. Fashion &amp; Lifestyle</v>
          </cell>
          <cell r="H126" t="str">
            <v>Trends &amp; Allied Formats (Part A)</v>
          </cell>
          <cell r="I126" t="str">
            <v>Azorte</v>
          </cell>
        </row>
        <row r="127">
          <cell r="A127" t="str">
            <v>AZORRT11243</v>
          </cell>
          <cell r="B127">
            <v>126</v>
          </cell>
          <cell r="C127"/>
          <cell r="D127"/>
          <cell r="E127"/>
          <cell r="F127"/>
          <cell r="G127" t="str">
            <v>B. Fashion &amp; Lifestyle</v>
          </cell>
          <cell r="H127" t="str">
            <v>Trends &amp; Allied Formats (Part A)</v>
          </cell>
          <cell r="I127" t="str">
            <v>Azorte</v>
          </cell>
        </row>
        <row r="128">
          <cell r="A128" t="str">
            <v>BeauW47</v>
          </cell>
          <cell r="B128">
            <v>127</v>
          </cell>
          <cell r="C128" t="str">
            <v>MU-SM-GMU-678</v>
          </cell>
          <cell r="D128" t="str">
            <v>T76P</v>
          </cell>
          <cell r="E128" t="str">
            <v>QKCN</v>
          </cell>
          <cell r="F128" t="str">
            <v>TIRAMQKCN00</v>
          </cell>
          <cell r="G128" t="str">
            <v>B. Fashion &amp; Lifestyle</v>
          </cell>
          <cell r="H128" t="str">
            <v>Other Fashion &amp; Lifestyle Formats</v>
          </cell>
          <cell r="I128" t="str">
            <v>Beauty (TIRA)</v>
          </cell>
        </row>
        <row r="129">
          <cell r="A129" t="str">
            <v>BETIBK4597</v>
          </cell>
          <cell r="B129">
            <v>128</v>
          </cell>
          <cell r="C129" t="str">
            <v>MU-SM-GMU-688</v>
          </cell>
          <cell r="D129" t="str">
            <v>T3AS</v>
          </cell>
          <cell r="E129" t="str">
            <v>QI6Q</v>
          </cell>
          <cell r="F129" t="str">
            <v>TIRAMQI6Q00</v>
          </cell>
          <cell r="G129" t="str">
            <v>B. Fashion &amp; Lifestyle</v>
          </cell>
          <cell r="H129" t="str">
            <v>Other Fashion &amp; Lifestyle Formats</v>
          </cell>
          <cell r="I129" t="str">
            <v>Beauty (TIRA)</v>
          </cell>
        </row>
        <row r="130">
          <cell r="A130" t="str">
            <v>BETIBK10641</v>
          </cell>
          <cell r="B130">
            <v>129</v>
          </cell>
          <cell r="C130"/>
          <cell r="D130"/>
          <cell r="E130"/>
          <cell r="F130"/>
          <cell r="G130" t="str">
            <v>B. Fashion &amp; Lifestyle</v>
          </cell>
          <cell r="H130" t="str">
            <v>Other Fashion &amp; Lifestyle Formats</v>
          </cell>
          <cell r="I130" t="str">
            <v>Beauty (TIRA)</v>
          </cell>
        </row>
        <row r="131">
          <cell r="A131" t="str">
            <v>CATWAS4436</v>
          </cell>
          <cell r="B131">
            <v>130</v>
          </cell>
          <cell r="C131"/>
          <cell r="D131"/>
          <cell r="E131"/>
          <cell r="F131"/>
          <cell r="G131" t="str">
            <v>B. Fashion &amp; Lifestyle</v>
          </cell>
          <cell r="H131" t="str">
            <v>Trends &amp; Allied Formats (Part A)</v>
          </cell>
          <cell r="I131" t="str">
            <v>Catwalk</v>
          </cell>
        </row>
        <row r="132">
          <cell r="A132" t="str">
            <v>CECTBK123</v>
          </cell>
          <cell r="B132">
            <v>131</v>
          </cell>
          <cell r="C132" t="str">
            <v>GJ-SM-AHM-901/FG</v>
          </cell>
          <cell r="D132" t="str">
            <v>F1UH</v>
          </cell>
          <cell r="E132" t="str">
            <v>Q3QP</v>
          </cell>
          <cell r="F132" t="str">
            <v>CENTGQ3QP01</v>
          </cell>
          <cell r="G132" t="str">
            <v>B. Fashion &amp; Lifestyle</v>
          </cell>
          <cell r="H132" t="str">
            <v>Trends &amp; Allied Formats (Part B)</v>
          </cell>
          <cell r="I132" t="str">
            <v>Centro - Refit</v>
          </cell>
        </row>
        <row r="133">
          <cell r="A133" t="str">
            <v>CEN2AS2567</v>
          </cell>
          <cell r="B133">
            <v>132</v>
          </cell>
          <cell r="C133"/>
          <cell r="D133" t="str">
            <v>F1ZC</v>
          </cell>
          <cell r="E133" t="str">
            <v>Q3RP</v>
          </cell>
          <cell r="F133" t="str">
            <v>CENTKQ3RP02</v>
          </cell>
          <cell r="G133" t="str">
            <v>B. Fashion &amp; Lifestyle</v>
          </cell>
          <cell r="H133" t="str">
            <v>Trends &amp; Allied Formats (Part B)</v>
          </cell>
          <cell r="I133" t="str">
            <v>Centro - Refit</v>
          </cell>
        </row>
        <row r="134">
          <cell r="A134" t="str">
            <v>CFVRBK323</v>
          </cell>
          <cell r="B134">
            <v>133</v>
          </cell>
          <cell r="C134" t="str">
            <v xml:space="preserve"> MP-SM-IND-916</v>
          </cell>
          <cell r="D134" t="str">
            <v>T2XF</v>
          </cell>
          <cell r="E134" t="str">
            <v>QI3L</v>
          </cell>
          <cell r="F134" t="str">
            <v>CENFEQI3L00</v>
          </cell>
          <cell r="G134" t="str">
            <v>B. Fashion &amp; Lifestyle</v>
          </cell>
          <cell r="H134" t="str">
            <v>Trends &amp; Allied Formats (Part B)</v>
          </cell>
          <cell r="I134" t="str">
            <v>Centro Footwear (V Retail)</v>
          </cell>
        </row>
        <row r="135">
          <cell r="A135" t="str">
            <v>CFVRSD4737</v>
          </cell>
          <cell r="B135">
            <v>134</v>
          </cell>
          <cell r="C135"/>
          <cell r="D135" t="str">
            <v>T2XE</v>
          </cell>
          <cell r="E135" t="str">
            <v>QI3K</v>
          </cell>
          <cell r="F135" t="str">
            <v>CENFNQI3K00</v>
          </cell>
          <cell r="G135" t="str">
            <v>B. Fashion &amp; Lifestyle</v>
          </cell>
          <cell r="H135" t="str">
            <v>Trends &amp; Allied Formats (Part B)</v>
          </cell>
          <cell r="I135" t="str">
            <v>Centro Footwear (V Retail)</v>
          </cell>
        </row>
        <row r="136">
          <cell r="A136" t="str">
            <v>CFVRJD4830</v>
          </cell>
          <cell r="B136">
            <v>135</v>
          </cell>
          <cell r="C136"/>
          <cell r="D136" t="str">
            <v>T2ED</v>
          </cell>
          <cell r="E136" t="str">
            <v>Q5MP</v>
          </cell>
          <cell r="F136" t="str">
            <v>CENFAQ5MP00</v>
          </cell>
          <cell r="G136" t="str">
            <v>B. Fashion &amp; Lifestyle</v>
          </cell>
          <cell r="H136" t="str">
            <v>Trends &amp; Allied Formats (Part B)</v>
          </cell>
          <cell r="I136" t="str">
            <v>Centro Footwear (V Retail)</v>
          </cell>
        </row>
        <row r="137">
          <cell r="A137" t="str">
            <v>CFVRBK10221</v>
          </cell>
          <cell r="B137">
            <v>136</v>
          </cell>
          <cell r="C137"/>
          <cell r="D137"/>
          <cell r="E137"/>
          <cell r="F137"/>
          <cell r="G137" t="str">
            <v>B. Fashion &amp; Lifestyle</v>
          </cell>
          <cell r="H137" t="str">
            <v>Trends &amp; Allied Formats (Part B)</v>
          </cell>
          <cell r="I137" t="str">
            <v>Centro Footwear (V Retail)</v>
          </cell>
        </row>
        <row r="138">
          <cell r="A138" t="str">
            <v>CFVRSD10222</v>
          </cell>
          <cell r="B138">
            <v>137</v>
          </cell>
          <cell r="C138"/>
          <cell r="D138"/>
          <cell r="E138"/>
          <cell r="F138"/>
          <cell r="G138" t="str">
            <v>B. Fashion &amp; Lifestyle</v>
          </cell>
          <cell r="H138" t="str">
            <v>Trends &amp; Allied Formats (Part B)</v>
          </cell>
          <cell r="I138" t="str">
            <v>Centro Footwear (V Retail)</v>
          </cell>
        </row>
        <row r="139">
          <cell r="A139" t="str">
            <v>CFVRAS10299</v>
          </cell>
          <cell r="B139">
            <v>138</v>
          </cell>
          <cell r="C139"/>
          <cell r="D139"/>
          <cell r="E139"/>
          <cell r="F139"/>
          <cell r="G139" t="str">
            <v>B. Fashion &amp; Lifestyle</v>
          </cell>
          <cell r="H139" t="str">
            <v>Trends &amp; Allied Formats (Part B)</v>
          </cell>
          <cell r="I139" t="str">
            <v>Centro Footwear (V Retail)</v>
          </cell>
        </row>
        <row r="140">
          <cell r="A140" t="str">
            <v>CFVRAS10393</v>
          </cell>
          <cell r="B140">
            <v>139</v>
          </cell>
          <cell r="C140"/>
          <cell r="D140"/>
          <cell r="E140"/>
          <cell r="F140"/>
          <cell r="G140" t="str">
            <v>B. Fashion &amp; Lifestyle</v>
          </cell>
          <cell r="H140" t="str">
            <v>Trends &amp; Allied Formats (Part B)</v>
          </cell>
          <cell r="I140" t="str">
            <v>Centro Footwear (V Retail)</v>
          </cell>
        </row>
        <row r="141">
          <cell r="A141" t="str">
            <v>CVRFAS3675</v>
          </cell>
          <cell r="B141">
            <v>140</v>
          </cell>
          <cell r="C141" t="str">
            <v>KR-SM-BAN-1058</v>
          </cell>
          <cell r="D141" t="str">
            <v>T9KO</v>
          </cell>
          <cell r="E141" t="str">
            <v>QXFQ</v>
          </cell>
          <cell r="F141" t="str">
            <v>CENFKQXFQ00</v>
          </cell>
          <cell r="G141" t="str">
            <v>B. Fashion &amp; Lifestyle</v>
          </cell>
          <cell r="H141" t="str">
            <v>Trends &amp; Allied Formats (Part B)</v>
          </cell>
          <cell r="I141" t="str">
            <v>Centro Footwear (V Retail) - POS Migration</v>
          </cell>
        </row>
        <row r="142">
          <cell r="A142" t="str">
            <v>CFSBAS3732</v>
          </cell>
          <cell r="B142">
            <v>141</v>
          </cell>
          <cell r="C142"/>
          <cell r="D142" t="str">
            <v>FR49</v>
          </cell>
          <cell r="E142" t="str">
            <v>Q4MT</v>
          </cell>
          <cell r="F142" t="str">
            <v>CENFKQ4MT04</v>
          </cell>
          <cell r="G142" t="str">
            <v>B. Fashion &amp; Lifestyle</v>
          </cell>
          <cell r="H142" t="str">
            <v>Trends &amp; Allied Formats (Part B)</v>
          </cell>
          <cell r="I142" t="str">
            <v>Centro Footwear (V Retail) in Smart Bazar</v>
          </cell>
        </row>
        <row r="143">
          <cell r="A143" t="str">
            <v>CFSBAS3734</v>
          </cell>
          <cell r="B143">
            <v>142</v>
          </cell>
          <cell r="C143"/>
          <cell r="D143" t="str">
            <v>FR46</v>
          </cell>
          <cell r="E143" t="str">
            <v>Q4MQ</v>
          </cell>
          <cell r="F143" t="str">
            <v>CENFKQ4MQ03</v>
          </cell>
          <cell r="G143" t="str">
            <v>B. Fashion &amp; Lifestyle</v>
          </cell>
          <cell r="H143" t="str">
            <v>Trends &amp; Allied Formats (Part B)</v>
          </cell>
          <cell r="I143" t="str">
            <v>Centro Footwear (V Retail) in Smart Bazar</v>
          </cell>
        </row>
        <row r="144">
          <cell r="A144" t="str">
            <v>CFSBAK3735</v>
          </cell>
          <cell r="B144">
            <v>143</v>
          </cell>
          <cell r="C144"/>
          <cell r="D144" t="str">
            <v>FR47</v>
          </cell>
          <cell r="E144" t="str">
            <v>Q4MR</v>
          </cell>
          <cell r="F144" t="str">
            <v>CENFKQ4MR02</v>
          </cell>
          <cell r="G144" t="str">
            <v>B. Fashion &amp; Lifestyle</v>
          </cell>
          <cell r="H144" t="str">
            <v>Trends &amp; Allied Formats (Part B)</v>
          </cell>
          <cell r="I144" t="str">
            <v>Centro Footwear (V Retail) in Smart Bazar</v>
          </cell>
        </row>
        <row r="145">
          <cell r="A145" t="str">
            <v>CFSBAS3739</v>
          </cell>
          <cell r="B145">
            <v>144</v>
          </cell>
          <cell r="C145"/>
          <cell r="D145" t="str">
            <v>FR80</v>
          </cell>
          <cell r="E145" t="str">
            <v>Q4RW</v>
          </cell>
          <cell r="F145" t="str">
            <v>CENFTQ4RW04</v>
          </cell>
          <cell r="G145" t="str">
            <v>B. Fashion &amp; Lifestyle</v>
          </cell>
          <cell r="H145" t="str">
            <v>Trends &amp; Allied Formats (Part B)</v>
          </cell>
          <cell r="I145" t="str">
            <v>Centro Footwear (V Retail) in Smart Bazar</v>
          </cell>
        </row>
        <row r="146">
          <cell r="A146" t="str">
            <v>CFSBAS3740</v>
          </cell>
          <cell r="B146">
            <v>145</v>
          </cell>
          <cell r="C146"/>
          <cell r="D146" t="str">
            <v>FR43</v>
          </cell>
          <cell r="E146" t="str">
            <v>Q4MN</v>
          </cell>
          <cell r="F146" t="str">
            <v>CENFKQ4MN02</v>
          </cell>
          <cell r="G146" t="str">
            <v>B. Fashion &amp; Lifestyle</v>
          </cell>
          <cell r="H146" t="str">
            <v>Trends &amp; Allied Formats (Part B)</v>
          </cell>
          <cell r="I146" t="str">
            <v>Centro Footwear (V Retail) in Smart Bazar</v>
          </cell>
        </row>
        <row r="147">
          <cell r="A147" t="str">
            <v>CFSBAS3741</v>
          </cell>
          <cell r="B147">
            <v>146</v>
          </cell>
          <cell r="C147"/>
          <cell r="D147" t="str">
            <v>FR97</v>
          </cell>
          <cell r="E147" t="str">
            <v>Q4TH</v>
          </cell>
          <cell r="F147" t="str">
            <v>CENFVQ4TH03</v>
          </cell>
          <cell r="G147" t="str">
            <v>B. Fashion &amp; Lifestyle</v>
          </cell>
          <cell r="H147" t="str">
            <v>Trends &amp; Allied Formats (Part B)</v>
          </cell>
          <cell r="I147" t="str">
            <v>Centro Footwear (V Retail) in Smart Bazar</v>
          </cell>
        </row>
        <row r="148">
          <cell r="A148" t="str">
            <v>CFSBAS3963</v>
          </cell>
          <cell r="B148">
            <v>147</v>
          </cell>
          <cell r="C148"/>
          <cell r="D148" t="str">
            <v>FR48</v>
          </cell>
          <cell r="E148" t="str">
            <v>Q4MS</v>
          </cell>
          <cell r="F148" t="str">
            <v>CENFKQ4MS03</v>
          </cell>
          <cell r="G148" t="str">
            <v>B. Fashion &amp; Lifestyle</v>
          </cell>
          <cell r="H148" t="str">
            <v>Trends &amp; Allied Formats (Part B)</v>
          </cell>
          <cell r="I148" t="str">
            <v>Centro Footwear (V Retail) in Smart Bazar</v>
          </cell>
        </row>
        <row r="149">
          <cell r="A149" t="str">
            <v>CFSBAS3964</v>
          </cell>
          <cell r="B149">
            <v>148</v>
          </cell>
          <cell r="C149"/>
          <cell r="D149" t="str">
            <v>FR96</v>
          </cell>
          <cell r="E149" t="str">
            <v>Q4TG</v>
          </cell>
          <cell r="F149" t="str">
            <v>CENFVQ4TG03</v>
          </cell>
          <cell r="G149" t="str">
            <v>B. Fashion &amp; Lifestyle</v>
          </cell>
          <cell r="H149" t="str">
            <v>Trends &amp; Allied Formats (Part B)</v>
          </cell>
          <cell r="I149" t="str">
            <v>Centro Footwear (V Retail) in Smart Bazar</v>
          </cell>
        </row>
        <row r="150">
          <cell r="A150" t="str">
            <v>CFSBSD3967</v>
          </cell>
          <cell r="B150">
            <v>149</v>
          </cell>
          <cell r="C150"/>
          <cell r="D150" t="str">
            <v>FRBS</v>
          </cell>
          <cell r="E150" t="str">
            <v>Q4WI</v>
          </cell>
          <cell r="F150" t="str">
            <v>CENFWQ4WI03</v>
          </cell>
          <cell r="G150" t="str">
            <v>B. Fashion &amp; Lifestyle</v>
          </cell>
          <cell r="H150" t="str">
            <v>Trends &amp; Allied Formats (Part B)</v>
          </cell>
          <cell r="I150" t="str">
            <v>Centro Footwear (V Retail) in Smart Bazar</v>
          </cell>
        </row>
        <row r="151">
          <cell r="A151" t="str">
            <v>CFSBAS3988</v>
          </cell>
          <cell r="B151">
            <v>150</v>
          </cell>
          <cell r="C151"/>
          <cell r="D151" t="str">
            <v>FR82</v>
          </cell>
          <cell r="E151" t="str">
            <v>Q4RY</v>
          </cell>
          <cell r="F151" t="str">
            <v>CENFTQ4RY02</v>
          </cell>
          <cell r="G151" t="str">
            <v>B. Fashion &amp; Lifestyle</v>
          </cell>
          <cell r="H151" t="str">
            <v>Trends &amp; Allied Formats (Part B)</v>
          </cell>
          <cell r="I151" t="str">
            <v>Centro Footwear (V Retail) in Smart Bazar</v>
          </cell>
        </row>
        <row r="152">
          <cell r="A152" t="str">
            <v>CFSBSD3989</v>
          </cell>
          <cell r="B152">
            <v>151</v>
          </cell>
          <cell r="C152"/>
          <cell r="D152" t="str">
            <v>FRBN</v>
          </cell>
          <cell r="E152" t="str">
            <v>Q4WD</v>
          </cell>
          <cell r="F152" t="str">
            <v>CENFNQ4WD04</v>
          </cell>
          <cell r="G152" t="str">
            <v>B. Fashion &amp; Lifestyle</v>
          </cell>
          <cell r="H152" t="str">
            <v>Trends &amp; Allied Formats (Part B)</v>
          </cell>
          <cell r="I152" t="str">
            <v>Centro Footwear (V Retail) in Smart Bazar</v>
          </cell>
        </row>
        <row r="153">
          <cell r="A153" t="str">
            <v>CFSBAS3992</v>
          </cell>
          <cell r="B153">
            <v>152</v>
          </cell>
          <cell r="C153"/>
          <cell r="D153" t="str">
            <v>FRHH</v>
          </cell>
          <cell r="E153" t="str">
            <v>Q4K4</v>
          </cell>
          <cell r="F153" t="str">
            <v>CENFKQ4K403</v>
          </cell>
          <cell r="G153" t="str">
            <v>B. Fashion &amp; Lifestyle</v>
          </cell>
          <cell r="H153" t="str">
            <v>Trends &amp; Allied Formats (Part B)</v>
          </cell>
          <cell r="I153" t="str">
            <v>Centro Footwear (V Retail) in Smart Bazar</v>
          </cell>
        </row>
        <row r="154">
          <cell r="A154" t="str">
            <v>CFSBBK4718</v>
          </cell>
          <cell r="B154">
            <v>153</v>
          </cell>
          <cell r="C154"/>
          <cell r="D154" t="str">
            <v>FR16</v>
          </cell>
          <cell r="E154" t="str">
            <v>Q5QP</v>
          </cell>
          <cell r="F154" t="str">
            <v>CENFMQ5QP04</v>
          </cell>
          <cell r="G154" t="str">
            <v>B. Fashion &amp; Lifestyle</v>
          </cell>
          <cell r="H154" t="str">
            <v>Trends &amp; Allied Formats (Part B)</v>
          </cell>
          <cell r="I154" t="str">
            <v>Centro Footwear (V Retail) in Smart Bazar</v>
          </cell>
        </row>
        <row r="155">
          <cell r="A155" t="str">
            <v>CFSBBK4719</v>
          </cell>
          <cell r="B155">
            <v>154</v>
          </cell>
          <cell r="C155"/>
          <cell r="D155" t="str">
            <v>FR17</v>
          </cell>
          <cell r="E155" t="str">
            <v>Q4IP</v>
          </cell>
          <cell r="F155" t="str">
            <v>CENFMQ4IP03</v>
          </cell>
          <cell r="G155" t="str">
            <v>B. Fashion &amp; Lifestyle</v>
          </cell>
          <cell r="H155" t="str">
            <v>Trends &amp; Allied Formats (Part B)</v>
          </cell>
          <cell r="I155" t="str">
            <v>Centro Footwear (V Retail) in Smart Bazar</v>
          </cell>
        </row>
        <row r="156">
          <cell r="A156" t="str">
            <v>CFSBBK4722</v>
          </cell>
          <cell r="B156">
            <v>155</v>
          </cell>
          <cell r="C156"/>
          <cell r="D156" t="str">
            <v>FRAI</v>
          </cell>
          <cell r="E156" t="str">
            <v>Q4UT</v>
          </cell>
          <cell r="F156" t="str">
            <v>CENFMQ4UT03</v>
          </cell>
          <cell r="G156" t="str">
            <v>B. Fashion &amp; Lifestyle</v>
          </cell>
          <cell r="H156" t="str">
            <v>Trends &amp; Allied Formats (Part B)</v>
          </cell>
          <cell r="I156" t="str">
            <v>Centro Footwear (V Retail) in Smart Bazar</v>
          </cell>
        </row>
        <row r="157">
          <cell r="A157" t="str">
            <v>CFSBRT4724</v>
          </cell>
          <cell r="B157">
            <v>156</v>
          </cell>
          <cell r="C157"/>
          <cell r="D157" t="str">
            <v>FRCZ</v>
          </cell>
          <cell r="E157" t="str">
            <v>Q4XY</v>
          </cell>
          <cell r="F157" t="str">
            <v>CENFDQ4XY04</v>
          </cell>
          <cell r="G157" t="str">
            <v>B. Fashion &amp; Lifestyle</v>
          </cell>
          <cell r="H157" t="str">
            <v>Trends &amp; Allied Formats (Part B)</v>
          </cell>
          <cell r="I157" t="str">
            <v>Centro Footwear (V Retail) in Smart Bazar</v>
          </cell>
        </row>
        <row r="158">
          <cell r="A158" t="str">
            <v>CFSBBK4829</v>
          </cell>
          <cell r="B158">
            <v>157</v>
          </cell>
          <cell r="C158"/>
          <cell r="D158" t="str">
            <v>FRDV</v>
          </cell>
          <cell r="E158" t="str">
            <v>Q4ZD</v>
          </cell>
          <cell r="F158" t="str">
            <v>CENFGQ4ZD00</v>
          </cell>
          <cell r="G158" t="str">
            <v>B. Fashion &amp; Lifestyle</v>
          </cell>
          <cell r="H158" t="str">
            <v>Trends &amp; Allied Formats (Part B)</v>
          </cell>
          <cell r="I158" t="str">
            <v>Centro Footwear (V Retail) in Smart Bazar</v>
          </cell>
        </row>
        <row r="159">
          <cell r="A159" t="str">
            <v>CFSBBK4857</v>
          </cell>
          <cell r="B159">
            <v>158</v>
          </cell>
          <cell r="C159"/>
          <cell r="D159" t="str">
            <v>FR14</v>
          </cell>
          <cell r="E159" t="str">
            <v>Q4IM</v>
          </cell>
          <cell r="F159" t="str">
            <v>CENFMQ4IM03</v>
          </cell>
          <cell r="G159" t="str">
            <v>B. Fashion &amp; Lifestyle</v>
          </cell>
          <cell r="H159" t="str">
            <v>Trends &amp; Allied Formats (Part B)</v>
          </cell>
          <cell r="I159" t="str">
            <v>Centro Footwear (V Retail) in Smart Bazar</v>
          </cell>
        </row>
        <row r="160">
          <cell r="A160" t="str">
            <v>CFSBBK10158</v>
          </cell>
          <cell r="B160">
            <v>159</v>
          </cell>
          <cell r="C160"/>
          <cell r="D160"/>
          <cell r="E160"/>
          <cell r="F160"/>
          <cell r="G160" t="str">
            <v>B. Fashion &amp; Lifestyle</v>
          </cell>
          <cell r="H160" t="str">
            <v>Trends &amp; Allied Formats (Part B)</v>
          </cell>
          <cell r="I160" t="str">
            <v>Centro Footwear (V Retail) in Smart Bazar</v>
          </cell>
        </row>
        <row r="161">
          <cell r="A161" t="str">
            <v>CENTAS10754</v>
          </cell>
          <cell r="B161">
            <v>160</v>
          </cell>
          <cell r="C161"/>
          <cell r="D161"/>
          <cell r="E161"/>
          <cell r="F161"/>
          <cell r="G161" t="str">
            <v>B. Fashion &amp; Lifestyle</v>
          </cell>
          <cell r="H161" t="str">
            <v>Trends &amp; Allied Formats (Part A)</v>
          </cell>
          <cell r="I161" t="str">
            <v>Centro NSO</v>
          </cell>
        </row>
        <row r="162">
          <cell r="A162" t="str">
            <v>CENTSD10806</v>
          </cell>
          <cell r="B162">
            <v>161</v>
          </cell>
          <cell r="C162"/>
          <cell r="D162"/>
          <cell r="E162"/>
          <cell r="F162"/>
          <cell r="G162" t="str">
            <v>B. Fashion &amp; Lifestyle</v>
          </cell>
          <cell r="H162" t="str">
            <v>Trends &amp; Allied Formats (Part A)</v>
          </cell>
          <cell r="I162" t="str">
            <v>Centro NSO</v>
          </cell>
        </row>
        <row r="163">
          <cell r="A163" t="str">
            <v>CENTAS11128</v>
          </cell>
          <cell r="B163">
            <v>162</v>
          </cell>
          <cell r="C163"/>
          <cell r="D163"/>
          <cell r="E163"/>
          <cell r="F163"/>
          <cell r="G163" t="str">
            <v>B. Fashion &amp; Lifestyle</v>
          </cell>
          <cell r="H163" t="str">
            <v>Trends &amp; Allied Formats (Part A)</v>
          </cell>
          <cell r="I163" t="str">
            <v>Centro NSO</v>
          </cell>
        </row>
        <row r="164">
          <cell r="A164" t="str">
            <v>CENTBK11230</v>
          </cell>
          <cell r="B164">
            <v>163</v>
          </cell>
          <cell r="C164"/>
          <cell r="D164"/>
          <cell r="E164"/>
          <cell r="F164"/>
          <cell r="G164" t="str">
            <v>B. Fashion &amp; Lifestyle</v>
          </cell>
          <cell r="H164" t="str">
            <v>Trends &amp; Allied Formats (Part A)</v>
          </cell>
          <cell r="I164" t="str">
            <v>Centro NSO</v>
          </cell>
        </row>
        <row r="165">
          <cell r="A165" t="str">
            <v>CLOVSD4576</v>
          </cell>
          <cell r="B165">
            <v>164</v>
          </cell>
          <cell r="C165"/>
          <cell r="D165" t="str">
            <v>T2RQ</v>
          </cell>
          <cell r="E165" t="str">
            <v>QH6Y</v>
          </cell>
          <cell r="F165" t="str">
            <v>CLOVFQH6Y00</v>
          </cell>
          <cell r="G165" t="str">
            <v>B. Fashion &amp; Lifestyle</v>
          </cell>
          <cell r="H165" t="str">
            <v>Other Fashion &amp; Lifestyle Formats</v>
          </cell>
          <cell r="I165" t="str">
            <v>Clovia</v>
          </cell>
        </row>
        <row r="166">
          <cell r="A166" t="str">
            <v>CLOVBK4578</v>
          </cell>
          <cell r="B166">
            <v>165</v>
          </cell>
          <cell r="C166"/>
          <cell r="D166"/>
          <cell r="E166"/>
          <cell r="F166"/>
          <cell r="G166" t="str">
            <v>B. Fashion &amp; Lifestyle</v>
          </cell>
          <cell r="H166" t="str">
            <v>Other Fashion &amp; Lifestyle Formats</v>
          </cell>
          <cell r="I166" t="str">
            <v>Clovia</v>
          </cell>
        </row>
        <row r="167">
          <cell r="A167" t="str">
            <v>CLOVBK10562</v>
          </cell>
          <cell r="B167">
            <v>166</v>
          </cell>
          <cell r="C167"/>
          <cell r="D167"/>
          <cell r="E167"/>
          <cell r="F167"/>
          <cell r="G167" t="str">
            <v>B. Fashion &amp; Lifestyle</v>
          </cell>
          <cell r="H167" t="str">
            <v>Other Fashion &amp; Lifestyle Formats</v>
          </cell>
          <cell r="I167" t="str">
            <v>Clovia</v>
          </cell>
        </row>
        <row r="168">
          <cell r="A168" t="str">
            <v>CLOVSD10563</v>
          </cell>
          <cell r="B168">
            <v>167</v>
          </cell>
          <cell r="C168"/>
          <cell r="D168"/>
          <cell r="E168"/>
          <cell r="F168"/>
          <cell r="G168" t="str">
            <v>B. Fashion &amp; Lifestyle</v>
          </cell>
          <cell r="H168" t="str">
            <v>Other Fashion &amp; Lifestyle Formats</v>
          </cell>
          <cell r="I168" t="str">
            <v>Clovia</v>
          </cell>
        </row>
        <row r="169">
          <cell r="A169" t="str">
            <v>COVESD4438</v>
          </cell>
          <cell r="B169">
            <v>168</v>
          </cell>
          <cell r="C169"/>
          <cell r="D169" t="str">
            <v>T2HE</v>
          </cell>
          <cell r="E169" t="str">
            <v>QD0A</v>
          </cell>
          <cell r="F169" t="str">
            <v>COVRNQD0A00</v>
          </cell>
          <cell r="G169" t="str">
            <v>B. Fashion &amp; Lifestyle</v>
          </cell>
          <cell r="H169" t="str">
            <v>Other Fashion &amp; Lifestyle Formats</v>
          </cell>
          <cell r="I169" t="str">
            <v>Cover Story</v>
          </cell>
        </row>
        <row r="170">
          <cell r="A170" t="str">
            <v>COVERT4875</v>
          </cell>
          <cell r="B170">
            <v>169</v>
          </cell>
          <cell r="C170"/>
          <cell r="D170"/>
          <cell r="E170" t="str">
            <v>QJ3F</v>
          </cell>
          <cell r="F170" t="str">
            <v>COVRRQJ3F00</v>
          </cell>
          <cell r="G170" t="str">
            <v>B. Fashion &amp; Lifestyle</v>
          </cell>
          <cell r="H170" t="str">
            <v>Other Fashion &amp; Lifestyle Formats</v>
          </cell>
          <cell r="I170" t="str">
            <v>Cover Story</v>
          </cell>
        </row>
        <row r="171">
          <cell r="A171" t="str">
            <v>COVERT5159</v>
          </cell>
          <cell r="B171">
            <v>170</v>
          </cell>
          <cell r="C171"/>
          <cell r="D171"/>
          <cell r="E171" t="str">
            <v>QJ6O</v>
          </cell>
          <cell r="F171" t="str">
            <v>COVRDQJ6O00</v>
          </cell>
          <cell r="G171" t="str">
            <v>B. Fashion &amp; Lifestyle</v>
          </cell>
          <cell r="H171" t="str">
            <v>Other Fashion &amp; Lifestyle Formats</v>
          </cell>
          <cell r="I171" t="str">
            <v>Cover Story</v>
          </cell>
        </row>
        <row r="172">
          <cell r="A172" t="str">
            <v>COVERT10569</v>
          </cell>
          <cell r="B172">
            <v>171</v>
          </cell>
          <cell r="C172"/>
          <cell r="D172"/>
          <cell r="E172"/>
          <cell r="F172"/>
          <cell r="G172" t="str">
            <v>B. Fashion &amp; Lifestyle</v>
          </cell>
          <cell r="H172" t="str">
            <v>Other Fashion &amp; Lifestyle Formats</v>
          </cell>
          <cell r="I172" t="str">
            <v>Cover Story</v>
          </cell>
        </row>
        <row r="173">
          <cell r="A173" t="str">
            <v>COVEBK10570</v>
          </cell>
          <cell r="B173">
            <v>172</v>
          </cell>
          <cell r="C173"/>
          <cell r="D173"/>
          <cell r="E173"/>
          <cell r="F173"/>
          <cell r="G173" t="str">
            <v>B. Fashion &amp; Lifestyle</v>
          </cell>
          <cell r="H173" t="str">
            <v>Other Fashion &amp; Lifestyle Formats</v>
          </cell>
          <cell r="I173" t="str">
            <v>Cover Story</v>
          </cell>
        </row>
        <row r="174">
          <cell r="A174" t="str">
            <v>COVERT10572</v>
          </cell>
          <cell r="B174">
            <v>173</v>
          </cell>
          <cell r="C174"/>
          <cell r="D174"/>
          <cell r="E174"/>
          <cell r="F174"/>
          <cell r="G174" t="str">
            <v>B. Fashion &amp; Lifestyle</v>
          </cell>
          <cell r="H174" t="str">
            <v>Other Fashion &amp; Lifestyle Formats</v>
          </cell>
          <cell r="I174" t="str">
            <v>Cover Story</v>
          </cell>
        </row>
        <row r="175">
          <cell r="A175" t="str">
            <v>COVEBK10573</v>
          </cell>
          <cell r="B175">
            <v>174</v>
          </cell>
          <cell r="C175"/>
          <cell r="D175"/>
          <cell r="E175"/>
          <cell r="F175"/>
          <cell r="G175" t="str">
            <v>B. Fashion &amp; Lifestyle</v>
          </cell>
          <cell r="H175" t="str">
            <v>Other Fashion &amp; Lifestyle Formats</v>
          </cell>
          <cell r="I175" t="str">
            <v>Cover Story</v>
          </cell>
        </row>
        <row r="176">
          <cell r="A176" t="str">
            <v>COVERT10605</v>
          </cell>
          <cell r="B176">
            <v>175</v>
          </cell>
          <cell r="C176"/>
          <cell r="D176"/>
          <cell r="E176"/>
          <cell r="F176"/>
          <cell r="G176" t="str">
            <v>B. Fashion &amp; Lifestyle</v>
          </cell>
          <cell r="H176" t="str">
            <v>Other Fashion &amp; Lifestyle Formats</v>
          </cell>
          <cell r="I176" t="str">
            <v>Cover Story</v>
          </cell>
        </row>
        <row r="177">
          <cell r="A177" t="str">
            <v>COVESD10606</v>
          </cell>
          <cell r="B177">
            <v>176</v>
          </cell>
          <cell r="C177"/>
          <cell r="D177"/>
          <cell r="E177"/>
          <cell r="F177"/>
          <cell r="G177" t="str">
            <v>B. Fashion &amp; Lifestyle</v>
          </cell>
          <cell r="H177" t="str">
            <v>Other Fashion &amp; Lifestyle Formats</v>
          </cell>
          <cell r="I177" t="str">
            <v>Cover Story</v>
          </cell>
        </row>
        <row r="178">
          <cell r="A178" t="str">
            <v>COVERT10607</v>
          </cell>
          <cell r="B178">
            <v>177</v>
          </cell>
          <cell r="C178"/>
          <cell r="D178"/>
          <cell r="E178"/>
          <cell r="F178"/>
          <cell r="G178" t="str">
            <v>B. Fashion &amp; Lifestyle</v>
          </cell>
          <cell r="H178" t="str">
            <v>Other Fashion &amp; Lifestyle Formats</v>
          </cell>
          <cell r="I178" t="str">
            <v>Cover Story</v>
          </cell>
        </row>
        <row r="179">
          <cell r="A179" t="str">
            <v>COVEBK10608</v>
          </cell>
          <cell r="B179">
            <v>178</v>
          </cell>
          <cell r="C179"/>
          <cell r="D179"/>
          <cell r="E179"/>
          <cell r="F179"/>
          <cell r="G179" t="str">
            <v>B. Fashion &amp; Lifestyle</v>
          </cell>
          <cell r="H179" t="str">
            <v>Other Fashion &amp; Lifestyle Formats</v>
          </cell>
          <cell r="I179" t="str">
            <v>Cover Story</v>
          </cell>
        </row>
        <row r="180">
          <cell r="A180" t="str">
            <v>ECKSAS10770</v>
          </cell>
          <cell r="B180">
            <v>179</v>
          </cell>
          <cell r="C180"/>
          <cell r="D180"/>
          <cell r="E180"/>
          <cell r="F180"/>
          <cell r="G180" t="str">
            <v>B. Fashion &amp; Lifestyle</v>
          </cell>
          <cell r="H180" t="str">
            <v>Trends &amp; Allied Formats (Part B)</v>
          </cell>
          <cell r="I180" t="str">
            <v>Ecko SIS</v>
          </cell>
        </row>
        <row r="181">
          <cell r="A181" t="str">
            <v>FLDHJD4918</v>
          </cell>
          <cell r="B181">
            <v>180</v>
          </cell>
          <cell r="C181"/>
          <cell r="D181" t="str">
            <v>TLA1</v>
          </cell>
          <cell r="E181" t="str">
            <v>TLA1</v>
          </cell>
          <cell r="F181" t="str">
            <v>DH-TFIT-419-OR-TLA1</v>
          </cell>
          <cell r="G181" t="str">
            <v>B. Fashion &amp; Lifestyle</v>
          </cell>
          <cell r="H181" t="str">
            <v>Trends &amp; Allied Formats (Part B)</v>
          </cell>
          <cell r="I181" t="str">
            <v>F&amp;L - Dehire</v>
          </cell>
        </row>
        <row r="182">
          <cell r="A182" t="str">
            <v>FLDHAS4919</v>
          </cell>
          <cell r="B182">
            <v>181</v>
          </cell>
          <cell r="C182"/>
          <cell r="D182" t="str">
            <v>1980</v>
          </cell>
          <cell r="E182" t="str">
            <v>Dehire Site</v>
          </cell>
          <cell r="F182" t="str">
            <v>DH-TRND-419-TN-1980</v>
          </cell>
          <cell r="G182" t="str">
            <v>B. Fashion &amp; Lifestyle</v>
          </cell>
          <cell r="H182" t="str">
            <v>Trends &amp; Allied Formats (Part B)</v>
          </cell>
          <cell r="I182" t="str">
            <v>F&amp;L - Dehire</v>
          </cell>
        </row>
        <row r="183">
          <cell r="A183" t="str">
            <v>FLDHAS10157</v>
          </cell>
          <cell r="B183">
            <v>182</v>
          </cell>
          <cell r="C183"/>
          <cell r="D183"/>
          <cell r="E183" t="str">
            <v>Dehire Site</v>
          </cell>
          <cell r="F183"/>
          <cell r="G183" t="str">
            <v>B. Fashion &amp; Lifestyle</v>
          </cell>
          <cell r="H183" t="str">
            <v>Trends &amp; Allied Formats (Part B)</v>
          </cell>
          <cell r="I183" t="str">
            <v>F&amp;L - Dehire</v>
          </cell>
        </row>
        <row r="184">
          <cell r="A184" t="str">
            <v>FLDHKC10935</v>
          </cell>
          <cell r="B184">
            <v>183</v>
          </cell>
          <cell r="C184"/>
          <cell r="D184"/>
          <cell r="E184"/>
          <cell r="F184"/>
          <cell r="G184" t="str">
            <v>B. Fashion &amp; Lifestyle</v>
          </cell>
          <cell r="H184" t="str">
            <v>Trends &amp; Allied Formats (Part B)</v>
          </cell>
          <cell r="I184" t="str">
            <v>F&amp;L - Dehire</v>
          </cell>
        </row>
        <row r="185">
          <cell r="A185" t="str">
            <v>FLDHKC10936</v>
          </cell>
          <cell r="B185">
            <v>184</v>
          </cell>
          <cell r="C185"/>
          <cell r="D185"/>
          <cell r="E185"/>
          <cell r="F185"/>
          <cell r="G185" t="str">
            <v>B. Fashion &amp; Lifestyle</v>
          </cell>
          <cell r="H185" t="str">
            <v>Trends &amp; Allied Formats (Part B)</v>
          </cell>
          <cell r="I185" t="str">
            <v>F&amp;L - Dehire</v>
          </cell>
        </row>
        <row r="186">
          <cell r="A186" t="str">
            <v>FLDHKC10937</v>
          </cell>
          <cell r="B186">
            <v>185</v>
          </cell>
          <cell r="C186"/>
          <cell r="D186"/>
          <cell r="E186"/>
          <cell r="F186"/>
          <cell r="G186" t="str">
            <v>B. Fashion &amp; Lifestyle</v>
          </cell>
          <cell r="H186" t="str">
            <v>Trends &amp; Allied Formats (Part B)</v>
          </cell>
          <cell r="I186" t="str">
            <v>F&amp;L - Dehire</v>
          </cell>
        </row>
        <row r="187">
          <cell r="A187" t="str">
            <v>FLDHKC10938</v>
          </cell>
          <cell r="B187">
            <v>186</v>
          </cell>
          <cell r="C187"/>
          <cell r="D187"/>
          <cell r="E187"/>
          <cell r="F187"/>
          <cell r="G187" t="str">
            <v>B. Fashion &amp; Lifestyle</v>
          </cell>
          <cell r="H187" t="str">
            <v>Trends &amp; Allied Formats (Part B)</v>
          </cell>
          <cell r="I187" t="str">
            <v>F&amp;L - Dehire</v>
          </cell>
        </row>
        <row r="188">
          <cell r="A188" t="str">
            <v>FLDHKC10939</v>
          </cell>
          <cell r="B188">
            <v>187</v>
          </cell>
          <cell r="C188"/>
          <cell r="D188"/>
          <cell r="E188"/>
          <cell r="F188"/>
          <cell r="G188" t="str">
            <v>B. Fashion &amp; Lifestyle</v>
          </cell>
          <cell r="H188" t="str">
            <v>Trends &amp; Allied Formats (Part B)</v>
          </cell>
          <cell r="I188" t="str">
            <v>F&amp;L - Dehire</v>
          </cell>
        </row>
        <row r="189">
          <cell r="A189" t="str">
            <v>FLDHKC10940</v>
          </cell>
          <cell r="B189">
            <v>188</v>
          </cell>
          <cell r="C189"/>
          <cell r="D189"/>
          <cell r="E189"/>
          <cell r="F189"/>
          <cell r="G189" t="str">
            <v>B. Fashion &amp; Lifestyle</v>
          </cell>
          <cell r="H189" t="str">
            <v>Trends &amp; Allied Formats (Part B)</v>
          </cell>
          <cell r="I189" t="str">
            <v>F&amp;L - Dehire</v>
          </cell>
        </row>
        <row r="190">
          <cell r="A190" t="str">
            <v>FLDHKC10941</v>
          </cell>
          <cell r="B190">
            <v>189</v>
          </cell>
          <cell r="C190"/>
          <cell r="D190"/>
          <cell r="E190"/>
          <cell r="F190"/>
          <cell r="G190" t="str">
            <v>B. Fashion &amp; Lifestyle</v>
          </cell>
          <cell r="H190" t="str">
            <v>Trends &amp; Allied Formats (Part B)</v>
          </cell>
          <cell r="I190" t="str">
            <v>F&amp;L - Dehire</v>
          </cell>
        </row>
        <row r="191">
          <cell r="A191" t="str">
            <v>FLDHKC10942</v>
          </cell>
          <cell r="B191">
            <v>190</v>
          </cell>
          <cell r="C191"/>
          <cell r="D191"/>
          <cell r="E191"/>
          <cell r="F191"/>
          <cell r="G191" t="str">
            <v>B. Fashion &amp; Lifestyle</v>
          </cell>
          <cell r="H191" t="str">
            <v>Trends &amp; Allied Formats (Part B)</v>
          </cell>
          <cell r="I191" t="str">
            <v>F&amp;L - Dehire</v>
          </cell>
        </row>
        <row r="192">
          <cell r="A192" t="str">
            <v>FLDHKC10943</v>
          </cell>
          <cell r="B192">
            <v>191</v>
          </cell>
          <cell r="C192"/>
          <cell r="D192"/>
          <cell r="E192"/>
          <cell r="F192"/>
          <cell r="G192" t="str">
            <v>B. Fashion &amp; Lifestyle</v>
          </cell>
          <cell r="H192" t="str">
            <v>Trends &amp; Allied Formats (Part B)</v>
          </cell>
          <cell r="I192" t="str">
            <v>F&amp;L - Dehire</v>
          </cell>
        </row>
        <row r="193">
          <cell r="A193" t="str">
            <v>FLDHKC10944</v>
          </cell>
          <cell r="B193">
            <v>192</v>
          </cell>
          <cell r="C193"/>
          <cell r="D193"/>
          <cell r="E193"/>
          <cell r="F193"/>
          <cell r="G193" t="str">
            <v>B. Fashion &amp; Lifestyle</v>
          </cell>
          <cell r="H193" t="str">
            <v>Trends &amp; Allied Formats (Part B)</v>
          </cell>
          <cell r="I193" t="str">
            <v>F&amp;L - Dehire</v>
          </cell>
        </row>
        <row r="194">
          <cell r="A194" t="str">
            <v>FLDHKC10945</v>
          </cell>
          <cell r="B194">
            <v>193</v>
          </cell>
          <cell r="C194"/>
          <cell r="D194"/>
          <cell r="E194"/>
          <cell r="F194"/>
          <cell r="G194" t="str">
            <v>B. Fashion &amp; Lifestyle</v>
          </cell>
          <cell r="H194" t="str">
            <v>Trends &amp; Allied Formats (Part B)</v>
          </cell>
          <cell r="I194" t="str">
            <v>F&amp;L - Dehire</v>
          </cell>
        </row>
        <row r="195">
          <cell r="A195" t="str">
            <v>FLDHKC10946</v>
          </cell>
          <cell r="B195">
            <v>194</v>
          </cell>
          <cell r="C195"/>
          <cell r="D195"/>
          <cell r="E195"/>
          <cell r="F195"/>
          <cell r="G195" t="str">
            <v>B. Fashion &amp; Lifestyle</v>
          </cell>
          <cell r="H195" t="str">
            <v>Trends &amp; Allied Formats (Part B)</v>
          </cell>
          <cell r="I195" t="str">
            <v>F&amp;L - Dehire</v>
          </cell>
        </row>
        <row r="196">
          <cell r="A196" t="str">
            <v>FLDHKC10947</v>
          </cell>
          <cell r="B196">
            <v>195</v>
          </cell>
          <cell r="C196"/>
          <cell r="D196"/>
          <cell r="E196"/>
          <cell r="F196"/>
          <cell r="G196" t="str">
            <v>B. Fashion &amp; Lifestyle</v>
          </cell>
          <cell r="H196" t="str">
            <v>Trends &amp; Allied Formats (Part B)</v>
          </cell>
          <cell r="I196" t="str">
            <v>F&amp;L - Dehire</v>
          </cell>
        </row>
        <row r="197">
          <cell r="A197" t="str">
            <v>FLDHKC10948</v>
          </cell>
          <cell r="B197">
            <v>196</v>
          </cell>
          <cell r="C197"/>
          <cell r="D197"/>
          <cell r="E197"/>
          <cell r="F197"/>
          <cell r="G197" t="str">
            <v>B. Fashion &amp; Lifestyle</v>
          </cell>
          <cell r="H197" t="str">
            <v>Trends &amp; Allied Formats (Part B)</v>
          </cell>
          <cell r="I197" t="str">
            <v>F&amp;L - Dehire</v>
          </cell>
        </row>
        <row r="198">
          <cell r="A198" t="str">
            <v>FLDHKC10949</v>
          </cell>
          <cell r="B198">
            <v>197</v>
          </cell>
          <cell r="C198"/>
          <cell r="D198"/>
          <cell r="E198"/>
          <cell r="F198"/>
          <cell r="G198" t="str">
            <v>B. Fashion &amp; Lifestyle</v>
          </cell>
          <cell r="H198" t="str">
            <v>Trends &amp; Allied Formats (Part B)</v>
          </cell>
          <cell r="I198" t="str">
            <v>F&amp;L - Dehire</v>
          </cell>
        </row>
        <row r="199">
          <cell r="A199" t="str">
            <v>FLDHKC10950</v>
          </cell>
          <cell r="B199">
            <v>198</v>
          </cell>
          <cell r="C199"/>
          <cell r="D199"/>
          <cell r="E199"/>
          <cell r="F199"/>
          <cell r="G199" t="str">
            <v>B. Fashion &amp; Lifestyle</v>
          </cell>
          <cell r="H199" t="str">
            <v>Trends &amp; Allied Formats (Part B)</v>
          </cell>
          <cell r="I199" t="str">
            <v>F&amp;L - Dehire</v>
          </cell>
        </row>
        <row r="200">
          <cell r="A200" t="str">
            <v>FLDHKC10951</v>
          </cell>
          <cell r="B200">
            <v>199</v>
          </cell>
          <cell r="C200"/>
          <cell r="D200"/>
          <cell r="E200"/>
          <cell r="F200"/>
          <cell r="G200" t="str">
            <v>B. Fashion &amp; Lifestyle</v>
          </cell>
          <cell r="H200" t="str">
            <v>Trends &amp; Allied Formats (Part B)</v>
          </cell>
          <cell r="I200" t="str">
            <v>F&amp;L - Dehire</v>
          </cell>
        </row>
        <row r="201">
          <cell r="A201" t="str">
            <v>FLDHKC10952</v>
          </cell>
          <cell r="B201">
            <v>200</v>
          </cell>
          <cell r="C201"/>
          <cell r="D201"/>
          <cell r="E201"/>
          <cell r="F201"/>
          <cell r="G201" t="str">
            <v>B. Fashion &amp; Lifestyle</v>
          </cell>
          <cell r="H201" t="str">
            <v>Trends &amp; Allied Formats (Part B)</v>
          </cell>
          <cell r="I201" t="str">
            <v>F&amp;L - Dehire</v>
          </cell>
        </row>
        <row r="202">
          <cell r="A202" t="str">
            <v>FLDHKC10953</v>
          </cell>
          <cell r="B202">
            <v>201</v>
          </cell>
          <cell r="C202"/>
          <cell r="D202"/>
          <cell r="E202"/>
          <cell r="F202"/>
          <cell r="G202" t="str">
            <v>B. Fashion &amp; Lifestyle</v>
          </cell>
          <cell r="H202" t="str">
            <v>Trends &amp; Allied Formats (Part B)</v>
          </cell>
          <cell r="I202" t="str">
            <v>F&amp;L - Dehire</v>
          </cell>
        </row>
        <row r="203">
          <cell r="A203" t="str">
            <v>FLDHKC10954</v>
          </cell>
          <cell r="B203">
            <v>202</v>
          </cell>
          <cell r="C203"/>
          <cell r="D203"/>
          <cell r="E203"/>
          <cell r="F203"/>
          <cell r="G203" t="str">
            <v>B. Fashion &amp; Lifestyle</v>
          </cell>
          <cell r="H203" t="str">
            <v>Trends &amp; Allied Formats (Part B)</v>
          </cell>
          <cell r="I203" t="str">
            <v>F&amp;L - Dehire</v>
          </cell>
        </row>
        <row r="204">
          <cell r="A204" t="str">
            <v>FLDHKC10955</v>
          </cell>
          <cell r="B204">
            <v>203</v>
          </cell>
          <cell r="C204"/>
          <cell r="D204"/>
          <cell r="E204"/>
          <cell r="F204"/>
          <cell r="G204" t="str">
            <v>B. Fashion &amp; Lifestyle</v>
          </cell>
          <cell r="H204" t="str">
            <v>Trends &amp; Allied Formats (Part B)</v>
          </cell>
          <cell r="I204" t="str">
            <v>F&amp;L - Dehire</v>
          </cell>
        </row>
        <row r="205">
          <cell r="A205" t="str">
            <v>FLDHKC10956</v>
          </cell>
          <cell r="B205">
            <v>204</v>
          </cell>
          <cell r="C205"/>
          <cell r="D205"/>
          <cell r="E205"/>
          <cell r="F205"/>
          <cell r="G205" t="str">
            <v>B. Fashion &amp; Lifestyle</v>
          </cell>
          <cell r="H205" t="str">
            <v>Trends &amp; Allied Formats (Part B)</v>
          </cell>
          <cell r="I205" t="str">
            <v>F&amp;L - Dehire</v>
          </cell>
        </row>
        <row r="206">
          <cell r="A206" t="str">
            <v>FLDHKC10957</v>
          </cell>
          <cell r="B206">
            <v>205</v>
          </cell>
          <cell r="C206"/>
          <cell r="D206"/>
          <cell r="E206"/>
          <cell r="F206"/>
          <cell r="G206" t="str">
            <v>B. Fashion &amp; Lifestyle</v>
          </cell>
          <cell r="H206" t="str">
            <v>Trends &amp; Allied Formats (Part B)</v>
          </cell>
          <cell r="I206" t="str">
            <v>F&amp;L - Dehire</v>
          </cell>
        </row>
        <row r="207">
          <cell r="A207" t="str">
            <v>FLDHKC10958</v>
          </cell>
          <cell r="B207">
            <v>206</v>
          </cell>
          <cell r="C207"/>
          <cell r="D207"/>
          <cell r="E207"/>
          <cell r="F207"/>
          <cell r="G207" t="str">
            <v>B. Fashion &amp; Lifestyle</v>
          </cell>
          <cell r="H207" t="str">
            <v>Trends &amp; Allied Formats (Part B)</v>
          </cell>
          <cell r="I207" t="str">
            <v>F&amp;L - Dehire</v>
          </cell>
        </row>
        <row r="208">
          <cell r="A208" t="str">
            <v>FLDHKC10959</v>
          </cell>
          <cell r="B208">
            <v>207</v>
          </cell>
          <cell r="C208"/>
          <cell r="D208"/>
          <cell r="E208"/>
          <cell r="F208"/>
          <cell r="G208" t="str">
            <v>B. Fashion &amp; Lifestyle</v>
          </cell>
          <cell r="H208" t="str">
            <v>Trends &amp; Allied Formats (Part B)</v>
          </cell>
          <cell r="I208" t="str">
            <v>F&amp;L - Dehire</v>
          </cell>
        </row>
        <row r="209">
          <cell r="A209" t="str">
            <v>FLDHKC10960</v>
          </cell>
          <cell r="B209">
            <v>208</v>
          </cell>
          <cell r="C209"/>
          <cell r="D209"/>
          <cell r="E209"/>
          <cell r="F209"/>
          <cell r="G209" t="str">
            <v>B. Fashion &amp; Lifestyle</v>
          </cell>
          <cell r="H209" t="str">
            <v>Trends &amp; Allied Formats (Part B)</v>
          </cell>
          <cell r="I209" t="str">
            <v>F&amp;L - Dehire</v>
          </cell>
        </row>
        <row r="210">
          <cell r="A210" t="str">
            <v>FLDHKC10961</v>
          </cell>
          <cell r="B210">
            <v>209</v>
          </cell>
          <cell r="C210"/>
          <cell r="D210"/>
          <cell r="E210"/>
          <cell r="F210"/>
          <cell r="G210" t="str">
            <v>B. Fashion &amp; Lifestyle</v>
          </cell>
          <cell r="H210" t="str">
            <v>Trends &amp; Allied Formats (Part B)</v>
          </cell>
          <cell r="I210" t="str">
            <v>F&amp;L - Dehire</v>
          </cell>
        </row>
        <row r="211">
          <cell r="A211" t="str">
            <v>FLDHKC10962</v>
          </cell>
          <cell r="B211">
            <v>210</v>
          </cell>
          <cell r="C211"/>
          <cell r="D211"/>
          <cell r="E211"/>
          <cell r="F211"/>
          <cell r="G211" t="str">
            <v>B. Fashion &amp; Lifestyle</v>
          </cell>
          <cell r="H211" t="str">
            <v>Trends &amp; Allied Formats (Part B)</v>
          </cell>
          <cell r="I211" t="str">
            <v>F&amp;L - Dehire</v>
          </cell>
        </row>
        <row r="212">
          <cell r="A212" t="str">
            <v>FLDHKC10963</v>
          </cell>
          <cell r="B212">
            <v>211</v>
          </cell>
          <cell r="C212"/>
          <cell r="D212"/>
          <cell r="E212"/>
          <cell r="F212"/>
          <cell r="G212" t="str">
            <v>B. Fashion &amp; Lifestyle</v>
          </cell>
          <cell r="H212" t="str">
            <v>Trends &amp; Allied Formats (Part B)</v>
          </cell>
          <cell r="I212" t="str">
            <v>F&amp;L - Dehire</v>
          </cell>
        </row>
        <row r="213">
          <cell r="A213" t="str">
            <v>FLDHKC10964</v>
          </cell>
          <cell r="B213">
            <v>212</v>
          </cell>
          <cell r="C213"/>
          <cell r="D213"/>
          <cell r="E213"/>
          <cell r="F213"/>
          <cell r="G213" t="str">
            <v>B. Fashion &amp; Lifestyle</v>
          </cell>
          <cell r="H213" t="str">
            <v>Trends &amp; Allied Formats (Part B)</v>
          </cell>
          <cell r="I213" t="str">
            <v>F&amp;L - Dehire</v>
          </cell>
        </row>
        <row r="214">
          <cell r="A214" t="str">
            <v>FLDHKC10965</v>
          </cell>
          <cell r="B214">
            <v>213</v>
          </cell>
          <cell r="C214"/>
          <cell r="D214"/>
          <cell r="E214"/>
          <cell r="F214"/>
          <cell r="G214" t="str">
            <v>B. Fashion &amp; Lifestyle</v>
          </cell>
          <cell r="H214" t="str">
            <v>Trends &amp; Allied Formats (Part B)</v>
          </cell>
          <cell r="I214" t="str">
            <v>F&amp;L - Dehire</v>
          </cell>
        </row>
        <row r="215">
          <cell r="A215" t="str">
            <v>FLDHKC10966</v>
          </cell>
          <cell r="B215">
            <v>214</v>
          </cell>
          <cell r="C215"/>
          <cell r="D215"/>
          <cell r="E215"/>
          <cell r="F215"/>
          <cell r="G215" t="str">
            <v>B. Fashion &amp; Lifestyle</v>
          </cell>
          <cell r="H215" t="str">
            <v>Trends &amp; Allied Formats (Part B)</v>
          </cell>
          <cell r="I215" t="str">
            <v>F&amp;L - Dehire</v>
          </cell>
        </row>
        <row r="216">
          <cell r="A216" t="str">
            <v>FLDHKC10967</v>
          </cell>
          <cell r="B216">
            <v>215</v>
          </cell>
          <cell r="C216"/>
          <cell r="D216"/>
          <cell r="E216"/>
          <cell r="F216"/>
          <cell r="G216" t="str">
            <v>B. Fashion &amp; Lifestyle</v>
          </cell>
          <cell r="H216" t="str">
            <v>Trends &amp; Allied Formats (Part B)</v>
          </cell>
          <cell r="I216" t="str">
            <v>F&amp;L - Dehire</v>
          </cell>
        </row>
        <row r="217">
          <cell r="A217" t="str">
            <v>FLDHKC10968</v>
          </cell>
          <cell r="B217">
            <v>216</v>
          </cell>
          <cell r="C217"/>
          <cell r="D217"/>
          <cell r="E217"/>
          <cell r="F217"/>
          <cell r="G217" t="str">
            <v>B. Fashion &amp; Lifestyle</v>
          </cell>
          <cell r="H217" t="str">
            <v>Trends &amp; Allied Formats (Part B)</v>
          </cell>
          <cell r="I217" t="str">
            <v>F&amp;L - Dehire</v>
          </cell>
        </row>
        <row r="218">
          <cell r="A218" t="str">
            <v>FLDHKC10969</v>
          </cell>
          <cell r="B218">
            <v>217</v>
          </cell>
          <cell r="C218"/>
          <cell r="D218"/>
          <cell r="E218"/>
          <cell r="F218"/>
          <cell r="G218" t="str">
            <v>B. Fashion &amp; Lifestyle</v>
          </cell>
          <cell r="H218" t="str">
            <v>Trends &amp; Allied Formats (Part B)</v>
          </cell>
          <cell r="I218" t="str">
            <v>F&amp;L - Dehire</v>
          </cell>
        </row>
        <row r="219">
          <cell r="A219" t="str">
            <v>FLDHKC10970</v>
          </cell>
          <cell r="B219">
            <v>218</v>
          </cell>
          <cell r="C219"/>
          <cell r="D219"/>
          <cell r="E219"/>
          <cell r="F219"/>
          <cell r="G219" t="str">
            <v>B. Fashion &amp; Lifestyle</v>
          </cell>
          <cell r="H219" t="str">
            <v>Trends &amp; Allied Formats (Part B)</v>
          </cell>
          <cell r="I219" t="str">
            <v>F&amp;L - Dehire</v>
          </cell>
        </row>
        <row r="220">
          <cell r="A220" t="str">
            <v>FLDHKC10971</v>
          </cell>
          <cell r="B220">
            <v>219</v>
          </cell>
          <cell r="C220"/>
          <cell r="D220"/>
          <cell r="E220"/>
          <cell r="F220"/>
          <cell r="G220" t="str">
            <v>B. Fashion &amp; Lifestyle</v>
          </cell>
          <cell r="H220" t="str">
            <v>Trends &amp; Allied Formats (Part B)</v>
          </cell>
          <cell r="I220" t="str">
            <v>F&amp;L - Dehire</v>
          </cell>
        </row>
        <row r="221">
          <cell r="A221" t="str">
            <v>FLDHKC10972</v>
          </cell>
          <cell r="B221">
            <v>220</v>
          </cell>
          <cell r="C221"/>
          <cell r="D221"/>
          <cell r="E221"/>
          <cell r="F221"/>
          <cell r="G221" t="str">
            <v>B. Fashion &amp; Lifestyle</v>
          </cell>
          <cell r="H221" t="str">
            <v>Trends &amp; Allied Formats (Part B)</v>
          </cell>
          <cell r="I221" t="str">
            <v>F&amp;L - Dehire</v>
          </cell>
        </row>
        <row r="222">
          <cell r="A222" t="str">
            <v>FLDHKC10973</v>
          </cell>
          <cell r="B222">
            <v>221</v>
          </cell>
          <cell r="C222"/>
          <cell r="D222"/>
          <cell r="E222"/>
          <cell r="F222"/>
          <cell r="G222" t="str">
            <v>B. Fashion &amp; Lifestyle</v>
          </cell>
          <cell r="H222" t="str">
            <v>Trends &amp; Allied Formats (Part B)</v>
          </cell>
          <cell r="I222" t="str">
            <v>F&amp;L - Dehire</v>
          </cell>
        </row>
        <row r="223">
          <cell r="A223" t="str">
            <v>FLDHKC10974</v>
          </cell>
          <cell r="B223">
            <v>222</v>
          </cell>
          <cell r="C223"/>
          <cell r="D223"/>
          <cell r="E223"/>
          <cell r="F223"/>
          <cell r="G223" t="str">
            <v>B. Fashion &amp; Lifestyle</v>
          </cell>
          <cell r="H223" t="str">
            <v>Trends &amp; Allied Formats (Part B)</v>
          </cell>
          <cell r="I223" t="str">
            <v>F&amp;L - Dehire</v>
          </cell>
        </row>
        <row r="224">
          <cell r="A224" t="str">
            <v>FLDHKC10975</v>
          </cell>
          <cell r="B224">
            <v>223</v>
          </cell>
          <cell r="C224"/>
          <cell r="D224"/>
          <cell r="E224"/>
          <cell r="F224"/>
          <cell r="G224" t="str">
            <v>B. Fashion &amp; Lifestyle</v>
          </cell>
          <cell r="H224" t="str">
            <v>Trends &amp; Allied Formats (Part B)</v>
          </cell>
          <cell r="I224" t="str">
            <v>F&amp;L - Dehire</v>
          </cell>
        </row>
        <row r="225">
          <cell r="A225" t="str">
            <v>FLDHKC10976</v>
          </cell>
          <cell r="B225">
            <v>224</v>
          </cell>
          <cell r="C225"/>
          <cell r="D225"/>
          <cell r="E225"/>
          <cell r="F225"/>
          <cell r="G225" t="str">
            <v>B. Fashion &amp; Lifestyle</v>
          </cell>
          <cell r="H225" t="str">
            <v>Trends &amp; Allied Formats (Part B)</v>
          </cell>
          <cell r="I225" t="str">
            <v>F&amp;L - Dehire</v>
          </cell>
        </row>
        <row r="226">
          <cell r="A226" t="str">
            <v>FLDHKC10977</v>
          </cell>
          <cell r="B226">
            <v>225</v>
          </cell>
          <cell r="C226"/>
          <cell r="D226"/>
          <cell r="E226"/>
          <cell r="F226"/>
          <cell r="G226" t="str">
            <v>B. Fashion &amp; Lifestyle</v>
          </cell>
          <cell r="H226" t="str">
            <v>Trends &amp; Allied Formats (Part B)</v>
          </cell>
          <cell r="I226" t="str">
            <v>F&amp;L - Dehire</v>
          </cell>
        </row>
        <row r="227">
          <cell r="A227" t="str">
            <v>FLDHKC10978</v>
          </cell>
          <cell r="B227">
            <v>226</v>
          </cell>
          <cell r="C227"/>
          <cell r="D227"/>
          <cell r="E227"/>
          <cell r="F227"/>
          <cell r="G227" t="str">
            <v>B. Fashion &amp; Lifestyle</v>
          </cell>
          <cell r="H227" t="str">
            <v>Trends &amp; Allied Formats (Part B)</v>
          </cell>
          <cell r="I227" t="str">
            <v>F&amp;L - Dehire</v>
          </cell>
        </row>
        <row r="228">
          <cell r="A228" t="str">
            <v>FLDHKC10979</v>
          </cell>
          <cell r="B228">
            <v>227</v>
          </cell>
          <cell r="C228"/>
          <cell r="D228"/>
          <cell r="E228"/>
          <cell r="F228"/>
          <cell r="G228" t="str">
            <v>B. Fashion &amp; Lifestyle</v>
          </cell>
          <cell r="H228" t="str">
            <v>Trends &amp; Allied Formats (Part B)</v>
          </cell>
          <cell r="I228" t="str">
            <v>F&amp;L - Dehire</v>
          </cell>
        </row>
        <row r="229">
          <cell r="A229" t="str">
            <v>FLDHKC10980</v>
          </cell>
          <cell r="B229">
            <v>228</v>
          </cell>
          <cell r="C229"/>
          <cell r="D229"/>
          <cell r="E229"/>
          <cell r="F229"/>
          <cell r="G229" t="str">
            <v>B. Fashion &amp; Lifestyle</v>
          </cell>
          <cell r="H229" t="str">
            <v>Trends &amp; Allied Formats (Part B)</v>
          </cell>
          <cell r="I229" t="str">
            <v>F&amp;L - Dehire</v>
          </cell>
        </row>
        <row r="230">
          <cell r="A230" t="str">
            <v>FLDHKC10981</v>
          </cell>
          <cell r="B230">
            <v>229</v>
          </cell>
          <cell r="C230"/>
          <cell r="D230"/>
          <cell r="E230"/>
          <cell r="F230"/>
          <cell r="G230" t="str">
            <v>B. Fashion &amp; Lifestyle</v>
          </cell>
          <cell r="H230" t="str">
            <v>Trends &amp; Allied Formats (Part B)</v>
          </cell>
          <cell r="I230" t="str">
            <v>F&amp;L - Dehire</v>
          </cell>
        </row>
        <row r="231">
          <cell r="A231" t="str">
            <v>FLDHKC10982</v>
          </cell>
          <cell r="B231">
            <v>230</v>
          </cell>
          <cell r="C231"/>
          <cell r="D231"/>
          <cell r="E231"/>
          <cell r="F231"/>
          <cell r="G231" t="str">
            <v>B. Fashion &amp; Lifestyle</v>
          </cell>
          <cell r="H231" t="str">
            <v>Trends &amp; Allied Formats (Part B)</v>
          </cell>
          <cell r="I231" t="str">
            <v>F&amp;L - Dehire</v>
          </cell>
        </row>
        <row r="232">
          <cell r="A232" t="str">
            <v>FLDHKC10983</v>
          </cell>
          <cell r="B232">
            <v>231</v>
          </cell>
          <cell r="C232"/>
          <cell r="D232"/>
          <cell r="E232"/>
          <cell r="F232"/>
          <cell r="G232" t="str">
            <v>B. Fashion &amp; Lifestyle</v>
          </cell>
          <cell r="H232" t="str">
            <v>Trends &amp; Allied Formats (Part B)</v>
          </cell>
          <cell r="I232" t="str">
            <v>F&amp;L - Dehire</v>
          </cell>
        </row>
        <row r="233">
          <cell r="A233" t="str">
            <v>FLDHKC10984</v>
          </cell>
          <cell r="B233">
            <v>232</v>
          </cell>
          <cell r="C233"/>
          <cell r="D233"/>
          <cell r="E233"/>
          <cell r="F233"/>
          <cell r="G233" t="str">
            <v>B. Fashion &amp; Lifestyle</v>
          </cell>
          <cell r="H233" t="str">
            <v>Trends &amp; Allied Formats (Part B)</v>
          </cell>
          <cell r="I233" t="str">
            <v>F&amp;L - Dehire</v>
          </cell>
        </row>
        <row r="234">
          <cell r="A234" t="str">
            <v>FLDHKC10985</v>
          </cell>
          <cell r="B234">
            <v>233</v>
          </cell>
          <cell r="C234"/>
          <cell r="D234"/>
          <cell r="E234"/>
          <cell r="F234"/>
          <cell r="G234" t="str">
            <v>B. Fashion &amp; Lifestyle</v>
          </cell>
          <cell r="H234" t="str">
            <v>Trends &amp; Allied Formats (Part B)</v>
          </cell>
          <cell r="I234" t="str">
            <v>F&amp;L - Dehire</v>
          </cell>
        </row>
        <row r="235">
          <cell r="A235" t="str">
            <v>FLDHKC10986</v>
          </cell>
          <cell r="B235">
            <v>234</v>
          </cell>
          <cell r="C235"/>
          <cell r="D235"/>
          <cell r="E235"/>
          <cell r="F235"/>
          <cell r="G235" t="str">
            <v>B. Fashion &amp; Lifestyle</v>
          </cell>
          <cell r="H235" t="str">
            <v>Trends &amp; Allied Formats (Part B)</v>
          </cell>
          <cell r="I235" t="str">
            <v>F&amp;L - Dehire</v>
          </cell>
        </row>
        <row r="236">
          <cell r="A236" t="str">
            <v>FFNSBK224</v>
          </cell>
          <cell r="B236">
            <v>235</v>
          </cell>
          <cell r="C236"/>
          <cell r="D236"/>
          <cell r="E236"/>
          <cell r="F236"/>
          <cell r="G236" t="str">
            <v>B. Fashion &amp; Lifestyle</v>
          </cell>
          <cell r="H236" t="str">
            <v>Trends &amp; Allied Formats (Part A)</v>
          </cell>
          <cell r="I236" t="str">
            <v>Fashion Factory</v>
          </cell>
        </row>
        <row r="237">
          <cell r="A237" t="str">
            <v>FFNSBK235</v>
          </cell>
          <cell r="B237">
            <v>236</v>
          </cell>
          <cell r="C237"/>
          <cell r="D237"/>
          <cell r="E237"/>
          <cell r="F237"/>
          <cell r="G237" t="str">
            <v>B. Fashion &amp; Lifestyle</v>
          </cell>
          <cell r="H237" t="str">
            <v>Trends &amp; Allied Formats (Part A)</v>
          </cell>
          <cell r="I237" t="str">
            <v>Fashion Factory</v>
          </cell>
        </row>
        <row r="238">
          <cell r="A238" t="str">
            <v>FFNSSD407</v>
          </cell>
          <cell r="B238">
            <v>237</v>
          </cell>
          <cell r="C238"/>
          <cell r="D238"/>
          <cell r="E238"/>
          <cell r="F238"/>
          <cell r="G238" t="str">
            <v>B. Fashion &amp; Lifestyle</v>
          </cell>
          <cell r="H238" t="str">
            <v>Trends &amp; Allied Formats (Part A)</v>
          </cell>
          <cell r="I238" t="str">
            <v>Fashion Factory</v>
          </cell>
        </row>
        <row r="239">
          <cell r="A239" t="str">
            <v>FFNSSD409</v>
          </cell>
          <cell r="B239">
            <v>238</v>
          </cell>
          <cell r="C239" t="str">
            <v>AP-SM-KHA-907</v>
          </cell>
          <cell r="D239" t="str">
            <v>T2VM</v>
          </cell>
          <cell r="E239" t="str">
            <v>QI0V</v>
          </cell>
          <cell r="F239" t="str">
            <v>TRFFNQI0V00</v>
          </cell>
          <cell r="G239" t="str">
            <v>B. Fashion &amp; Lifestyle</v>
          </cell>
          <cell r="H239" t="str">
            <v>Trends &amp; Allied Formats (Part A)</v>
          </cell>
          <cell r="I239" t="str">
            <v>Fashion Factory</v>
          </cell>
        </row>
        <row r="240">
          <cell r="A240" t="str">
            <v>FFNSJD413</v>
          </cell>
          <cell r="B240">
            <v>239</v>
          </cell>
          <cell r="C240"/>
          <cell r="D240"/>
          <cell r="E240"/>
          <cell r="F240"/>
          <cell r="G240" t="str">
            <v>B. Fashion &amp; Lifestyle</v>
          </cell>
          <cell r="H240" t="str">
            <v>Trends &amp; Allied Formats (Part A)</v>
          </cell>
          <cell r="I240" t="str">
            <v>Fashion Factory</v>
          </cell>
        </row>
        <row r="241">
          <cell r="A241" t="str">
            <v>FFNSAS10666</v>
          </cell>
          <cell r="B241">
            <v>240</v>
          </cell>
          <cell r="C241"/>
          <cell r="D241"/>
          <cell r="E241"/>
          <cell r="F241"/>
          <cell r="G241" t="str">
            <v>B. Fashion &amp; Lifestyle</v>
          </cell>
          <cell r="H241" t="str">
            <v>Trends &amp; Allied Formats (Part A)</v>
          </cell>
          <cell r="I241" t="str">
            <v>Fashion Factory</v>
          </cell>
        </row>
        <row r="242">
          <cell r="A242" t="str">
            <v>FFNSAS10675</v>
          </cell>
          <cell r="B242">
            <v>241</v>
          </cell>
          <cell r="C242"/>
          <cell r="D242"/>
          <cell r="E242"/>
          <cell r="F242"/>
          <cell r="G242" t="str">
            <v>B. Fashion &amp; Lifestyle</v>
          </cell>
          <cell r="H242" t="str">
            <v>Trends &amp; Allied Formats (Part A)</v>
          </cell>
          <cell r="I242" t="str">
            <v>Fashion Factory</v>
          </cell>
        </row>
        <row r="243">
          <cell r="A243" t="str">
            <v>FFNSAS10676</v>
          </cell>
          <cell r="B243">
            <v>242</v>
          </cell>
          <cell r="C243"/>
          <cell r="D243"/>
          <cell r="E243"/>
          <cell r="F243"/>
          <cell r="G243" t="str">
            <v>B. Fashion &amp; Lifestyle</v>
          </cell>
          <cell r="H243" t="str">
            <v>Trends &amp; Allied Formats (Part A)</v>
          </cell>
          <cell r="I243" t="str">
            <v>Fashion Factory</v>
          </cell>
        </row>
        <row r="244">
          <cell r="A244" t="str">
            <v>FFNSAS10677</v>
          </cell>
          <cell r="B244">
            <v>243</v>
          </cell>
          <cell r="C244"/>
          <cell r="D244"/>
          <cell r="E244"/>
          <cell r="F244"/>
          <cell r="G244" t="str">
            <v>B. Fashion &amp; Lifestyle</v>
          </cell>
          <cell r="H244" t="str">
            <v>Trends &amp; Allied Formats (Part A)</v>
          </cell>
          <cell r="I244" t="str">
            <v>Fashion Factory</v>
          </cell>
        </row>
        <row r="245">
          <cell r="A245" t="str">
            <v>FFNSSD10678</v>
          </cell>
          <cell r="B245">
            <v>244</v>
          </cell>
          <cell r="C245"/>
          <cell r="D245"/>
          <cell r="E245"/>
          <cell r="F245"/>
          <cell r="G245" t="str">
            <v>B. Fashion &amp; Lifestyle</v>
          </cell>
          <cell r="H245" t="str">
            <v>Trends &amp; Allied Formats (Part A)</v>
          </cell>
          <cell r="I245" t="str">
            <v>Fashion Factory</v>
          </cell>
        </row>
        <row r="246">
          <cell r="A246" t="str">
            <v>FFNSSD10679</v>
          </cell>
          <cell r="B246">
            <v>245</v>
          </cell>
          <cell r="C246"/>
          <cell r="D246"/>
          <cell r="E246"/>
          <cell r="F246"/>
          <cell r="G246" t="str">
            <v>B. Fashion &amp; Lifestyle</v>
          </cell>
          <cell r="H246" t="str">
            <v>Trends &amp; Allied Formats (Part A)</v>
          </cell>
          <cell r="I246" t="str">
            <v>Fashion Factory</v>
          </cell>
        </row>
        <row r="247">
          <cell r="A247" t="str">
            <v>FFNSAS10680</v>
          </cell>
          <cell r="B247">
            <v>246</v>
          </cell>
          <cell r="C247"/>
          <cell r="D247"/>
          <cell r="E247"/>
          <cell r="F247"/>
          <cell r="G247" t="str">
            <v>B. Fashion &amp; Lifestyle</v>
          </cell>
          <cell r="H247" t="str">
            <v>Trends &amp; Allied Formats (Part A)</v>
          </cell>
          <cell r="I247" t="str">
            <v>Fashion Factory</v>
          </cell>
        </row>
        <row r="248">
          <cell r="A248" t="str">
            <v>FFNSSD10681</v>
          </cell>
          <cell r="B248">
            <v>247</v>
          </cell>
          <cell r="C248"/>
          <cell r="D248"/>
          <cell r="E248"/>
          <cell r="F248"/>
          <cell r="G248" t="str">
            <v>B. Fashion &amp; Lifestyle</v>
          </cell>
          <cell r="H248" t="str">
            <v>Trends &amp; Allied Formats (Part A)</v>
          </cell>
          <cell r="I248" t="str">
            <v>Fashion Factory</v>
          </cell>
        </row>
        <row r="249">
          <cell r="A249" t="str">
            <v>FFNSAS10683</v>
          </cell>
          <cell r="B249">
            <v>248</v>
          </cell>
          <cell r="C249"/>
          <cell r="D249"/>
          <cell r="E249"/>
          <cell r="F249"/>
          <cell r="G249" t="str">
            <v>B. Fashion &amp; Lifestyle</v>
          </cell>
          <cell r="H249" t="str">
            <v>Trends &amp; Allied Formats (Part A)</v>
          </cell>
          <cell r="I249" t="str">
            <v>Fashion Factory</v>
          </cell>
        </row>
        <row r="250">
          <cell r="A250" t="str">
            <v>FFNSSD10740</v>
          </cell>
          <cell r="B250">
            <v>249</v>
          </cell>
          <cell r="C250"/>
          <cell r="D250"/>
          <cell r="E250"/>
          <cell r="F250"/>
          <cell r="G250" t="str">
            <v>B. Fashion &amp; Lifestyle</v>
          </cell>
          <cell r="H250" t="str">
            <v>Trends &amp; Allied Formats (Part A)</v>
          </cell>
          <cell r="I250" t="str">
            <v>Fashion Factory</v>
          </cell>
        </row>
        <row r="251">
          <cell r="A251" t="str">
            <v>FFNSSD10803</v>
          </cell>
          <cell r="B251">
            <v>250</v>
          </cell>
          <cell r="C251"/>
          <cell r="D251"/>
          <cell r="E251"/>
          <cell r="F251"/>
          <cell r="G251" t="str">
            <v>B. Fashion &amp; Lifestyle</v>
          </cell>
          <cell r="H251" t="str">
            <v>Trends &amp; Allied Formats (Part A)</v>
          </cell>
          <cell r="I251" t="str">
            <v>Fashion Factory</v>
          </cell>
        </row>
        <row r="252">
          <cell r="A252" t="str">
            <v>FFNSSD10808</v>
          </cell>
          <cell r="B252">
            <v>251</v>
          </cell>
          <cell r="C252"/>
          <cell r="D252"/>
          <cell r="E252"/>
          <cell r="F252"/>
          <cell r="G252" t="str">
            <v>B. Fashion &amp; Lifestyle</v>
          </cell>
          <cell r="H252" t="str">
            <v>Trends &amp; Allied Formats (Part A)</v>
          </cell>
          <cell r="I252" t="str">
            <v>Fashion Factory</v>
          </cell>
        </row>
        <row r="253">
          <cell r="A253" t="str">
            <v>FFNSSD10809</v>
          </cell>
          <cell r="B253">
            <v>252</v>
          </cell>
          <cell r="C253"/>
          <cell r="D253"/>
          <cell r="E253"/>
          <cell r="F253"/>
          <cell r="G253" t="str">
            <v>B. Fashion &amp; Lifestyle</v>
          </cell>
          <cell r="H253" t="str">
            <v>Trends &amp; Allied Formats (Part A)</v>
          </cell>
          <cell r="I253" t="str">
            <v>Fashion Factory</v>
          </cell>
        </row>
        <row r="254">
          <cell r="A254" t="str">
            <v>FFNSSD10810</v>
          </cell>
          <cell r="B254">
            <v>253</v>
          </cell>
          <cell r="C254"/>
          <cell r="D254"/>
          <cell r="E254"/>
          <cell r="F254"/>
          <cell r="G254" t="str">
            <v>B. Fashion &amp; Lifestyle</v>
          </cell>
          <cell r="H254" t="str">
            <v>Trends &amp; Allied Formats (Part A)</v>
          </cell>
          <cell r="I254" t="str">
            <v>Fashion Factory</v>
          </cell>
        </row>
        <row r="255">
          <cell r="A255" t="str">
            <v>FFNSAS10811</v>
          </cell>
          <cell r="B255">
            <v>254</v>
          </cell>
          <cell r="C255"/>
          <cell r="D255"/>
          <cell r="E255"/>
          <cell r="F255"/>
          <cell r="G255" t="str">
            <v>B. Fashion &amp; Lifestyle</v>
          </cell>
          <cell r="H255" t="str">
            <v>Trends &amp; Allied Formats (Part A)</v>
          </cell>
          <cell r="I255" t="str">
            <v>Fashion Factory</v>
          </cell>
        </row>
        <row r="256">
          <cell r="A256" t="str">
            <v>FFNSAS10812</v>
          </cell>
          <cell r="B256">
            <v>255</v>
          </cell>
          <cell r="C256"/>
          <cell r="D256"/>
          <cell r="E256"/>
          <cell r="F256"/>
          <cell r="G256" t="str">
            <v>B. Fashion &amp; Lifestyle</v>
          </cell>
          <cell r="H256" t="str">
            <v>Trends &amp; Allied Formats (Part A)</v>
          </cell>
          <cell r="I256" t="str">
            <v>Fashion Factory</v>
          </cell>
        </row>
        <row r="257">
          <cell r="A257" t="str">
            <v>FFNSAS11122</v>
          </cell>
          <cell r="B257">
            <v>256</v>
          </cell>
          <cell r="C257"/>
          <cell r="D257"/>
          <cell r="E257"/>
          <cell r="F257"/>
          <cell r="G257" t="str">
            <v>B. Fashion &amp; Lifestyle</v>
          </cell>
          <cell r="H257" t="str">
            <v>Trends &amp; Allied Formats (Part A)</v>
          </cell>
          <cell r="I257" t="str">
            <v>Fashion Factory</v>
          </cell>
        </row>
        <row r="258">
          <cell r="A258" t="str">
            <v>FFNSAS11123</v>
          </cell>
          <cell r="B258">
            <v>257</v>
          </cell>
          <cell r="C258"/>
          <cell r="D258"/>
          <cell r="E258"/>
          <cell r="F258"/>
          <cell r="G258" t="str">
            <v>B. Fashion &amp; Lifestyle</v>
          </cell>
          <cell r="H258" t="str">
            <v>Trends &amp; Allied Formats (Part A)</v>
          </cell>
          <cell r="I258" t="str">
            <v>Fashion Factory</v>
          </cell>
        </row>
        <row r="259">
          <cell r="A259" t="str">
            <v>FFNSAS11126</v>
          </cell>
          <cell r="B259">
            <v>258</v>
          </cell>
          <cell r="C259"/>
          <cell r="D259"/>
          <cell r="E259"/>
          <cell r="F259"/>
          <cell r="G259" t="str">
            <v>B. Fashion &amp; Lifestyle</v>
          </cell>
          <cell r="H259" t="str">
            <v>Trends &amp; Allied Formats (Part A)</v>
          </cell>
          <cell r="I259" t="str">
            <v>Fashion Factory</v>
          </cell>
        </row>
        <row r="260">
          <cell r="A260" t="str">
            <v>FFNSSD11127</v>
          </cell>
          <cell r="B260">
            <v>259</v>
          </cell>
          <cell r="C260"/>
          <cell r="D260"/>
          <cell r="E260"/>
          <cell r="F260"/>
          <cell r="G260" t="str">
            <v>B. Fashion &amp; Lifestyle</v>
          </cell>
          <cell r="H260" t="str">
            <v>Trends &amp; Allied Formats (Part A)</v>
          </cell>
          <cell r="I260" t="str">
            <v>Fashion Factory</v>
          </cell>
        </row>
        <row r="261">
          <cell r="A261" t="str">
            <v>FFNSSD11130</v>
          </cell>
          <cell r="B261">
            <v>260</v>
          </cell>
          <cell r="C261"/>
          <cell r="D261"/>
          <cell r="E261"/>
          <cell r="F261"/>
          <cell r="G261" t="str">
            <v>B. Fashion &amp; Lifestyle</v>
          </cell>
          <cell r="H261" t="str">
            <v>Trends &amp; Allied Formats (Part A)</v>
          </cell>
          <cell r="I261" t="str">
            <v>Fashion Factory</v>
          </cell>
        </row>
        <row r="262">
          <cell r="A262" t="str">
            <v>FFNSBK11214</v>
          </cell>
          <cell r="B262">
            <v>261</v>
          </cell>
          <cell r="C262"/>
          <cell r="D262"/>
          <cell r="E262"/>
          <cell r="F262"/>
          <cell r="G262" t="str">
            <v>B. Fashion &amp; Lifestyle</v>
          </cell>
          <cell r="H262" t="str">
            <v>Trends &amp; Allied Formats (Part A)</v>
          </cell>
          <cell r="I262" t="str">
            <v>Fashion Factory</v>
          </cell>
        </row>
        <row r="263">
          <cell r="A263" t="str">
            <v>FBTRAS10804</v>
          </cell>
          <cell r="B263">
            <v>262</v>
          </cell>
          <cell r="C263"/>
          <cell r="D263"/>
          <cell r="E263"/>
          <cell r="F263"/>
          <cell r="G263" t="str">
            <v>B. Fashion &amp; Lifestyle</v>
          </cell>
          <cell r="H263" t="str">
            <v>Trends &amp; Allied Formats (Part A)</v>
          </cell>
          <cell r="I263" t="str">
            <v>Trends</v>
          </cell>
        </row>
        <row r="264">
          <cell r="A264" t="str">
            <v>URBLAS10635</v>
          </cell>
          <cell r="B264">
            <v>263</v>
          </cell>
          <cell r="C264"/>
          <cell r="D264"/>
          <cell r="E264"/>
          <cell r="F264"/>
          <cell r="G264" t="str">
            <v>B. Fashion &amp; Lifestyle</v>
          </cell>
          <cell r="H264" t="str">
            <v>Other Fashion &amp; Lifestyle Formats</v>
          </cell>
          <cell r="I264" t="str">
            <v>Furniture - Mid Premium Store (UL)</v>
          </cell>
        </row>
        <row r="265">
          <cell r="A265" t="str">
            <v>URBLBK10636</v>
          </cell>
          <cell r="B265">
            <v>264</v>
          </cell>
          <cell r="C265"/>
          <cell r="D265"/>
          <cell r="E265"/>
          <cell r="F265"/>
          <cell r="G265" t="str">
            <v>B. Fashion &amp; Lifestyle</v>
          </cell>
          <cell r="H265" t="str">
            <v>Other Fashion &amp; Lifestyle Formats</v>
          </cell>
          <cell r="I265" t="str">
            <v>Furniture - Mid Premium Store (UL)</v>
          </cell>
        </row>
        <row r="266">
          <cell r="A266" t="str">
            <v>URBLAS10644</v>
          </cell>
          <cell r="B266">
            <v>265</v>
          </cell>
          <cell r="C266"/>
          <cell r="D266"/>
          <cell r="E266"/>
          <cell r="F266"/>
          <cell r="G266" t="str">
            <v>B. Fashion &amp; Lifestyle</v>
          </cell>
          <cell r="H266" t="str">
            <v>Other Fashion &amp; Lifestyle Formats</v>
          </cell>
          <cell r="I266" t="str">
            <v>Furniture - Mid Premium Store (UL)</v>
          </cell>
        </row>
        <row r="267">
          <cell r="A267" t="str">
            <v>URBLSD10645</v>
          </cell>
          <cell r="B267">
            <v>266</v>
          </cell>
          <cell r="C267"/>
          <cell r="D267"/>
          <cell r="E267"/>
          <cell r="F267"/>
          <cell r="G267" t="str">
            <v>B. Fashion &amp; Lifestyle</v>
          </cell>
          <cell r="H267" t="str">
            <v>Other Fashion &amp; Lifestyle Formats</v>
          </cell>
          <cell r="I267" t="str">
            <v>Furniture - Mid Premium Store (UL)</v>
          </cell>
        </row>
        <row r="268">
          <cell r="A268" t="str">
            <v>URBLSD10646</v>
          </cell>
          <cell r="B268">
            <v>267</v>
          </cell>
          <cell r="C268"/>
          <cell r="D268"/>
          <cell r="E268"/>
          <cell r="F268"/>
          <cell r="G268" t="str">
            <v>B. Fashion &amp; Lifestyle</v>
          </cell>
          <cell r="H268" t="str">
            <v>Other Fashion &amp; Lifestyle Formats</v>
          </cell>
          <cell r="I268" t="str">
            <v>Furniture - Mid Premium Store (UL)</v>
          </cell>
        </row>
        <row r="269">
          <cell r="A269" t="str">
            <v>URBLRT10647</v>
          </cell>
          <cell r="B269">
            <v>268</v>
          </cell>
          <cell r="C269"/>
          <cell r="D269"/>
          <cell r="E269"/>
          <cell r="F269"/>
          <cell r="G269" t="str">
            <v>B. Fashion &amp; Lifestyle</v>
          </cell>
          <cell r="H269" t="str">
            <v>Other Fashion &amp; Lifestyle Formats</v>
          </cell>
          <cell r="I269" t="str">
            <v>Furniture - Mid Premium Store (UL)</v>
          </cell>
        </row>
        <row r="270">
          <cell r="A270" t="str">
            <v>GAPEBK213</v>
          </cell>
          <cell r="B270">
            <v>269</v>
          </cell>
          <cell r="C270" t="str">
            <v>MU-SM-GMU-749</v>
          </cell>
          <cell r="D270" t="str">
            <v>T2VE</v>
          </cell>
          <cell r="E270" t="str">
            <v>QI0M</v>
          </cell>
          <cell r="F270" t="str">
            <v>TGAPMQI0M00</v>
          </cell>
          <cell r="G270" t="str">
            <v>B. Fashion &amp; Lifestyle</v>
          </cell>
          <cell r="H270" t="str">
            <v>Trends &amp; Allied Formats (Part A)</v>
          </cell>
          <cell r="I270" t="str">
            <v>GAP EBO</v>
          </cell>
        </row>
        <row r="271">
          <cell r="A271" t="str">
            <v>GAPERT220</v>
          </cell>
          <cell r="B271">
            <v>270</v>
          </cell>
          <cell r="C271" t="str">
            <v>UP-SM-HAL-904</v>
          </cell>
          <cell r="D271" t="str">
            <v>T2ZI</v>
          </cell>
          <cell r="E271" t="str">
            <v>QI5J</v>
          </cell>
          <cell r="F271" t="str">
            <v>TGAP5QI5J00</v>
          </cell>
          <cell r="G271" t="str">
            <v>B. Fashion &amp; Lifestyle</v>
          </cell>
          <cell r="H271" t="str">
            <v>Trends &amp; Allied Formats (Part A)</v>
          </cell>
          <cell r="I271" t="str">
            <v>GAP EBO</v>
          </cell>
        </row>
        <row r="272">
          <cell r="A272" t="str">
            <v>GAPERT234</v>
          </cell>
          <cell r="B272">
            <v>271</v>
          </cell>
          <cell r="C272" t="str">
            <v>RJ-SM-JAI-930</v>
          </cell>
          <cell r="D272" t="str">
            <v>T2SP</v>
          </cell>
          <cell r="E272" t="str">
            <v>QH7U</v>
          </cell>
          <cell r="F272" t="str">
            <v>TGAPRQH7U00</v>
          </cell>
          <cell r="G272" t="str">
            <v>B. Fashion &amp; Lifestyle</v>
          </cell>
          <cell r="H272" t="str">
            <v>Trends &amp; Allied Formats (Part A)</v>
          </cell>
          <cell r="I272" t="str">
            <v>GAP EBO</v>
          </cell>
        </row>
        <row r="273">
          <cell r="A273" t="str">
            <v>GAPESD4448</v>
          </cell>
          <cell r="B273">
            <v>272</v>
          </cell>
          <cell r="C273" t="str">
            <v>AP-SM-HYD-1060</v>
          </cell>
          <cell r="D273" t="str">
            <v>T0Q3</v>
          </cell>
          <cell r="E273" t="str">
            <v>Q4GQ</v>
          </cell>
          <cell r="F273" t="str">
            <v>TGAPNQ4GQ00</v>
          </cell>
          <cell r="G273" t="str">
            <v>B. Fashion &amp; Lifestyle</v>
          </cell>
          <cell r="H273" t="str">
            <v>Trends &amp; Allied Formats (Part A)</v>
          </cell>
          <cell r="I273" t="str">
            <v>GAP EBO</v>
          </cell>
        </row>
        <row r="274">
          <cell r="A274" t="str">
            <v>GAPEAS10671</v>
          </cell>
          <cell r="B274">
            <v>273</v>
          </cell>
          <cell r="C274"/>
          <cell r="D274"/>
          <cell r="E274"/>
          <cell r="F274"/>
          <cell r="G274" t="str">
            <v>B. Fashion &amp; Lifestyle</v>
          </cell>
          <cell r="H274" t="str">
            <v>Trends &amp; Allied Formats (Part A)</v>
          </cell>
          <cell r="I274" t="str">
            <v>GAP EBO</v>
          </cell>
        </row>
        <row r="275">
          <cell r="A275" t="str">
            <v>GAPERT10684</v>
          </cell>
          <cell r="B275">
            <v>274</v>
          </cell>
          <cell r="C275"/>
          <cell r="D275"/>
          <cell r="E275"/>
          <cell r="F275"/>
          <cell r="G275" t="str">
            <v>B. Fashion &amp; Lifestyle</v>
          </cell>
          <cell r="H275" t="str">
            <v>Trends &amp; Allied Formats (Part A)</v>
          </cell>
          <cell r="I275" t="str">
            <v>GAP EBO</v>
          </cell>
        </row>
        <row r="276">
          <cell r="A276" t="str">
            <v>GAPERT10686</v>
          </cell>
          <cell r="B276">
            <v>275</v>
          </cell>
          <cell r="C276"/>
          <cell r="D276"/>
          <cell r="E276"/>
          <cell r="F276"/>
          <cell r="G276" t="str">
            <v>B. Fashion &amp; Lifestyle</v>
          </cell>
          <cell r="H276" t="str">
            <v>Trends &amp; Allied Formats (Part A)</v>
          </cell>
          <cell r="I276" t="str">
            <v>GAP EBO</v>
          </cell>
        </row>
        <row r="277">
          <cell r="A277" t="str">
            <v>GAPERT10687</v>
          </cell>
          <cell r="B277">
            <v>276</v>
          </cell>
          <cell r="C277"/>
          <cell r="D277"/>
          <cell r="E277"/>
          <cell r="F277"/>
          <cell r="G277" t="str">
            <v>B. Fashion &amp; Lifestyle</v>
          </cell>
          <cell r="H277" t="str">
            <v>Trends &amp; Allied Formats (Part A)</v>
          </cell>
          <cell r="I277" t="str">
            <v>GAP EBO</v>
          </cell>
        </row>
        <row r="278">
          <cell r="A278" t="str">
            <v>GAPERT10688</v>
          </cell>
          <cell r="B278">
            <v>277</v>
          </cell>
          <cell r="C278"/>
          <cell r="D278"/>
          <cell r="E278"/>
          <cell r="F278"/>
          <cell r="G278" t="str">
            <v>B. Fashion &amp; Lifestyle</v>
          </cell>
          <cell r="H278" t="str">
            <v>Trends &amp; Allied Formats (Part A)</v>
          </cell>
          <cell r="I278" t="str">
            <v>GAP EBO</v>
          </cell>
        </row>
        <row r="279">
          <cell r="A279" t="str">
            <v>GAPERT10689</v>
          </cell>
          <cell r="B279">
            <v>278</v>
          </cell>
          <cell r="C279"/>
          <cell r="D279"/>
          <cell r="E279"/>
          <cell r="F279"/>
          <cell r="G279" t="str">
            <v>B. Fashion &amp; Lifestyle</v>
          </cell>
          <cell r="H279" t="str">
            <v>Trends &amp; Allied Formats (Part A)</v>
          </cell>
          <cell r="I279" t="str">
            <v>GAP EBO</v>
          </cell>
        </row>
        <row r="280">
          <cell r="A280" t="str">
            <v>GAPERT10694</v>
          </cell>
          <cell r="B280">
            <v>279</v>
          </cell>
          <cell r="C280"/>
          <cell r="D280"/>
          <cell r="E280"/>
          <cell r="F280"/>
          <cell r="G280" t="str">
            <v>B. Fashion &amp; Lifestyle</v>
          </cell>
          <cell r="H280" t="str">
            <v>Trends &amp; Allied Formats (Part A)</v>
          </cell>
          <cell r="I280" t="str">
            <v>GAP EBO</v>
          </cell>
        </row>
        <row r="281">
          <cell r="A281" t="str">
            <v>GAPEBK10698</v>
          </cell>
          <cell r="B281">
            <v>280</v>
          </cell>
          <cell r="C281"/>
          <cell r="D281"/>
          <cell r="E281"/>
          <cell r="F281"/>
          <cell r="G281" t="str">
            <v>B. Fashion &amp; Lifestyle</v>
          </cell>
          <cell r="H281" t="str">
            <v>Trends &amp; Allied Formats (Part A)</v>
          </cell>
          <cell r="I281" t="str">
            <v>GAP EBO</v>
          </cell>
        </row>
        <row r="282">
          <cell r="A282" t="str">
            <v>GAPEBK10699</v>
          </cell>
          <cell r="B282">
            <v>281</v>
          </cell>
          <cell r="C282"/>
          <cell r="D282"/>
          <cell r="E282"/>
          <cell r="F282"/>
          <cell r="G282" t="str">
            <v>B. Fashion &amp; Lifestyle</v>
          </cell>
          <cell r="H282" t="str">
            <v>Trends &amp; Allied Formats (Part A)</v>
          </cell>
          <cell r="I282" t="str">
            <v>GAP EBO</v>
          </cell>
        </row>
        <row r="283">
          <cell r="A283" t="str">
            <v>GAPEBK10700</v>
          </cell>
          <cell r="B283">
            <v>282</v>
          </cell>
          <cell r="C283"/>
          <cell r="D283"/>
          <cell r="E283"/>
          <cell r="F283"/>
          <cell r="G283" t="str">
            <v>B. Fashion &amp; Lifestyle</v>
          </cell>
          <cell r="H283" t="str">
            <v>Trends &amp; Allied Formats (Part A)</v>
          </cell>
          <cell r="I283" t="str">
            <v>GAP EBO</v>
          </cell>
        </row>
        <row r="284">
          <cell r="A284" t="str">
            <v>GAPEBK10707</v>
          </cell>
          <cell r="B284">
            <v>283</v>
          </cell>
          <cell r="C284"/>
          <cell r="D284"/>
          <cell r="E284"/>
          <cell r="F284"/>
          <cell r="G284" t="str">
            <v>B. Fashion &amp; Lifestyle</v>
          </cell>
          <cell r="H284" t="str">
            <v>Trends &amp; Allied Formats (Part A)</v>
          </cell>
          <cell r="I284" t="str">
            <v>GAP EBO</v>
          </cell>
        </row>
        <row r="285">
          <cell r="A285" t="str">
            <v>GAPEBK10710</v>
          </cell>
          <cell r="B285">
            <v>284</v>
          </cell>
          <cell r="C285"/>
          <cell r="D285"/>
          <cell r="E285"/>
          <cell r="F285"/>
          <cell r="G285" t="str">
            <v>B. Fashion &amp; Lifestyle</v>
          </cell>
          <cell r="H285" t="str">
            <v>Trends &amp; Allied Formats (Part A)</v>
          </cell>
          <cell r="I285" t="str">
            <v>GAP EBO</v>
          </cell>
        </row>
        <row r="286">
          <cell r="A286" t="str">
            <v>GAPERT11053</v>
          </cell>
          <cell r="B286">
            <v>285</v>
          </cell>
          <cell r="C286"/>
          <cell r="D286"/>
          <cell r="E286"/>
          <cell r="F286"/>
          <cell r="G286" t="str">
            <v>B. Fashion &amp; Lifestyle</v>
          </cell>
          <cell r="H286" t="str">
            <v>Trends &amp; Allied Formats (Part A)</v>
          </cell>
          <cell r="I286" t="str">
            <v>GAP EBO</v>
          </cell>
        </row>
        <row r="287">
          <cell r="A287" t="str">
            <v>GAPEAS11132</v>
          </cell>
          <cell r="B287">
            <v>286</v>
          </cell>
          <cell r="C287"/>
          <cell r="D287"/>
          <cell r="E287"/>
          <cell r="F287"/>
          <cell r="G287" t="str">
            <v>B. Fashion &amp; Lifestyle</v>
          </cell>
          <cell r="H287" t="str">
            <v>Trends &amp; Allied Formats (Part A)</v>
          </cell>
          <cell r="I287" t="str">
            <v>GAP EBO</v>
          </cell>
        </row>
        <row r="288">
          <cell r="A288" t="str">
            <v>GAPEBK11216</v>
          </cell>
          <cell r="B288">
            <v>287</v>
          </cell>
          <cell r="C288"/>
          <cell r="D288"/>
          <cell r="E288"/>
          <cell r="F288"/>
          <cell r="G288" t="str">
            <v>B. Fashion &amp; Lifestyle</v>
          </cell>
          <cell r="H288" t="str">
            <v>Trends &amp; Allied Formats (Part A)</v>
          </cell>
          <cell r="I288" t="str">
            <v>GAP EBO</v>
          </cell>
        </row>
        <row r="289">
          <cell r="A289" t="str">
            <v>GAPEBK11219</v>
          </cell>
          <cell r="B289">
            <v>288</v>
          </cell>
          <cell r="C289"/>
          <cell r="D289"/>
          <cell r="E289"/>
          <cell r="F289"/>
          <cell r="G289" t="str">
            <v>B. Fashion &amp; Lifestyle</v>
          </cell>
          <cell r="H289" t="str">
            <v>Trends &amp; Allied Formats (Part A)</v>
          </cell>
          <cell r="I289" t="str">
            <v>GAP EBO</v>
          </cell>
        </row>
        <row r="290">
          <cell r="A290" t="str">
            <v>GAPERT11220</v>
          </cell>
          <cell r="B290">
            <v>289</v>
          </cell>
          <cell r="C290"/>
          <cell r="D290"/>
          <cell r="E290"/>
          <cell r="F290"/>
          <cell r="G290" t="str">
            <v>B. Fashion &amp; Lifestyle</v>
          </cell>
          <cell r="H290" t="str">
            <v>Trends &amp; Allied Formats (Part A)</v>
          </cell>
          <cell r="I290" t="str">
            <v>GAP EBO</v>
          </cell>
        </row>
        <row r="291">
          <cell r="A291" t="str">
            <v>GAPEBK11221</v>
          </cell>
          <cell r="B291">
            <v>290</v>
          </cell>
          <cell r="C291"/>
          <cell r="D291"/>
          <cell r="E291"/>
          <cell r="F291"/>
          <cell r="G291" t="str">
            <v>B. Fashion &amp; Lifestyle</v>
          </cell>
          <cell r="H291" t="str">
            <v>Trends &amp; Allied Formats (Part A)</v>
          </cell>
          <cell r="I291" t="str">
            <v>GAP EBO</v>
          </cell>
        </row>
        <row r="292">
          <cell r="A292" t="str">
            <v>GAPEBK11225</v>
          </cell>
          <cell r="B292">
            <v>291</v>
          </cell>
          <cell r="C292"/>
          <cell r="D292"/>
          <cell r="E292"/>
          <cell r="F292"/>
          <cell r="G292" t="str">
            <v>B. Fashion &amp; Lifestyle</v>
          </cell>
          <cell r="H292" t="str">
            <v>Trends &amp; Allied Formats (Part A)</v>
          </cell>
          <cell r="I292" t="str">
            <v>GAP EBO</v>
          </cell>
        </row>
        <row r="293">
          <cell r="A293" t="str">
            <v>GAPERT11229</v>
          </cell>
          <cell r="B293">
            <v>292</v>
          </cell>
          <cell r="C293"/>
          <cell r="D293"/>
          <cell r="E293"/>
          <cell r="F293"/>
          <cell r="G293" t="str">
            <v>B. Fashion &amp; Lifestyle</v>
          </cell>
          <cell r="H293" t="str">
            <v>Trends &amp; Allied Formats (Part A)</v>
          </cell>
          <cell r="I293" t="str">
            <v>GAP EBO</v>
          </cell>
        </row>
        <row r="294">
          <cell r="A294" t="str">
            <v>GAPERT11242</v>
          </cell>
          <cell r="B294">
            <v>293</v>
          </cell>
          <cell r="C294"/>
          <cell r="D294"/>
          <cell r="E294"/>
          <cell r="F294"/>
          <cell r="G294" t="str">
            <v>B. Fashion &amp; Lifestyle</v>
          </cell>
          <cell r="H294" t="str">
            <v>Trends &amp; Allied Formats (Part A)</v>
          </cell>
          <cell r="I294" t="str">
            <v>GAP EBO</v>
          </cell>
        </row>
        <row r="295">
          <cell r="A295" t="str">
            <v>JERFRT369</v>
          </cell>
          <cell r="B295">
            <v>294</v>
          </cell>
          <cell r="C295"/>
          <cell r="D295">
            <v>8451</v>
          </cell>
          <cell r="E295" t="str">
            <v>NEB4</v>
          </cell>
          <cell r="F295" t="str">
            <v>JEWEUNEB401</v>
          </cell>
          <cell r="G295" t="str">
            <v>B. Fashion &amp; Lifestyle</v>
          </cell>
          <cell r="H295" t="str">
            <v>Jewels &amp; Allied Formats</v>
          </cell>
          <cell r="I295" t="str">
            <v>Jewels Refit</v>
          </cell>
        </row>
        <row r="296">
          <cell r="A296" t="str">
            <v>JERFAS371</v>
          </cell>
          <cell r="B296">
            <v>295</v>
          </cell>
          <cell r="C296"/>
          <cell r="D296">
            <v>8405</v>
          </cell>
          <cell r="E296" t="str">
            <v>NDX8</v>
          </cell>
          <cell r="F296" t="str">
            <v>JEWEANDX801</v>
          </cell>
          <cell r="G296" t="str">
            <v>B. Fashion &amp; Lifestyle</v>
          </cell>
          <cell r="H296" t="str">
            <v>Jewels &amp; Allied Formats</v>
          </cell>
          <cell r="I296" t="str">
            <v>Jewels Refit</v>
          </cell>
        </row>
        <row r="297">
          <cell r="A297" t="str">
            <v>JERFBK4834</v>
          </cell>
          <cell r="B297">
            <v>296</v>
          </cell>
          <cell r="C297"/>
          <cell r="D297" t="str">
            <v>TWR5</v>
          </cell>
          <cell r="E297" t="str">
            <v>Q7UR</v>
          </cell>
          <cell r="F297" t="str">
            <v>JEWECQ7UR02</v>
          </cell>
          <cell r="G297" t="str">
            <v>B. Fashion &amp; Lifestyle</v>
          </cell>
          <cell r="H297" t="str">
            <v>Jewels &amp; Allied Formats</v>
          </cell>
          <cell r="I297" t="str">
            <v>Jewels Refit</v>
          </cell>
        </row>
        <row r="298">
          <cell r="A298" t="str">
            <v>JERFRT4880</v>
          </cell>
          <cell r="B298">
            <v>297</v>
          </cell>
          <cell r="C298"/>
          <cell r="D298" t="str">
            <v>TH76</v>
          </cell>
          <cell r="E298" t="str">
            <v>NVX7</v>
          </cell>
          <cell r="F298" t="str">
            <v>JEWEUNVX704</v>
          </cell>
          <cell r="G298" t="str">
            <v>B. Fashion &amp; Lifestyle</v>
          </cell>
          <cell r="H298" t="str">
            <v>Jewels &amp; Allied Formats</v>
          </cell>
          <cell r="I298" t="str">
            <v>Jewels Refit</v>
          </cell>
        </row>
        <row r="299">
          <cell r="A299" t="str">
            <v>JERFAS10427</v>
          </cell>
          <cell r="B299">
            <v>298</v>
          </cell>
          <cell r="C299"/>
          <cell r="D299"/>
          <cell r="E299"/>
          <cell r="F299"/>
          <cell r="G299" t="str">
            <v>B. Fashion &amp; Lifestyle</v>
          </cell>
          <cell r="H299" t="str">
            <v>Jewels &amp; Allied Formats</v>
          </cell>
          <cell r="I299" t="str">
            <v>Jewels Refit</v>
          </cell>
        </row>
        <row r="300">
          <cell r="A300" t="str">
            <v>JERFSD10453</v>
          </cell>
          <cell r="B300">
            <v>299</v>
          </cell>
          <cell r="C300"/>
          <cell r="D300"/>
          <cell r="E300"/>
          <cell r="F300"/>
          <cell r="G300" t="str">
            <v>B. Fashion &amp; Lifestyle</v>
          </cell>
          <cell r="H300" t="str">
            <v>Jewels &amp; Allied Formats</v>
          </cell>
          <cell r="I300" t="str">
            <v>Jewels Refit</v>
          </cell>
        </row>
        <row r="301">
          <cell r="A301" t="str">
            <v>JESASD168</v>
          </cell>
          <cell r="B301">
            <v>300</v>
          </cell>
          <cell r="C301"/>
          <cell r="D301" t="str">
            <v>TH6W</v>
          </cell>
          <cell r="E301" t="str">
            <v>QZIE</v>
          </cell>
          <cell r="F301" t="str">
            <v>JEWEFQZIE00</v>
          </cell>
          <cell r="G301" t="str">
            <v>B. Fashion &amp; Lifestyle</v>
          </cell>
          <cell r="H301" t="str">
            <v>Jewels &amp; Allied Formats</v>
          </cell>
          <cell r="I301" t="str">
            <v>Jewels SAS</v>
          </cell>
        </row>
        <row r="302">
          <cell r="A302" t="str">
            <v>JESASD285</v>
          </cell>
          <cell r="B302">
            <v>301</v>
          </cell>
          <cell r="C302"/>
          <cell r="D302" t="str">
            <v>T3CZ</v>
          </cell>
          <cell r="E302" t="str">
            <v>QI8P</v>
          </cell>
          <cell r="F302" t="str">
            <v>JEWE6QI8P00</v>
          </cell>
          <cell r="G302" t="str">
            <v>B. Fashion &amp; Lifestyle</v>
          </cell>
          <cell r="H302" t="str">
            <v>Jewels &amp; Allied Formats</v>
          </cell>
          <cell r="I302" t="str">
            <v>Jewels SAS</v>
          </cell>
        </row>
        <row r="303">
          <cell r="A303" t="str">
            <v>JESAKC367</v>
          </cell>
          <cell r="B303">
            <v>302</v>
          </cell>
          <cell r="C303"/>
          <cell r="D303" t="str">
            <v>T2FV</v>
          </cell>
          <cell r="E303" t="str">
            <v>Q7CF</v>
          </cell>
          <cell r="F303" t="str">
            <v>JEWEGQ7CF00</v>
          </cell>
          <cell r="G303" t="str">
            <v>B. Fashion &amp; Lifestyle</v>
          </cell>
          <cell r="H303" t="str">
            <v>Jewels &amp; Allied Formats</v>
          </cell>
          <cell r="I303" t="str">
            <v>Jewels SAS</v>
          </cell>
        </row>
        <row r="304">
          <cell r="A304" t="str">
            <v>JEWEE787</v>
          </cell>
          <cell r="B304">
            <v>303</v>
          </cell>
          <cell r="C304"/>
          <cell r="D304" t="str">
            <v>T0UV</v>
          </cell>
          <cell r="E304" t="str">
            <v>Q5DM</v>
          </cell>
          <cell r="F304" t="str">
            <v>JEWE4Q5DM00</v>
          </cell>
          <cell r="G304" t="str">
            <v>B. Fashion &amp; Lifestyle</v>
          </cell>
          <cell r="H304" t="str">
            <v>Jewels &amp; Allied Formats</v>
          </cell>
          <cell r="I304" t="str">
            <v>Jewels SAS</v>
          </cell>
        </row>
        <row r="305">
          <cell r="A305" t="str">
            <v>JESART10425</v>
          </cell>
          <cell r="B305">
            <v>304</v>
          </cell>
          <cell r="C305"/>
          <cell r="D305"/>
          <cell r="E305"/>
          <cell r="F305"/>
          <cell r="G305" t="str">
            <v>B. Fashion &amp; Lifestyle</v>
          </cell>
          <cell r="H305" t="str">
            <v>Jewels &amp; Allied Formats</v>
          </cell>
          <cell r="I305" t="str">
            <v>Jewels SAS</v>
          </cell>
        </row>
        <row r="306">
          <cell r="A306" t="str">
            <v>JESABK10426</v>
          </cell>
          <cell r="B306">
            <v>305</v>
          </cell>
          <cell r="C306"/>
          <cell r="D306"/>
          <cell r="E306"/>
          <cell r="F306"/>
          <cell r="G306" t="str">
            <v>B. Fashion &amp; Lifestyle</v>
          </cell>
          <cell r="H306" t="str">
            <v>Jewels &amp; Allied Formats</v>
          </cell>
          <cell r="I306" t="str">
            <v>Jewels SAS</v>
          </cell>
        </row>
        <row r="307">
          <cell r="A307" t="str">
            <v>JESAAS10449</v>
          </cell>
          <cell r="B307">
            <v>306</v>
          </cell>
          <cell r="C307"/>
          <cell r="D307"/>
          <cell r="E307"/>
          <cell r="F307"/>
          <cell r="G307" t="str">
            <v>B. Fashion &amp; Lifestyle</v>
          </cell>
          <cell r="H307" t="str">
            <v>Jewels &amp; Allied Formats</v>
          </cell>
          <cell r="I307" t="str">
            <v>Jewels SAS</v>
          </cell>
        </row>
        <row r="308">
          <cell r="A308" t="str">
            <v>JESABK10450</v>
          </cell>
          <cell r="B308">
            <v>307</v>
          </cell>
          <cell r="C308"/>
          <cell r="D308"/>
          <cell r="E308"/>
          <cell r="F308"/>
          <cell r="G308" t="str">
            <v>B. Fashion &amp; Lifestyle</v>
          </cell>
          <cell r="H308" t="str">
            <v>Jewels &amp; Allied Formats</v>
          </cell>
          <cell r="I308" t="str">
            <v>Jewels SAS</v>
          </cell>
        </row>
        <row r="309">
          <cell r="A309" t="str">
            <v>JESART10451</v>
          </cell>
          <cell r="B309">
            <v>308</v>
          </cell>
          <cell r="C309"/>
          <cell r="D309"/>
          <cell r="E309"/>
          <cell r="F309"/>
          <cell r="G309" t="str">
            <v>B. Fashion &amp; Lifestyle</v>
          </cell>
          <cell r="H309" t="str">
            <v>Jewels &amp; Allied Formats</v>
          </cell>
          <cell r="I309" t="str">
            <v>Jewels SAS</v>
          </cell>
        </row>
        <row r="310">
          <cell r="A310" t="str">
            <v>JESABK10452</v>
          </cell>
          <cell r="B310">
            <v>309</v>
          </cell>
          <cell r="C310"/>
          <cell r="D310"/>
          <cell r="E310"/>
          <cell r="F310"/>
          <cell r="G310" t="str">
            <v>B. Fashion &amp; Lifestyle</v>
          </cell>
          <cell r="H310" t="str">
            <v>Jewels &amp; Allied Formats</v>
          </cell>
          <cell r="I310" t="str">
            <v>Jewels SAS</v>
          </cell>
        </row>
        <row r="311">
          <cell r="A311" t="str">
            <v>JESABK10464</v>
          </cell>
          <cell r="B311">
            <v>310</v>
          </cell>
          <cell r="C311"/>
          <cell r="D311"/>
          <cell r="E311"/>
          <cell r="F311"/>
          <cell r="G311" t="str">
            <v>B. Fashion &amp; Lifestyle</v>
          </cell>
          <cell r="H311" t="str">
            <v>Jewels &amp; Allied Formats</v>
          </cell>
          <cell r="I311" t="str">
            <v>Jewels SAS</v>
          </cell>
        </row>
        <row r="312">
          <cell r="A312" t="str">
            <v>JOHNSD10735</v>
          </cell>
          <cell r="B312">
            <v>311</v>
          </cell>
          <cell r="C312"/>
          <cell r="D312"/>
          <cell r="E312"/>
          <cell r="F312"/>
          <cell r="G312" t="str">
            <v>B. Fashion &amp; Lifestyle</v>
          </cell>
          <cell r="H312" t="str">
            <v>Trends &amp; Allied Formats (Part A)</v>
          </cell>
          <cell r="I312" t="str">
            <v>Johnplayer EBO</v>
          </cell>
        </row>
        <row r="313">
          <cell r="A313" t="str">
            <v>JOHNAS10741</v>
          </cell>
          <cell r="B313">
            <v>312</v>
          </cell>
          <cell r="C313"/>
          <cell r="D313"/>
          <cell r="E313"/>
          <cell r="F313"/>
          <cell r="G313" t="str">
            <v>B. Fashion &amp; Lifestyle</v>
          </cell>
          <cell r="H313" t="str">
            <v>Trends &amp; Allied Formats (Part A)</v>
          </cell>
          <cell r="I313" t="str">
            <v>Johnplayer EBO</v>
          </cell>
        </row>
        <row r="314">
          <cell r="A314" t="str">
            <v>JOHNAS10861</v>
          </cell>
          <cell r="B314">
            <v>313</v>
          </cell>
          <cell r="C314"/>
          <cell r="D314"/>
          <cell r="E314"/>
          <cell r="F314"/>
          <cell r="G314" t="str">
            <v>B. Fashion &amp; Lifestyle</v>
          </cell>
          <cell r="H314" t="str">
            <v>Trends &amp; Allied Formats (Part A)</v>
          </cell>
          <cell r="I314" t="str">
            <v>Johnplayer EBO</v>
          </cell>
        </row>
        <row r="315">
          <cell r="A315" t="str">
            <v>JOHNSD10863</v>
          </cell>
          <cell r="B315">
            <v>314</v>
          </cell>
          <cell r="C315"/>
          <cell r="D315"/>
          <cell r="E315"/>
          <cell r="F315"/>
          <cell r="G315" t="str">
            <v>B. Fashion &amp; Lifestyle</v>
          </cell>
          <cell r="H315" t="str">
            <v>Trends &amp; Allied Formats (Part A)</v>
          </cell>
          <cell r="I315" t="str">
            <v>Johnplayer EBO</v>
          </cell>
        </row>
        <row r="316">
          <cell r="A316" t="str">
            <v>JOHNAS11091</v>
          </cell>
          <cell r="B316">
            <v>315</v>
          </cell>
          <cell r="C316"/>
          <cell r="D316"/>
          <cell r="E316"/>
          <cell r="F316"/>
          <cell r="G316" t="str">
            <v>B. Fashion &amp; Lifestyle</v>
          </cell>
          <cell r="H316" t="str">
            <v>Trends &amp; Allied Formats (Part A)</v>
          </cell>
          <cell r="I316" t="str">
            <v>Johnplayer EBO</v>
          </cell>
        </row>
        <row r="317">
          <cell r="A317" t="str">
            <v>JOHNSD11092</v>
          </cell>
          <cell r="B317">
            <v>316</v>
          </cell>
          <cell r="C317"/>
          <cell r="D317"/>
          <cell r="E317"/>
          <cell r="F317"/>
          <cell r="G317" t="str">
            <v>B. Fashion &amp; Lifestyle</v>
          </cell>
          <cell r="H317" t="str">
            <v>Trends &amp; Allied Formats (Part A)</v>
          </cell>
          <cell r="I317" t="str">
            <v>Johnplayer EBO</v>
          </cell>
        </row>
        <row r="318">
          <cell r="A318" t="str">
            <v>JOHNAS11101</v>
          </cell>
          <cell r="B318">
            <v>317</v>
          </cell>
          <cell r="C318"/>
          <cell r="D318"/>
          <cell r="E318"/>
          <cell r="F318"/>
          <cell r="G318" t="str">
            <v>B. Fashion &amp; Lifestyle</v>
          </cell>
          <cell r="H318" t="str">
            <v>Trends &amp; Allied Formats (Part A)</v>
          </cell>
          <cell r="I318" t="str">
            <v>Johnplayer EBO</v>
          </cell>
        </row>
        <row r="319">
          <cell r="A319" t="str">
            <v>JOHNAS11108</v>
          </cell>
          <cell r="B319">
            <v>318</v>
          </cell>
          <cell r="C319"/>
          <cell r="D319"/>
          <cell r="E319"/>
          <cell r="F319"/>
          <cell r="G319" t="str">
            <v>B. Fashion &amp; Lifestyle</v>
          </cell>
          <cell r="H319" t="str">
            <v>Trends &amp; Allied Formats (Part A)</v>
          </cell>
          <cell r="I319" t="str">
            <v>Johnplayer EBO</v>
          </cell>
        </row>
        <row r="320">
          <cell r="A320" t="str">
            <v>JOHNAS11109</v>
          </cell>
          <cell r="B320">
            <v>319</v>
          </cell>
          <cell r="C320"/>
          <cell r="D320"/>
          <cell r="E320"/>
          <cell r="F320"/>
          <cell r="G320" t="str">
            <v>B. Fashion &amp; Lifestyle</v>
          </cell>
          <cell r="H320" t="str">
            <v>Trends &amp; Allied Formats (Part A)</v>
          </cell>
          <cell r="I320" t="str">
            <v>Johnplayer EBO</v>
          </cell>
        </row>
        <row r="321">
          <cell r="A321" t="str">
            <v>KALAAS10759</v>
          </cell>
          <cell r="B321">
            <v>320</v>
          </cell>
          <cell r="C321"/>
          <cell r="D321"/>
          <cell r="E321"/>
          <cell r="F321"/>
          <cell r="G321" t="str">
            <v>B. Fashion &amp; Lifestyle</v>
          </cell>
          <cell r="H321" t="str">
            <v>Trends &amp; Allied Formats (Part A)</v>
          </cell>
          <cell r="I321" t="str">
            <v>Kalanikethan / VRK Heritage</v>
          </cell>
        </row>
        <row r="322">
          <cell r="A322" t="str">
            <v>KALASD10877</v>
          </cell>
          <cell r="B322">
            <v>321</v>
          </cell>
          <cell r="C322"/>
          <cell r="D322"/>
          <cell r="E322"/>
          <cell r="F322"/>
          <cell r="G322" t="str">
            <v>B. Fashion &amp; Lifestyle</v>
          </cell>
          <cell r="H322" t="str">
            <v>Trends &amp; Allied Formats (Part A)</v>
          </cell>
          <cell r="I322" t="str">
            <v>Kalanikethan / VRK Heritage</v>
          </cell>
        </row>
        <row r="323">
          <cell r="A323" t="str">
            <v>KALAAS11095</v>
          </cell>
          <cell r="B323">
            <v>322</v>
          </cell>
          <cell r="C323"/>
          <cell r="D323"/>
          <cell r="E323"/>
          <cell r="F323"/>
          <cell r="G323" t="str">
            <v>B. Fashion &amp; Lifestyle</v>
          </cell>
          <cell r="H323" t="str">
            <v>Trends &amp; Allied Formats (Part A)</v>
          </cell>
          <cell r="I323" t="str">
            <v>Kalanikethan / VRK Heritage</v>
          </cell>
        </row>
        <row r="324">
          <cell r="A324" t="str">
            <v>KALASD11105</v>
          </cell>
          <cell r="B324">
            <v>323</v>
          </cell>
          <cell r="C324"/>
          <cell r="D324"/>
          <cell r="E324"/>
          <cell r="F324"/>
          <cell r="G324" t="str">
            <v>B. Fashion &amp; Lifestyle</v>
          </cell>
          <cell r="H324" t="str">
            <v>Trends &amp; Allied Formats (Part A)</v>
          </cell>
          <cell r="I324" t="str">
            <v>Kalanikethan / VRK Heritage</v>
          </cell>
        </row>
        <row r="325">
          <cell r="A325" t="str">
            <v>LEECAS10717</v>
          </cell>
          <cell r="B325">
            <v>324</v>
          </cell>
          <cell r="C325"/>
          <cell r="D325"/>
          <cell r="E325"/>
          <cell r="F325"/>
          <cell r="G325" t="str">
            <v>B. Fashion &amp; Lifestyle</v>
          </cell>
          <cell r="H325" t="str">
            <v>Trends &amp; Allied Formats (Part A)</v>
          </cell>
          <cell r="I325" t="str">
            <v>Lee Cooper EBO</v>
          </cell>
        </row>
        <row r="326">
          <cell r="A326" t="str">
            <v>LEECSD10860</v>
          </cell>
          <cell r="B326">
            <v>325</v>
          </cell>
          <cell r="C326"/>
          <cell r="D326"/>
          <cell r="E326"/>
          <cell r="F326"/>
          <cell r="G326" t="str">
            <v>B. Fashion &amp; Lifestyle</v>
          </cell>
          <cell r="H326" t="str">
            <v>Trends &amp; Allied Formats (Part A)</v>
          </cell>
          <cell r="I326" t="str">
            <v>Lee Cooper EBO</v>
          </cell>
        </row>
        <row r="327">
          <cell r="A327" t="str">
            <v>LEECAS10862</v>
          </cell>
          <cell r="B327">
            <v>326</v>
          </cell>
          <cell r="C327"/>
          <cell r="D327"/>
          <cell r="E327"/>
          <cell r="F327"/>
          <cell r="G327" t="str">
            <v>B. Fashion &amp; Lifestyle</v>
          </cell>
          <cell r="H327" t="str">
            <v>Trends &amp; Allied Formats (Part A)</v>
          </cell>
          <cell r="I327" t="str">
            <v>Lee Cooper EBO</v>
          </cell>
        </row>
        <row r="328">
          <cell r="A328" t="str">
            <v>LEECSD11084</v>
          </cell>
          <cell r="B328">
            <v>327</v>
          </cell>
          <cell r="C328"/>
          <cell r="D328"/>
          <cell r="E328"/>
          <cell r="F328"/>
          <cell r="G328" t="str">
            <v>B. Fashion &amp; Lifestyle</v>
          </cell>
          <cell r="H328" t="str">
            <v>Trends &amp; Allied Formats (Part A)</v>
          </cell>
          <cell r="I328" t="str">
            <v>Lee Cooper EBO</v>
          </cell>
        </row>
        <row r="329">
          <cell r="A329" t="str">
            <v>LEECAS11090</v>
          </cell>
          <cell r="B329">
            <v>328</v>
          </cell>
          <cell r="C329"/>
          <cell r="D329"/>
          <cell r="E329"/>
          <cell r="F329"/>
          <cell r="G329" t="str">
            <v>B. Fashion &amp; Lifestyle</v>
          </cell>
          <cell r="H329" t="str">
            <v>Trends &amp; Allied Formats (Part A)</v>
          </cell>
          <cell r="I329" t="str">
            <v>Lee Cooper EBO</v>
          </cell>
        </row>
        <row r="330">
          <cell r="A330" t="str">
            <v>LEECAS11093</v>
          </cell>
          <cell r="B330">
            <v>329</v>
          </cell>
          <cell r="C330"/>
          <cell r="D330"/>
          <cell r="E330"/>
          <cell r="F330"/>
          <cell r="G330" t="str">
            <v>B. Fashion &amp; Lifestyle</v>
          </cell>
          <cell r="H330" t="str">
            <v>Trends &amp; Allied Formats (Part A)</v>
          </cell>
          <cell r="I330" t="str">
            <v>Lee Cooper EBO</v>
          </cell>
        </row>
        <row r="331">
          <cell r="A331" t="str">
            <v>LEECAS11102</v>
          </cell>
          <cell r="B331">
            <v>330</v>
          </cell>
          <cell r="C331"/>
          <cell r="D331"/>
          <cell r="E331"/>
          <cell r="F331"/>
          <cell r="G331" t="str">
            <v>B. Fashion &amp; Lifestyle</v>
          </cell>
          <cell r="H331" t="str">
            <v>Trends &amp; Allied Formats (Part A)</v>
          </cell>
          <cell r="I331" t="str">
            <v>Lee Cooper EBO</v>
          </cell>
        </row>
        <row r="332">
          <cell r="A332" t="str">
            <v>MIDHAS4910</v>
          </cell>
          <cell r="B332">
            <v>331</v>
          </cell>
          <cell r="C332"/>
          <cell r="D332"/>
          <cell r="E332" t="str">
            <v>Dehire Site</v>
          </cell>
          <cell r="F332"/>
          <cell r="G332" t="str">
            <v>B. Fashion &amp; Lifestyle</v>
          </cell>
          <cell r="H332" t="str">
            <v>Other Fashion &amp; Lifestyle Formats</v>
          </cell>
          <cell r="I332" t="str">
            <v>Misc - Dehire</v>
          </cell>
        </row>
        <row r="333">
          <cell r="A333" t="str">
            <v>MIDHKC10518</v>
          </cell>
          <cell r="B333">
            <v>332</v>
          </cell>
          <cell r="C333"/>
          <cell r="D333"/>
          <cell r="E333"/>
          <cell r="F333"/>
          <cell r="G333" t="str">
            <v>B. Fashion &amp; Lifestyle</v>
          </cell>
          <cell r="H333" t="str">
            <v>Other Fashion &amp; Lifestyle Formats</v>
          </cell>
          <cell r="I333" t="str">
            <v>Misc - Dehire</v>
          </cell>
        </row>
        <row r="334">
          <cell r="A334" t="str">
            <v>MIDHKC10519</v>
          </cell>
          <cell r="B334">
            <v>333</v>
          </cell>
          <cell r="C334"/>
          <cell r="D334"/>
          <cell r="E334"/>
          <cell r="F334"/>
          <cell r="G334" t="str">
            <v>B. Fashion &amp; Lifestyle</v>
          </cell>
          <cell r="H334" t="str">
            <v>Other Fashion &amp; Lifestyle Formats</v>
          </cell>
          <cell r="I334" t="str">
            <v>Misc - Dehire</v>
          </cell>
        </row>
        <row r="335">
          <cell r="A335" t="str">
            <v>PERFKC4129</v>
          </cell>
          <cell r="B335">
            <v>334</v>
          </cell>
          <cell r="C335" t="str">
            <v>GJ-SM-JAM-091</v>
          </cell>
          <cell r="D335" t="str">
            <v>T2GS</v>
          </cell>
          <cell r="E335" t="str">
            <v>QB0K</v>
          </cell>
          <cell r="F335" t="str">
            <v>TPMXGQB0K00</v>
          </cell>
          <cell r="G335" t="str">
            <v>B. Fashion &amp; Lifestyle</v>
          </cell>
          <cell r="H335" t="str">
            <v>Trends &amp; Allied Formats (Part A)</v>
          </cell>
          <cell r="I335" t="str">
            <v>Performax</v>
          </cell>
        </row>
        <row r="336">
          <cell r="A336" t="str">
            <v>PERFAS4466</v>
          </cell>
          <cell r="B336">
            <v>335</v>
          </cell>
          <cell r="C336"/>
          <cell r="D336"/>
          <cell r="E336"/>
          <cell r="F336"/>
          <cell r="G336" t="str">
            <v>B. Fashion &amp; Lifestyle</v>
          </cell>
          <cell r="H336" t="str">
            <v>Trends &amp; Allied Formats (Part A)</v>
          </cell>
          <cell r="I336" t="str">
            <v>Performax</v>
          </cell>
        </row>
        <row r="337">
          <cell r="A337" t="str">
            <v>PERFBK10913</v>
          </cell>
          <cell r="B337">
            <v>336</v>
          </cell>
          <cell r="C337"/>
          <cell r="D337"/>
          <cell r="E337"/>
          <cell r="F337"/>
          <cell r="G337" t="str">
            <v>B. Fashion &amp; Lifestyle</v>
          </cell>
          <cell r="H337" t="str">
            <v>Trends &amp; Allied Formats (Part A)</v>
          </cell>
          <cell r="I337" t="str">
            <v>Performax</v>
          </cell>
        </row>
        <row r="338">
          <cell r="A338" t="str">
            <v>PERSSD10771</v>
          </cell>
          <cell r="B338">
            <v>337</v>
          </cell>
          <cell r="C338"/>
          <cell r="D338"/>
          <cell r="E338"/>
          <cell r="F338"/>
          <cell r="G338" t="str">
            <v>B. Fashion &amp; Lifestyle</v>
          </cell>
          <cell r="H338" t="str">
            <v>Trends &amp; Allied Formats (Part B)</v>
          </cell>
          <cell r="I338" t="str">
            <v>Performax SIS</v>
          </cell>
        </row>
        <row r="339">
          <cell r="A339" t="str">
            <v>PERSSD10772</v>
          </cell>
          <cell r="B339">
            <v>338</v>
          </cell>
          <cell r="C339"/>
          <cell r="D339"/>
          <cell r="E339"/>
          <cell r="F339"/>
          <cell r="G339" t="str">
            <v>B. Fashion &amp; Lifestyle</v>
          </cell>
          <cell r="H339" t="str">
            <v>Trends &amp; Allied Formats (Part B)</v>
          </cell>
          <cell r="I339" t="str">
            <v>Performax SIS</v>
          </cell>
        </row>
        <row r="340">
          <cell r="A340" t="str">
            <v>PERSAS10773</v>
          </cell>
          <cell r="B340">
            <v>339</v>
          </cell>
          <cell r="C340"/>
          <cell r="D340"/>
          <cell r="E340"/>
          <cell r="F340"/>
          <cell r="G340" t="str">
            <v>B. Fashion &amp; Lifestyle</v>
          </cell>
          <cell r="H340" t="str">
            <v>Trends &amp; Allied Formats (Part B)</v>
          </cell>
          <cell r="I340" t="str">
            <v>Performax SIS</v>
          </cell>
        </row>
        <row r="341">
          <cell r="A341" t="str">
            <v>PERSSD10774</v>
          </cell>
          <cell r="B341">
            <v>340</v>
          </cell>
          <cell r="C341"/>
          <cell r="D341"/>
          <cell r="E341"/>
          <cell r="F341"/>
          <cell r="G341" t="str">
            <v>B. Fashion &amp; Lifestyle</v>
          </cell>
          <cell r="H341" t="str">
            <v>Trends &amp; Allied Formats (Part B)</v>
          </cell>
          <cell r="I341" t="str">
            <v>Performax SIS</v>
          </cell>
        </row>
        <row r="342">
          <cell r="A342" t="str">
            <v>PERSSD10775</v>
          </cell>
          <cell r="B342">
            <v>341</v>
          </cell>
          <cell r="C342"/>
          <cell r="D342"/>
          <cell r="E342"/>
          <cell r="F342"/>
          <cell r="G342" t="str">
            <v>B. Fashion &amp; Lifestyle</v>
          </cell>
          <cell r="H342" t="str">
            <v>Trends &amp; Allied Formats (Part B)</v>
          </cell>
          <cell r="I342" t="str">
            <v>Performax SIS</v>
          </cell>
        </row>
        <row r="343">
          <cell r="A343" t="str">
            <v>PERSSD10776</v>
          </cell>
          <cell r="B343">
            <v>342</v>
          </cell>
          <cell r="C343"/>
          <cell r="D343"/>
          <cell r="E343"/>
          <cell r="F343"/>
          <cell r="G343" t="str">
            <v>B. Fashion &amp; Lifestyle</v>
          </cell>
          <cell r="H343" t="str">
            <v>Trends &amp; Allied Formats (Part B)</v>
          </cell>
          <cell r="I343" t="str">
            <v>Performax SIS</v>
          </cell>
        </row>
        <row r="344">
          <cell r="A344" t="str">
            <v>PERSAS10777</v>
          </cell>
          <cell r="B344">
            <v>343</v>
          </cell>
          <cell r="C344"/>
          <cell r="D344"/>
          <cell r="E344"/>
          <cell r="F344"/>
          <cell r="G344" t="str">
            <v>B. Fashion &amp; Lifestyle</v>
          </cell>
          <cell r="H344" t="str">
            <v>Trends &amp; Allied Formats (Part B)</v>
          </cell>
          <cell r="I344" t="str">
            <v>Performax SIS</v>
          </cell>
        </row>
        <row r="345">
          <cell r="A345" t="str">
            <v>PERSSD10778</v>
          </cell>
          <cell r="B345">
            <v>344</v>
          </cell>
          <cell r="C345"/>
          <cell r="D345"/>
          <cell r="E345"/>
          <cell r="F345"/>
          <cell r="G345" t="str">
            <v>B. Fashion &amp; Lifestyle</v>
          </cell>
          <cell r="H345" t="str">
            <v>Trends &amp; Allied Formats (Part B)</v>
          </cell>
          <cell r="I345" t="str">
            <v>Performax SIS</v>
          </cell>
        </row>
        <row r="346">
          <cell r="A346" t="str">
            <v>PERSAS10779</v>
          </cell>
          <cell r="B346">
            <v>345</v>
          </cell>
          <cell r="C346"/>
          <cell r="D346"/>
          <cell r="E346"/>
          <cell r="F346"/>
          <cell r="G346" t="str">
            <v>B. Fashion &amp; Lifestyle</v>
          </cell>
          <cell r="H346" t="str">
            <v>Trends &amp; Allied Formats (Part B)</v>
          </cell>
          <cell r="I346" t="str">
            <v>Performax SIS</v>
          </cell>
        </row>
        <row r="347">
          <cell r="A347" t="str">
            <v>PERSAS10780</v>
          </cell>
          <cell r="B347">
            <v>346</v>
          </cell>
          <cell r="C347"/>
          <cell r="D347"/>
          <cell r="E347"/>
          <cell r="F347"/>
          <cell r="G347" t="str">
            <v>B. Fashion &amp; Lifestyle</v>
          </cell>
          <cell r="H347" t="str">
            <v>Trends &amp; Allied Formats (Part B)</v>
          </cell>
          <cell r="I347" t="str">
            <v>Performax SIS</v>
          </cell>
        </row>
        <row r="348">
          <cell r="A348" t="str">
            <v>PERSAS10781</v>
          </cell>
          <cell r="B348">
            <v>347</v>
          </cell>
          <cell r="C348"/>
          <cell r="D348"/>
          <cell r="E348"/>
          <cell r="F348"/>
          <cell r="G348" t="str">
            <v>B. Fashion &amp; Lifestyle</v>
          </cell>
          <cell r="H348" t="str">
            <v>Trends &amp; Allied Formats (Part B)</v>
          </cell>
          <cell r="I348" t="str">
            <v>Performax SIS</v>
          </cell>
        </row>
        <row r="349">
          <cell r="A349" t="str">
            <v>PERSAS10782</v>
          </cell>
          <cell r="B349">
            <v>348</v>
          </cell>
          <cell r="C349"/>
          <cell r="D349"/>
          <cell r="E349"/>
          <cell r="F349"/>
          <cell r="G349" t="str">
            <v>B. Fashion &amp; Lifestyle</v>
          </cell>
          <cell r="H349" t="str">
            <v>Trends &amp; Allied Formats (Part B)</v>
          </cell>
          <cell r="I349" t="str">
            <v>Performax SIS</v>
          </cell>
        </row>
        <row r="350">
          <cell r="A350" t="str">
            <v>PERSAS10783</v>
          </cell>
          <cell r="B350">
            <v>349</v>
          </cell>
          <cell r="C350"/>
          <cell r="D350"/>
          <cell r="E350"/>
          <cell r="F350"/>
          <cell r="G350" t="str">
            <v>B. Fashion &amp; Lifestyle</v>
          </cell>
          <cell r="H350" t="str">
            <v>Trends &amp; Allied Formats (Part B)</v>
          </cell>
          <cell r="I350" t="str">
            <v>Performax SIS</v>
          </cell>
        </row>
        <row r="351">
          <cell r="A351" t="str">
            <v>PERSAS10784</v>
          </cell>
          <cell r="B351">
            <v>350</v>
          </cell>
          <cell r="C351"/>
          <cell r="D351"/>
          <cell r="E351"/>
          <cell r="F351"/>
          <cell r="G351" t="str">
            <v>B. Fashion &amp; Lifestyle</v>
          </cell>
          <cell r="H351" t="str">
            <v>Trends &amp; Allied Formats (Part B)</v>
          </cell>
          <cell r="I351" t="str">
            <v>Performax SIS</v>
          </cell>
        </row>
        <row r="352">
          <cell r="A352" t="str">
            <v>PERSSD10785</v>
          </cell>
          <cell r="B352">
            <v>351</v>
          </cell>
          <cell r="C352"/>
          <cell r="D352"/>
          <cell r="E352"/>
          <cell r="F352"/>
          <cell r="G352" t="str">
            <v>B. Fashion &amp; Lifestyle</v>
          </cell>
          <cell r="H352" t="str">
            <v>Trends &amp; Allied Formats (Part B)</v>
          </cell>
          <cell r="I352" t="str">
            <v>Performax SIS</v>
          </cell>
        </row>
        <row r="353">
          <cell r="A353" t="str">
            <v>PORTAS54</v>
          </cell>
          <cell r="B353">
            <v>352</v>
          </cell>
          <cell r="C353" t="str">
            <v>KR-SM-BAN-1070</v>
          </cell>
          <cell r="D353" t="str">
            <v>T0OJ</v>
          </cell>
          <cell r="E353" t="str">
            <v>Q4ZK</v>
          </cell>
          <cell r="F353" t="str">
            <v>PORTKQ4ZK00</v>
          </cell>
          <cell r="G353" t="str">
            <v>B. Fashion &amp; Lifestyle</v>
          </cell>
          <cell r="H353" t="str">
            <v>Trends &amp; Allied Formats (Part A)</v>
          </cell>
          <cell r="I353" t="str">
            <v>Portico EBO</v>
          </cell>
        </row>
        <row r="354">
          <cell r="A354" t="str">
            <v>PORTKC66</v>
          </cell>
          <cell r="B354">
            <v>353</v>
          </cell>
          <cell r="C354" t="str">
            <v>GJ-SM-JAM-091</v>
          </cell>
          <cell r="D354" t="str">
            <v>T2FR</v>
          </cell>
          <cell r="E354" t="str">
            <v>Q7CB</v>
          </cell>
          <cell r="F354" t="str">
            <v>PORTGQ7CB00</v>
          </cell>
          <cell r="G354" t="str">
            <v>B. Fashion &amp; Lifestyle</v>
          </cell>
          <cell r="H354" t="str">
            <v>Trends &amp; Allied Formats (Part A)</v>
          </cell>
          <cell r="I354" t="str">
            <v>Portico EBO</v>
          </cell>
        </row>
        <row r="355">
          <cell r="A355" t="str">
            <v>PORTBK74</v>
          </cell>
          <cell r="B355">
            <v>354</v>
          </cell>
          <cell r="C355" t="str">
            <v>GJ-SM-SUT-926</v>
          </cell>
          <cell r="D355"/>
          <cell r="E355"/>
          <cell r="F355"/>
          <cell r="G355" t="str">
            <v>B. Fashion &amp; Lifestyle</v>
          </cell>
          <cell r="H355" t="str">
            <v>Trends &amp; Allied Formats (Part A)</v>
          </cell>
          <cell r="I355" t="str">
            <v>Portico EBO</v>
          </cell>
        </row>
        <row r="356">
          <cell r="A356" t="str">
            <v>PORTAS3763</v>
          </cell>
          <cell r="B356">
            <v>355</v>
          </cell>
          <cell r="C356"/>
          <cell r="D356"/>
          <cell r="E356"/>
          <cell r="F356"/>
          <cell r="G356" t="str">
            <v>B. Fashion &amp; Lifestyle</v>
          </cell>
          <cell r="H356" t="str">
            <v>Trends &amp; Allied Formats (Part A)</v>
          </cell>
          <cell r="I356" t="str">
            <v>Portico EBO</v>
          </cell>
        </row>
        <row r="357">
          <cell r="A357" t="str">
            <v>PORTSD3764</v>
          </cell>
          <cell r="B357">
            <v>356</v>
          </cell>
          <cell r="C357"/>
          <cell r="D357"/>
          <cell r="E357" t="str">
            <v>QJ6Q</v>
          </cell>
          <cell r="F357" t="str">
            <v>PORTNQJ6Q01</v>
          </cell>
          <cell r="G357" t="str">
            <v>B. Fashion &amp; Lifestyle</v>
          </cell>
          <cell r="H357" t="str">
            <v>Trends &amp; Allied Formats (Part A)</v>
          </cell>
          <cell r="I357" t="str">
            <v>Portico EBO</v>
          </cell>
        </row>
        <row r="358">
          <cell r="A358" t="str">
            <v>PORTRT10642</v>
          </cell>
          <cell r="B358">
            <v>357</v>
          </cell>
          <cell r="C358"/>
          <cell r="D358"/>
          <cell r="E358"/>
          <cell r="F358"/>
          <cell r="G358" t="str">
            <v>B. Fashion &amp; Lifestyle</v>
          </cell>
          <cell r="H358" t="str">
            <v>Trends &amp; Allied Formats (Part A)</v>
          </cell>
          <cell r="I358" t="str">
            <v>Portico EBO</v>
          </cell>
        </row>
        <row r="359">
          <cell r="A359" t="str">
            <v>SAMBSD10745</v>
          </cell>
          <cell r="B359">
            <v>358</v>
          </cell>
          <cell r="C359"/>
          <cell r="D359"/>
          <cell r="E359"/>
          <cell r="F359"/>
          <cell r="G359" t="str">
            <v>B. Fashion &amp; Lifestyle</v>
          </cell>
          <cell r="H359" t="str">
            <v>F&amp;L Wholesale Formats</v>
          </cell>
          <cell r="I359" t="str">
            <v>Sambandam Store</v>
          </cell>
        </row>
        <row r="360">
          <cell r="A360" t="str">
            <v>SWADBK10633</v>
          </cell>
          <cell r="B360">
            <v>359</v>
          </cell>
          <cell r="C360"/>
          <cell r="D360"/>
          <cell r="E360"/>
          <cell r="F360"/>
          <cell r="G360" t="str">
            <v>B. Fashion &amp; Lifestyle</v>
          </cell>
          <cell r="H360" t="str">
            <v>Trends &amp; Allied Formats (Part A)</v>
          </cell>
          <cell r="I360" t="str">
            <v>Swadesh</v>
          </cell>
        </row>
        <row r="361">
          <cell r="A361" t="str">
            <v>SWADRT10643</v>
          </cell>
          <cell r="B361">
            <v>360</v>
          </cell>
          <cell r="C361"/>
          <cell r="D361"/>
          <cell r="E361"/>
          <cell r="F361"/>
          <cell r="G361" t="str">
            <v>B. Fashion &amp; Lifestyle</v>
          </cell>
          <cell r="H361" t="str">
            <v>Trends &amp; Allied Formats (Part A)</v>
          </cell>
          <cell r="I361" t="str">
            <v>Swadesh</v>
          </cell>
        </row>
        <row r="362">
          <cell r="A362" t="str">
            <v>TDSCW14</v>
          </cell>
          <cell r="B362">
            <v>361</v>
          </cell>
          <cell r="C362" t="str">
            <v>MP-OFF-IND-004</v>
          </cell>
          <cell r="D362" t="str">
            <v>ZYW4</v>
          </cell>
          <cell r="E362" t="str">
            <v>QXDM</v>
          </cell>
          <cell r="F362" t="str">
            <v>DCDCEQXDM00</v>
          </cell>
          <cell r="G362" t="str">
            <v>B. Fashion &amp; Lifestyle</v>
          </cell>
          <cell r="H362" t="str">
            <v>Other Fashion &amp; Lifestyle Formats</v>
          </cell>
          <cell r="I362" t="str">
            <v>TDSC</v>
          </cell>
        </row>
        <row r="363">
          <cell r="A363" t="str">
            <v>TRENW5</v>
          </cell>
          <cell r="B363">
            <v>362</v>
          </cell>
          <cell r="C363" t="str">
            <v>GJ-SM-AHM-919</v>
          </cell>
          <cell r="D363" t="str">
            <v>TX1V</v>
          </cell>
          <cell r="E363" t="str">
            <v>Q2QT</v>
          </cell>
          <cell r="F363" t="str">
            <v>TFITGQ2QT00</v>
          </cell>
          <cell r="G363" t="str">
            <v>B. Fashion &amp; Lifestyle</v>
          </cell>
          <cell r="H363" t="str">
            <v>Trends &amp; Allied Formats (Part A)</v>
          </cell>
          <cell r="I363" t="str">
            <v>Trends</v>
          </cell>
        </row>
        <row r="364">
          <cell r="A364" t="str">
            <v>TRENN21</v>
          </cell>
          <cell r="B364">
            <v>363</v>
          </cell>
          <cell r="C364" t="str">
            <v>PB-SM-TRN-903</v>
          </cell>
          <cell r="D364" t="str">
            <v>TKY2</v>
          </cell>
          <cell r="E364" t="str">
            <v>QEY0</v>
          </cell>
          <cell r="F364" t="str">
            <v>TFIT9QEY000</v>
          </cell>
          <cell r="G364" t="str">
            <v>B. Fashion &amp; Lifestyle</v>
          </cell>
          <cell r="H364" t="str">
            <v>Trends &amp; Allied Formats (Part A)</v>
          </cell>
          <cell r="I364" t="str">
            <v>Trends</v>
          </cell>
        </row>
        <row r="365">
          <cell r="A365" t="str">
            <v>TRDSRT193</v>
          </cell>
          <cell r="B365">
            <v>364</v>
          </cell>
          <cell r="C365"/>
          <cell r="D365"/>
          <cell r="E365"/>
          <cell r="F365"/>
          <cell r="G365" t="str">
            <v>B. Fashion &amp; Lifestyle</v>
          </cell>
          <cell r="H365" t="str">
            <v>Trends &amp; Allied Formats (Part A)</v>
          </cell>
          <cell r="I365" t="str">
            <v>Trends</v>
          </cell>
        </row>
        <row r="366">
          <cell r="A366" t="str">
            <v>TRDSBK215</v>
          </cell>
          <cell r="B366">
            <v>365</v>
          </cell>
          <cell r="C366"/>
          <cell r="D366"/>
          <cell r="E366" t="str">
            <v>QI2X</v>
          </cell>
          <cell r="F366" t="str">
            <v>TRNDMQI2X00</v>
          </cell>
          <cell r="G366" t="str">
            <v>B. Fashion &amp; Lifestyle</v>
          </cell>
          <cell r="H366" t="str">
            <v>Trends &amp; Allied Formats (Part A)</v>
          </cell>
          <cell r="I366" t="str">
            <v>Trends 3.0</v>
          </cell>
        </row>
        <row r="367">
          <cell r="A367" t="str">
            <v>TRDSBK232</v>
          </cell>
          <cell r="B367">
            <v>366</v>
          </cell>
          <cell r="C367"/>
          <cell r="D367"/>
          <cell r="E367"/>
          <cell r="F367"/>
          <cell r="G367" t="str">
            <v>B. Fashion &amp; Lifestyle</v>
          </cell>
          <cell r="H367" t="str">
            <v>Trends &amp; Allied Formats (Part A)</v>
          </cell>
          <cell r="I367" t="str">
            <v>Trends</v>
          </cell>
        </row>
        <row r="368">
          <cell r="A368" t="str">
            <v>TRENS420</v>
          </cell>
          <cell r="B368">
            <v>367</v>
          </cell>
          <cell r="C368" t="str">
            <v>TN-SM-CHE-248</v>
          </cell>
          <cell r="D368" t="str">
            <v>TV51</v>
          </cell>
          <cell r="E368" t="str">
            <v>NMT3</v>
          </cell>
          <cell r="F368" t="str">
            <v>TRNDTNMT302</v>
          </cell>
          <cell r="G368" t="str">
            <v>B. Fashion &amp; Lifestyle</v>
          </cell>
          <cell r="H368" t="str">
            <v>Trends &amp; Allied Formats (Part A)</v>
          </cell>
          <cell r="I368" t="str">
            <v>Trends</v>
          </cell>
        </row>
        <row r="369">
          <cell r="A369" t="str">
            <v>TRENS430</v>
          </cell>
          <cell r="B369">
            <v>368</v>
          </cell>
          <cell r="C369" t="str">
            <v>KR-SM-HUB-159</v>
          </cell>
          <cell r="D369" t="str">
            <v>TW62</v>
          </cell>
          <cell r="E369" t="str">
            <v>NOE8</v>
          </cell>
          <cell r="F369" t="str">
            <v>TFITKNOE800</v>
          </cell>
          <cell r="G369" t="str">
            <v>B. Fashion &amp; Lifestyle</v>
          </cell>
          <cell r="H369" t="str">
            <v>Trends &amp; Allied Formats (Part A)</v>
          </cell>
          <cell r="I369" t="str">
            <v>Trends</v>
          </cell>
        </row>
        <row r="370">
          <cell r="A370" t="str">
            <v>TRENS475</v>
          </cell>
          <cell r="B370">
            <v>369</v>
          </cell>
          <cell r="C370" t="str">
            <v>KR-SM-BAN-1044</v>
          </cell>
          <cell r="D370" t="str">
            <v>T51Y</v>
          </cell>
          <cell r="E370" t="str">
            <v>QPMM</v>
          </cell>
          <cell r="F370" t="str">
            <v>TFITKQPMM00</v>
          </cell>
          <cell r="G370" t="str">
            <v>B. Fashion &amp; Lifestyle</v>
          </cell>
          <cell r="H370" t="str">
            <v>Trends &amp; Allied Formats (Part A)</v>
          </cell>
          <cell r="I370" t="str">
            <v>Trends</v>
          </cell>
        </row>
        <row r="371">
          <cell r="A371" t="str">
            <v>TRENS640</v>
          </cell>
          <cell r="B371">
            <v>370</v>
          </cell>
          <cell r="C371" t="str">
            <v>TN-SM-MAD-903</v>
          </cell>
          <cell r="D371" t="str">
            <v>TG8W</v>
          </cell>
          <cell r="E371" t="str">
            <v>QZBE</v>
          </cell>
          <cell r="F371" t="str">
            <v>TRNDTQZBE00</v>
          </cell>
          <cell r="G371" t="str">
            <v>B. Fashion &amp; Lifestyle</v>
          </cell>
          <cell r="H371" t="str">
            <v>Trends &amp; Allied Formats (Part A)</v>
          </cell>
          <cell r="I371" t="str">
            <v>Trends</v>
          </cell>
        </row>
        <row r="372">
          <cell r="A372" t="str">
            <v>TRDSAS4087</v>
          </cell>
          <cell r="B372">
            <v>371</v>
          </cell>
          <cell r="C372" t="str">
            <v>TN-SM-PON-901</v>
          </cell>
          <cell r="D372" t="str">
            <v>TSP5</v>
          </cell>
          <cell r="E372" t="str">
            <v>Q2PJ</v>
          </cell>
          <cell r="F372" t="str">
            <v>TFIT8Q2PJ00</v>
          </cell>
          <cell r="G372" t="str">
            <v>B. Fashion &amp; Lifestyle</v>
          </cell>
          <cell r="H372" t="str">
            <v>Trends &amp; Allied Formats (Part A)</v>
          </cell>
          <cell r="I372" t="str">
            <v>Trends</v>
          </cell>
        </row>
        <row r="373">
          <cell r="A373" t="str">
            <v>TRDSRT4480</v>
          </cell>
          <cell r="B373">
            <v>372</v>
          </cell>
          <cell r="C373"/>
          <cell r="D373"/>
          <cell r="E373"/>
          <cell r="F373"/>
          <cell r="G373" t="str">
            <v>B. Fashion &amp; Lifestyle</v>
          </cell>
          <cell r="H373" t="str">
            <v>Trends &amp; Allied Formats (Part A)</v>
          </cell>
          <cell r="I373" t="str">
            <v>Trends 3.0</v>
          </cell>
        </row>
        <row r="374">
          <cell r="A374" t="str">
            <v>TRDSBK4482</v>
          </cell>
          <cell r="B374">
            <v>373</v>
          </cell>
          <cell r="C374" t="str">
            <v>GJ-SM-BHR-903</v>
          </cell>
          <cell r="D374" t="str">
            <v>TX1U</v>
          </cell>
          <cell r="E374" t="str">
            <v>Q2QS</v>
          </cell>
          <cell r="F374" t="str">
            <v>TRNDGQ2QS00</v>
          </cell>
          <cell r="G374" t="str">
            <v>B. Fashion &amp; Lifestyle</v>
          </cell>
          <cell r="H374" t="str">
            <v>Trends &amp; Allied Formats (Part A)</v>
          </cell>
          <cell r="I374" t="str">
            <v>Trends</v>
          </cell>
        </row>
        <row r="375">
          <cell r="A375" t="str">
            <v>TRDSAS4489</v>
          </cell>
          <cell r="B375">
            <v>374</v>
          </cell>
          <cell r="C375" t="str">
            <v>KE-SM-KKA-901</v>
          </cell>
          <cell r="D375" t="str">
            <v>T0AI</v>
          </cell>
          <cell r="E375" t="str">
            <v>Q4LR</v>
          </cell>
          <cell r="F375" t="str">
            <v>TFITVQ4LR00</v>
          </cell>
          <cell r="G375" t="str">
            <v>B. Fashion &amp; Lifestyle</v>
          </cell>
          <cell r="H375" t="str">
            <v>Trends &amp; Allied Formats (Part A)</v>
          </cell>
          <cell r="I375" t="str">
            <v>Trends</v>
          </cell>
        </row>
        <row r="376">
          <cell r="A376" t="str">
            <v>TRDSBK4491</v>
          </cell>
          <cell r="B376">
            <v>375</v>
          </cell>
          <cell r="C376" t="str">
            <v>MH-SM-LAT-901</v>
          </cell>
          <cell r="D376" t="str">
            <v>TSS5</v>
          </cell>
          <cell r="E376" t="str">
            <v>Q2QB</v>
          </cell>
          <cell r="F376" t="str">
            <v>TRNDMQ2QB00</v>
          </cell>
          <cell r="G376" t="str">
            <v>B. Fashion &amp; Lifestyle</v>
          </cell>
          <cell r="H376" t="str">
            <v>Trends &amp; Allied Formats (Part A)</v>
          </cell>
          <cell r="I376" t="str">
            <v>Trends</v>
          </cell>
        </row>
        <row r="377">
          <cell r="A377" t="str">
            <v>TRDSBK4493</v>
          </cell>
          <cell r="B377">
            <v>376</v>
          </cell>
          <cell r="C377" t="str">
            <v>MH-SM-SAN-905</v>
          </cell>
          <cell r="D377" t="str">
            <v>T0BX</v>
          </cell>
          <cell r="E377" t="str">
            <v>Q4NR</v>
          </cell>
          <cell r="F377" t="str">
            <v>TRNDMQ4NR00</v>
          </cell>
          <cell r="G377" t="str">
            <v>B. Fashion &amp; Lifestyle</v>
          </cell>
          <cell r="H377" t="str">
            <v>Trends &amp; Allied Formats (Part A)</v>
          </cell>
          <cell r="I377" t="str">
            <v>Trends</v>
          </cell>
        </row>
        <row r="378">
          <cell r="A378" t="str">
            <v>TRDSBK4496</v>
          </cell>
          <cell r="B378">
            <v>377</v>
          </cell>
          <cell r="C378"/>
          <cell r="D378" t="str">
            <v>TG0C</v>
          </cell>
          <cell r="E378" t="str">
            <v>QXPZ</v>
          </cell>
          <cell r="F378" t="str">
            <v>TRNDMQXPZ00</v>
          </cell>
          <cell r="G378" t="str">
            <v>B. Fashion &amp; Lifestyle</v>
          </cell>
          <cell r="H378" t="str">
            <v>Trends &amp; Allied Formats (Part A)</v>
          </cell>
          <cell r="I378" t="str">
            <v>Trends 3.0</v>
          </cell>
        </row>
        <row r="379">
          <cell r="A379" t="str">
            <v>TRDSSD4506</v>
          </cell>
          <cell r="B379">
            <v>378</v>
          </cell>
          <cell r="C379"/>
          <cell r="D379"/>
          <cell r="E379"/>
          <cell r="F379"/>
          <cell r="G379" t="str">
            <v>B. Fashion &amp; Lifestyle</v>
          </cell>
          <cell r="H379" t="str">
            <v>Trends &amp; Allied Formats (Part A)</v>
          </cell>
          <cell r="I379" t="str">
            <v>Trends</v>
          </cell>
        </row>
        <row r="380">
          <cell r="A380" t="str">
            <v>TRDSRT4507</v>
          </cell>
          <cell r="B380">
            <v>379</v>
          </cell>
          <cell r="C380"/>
          <cell r="D380"/>
          <cell r="E380"/>
          <cell r="F380"/>
          <cell r="G380" t="str">
            <v>B. Fashion &amp; Lifestyle</v>
          </cell>
          <cell r="H380" t="str">
            <v>Trends &amp; Allied Formats (Part A)</v>
          </cell>
          <cell r="I380" t="str">
            <v>Trends</v>
          </cell>
        </row>
        <row r="381">
          <cell r="A381" t="str">
            <v>TRDSRT4924</v>
          </cell>
          <cell r="B381">
            <v>380</v>
          </cell>
          <cell r="C381"/>
          <cell r="D381"/>
          <cell r="E381" t="str">
            <v>QKVV</v>
          </cell>
          <cell r="F381" t="str">
            <v>TRNDUQKVV00</v>
          </cell>
          <cell r="G381" t="str">
            <v>B. Fashion &amp; Lifestyle</v>
          </cell>
          <cell r="H381" t="str">
            <v>Trends &amp; Allied Formats (Part A)</v>
          </cell>
          <cell r="I381" t="str">
            <v>Trends</v>
          </cell>
        </row>
        <row r="382">
          <cell r="A382" t="str">
            <v>TRDSAS10650</v>
          </cell>
          <cell r="B382">
            <v>381</v>
          </cell>
          <cell r="C382"/>
          <cell r="D382"/>
          <cell r="E382"/>
          <cell r="F382"/>
          <cell r="G382" t="str">
            <v>B. Fashion &amp; Lifestyle</v>
          </cell>
          <cell r="H382" t="str">
            <v>Trends &amp; Allied Formats (Part A)</v>
          </cell>
          <cell r="I382" t="str">
            <v>Trends</v>
          </cell>
        </row>
        <row r="383">
          <cell r="A383" t="str">
            <v>TRDSAS10652</v>
          </cell>
          <cell r="B383">
            <v>382</v>
          </cell>
          <cell r="C383"/>
          <cell r="D383"/>
          <cell r="E383"/>
          <cell r="F383"/>
          <cell r="G383" t="str">
            <v>B. Fashion &amp; Lifestyle</v>
          </cell>
          <cell r="H383" t="str">
            <v>Trends &amp; Allied Formats (Part A)</v>
          </cell>
          <cell r="I383" t="str">
            <v>Trends</v>
          </cell>
        </row>
        <row r="384">
          <cell r="A384" t="str">
            <v>TRDSSD10653</v>
          </cell>
          <cell r="B384">
            <v>383</v>
          </cell>
          <cell r="C384"/>
          <cell r="D384"/>
          <cell r="E384"/>
          <cell r="F384"/>
          <cell r="G384" t="str">
            <v>B. Fashion &amp; Lifestyle</v>
          </cell>
          <cell r="H384" t="str">
            <v>Trends &amp; Allied Formats (Part A)</v>
          </cell>
          <cell r="I384" t="str">
            <v>Trends</v>
          </cell>
        </row>
        <row r="385">
          <cell r="A385" t="str">
            <v>TRD3SD10657</v>
          </cell>
          <cell r="B385">
            <v>384</v>
          </cell>
          <cell r="C385"/>
          <cell r="D385"/>
          <cell r="E385"/>
          <cell r="F385"/>
          <cell r="G385" t="str">
            <v>B. Fashion &amp; Lifestyle</v>
          </cell>
          <cell r="H385" t="str">
            <v>Trends &amp; Allied Formats (Part A)</v>
          </cell>
          <cell r="I385" t="str">
            <v>Trends 3.0</v>
          </cell>
        </row>
        <row r="386">
          <cell r="A386" t="str">
            <v>TRDSAS10658</v>
          </cell>
          <cell r="B386">
            <v>385</v>
          </cell>
          <cell r="C386"/>
          <cell r="D386"/>
          <cell r="E386"/>
          <cell r="F386"/>
          <cell r="G386" t="str">
            <v>B. Fashion &amp; Lifestyle</v>
          </cell>
          <cell r="H386" t="str">
            <v>Trends &amp; Allied Formats (Part A)</v>
          </cell>
          <cell r="I386" t="str">
            <v>Trends</v>
          </cell>
        </row>
        <row r="387">
          <cell r="A387" t="str">
            <v>TRDSAS10660</v>
          </cell>
          <cell r="B387">
            <v>386</v>
          </cell>
          <cell r="C387"/>
          <cell r="D387"/>
          <cell r="E387"/>
          <cell r="F387"/>
          <cell r="G387" t="str">
            <v>B. Fashion &amp; Lifestyle</v>
          </cell>
          <cell r="H387" t="str">
            <v>Trends &amp; Allied Formats (Part A)</v>
          </cell>
          <cell r="I387" t="str">
            <v>Trends</v>
          </cell>
        </row>
        <row r="388">
          <cell r="A388" t="str">
            <v>TRDSBK10712</v>
          </cell>
          <cell r="B388">
            <v>387</v>
          </cell>
          <cell r="C388"/>
          <cell r="D388"/>
          <cell r="E388"/>
          <cell r="F388"/>
          <cell r="G388" t="str">
            <v>B. Fashion &amp; Lifestyle</v>
          </cell>
          <cell r="H388" t="str">
            <v>Trends &amp; Allied Formats (Part A)</v>
          </cell>
          <cell r="I388" t="str">
            <v>Trends</v>
          </cell>
        </row>
        <row r="389">
          <cell r="A389" t="str">
            <v>TRDSBK10713</v>
          </cell>
          <cell r="B389">
            <v>388</v>
          </cell>
          <cell r="C389"/>
          <cell r="D389"/>
          <cell r="E389"/>
          <cell r="F389"/>
          <cell r="G389" t="str">
            <v>B. Fashion &amp; Lifestyle</v>
          </cell>
          <cell r="H389" t="str">
            <v>Trends &amp; Allied Formats (Part A)</v>
          </cell>
          <cell r="I389" t="str">
            <v>Trends</v>
          </cell>
        </row>
        <row r="390">
          <cell r="A390" t="str">
            <v>TRDSBK10714</v>
          </cell>
          <cell r="B390">
            <v>389</v>
          </cell>
          <cell r="C390"/>
          <cell r="D390"/>
          <cell r="E390"/>
          <cell r="F390"/>
          <cell r="G390" t="str">
            <v>B. Fashion &amp; Lifestyle</v>
          </cell>
          <cell r="H390" t="str">
            <v>Trends &amp; Allied Formats (Part A)</v>
          </cell>
          <cell r="I390" t="str">
            <v>Trends</v>
          </cell>
        </row>
        <row r="391">
          <cell r="A391" t="str">
            <v>TRD3SD10720</v>
          </cell>
          <cell r="B391">
            <v>390</v>
          </cell>
          <cell r="C391"/>
          <cell r="D391"/>
          <cell r="E391"/>
          <cell r="F391"/>
          <cell r="G391" t="str">
            <v>B. Fashion &amp; Lifestyle</v>
          </cell>
          <cell r="H391" t="str">
            <v>Trends &amp; Allied Formats (Part A)</v>
          </cell>
          <cell r="I391" t="str">
            <v>Trends 3.0</v>
          </cell>
        </row>
        <row r="392">
          <cell r="A392" t="str">
            <v>TRDSSD10721</v>
          </cell>
          <cell r="B392">
            <v>391</v>
          </cell>
          <cell r="C392"/>
          <cell r="D392"/>
          <cell r="E392"/>
          <cell r="F392"/>
          <cell r="G392" t="str">
            <v>B. Fashion &amp; Lifestyle</v>
          </cell>
          <cell r="H392" t="str">
            <v>Trends &amp; Allied Formats (Part A)</v>
          </cell>
          <cell r="I392" t="str">
            <v>Trends</v>
          </cell>
        </row>
        <row r="393">
          <cell r="A393" t="str">
            <v>TRD3AS10722</v>
          </cell>
          <cell r="B393">
            <v>392</v>
          </cell>
          <cell r="C393"/>
          <cell r="D393"/>
          <cell r="E393"/>
          <cell r="F393"/>
          <cell r="G393" t="str">
            <v>B. Fashion &amp; Lifestyle</v>
          </cell>
          <cell r="H393" t="str">
            <v>Trends &amp; Allied Formats (Part A)</v>
          </cell>
          <cell r="I393" t="str">
            <v>Trends 3.0</v>
          </cell>
        </row>
        <row r="394">
          <cell r="A394" t="str">
            <v>TRD3AS10724</v>
          </cell>
          <cell r="B394">
            <v>393</v>
          </cell>
          <cell r="C394"/>
          <cell r="D394"/>
          <cell r="E394"/>
          <cell r="F394"/>
          <cell r="G394" t="str">
            <v>B. Fashion &amp; Lifestyle</v>
          </cell>
          <cell r="H394" t="str">
            <v>Trends &amp; Allied Formats (Part A)</v>
          </cell>
          <cell r="I394" t="str">
            <v>Trends 3.0</v>
          </cell>
        </row>
        <row r="395">
          <cell r="A395" t="str">
            <v>TRDSAS10726</v>
          </cell>
          <cell r="B395">
            <v>394</v>
          </cell>
          <cell r="C395"/>
          <cell r="D395"/>
          <cell r="E395"/>
          <cell r="F395"/>
          <cell r="G395" t="str">
            <v>B. Fashion &amp; Lifestyle</v>
          </cell>
          <cell r="H395" t="str">
            <v>Trends &amp; Allied Formats (Part A)</v>
          </cell>
          <cell r="I395" t="str">
            <v>Trends</v>
          </cell>
        </row>
        <row r="396">
          <cell r="A396" t="str">
            <v>TRD3SD10737</v>
          </cell>
          <cell r="B396">
            <v>395</v>
          </cell>
          <cell r="C396"/>
          <cell r="D396"/>
          <cell r="E396"/>
          <cell r="F396"/>
          <cell r="G396" t="str">
            <v>B. Fashion &amp; Lifestyle</v>
          </cell>
          <cell r="H396" t="str">
            <v>Trends &amp; Allied Formats (Part A)</v>
          </cell>
          <cell r="I396" t="str">
            <v>Trends 3.0</v>
          </cell>
        </row>
        <row r="397">
          <cell r="A397" t="str">
            <v>TRDSAS10739</v>
          </cell>
          <cell r="B397">
            <v>396</v>
          </cell>
          <cell r="C397"/>
          <cell r="D397"/>
          <cell r="E397"/>
          <cell r="F397"/>
          <cell r="G397" t="str">
            <v>B. Fashion &amp; Lifestyle</v>
          </cell>
          <cell r="H397" t="str">
            <v>Trends &amp; Allied Formats (Part A)</v>
          </cell>
          <cell r="I397" t="str">
            <v>Trends</v>
          </cell>
        </row>
        <row r="398">
          <cell r="A398" t="str">
            <v>TRD3AS10750</v>
          </cell>
          <cell r="B398">
            <v>397</v>
          </cell>
          <cell r="C398"/>
          <cell r="D398"/>
          <cell r="E398"/>
          <cell r="F398"/>
          <cell r="G398" t="str">
            <v>B. Fashion &amp; Lifestyle</v>
          </cell>
          <cell r="H398" t="str">
            <v>Trends &amp; Allied Formats (Part A)</v>
          </cell>
          <cell r="I398" t="str">
            <v>Trends 3.0</v>
          </cell>
        </row>
        <row r="399">
          <cell r="A399" t="str">
            <v>TRDSSD10767</v>
          </cell>
          <cell r="B399">
            <v>398</v>
          </cell>
          <cell r="C399"/>
          <cell r="D399"/>
          <cell r="E399"/>
          <cell r="F399"/>
          <cell r="G399" t="str">
            <v>B. Fashion &amp; Lifestyle</v>
          </cell>
          <cell r="H399" t="str">
            <v>Trends &amp; Allied Formats (Part A)</v>
          </cell>
          <cell r="I399" t="str">
            <v>Trends 3.0</v>
          </cell>
        </row>
        <row r="400">
          <cell r="A400" t="str">
            <v>TRDSAS10821</v>
          </cell>
          <cell r="B400">
            <v>399</v>
          </cell>
          <cell r="C400"/>
          <cell r="D400"/>
          <cell r="E400"/>
          <cell r="F400"/>
          <cell r="G400" t="str">
            <v>B. Fashion &amp; Lifestyle</v>
          </cell>
          <cell r="H400" t="str">
            <v>Trends &amp; Allied Formats (Part A)</v>
          </cell>
          <cell r="I400" t="str">
            <v>Trends</v>
          </cell>
        </row>
        <row r="401">
          <cell r="A401" t="str">
            <v>TRDSSD10822</v>
          </cell>
          <cell r="B401">
            <v>400</v>
          </cell>
          <cell r="C401"/>
          <cell r="D401"/>
          <cell r="E401"/>
          <cell r="F401"/>
          <cell r="G401" t="str">
            <v>B. Fashion &amp; Lifestyle</v>
          </cell>
          <cell r="H401" t="str">
            <v>Trends &amp; Allied Formats (Part A)</v>
          </cell>
          <cell r="I401" t="str">
            <v>Trends</v>
          </cell>
        </row>
        <row r="402">
          <cell r="A402" t="str">
            <v>TRDSAS10823</v>
          </cell>
          <cell r="B402">
            <v>401</v>
          </cell>
          <cell r="C402"/>
          <cell r="D402"/>
          <cell r="E402"/>
          <cell r="F402"/>
          <cell r="G402" t="str">
            <v>B. Fashion &amp; Lifestyle</v>
          </cell>
          <cell r="H402" t="str">
            <v>Trends &amp; Allied Formats (Part A)</v>
          </cell>
          <cell r="I402" t="str">
            <v>Trends</v>
          </cell>
        </row>
        <row r="403">
          <cell r="A403" t="str">
            <v>TRDSSD10824</v>
          </cell>
          <cell r="B403">
            <v>402</v>
          </cell>
          <cell r="C403"/>
          <cell r="D403"/>
          <cell r="E403"/>
          <cell r="F403"/>
          <cell r="G403" t="str">
            <v>B. Fashion &amp; Lifestyle</v>
          </cell>
          <cell r="H403" t="str">
            <v>Trends &amp; Allied Formats (Part A)</v>
          </cell>
          <cell r="I403" t="str">
            <v>Trends</v>
          </cell>
        </row>
        <row r="404">
          <cell r="A404" t="str">
            <v>TRDSSD10825</v>
          </cell>
          <cell r="B404">
            <v>403</v>
          </cell>
          <cell r="C404"/>
          <cell r="D404"/>
          <cell r="E404"/>
          <cell r="F404"/>
          <cell r="G404" t="str">
            <v>B. Fashion &amp; Lifestyle</v>
          </cell>
          <cell r="H404" t="str">
            <v>Trends &amp; Allied Formats (Part A)</v>
          </cell>
          <cell r="I404" t="str">
            <v>Trends</v>
          </cell>
        </row>
        <row r="405">
          <cell r="A405" t="str">
            <v>TRDSSD10826</v>
          </cell>
          <cell r="B405">
            <v>404</v>
          </cell>
          <cell r="C405"/>
          <cell r="D405"/>
          <cell r="E405"/>
          <cell r="F405"/>
          <cell r="G405" t="str">
            <v>B. Fashion &amp; Lifestyle</v>
          </cell>
          <cell r="H405" t="str">
            <v>Trends &amp; Allied Formats (Part A)</v>
          </cell>
          <cell r="I405" t="str">
            <v>Trends</v>
          </cell>
        </row>
        <row r="406">
          <cell r="A406" t="str">
            <v>TRDSAS10827</v>
          </cell>
          <cell r="B406">
            <v>405</v>
          </cell>
          <cell r="C406"/>
          <cell r="D406"/>
          <cell r="E406"/>
          <cell r="F406"/>
          <cell r="G406" t="str">
            <v>B. Fashion &amp; Lifestyle</v>
          </cell>
          <cell r="H406" t="str">
            <v>Trends &amp; Allied Formats (Part A)</v>
          </cell>
          <cell r="I406" t="str">
            <v>Trends</v>
          </cell>
        </row>
        <row r="407">
          <cell r="A407" t="str">
            <v>TRDSSD10828</v>
          </cell>
          <cell r="B407">
            <v>406</v>
          </cell>
          <cell r="C407"/>
          <cell r="D407"/>
          <cell r="E407"/>
          <cell r="F407"/>
          <cell r="G407" t="str">
            <v>B. Fashion &amp; Lifestyle</v>
          </cell>
          <cell r="H407" t="str">
            <v>Trends &amp; Allied Formats (Part A)</v>
          </cell>
          <cell r="I407" t="str">
            <v>Trends</v>
          </cell>
        </row>
        <row r="408">
          <cell r="A408" t="str">
            <v>TRDSSD10829</v>
          </cell>
          <cell r="B408">
            <v>407</v>
          </cell>
          <cell r="C408"/>
          <cell r="D408"/>
          <cell r="E408"/>
          <cell r="F408"/>
          <cell r="G408" t="str">
            <v>B. Fashion &amp; Lifestyle</v>
          </cell>
          <cell r="H408" t="str">
            <v>Trends &amp; Allied Formats (Part A)</v>
          </cell>
          <cell r="I408" t="str">
            <v>Trends</v>
          </cell>
        </row>
        <row r="409">
          <cell r="A409" t="str">
            <v>TRDSSD10830</v>
          </cell>
          <cell r="B409">
            <v>408</v>
          </cell>
          <cell r="C409"/>
          <cell r="D409"/>
          <cell r="E409"/>
          <cell r="F409"/>
          <cell r="G409" t="str">
            <v>B. Fashion &amp; Lifestyle</v>
          </cell>
          <cell r="H409" t="str">
            <v>Trends &amp; Allied Formats (Part A)</v>
          </cell>
          <cell r="I409" t="str">
            <v>Trends</v>
          </cell>
        </row>
        <row r="410">
          <cell r="A410" t="str">
            <v>TRDSSD10831</v>
          </cell>
          <cell r="B410">
            <v>409</v>
          </cell>
          <cell r="C410"/>
          <cell r="D410"/>
          <cell r="E410"/>
          <cell r="F410"/>
          <cell r="G410" t="str">
            <v>B. Fashion &amp; Lifestyle</v>
          </cell>
          <cell r="H410" t="str">
            <v>Trends &amp; Allied Formats (Part A)</v>
          </cell>
          <cell r="I410" t="str">
            <v>Trends</v>
          </cell>
        </row>
        <row r="411">
          <cell r="A411" t="str">
            <v>TRDSSD10832</v>
          </cell>
          <cell r="B411">
            <v>410</v>
          </cell>
          <cell r="C411"/>
          <cell r="D411"/>
          <cell r="E411"/>
          <cell r="F411"/>
          <cell r="G411" t="str">
            <v>B. Fashion &amp; Lifestyle</v>
          </cell>
          <cell r="H411" t="str">
            <v>Trends &amp; Allied Formats (Part A)</v>
          </cell>
          <cell r="I411" t="str">
            <v>Trends</v>
          </cell>
        </row>
        <row r="412">
          <cell r="A412" t="str">
            <v>TRDSSD10833</v>
          </cell>
          <cell r="B412">
            <v>411</v>
          </cell>
          <cell r="C412"/>
          <cell r="D412"/>
          <cell r="E412"/>
          <cell r="F412"/>
          <cell r="G412" t="str">
            <v>B. Fashion &amp; Lifestyle</v>
          </cell>
          <cell r="H412" t="str">
            <v>Trends &amp; Allied Formats (Part A)</v>
          </cell>
          <cell r="I412" t="str">
            <v>Trends</v>
          </cell>
        </row>
        <row r="413">
          <cell r="A413" t="str">
            <v>TRDSSD10834</v>
          </cell>
          <cell r="B413">
            <v>412</v>
          </cell>
          <cell r="C413"/>
          <cell r="D413"/>
          <cell r="E413"/>
          <cell r="F413"/>
          <cell r="G413" t="str">
            <v>B. Fashion &amp; Lifestyle</v>
          </cell>
          <cell r="H413" t="str">
            <v>Trends &amp; Allied Formats (Part A)</v>
          </cell>
          <cell r="I413" t="str">
            <v>Trends</v>
          </cell>
        </row>
        <row r="414">
          <cell r="A414" t="str">
            <v>TRDSSD10835</v>
          </cell>
          <cell r="B414">
            <v>413</v>
          </cell>
          <cell r="C414"/>
          <cell r="D414"/>
          <cell r="E414"/>
          <cell r="F414"/>
          <cell r="G414" t="str">
            <v>B. Fashion &amp; Lifestyle</v>
          </cell>
          <cell r="H414" t="str">
            <v>Trends &amp; Allied Formats (Part A)</v>
          </cell>
          <cell r="I414" t="str">
            <v>Trends</v>
          </cell>
        </row>
        <row r="415">
          <cell r="A415" t="str">
            <v>TRDSAS10837</v>
          </cell>
          <cell r="B415">
            <v>414</v>
          </cell>
          <cell r="C415"/>
          <cell r="D415"/>
          <cell r="E415"/>
          <cell r="F415"/>
          <cell r="G415" t="str">
            <v>B. Fashion &amp; Lifestyle</v>
          </cell>
          <cell r="H415" t="str">
            <v>Trends &amp; Allied Formats (Part A)</v>
          </cell>
          <cell r="I415" t="str">
            <v>Trends</v>
          </cell>
        </row>
        <row r="416">
          <cell r="A416" t="str">
            <v>TRDSAS10845</v>
          </cell>
          <cell r="B416">
            <v>415</v>
          </cell>
          <cell r="C416"/>
          <cell r="D416"/>
          <cell r="E416"/>
          <cell r="F416"/>
          <cell r="G416" t="str">
            <v>B. Fashion &amp; Lifestyle</v>
          </cell>
          <cell r="H416" t="str">
            <v>Trends &amp; Allied Formats (Part A)</v>
          </cell>
          <cell r="I416" t="str">
            <v>Trends</v>
          </cell>
        </row>
        <row r="417">
          <cell r="A417" t="str">
            <v>TRDSAS10846</v>
          </cell>
          <cell r="B417">
            <v>416</v>
          </cell>
          <cell r="C417"/>
          <cell r="D417"/>
          <cell r="E417"/>
          <cell r="F417"/>
          <cell r="G417" t="str">
            <v>B. Fashion &amp; Lifestyle</v>
          </cell>
          <cell r="H417" t="str">
            <v>Trends &amp; Allied Formats (Part A)</v>
          </cell>
          <cell r="I417" t="str">
            <v>Trends</v>
          </cell>
        </row>
        <row r="418">
          <cell r="A418" t="str">
            <v>TRDSSD10847</v>
          </cell>
          <cell r="B418">
            <v>417</v>
          </cell>
          <cell r="C418"/>
          <cell r="D418"/>
          <cell r="E418"/>
          <cell r="F418"/>
          <cell r="G418" t="str">
            <v>B. Fashion &amp; Lifestyle</v>
          </cell>
          <cell r="H418" t="str">
            <v>Trends &amp; Allied Formats (Part A)</v>
          </cell>
          <cell r="I418" t="str">
            <v>Trends</v>
          </cell>
        </row>
        <row r="419">
          <cell r="A419" t="str">
            <v>TRDSAS10848</v>
          </cell>
          <cell r="B419">
            <v>418</v>
          </cell>
          <cell r="C419"/>
          <cell r="D419"/>
          <cell r="E419"/>
          <cell r="F419"/>
          <cell r="G419" t="str">
            <v>B. Fashion &amp; Lifestyle</v>
          </cell>
          <cell r="H419" t="str">
            <v>Trends &amp; Allied Formats (Part A)</v>
          </cell>
          <cell r="I419" t="str">
            <v>Trends</v>
          </cell>
        </row>
        <row r="420">
          <cell r="A420" t="str">
            <v>TRDSSD10849</v>
          </cell>
          <cell r="B420">
            <v>419</v>
          </cell>
          <cell r="C420"/>
          <cell r="D420"/>
          <cell r="E420"/>
          <cell r="F420"/>
          <cell r="G420" t="str">
            <v>B. Fashion &amp; Lifestyle</v>
          </cell>
          <cell r="H420" t="str">
            <v>Trends &amp; Allied Formats (Part A)</v>
          </cell>
          <cell r="I420" t="str">
            <v>Trends</v>
          </cell>
        </row>
        <row r="421">
          <cell r="A421" t="str">
            <v>TRDSAS10855</v>
          </cell>
          <cell r="B421">
            <v>420</v>
          </cell>
          <cell r="C421"/>
          <cell r="D421"/>
          <cell r="E421"/>
          <cell r="F421"/>
          <cell r="G421" t="str">
            <v>B. Fashion &amp; Lifestyle</v>
          </cell>
          <cell r="H421" t="str">
            <v>Trends &amp; Allied Formats (Part A)</v>
          </cell>
          <cell r="I421" t="str">
            <v>Trends</v>
          </cell>
        </row>
        <row r="422">
          <cell r="A422" t="str">
            <v>TRDSAS10859</v>
          </cell>
          <cell r="B422">
            <v>421</v>
          </cell>
          <cell r="C422"/>
          <cell r="D422"/>
          <cell r="E422"/>
          <cell r="F422"/>
          <cell r="G422" t="str">
            <v>B. Fashion &amp; Lifestyle</v>
          </cell>
          <cell r="H422" t="str">
            <v>Trends &amp; Allied Formats (Part A)</v>
          </cell>
          <cell r="I422" t="str">
            <v>Trends</v>
          </cell>
        </row>
        <row r="423">
          <cell r="A423" t="str">
            <v>TRDSAS10875</v>
          </cell>
          <cell r="B423">
            <v>422</v>
          </cell>
          <cell r="C423"/>
          <cell r="D423"/>
          <cell r="E423"/>
          <cell r="F423"/>
          <cell r="G423" t="str">
            <v>B. Fashion &amp; Lifestyle</v>
          </cell>
          <cell r="H423" t="str">
            <v>Trends &amp; Allied Formats (Part A)</v>
          </cell>
          <cell r="I423" t="str">
            <v>Trends</v>
          </cell>
        </row>
        <row r="424">
          <cell r="A424" t="str">
            <v>TRDSBK10916</v>
          </cell>
          <cell r="B424">
            <v>423</v>
          </cell>
          <cell r="C424"/>
          <cell r="D424"/>
          <cell r="E424"/>
          <cell r="F424"/>
          <cell r="G424" t="str">
            <v>B. Fashion &amp; Lifestyle</v>
          </cell>
          <cell r="H424" t="str">
            <v>Trends &amp; Allied Formats (Part A)</v>
          </cell>
          <cell r="I424" t="str">
            <v>Trends</v>
          </cell>
        </row>
        <row r="425">
          <cell r="A425" t="str">
            <v>TRDSSD11011</v>
          </cell>
          <cell r="B425">
            <v>424</v>
          </cell>
          <cell r="C425"/>
          <cell r="D425"/>
          <cell r="E425"/>
          <cell r="F425"/>
          <cell r="G425" t="str">
            <v>B. Fashion &amp; Lifestyle</v>
          </cell>
          <cell r="H425" t="str">
            <v>Trends &amp; Allied Formats (Part A)</v>
          </cell>
          <cell r="I425" t="str">
            <v>Trends</v>
          </cell>
        </row>
        <row r="426">
          <cell r="A426" t="str">
            <v>TRD3SD11013</v>
          </cell>
          <cell r="B426">
            <v>425</v>
          </cell>
          <cell r="C426"/>
          <cell r="D426"/>
          <cell r="E426"/>
          <cell r="F426"/>
          <cell r="G426" t="str">
            <v>B. Fashion &amp; Lifestyle</v>
          </cell>
          <cell r="H426" t="str">
            <v>Trends &amp; Allied Formats (Part A)</v>
          </cell>
          <cell r="I426" t="str">
            <v>Trends 3.0</v>
          </cell>
        </row>
        <row r="427">
          <cell r="A427" t="str">
            <v>TRD3SD11014</v>
          </cell>
          <cell r="B427">
            <v>426</v>
          </cell>
          <cell r="C427"/>
          <cell r="D427"/>
          <cell r="E427"/>
          <cell r="F427"/>
          <cell r="G427" t="str">
            <v>B. Fashion &amp; Lifestyle</v>
          </cell>
          <cell r="H427" t="str">
            <v>Trends &amp; Allied Formats (Part A)</v>
          </cell>
          <cell r="I427" t="str">
            <v>Trends 3.0</v>
          </cell>
        </row>
        <row r="428">
          <cell r="A428" t="str">
            <v>TRD3AS11017</v>
          </cell>
          <cell r="B428">
            <v>427</v>
          </cell>
          <cell r="C428"/>
          <cell r="D428"/>
          <cell r="E428"/>
          <cell r="F428"/>
          <cell r="G428" t="str">
            <v>B. Fashion &amp; Lifestyle</v>
          </cell>
          <cell r="H428" t="str">
            <v>Trends &amp; Allied Formats (Part A)</v>
          </cell>
          <cell r="I428" t="str">
            <v>Trends 3.0</v>
          </cell>
        </row>
        <row r="429">
          <cell r="A429" t="str">
            <v>TRDSAS11070</v>
          </cell>
          <cell r="B429">
            <v>428</v>
          </cell>
          <cell r="C429"/>
          <cell r="D429"/>
          <cell r="E429"/>
          <cell r="F429"/>
          <cell r="G429" t="str">
            <v>B. Fashion &amp; Lifestyle</v>
          </cell>
          <cell r="H429" t="str">
            <v>Trends &amp; Allied Formats (Part A)</v>
          </cell>
          <cell r="I429" t="str">
            <v>Trends</v>
          </cell>
        </row>
        <row r="430">
          <cell r="A430" t="str">
            <v>TRDSAS11074</v>
          </cell>
          <cell r="B430">
            <v>429</v>
          </cell>
          <cell r="C430"/>
          <cell r="D430"/>
          <cell r="E430"/>
          <cell r="F430"/>
          <cell r="G430" t="str">
            <v>B. Fashion &amp; Lifestyle</v>
          </cell>
          <cell r="H430" t="str">
            <v>Trends &amp; Allied Formats (Part A)</v>
          </cell>
          <cell r="I430" t="str">
            <v>Trends</v>
          </cell>
        </row>
        <row r="431">
          <cell r="A431" t="str">
            <v>TRDSAS11075</v>
          </cell>
          <cell r="B431">
            <v>430</v>
          </cell>
          <cell r="C431"/>
          <cell r="D431"/>
          <cell r="E431"/>
          <cell r="F431"/>
          <cell r="G431" t="str">
            <v>B. Fashion &amp; Lifestyle</v>
          </cell>
          <cell r="H431" t="str">
            <v>Trends &amp; Allied Formats (Part A)</v>
          </cell>
          <cell r="I431" t="str">
            <v>Trends</v>
          </cell>
        </row>
        <row r="432">
          <cell r="A432" t="str">
            <v>TRDSAS11078</v>
          </cell>
          <cell r="B432">
            <v>431</v>
          </cell>
          <cell r="C432"/>
          <cell r="D432"/>
          <cell r="E432"/>
          <cell r="F432"/>
          <cell r="G432" t="str">
            <v>B. Fashion &amp; Lifestyle</v>
          </cell>
          <cell r="H432" t="str">
            <v>Trends &amp; Allied Formats (Part A)</v>
          </cell>
          <cell r="I432" t="str">
            <v>Trends</v>
          </cell>
        </row>
        <row r="433">
          <cell r="A433" t="str">
            <v>TRDSSD11079</v>
          </cell>
          <cell r="B433">
            <v>432</v>
          </cell>
          <cell r="C433"/>
          <cell r="D433"/>
          <cell r="E433"/>
          <cell r="F433"/>
          <cell r="G433" t="str">
            <v>B. Fashion &amp; Lifestyle</v>
          </cell>
          <cell r="H433" t="str">
            <v>Trends &amp; Allied Formats (Part A)</v>
          </cell>
          <cell r="I433" t="str">
            <v>Trends</v>
          </cell>
        </row>
        <row r="434">
          <cell r="A434" t="str">
            <v>TRDSAS11081</v>
          </cell>
          <cell r="B434">
            <v>433</v>
          </cell>
          <cell r="C434"/>
          <cell r="D434"/>
          <cell r="E434"/>
          <cell r="F434"/>
          <cell r="G434" t="str">
            <v>B. Fashion &amp; Lifestyle</v>
          </cell>
          <cell r="H434" t="str">
            <v>Trends &amp; Allied Formats (Part A)</v>
          </cell>
          <cell r="I434" t="str">
            <v>Trends</v>
          </cell>
        </row>
        <row r="435">
          <cell r="A435" t="str">
            <v>TRDSAS11086</v>
          </cell>
          <cell r="B435">
            <v>434</v>
          </cell>
          <cell r="C435"/>
          <cell r="D435"/>
          <cell r="E435"/>
          <cell r="F435"/>
          <cell r="G435" t="str">
            <v>B. Fashion &amp; Lifestyle</v>
          </cell>
          <cell r="H435" t="str">
            <v>Trends &amp; Allied Formats (Part A)</v>
          </cell>
          <cell r="I435" t="str">
            <v>Trends</v>
          </cell>
        </row>
        <row r="436">
          <cell r="A436" t="str">
            <v>TRDSAS11094</v>
          </cell>
          <cell r="B436">
            <v>435</v>
          </cell>
          <cell r="C436"/>
          <cell r="D436"/>
          <cell r="E436"/>
          <cell r="F436"/>
          <cell r="G436" t="str">
            <v>B. Fashion &amp; Lifestyle</v>
          </cell>
          <cell r="H436" t="str">
            <v>Trends &amp; Allied Formats (Part A)</v>
          </cell>
          <cell r="I436" t="str">
            <v>Trends</v>
          </cell>
        </row>
        <row r="437">
          <cell r="A437" t="str">
            <v>TRDSSD11111</v>
          </cell>
          <cell r="B437">
            <v>436</v>
          </cell>
          <cell r="C437"/>
          <cell r="D437"/>
          <cell r="E437"/>
          <cell r="F437"/>
          <cell r="G437" t="str">
            <v>B. Fashion &amp; Lifestyle</v>
          </cell>
          <cell r="H437" t="str">
            <v>Trends &amp; Allied Formats (Part A)</v>
          </cell>
          <cell r="I437" t="str">
            <v>Trends</v>
          </cell>
        </row>
        <row r="438">
          <cell r="A438" t="str">
            <v>TRDSSD11113</v>
          </cell>
          <cell r="B438">
            <v>437</v>
          </cell>
          <cell r="C438"/>
          <cell r="D438"/>
          <cell r="E438"/>
          <cell r="F438"/>
          <cell r="G438" t="str">
            <v>B. Fashion &amp; Lifestyle</v>
          </cell>
          <cell r="H438" t="str">
            <v>Trends &amp; Allied Formats (Part A)</v>
          </cell>
          <cell r="I438" t="str">
            <v>Trends</v>
          </cell>
        </row>
        <row r="439">
          <cell r="A439" t="str">
            <v>TRDSAS11133</v>
          </cell>
          <cell r="B439">
            <v>438</v>
          </cell>
          <cell r="C439"/>
          <cell r="D439"/>
          <cell r="E439"/>
          <cell r="F439"/>
          <cell r="G439" t="str">
            <v>B. Fashion &amp; Lifestyle</v>
          </cell>
          <cell r="H439" t="str">
            <v>Trends &amp; Allied Formats (Part A)</v>
          </cell>
          <cell r="I439" t="str">
            <v>Trends</v>
          </cell>
        </row>
        <row r="440">
          <cell r="A440" t="str">
            <v>TRDSBK11227</v>
          </cell>
          <cell r="B440">
            <v>439</v>
          </cell>
          <cell r="C440"/>
          <cell r="D440"/>
          <cell r="E440"/>
          <cell r="F440"/>
          <cell r="G440" t="str">
            <v>B. Fashion &amp; Lifestyle</v>
          </cell>
          <cell r="H440" t="str">
            <v>Trends &amp; Allied Formats (Part A)</v>
          </cell>
          <cell r="I440" t="str">
            <v>Trends</v>
          </cell>
        </row>
        <row r="441">
          <cell r="A441" t="str">
            <v>TRDSBK11231</v>
          </cell>
          <cell r="B441">
            <v>440</v>
          </cell>
          <cell r="C441"/>
          <cell r="D441"/>
          <cell r="E441"/>
          <cell r="F441"/>
          <cell r="G441" t="str">
            <v>B. Fashion &amp; Lifestyle</v>
          </cell>
          <cell r="H441" t="str">
            <v>Trends &amp; Allied Formats (Part A)</v>
          </cell>
          <cell r="I441" t="str">
            <v>Trends</v>
          </cell>
        </row>
        <row r="442">
          <cell r="A442" t="str">
            <v>TRDSBK11233</v>
          </cell>
          <cell r="B442">
            <v>441</v>
          </cell>
          <cell r="C442"/>
          <cell r="D442"/>
          <cell r="E442"/>
          <cell r="F442"/>
          <cell r="G442" t="str">
            <v>B. Fashion &amp; Lifestyle</v>
          </cell>
          <cell r="H442" t="str">
            <v>Trends &amp; Allied Formats (Part A)</v>
          </cell>
          <cell r="I442" t="str">
            <v>Trends</v>
          </cell>
        </row>
        <row r="443">
          <cell r="A443" t="str">
            <v>TRDSRT11239</v>
          </cell>
          <cell r="B443">
            <v>442</v>
          </cell>
          <cell r="C443"/>
          <cell r="D443"/>
          <cell r="E443"/>
          <cell r="F443"/>
          <cell r="G443" t="str">
            <v>B. Fashion &amp; Lifestyle</v>
          </cell>
          <cell r="H443" t="str">
            <v>Trends &amp; Allied Formats (Part A)</v>
          </cell>
          <cell r="I443" t="str">
            <v>Trends</v>
          </cell>
        </row>
        <row r="444">
          <cell r="A444" t="str">
            <v>TRD3RT11240</v>
          </cell>
          <cell r="B444">
            <v>443</v>
          </cell>
          <cell r="C444"/>
          <cell r="D444"/>
          <cell r="E444"/>
          <cell r="F444"/>
          <cell r="G444" t="str">
            <v>B. Fashion &amp; Lifestyle</v>
          </cell>
          <cell r="H444" t="str">
            <v>Trends &amp; Allied Formats (Part A)</v>
          </cell>
          <cell r="I444" t="str">
            <v>Trends 3.0</v>
          </cell>
        </row>
        <row r="445">
          <cell r="A445" t="str">
            <v>TRDSBK11245</v>
          </cell>
          <cell r="B445">
            <v>444</v>
          </cell>
          <cell r="C445"/>
          <cell r="D445"/>
          <cell r="E445"/>
          <cell r="F445"/>
          <cell r="G445" t="str">
            <v>B. Fashion &amp; Lifestyle</v>
          </cell>
          <cell r="H445" t="str">
            <v>Trends &amp; Allied Formats (Part A)</v>
          </cell>
          <cell r="I445" t="str">
            <v>Trends</v>
          </cell>
        </row>
        <row r="446">
          <cell r="A446" t="str">
            <v>TRRFAS2558</v>
          </cell>
          <cell r="B446">
            <v>445</v>
          </cell>
          <cell r="C446"/>
          <cell r="D446" t="str">
            <v>9538</v>
          </cell>
          <cell r="E446" t="str">
            <v>NFP9</v>
          </cell>
          <cell r="F446" t="str">
            <v>TRNDVNFP901</v>
          </cell>
          <cell r="G446" t="str">
            <v>B. Fashion &amp; Lifestyle</v>
          </cell>
          <cell r="H446" t="str">
            <v>Trends &amp; Allied Formats (Part B)</v>
          </cell>
          <cell r="I446" t="str">
            <v>Trends - Refit</v>
          </cell>
        </row>
        <row r="447">
          <cell r="A447" t="str">
            <v>TRRFRT10691</v>
          </cell>
          <cell r="B447">
            <v>446</v>
          </cell>
          <cell r="C447"/>
          <cell r="D447"/>
          <cell r="E447"/>
          <cell r="F447"/>
          <cell r="G447" t="str">
            <v>B. Fashion &amp; Lifestyle</v>
          </cell>
          <cell r="H447" t="str">
            <v>Trends &amp; Allied Formats (Part B)</v>
          </cell>
          <cell r="I447" t="str">
            <v>Trends - Refit</v>
          </cell>
        </row>
        <row r="448">
          <cell r="A448" t="str">
            <v>TRRFAS10747</v>
          </cell>
          <cell r="B448">
            <v>447</v>
          </cell>
          <cell r="C448"/>
          <cell r="D448"/>
          <cell r="E448"/>
          <cell r="F448"/>
          <cell r="G448" t="str">
            <v>B. Fashion &amp; Lifestyle</v>
          </cell>
          <cell r="H448" t="str">
            <v>Trends &amp; Allied Formats (Part B)</v>
          </cell>
          <cell r="I448" t="str">
            <v>Trends - Refit</v>
          </cell>
        </row>
        <row r="449">
          <cell r="A449" t="str">
            <v>TRRFAS10748</v>
          </cell>
          <cell r="B449">
            <v>448</v>
          </cell>
          <cell r="C449"/>
          <cell r="D449"/>
          <cell r="E449"/>
          <cell r="F449"/>
          <cell r="G449" t="str">
            <v>B. Fashion &amp; Lifestyle</v>
          </cell>
          <cell r="H449" t="str">
            <v>Trends &amp; Allied Formats (Part B)</v>
          </cell>
          <cell r="I449" t="str">
            <v>Trends - Refit</v>
          </cell>
        </row>
        <row r="450">
          <cell r="A450" t="str">
            <v>TRRFAS10749</v>
          </cell>
          <cell r="B450">
            <v>449</v>
          </cell>
          <cell r="C450"/>
          <cell r="D450"/>
          <cell r="E450"/>
          <cell r="F450"/>
          <cell r="G450" t="str">
            <v>B. Fashion &amp; Lifestyle</v>
          </cell>
          <cell r="H450" t="str">
            <v>Trends &amp; Allied Formats (Part B)</v>
          </cell>
          <cell r="I450" t="str">
            <v>Trends - Refit</v>
          </cell>
        </row>
        <row r="451">
          <cell r="A451" t="str">
            <v>TRRFSD10752</v>
          </cell>
          <cell r="B451">
            <v>450</v>
          </cell>
          <cell r="C451"/>
          <cell r="D451"/>
          <cell r="E451"/>
          <cell r="F451"/>
          <cell r="G451" t="str">
            <v>B. Fashion &amp; Lifestyle</v>
          </cell>
          <cell r="H451" t="str">
            <v>Trends &amp; Allied Formats (Part B)</v>
          </cell>
          <cell r="I451" t="str">
            <v>Trends - Refit</v>
          </cell>
        </row>
        <row r="452">
          <cell r="A452" t="str">
            <v>TRRFAS10755</v>
          </cell>
          <cell r="B452">
            <v>451</v>
          </cell>
          <cell r="C452"/>
          <cell r="D452"/>
          <cell r="E452"/>
          <cell r="F452"/>
          <cell r="G452" t="str">
            <v>B. Fashion &amp; Lifestyle</v>
          </cell>
          <cell r="H452" t="str">
            <v>Trends &amp; Allied Formats (Part B)</v>
          </cell>
          <cell r="I452" t="str">
            <v>Trends - Refit</v>
          </cell>
        </row>
        <row r="453">
          <cell r="A453" t="str">
            <v>TRRFSD10768</v>
          </cell>
          <cell r="B453">
            <v>452</v>
          </cell>
          <cell r="C453"/>
          <cell r="D453"/>
          <cell r="E453"/>
          <cell r="F453"/>
          <cell r="G453" t="str">
            <v>B. Fashion &amp; Lifestyle</v>
          </cell>
          <cell r="H453" t="str">
            <v>Trends &amp; Allied Formats (Part B)</v>
          </cell>
          <cell r="I453" t="str">
            <v>Trends - Refit</v>
          </cell>
        </row>
        <row r="454">
          <cell r="A454" t="str">
            <v>TRRFSD10769</v>
          </cell>
          <cell r="B454">
            <v>453</v>
          </cell>
          <cell r="C454"/>
          <cell r="D454"/>
          <cell r="E454"/>
          <cell r="F454"/>
          <cell r="G454" t="str">
            <v>B. Fashion &amp; Lifestyle</v>
          </cell>
          <cell r="H454" t="str">
            <v>Trends &amp; Allied Formats (Part B)</v>
          </cell>
          <cell r="I454" t="str">
            <v>Trends - Refit</v>
          </cell>
        </row>
        <row r="455">
          <cell r="A455" t="str">
            <v>TRRFBK11065</v>
          </cell>
          <cell r="B455">
            <v>454</v>
          </cell>
          <cell r="C455"/>
          <cell r="D455"/>
          <cell r="E455"/>
          <cell r="F455"/>
          <cell r="G455" t="str">
            <v>B. Fashion &amp; Lifestyle</v>
          </cell>
          <cell r="H455" t="str">
            <v>Trends &amp; Allied Formats (Part B)</v>
          </cell>
          <cell r="I455" t="str">
            <v>Trends - Refit</v>
          </cell>
        </row>
        <row r="456">
          <cell r="A456" t="str">
            <v>TRFTSD402</v>
          </cell>
          <cell r="B456">
            <v>455</v>
          </cell>
          <cell r="C456" t="str">
            <v>WB-SM-BWC-903</v>
          </cell>
          <cell r="D456" t="str">
            <v>T9VR</v>
          </cell>
          <cell r="E456" t="str">
            <v>QXNE</v>
          </cell>
          <cell r="F456" t="str">
            <v>FOOTFQXNE00</v>
          </cell>
          <cell r="G456" t="str">
            <v>B. Fashion &amp; Lifestyle</v>
          </cell>
          <cell r="H456" t="str">
            <v>Trends &amp; Allied Formats (Part A)</v>
          </cell>
          <cell r="I456" t="str">
            <v>Trends Footwear</v>
          </cell>
        </row>
        <row r="457">
          <cell r="A457" t="str">
            <v>TRENS567</v>
          </cell>
          <cell r="B457">
            <v>456</v>
          </cell>
          <cell r="C457"/>
          <cell r="D457" t="str">
            <v>T40S</v>
          </cell>
          <cell r="E457" t="str">
            <v>QAAY</v>
          </cell>
          <cell r="F457" t="str">
            <v>FOOTVQAAY00</v>
          </cell>
          <cell r="G457" t="str">
            <v>B. Fashion &amp; Lifestyle</v>
          </cell>
          <cell r="H457" t="str">
            <v>Trends &amp; Allied Formats (Part A)</v>
          </cell>
          <cell r="I457" t="str">
            <v>Trends Footwear</v>
          </cell>
        </row>
        <row r="458">
          <cell r="A458" t="str">
            <v>TRFTSD4441</v>
          </cell>
          <cell r="B458">
            <v>457</v>
          </cell>
          <cell r="C458"/>
          <cell r="D458" t="str">
            <v>TYBN</v>
          </cell>
          <cell r="E458" t="str">
            <v>QAAI</v>
          </cell>
          <cell r="F458" t="str">
            <v>FOOTNQAAI00</v>
          </cell>
          <cell r="G458" t="str">
            <v>B. Fashion &amp; Lifestyle</v>
          </cell>
          <cell r="H458" t="str">
            <v>Trends &amp; Allied Formats (Part A)</v>
          </cell>
          <cell r="I458" t="str">
            <v>Trends Footwear</v>
          </cell>
        </row>
        <row r="459">
          <cell r="A459" t="str">
            <v>TRFTAS4442</v>
          </cell>
          <cell r="B459">
            <v>458</v>
          </cell>
          <cell r="C459" t="str">
            <v xml:space="preserve">TN-SM-TIU-911  </v>
          </cell>
          <cell r="D459" t="str">
            <v>T2WU</v>
          </cell>
          <cell r="E459" t="str">
            <v>QI2S</v>
          </cell>
          <cell r="F459" t="str">
            <v>FOOTTQI2S00</v>
          </cell>
          <cell r="G459" t="str">
            <v>B. Fashion &amp; Lifestyle</v>
          </cell>
          <cell r="H459" t="str">
            <v>Trends &amp; Allied Formats (Part A)</v>
          </cell>
          <cell r="I459" t="str">
            <v>Trends Footwear</v>
          </cell>
        </row>
        <row r="460">
          <cell r="A460" t="str">
            <v>TRFTSD4445</v>
          </cell>
          <cell r="B460">
            <v>459</v>
          </cell>
          <cell r="C460"/>
          <cell r="D460"/>
          <cell r="E460"/>
          <cell r="F460"/>
          <cell r="G460" t="str">
            <v>B. Fashion &amp; Lifestyle</v>
          </cell>
          <cell r="H460" t="str">
            <v>Trends &amp; Allied Formats (Part A)</v>
          </cell>
          <cell r="I460" t="str">
            <v>Trends Footwear</v>
          </cell>
        </row>
        <row r="461">
          <cell r="A461" t="str">
            <v>TRFTRT10685</v>
          </cell>
          <cell r="B461">
            <v>460</v>
          </cell>
          <cell r="C461"/>
          <cell r="D461"/>
          <cell r="E461"/>
          <cell r="F461"/>
          <cell r="G461" t="str">
            <v>B. Fashion &amp; Lifestyle</v>
          </cell>
          <cell r="H461" t="str">
            <v>Trends &amp; Allied Formats (Part A)</v>
          </cell>
          <cell r="I461" t="str">
            <v>Trends Footwear</v>
          </cell>
        </row>
        <row r="462">
          <cell r="A462" t="str">
            <v>TRFTRT10690</v>
          </cell>
          <cell r="B462">
            <v>461</v>
          </cell>
          <cell r="C462"/>
          <cell r="D462"/>
          <cell r="E462"/>
          <cell r="F462"/>
          <cell r="G462" t="str">
            <v>B. Fashion &amp; Lifestyle</v>
          </cell>
          <cell r="H462" t="str">
            <v>Trends &amp; Allied Formats (Part A)</v>
          </cell>
          <cell r="I462" t="str">
            <v>Trends Footwear</v>
          </cell>
        </row>
        <row r="463">
          <cell r="A463" t="str">
            <v>TRFTRT10692</v>
          </cell>
          <cell r="B463">
            <v>462</v>
          </cell>
          <cell r="C463"/>
          <cell r="D463"/>
          <cell r="E463"/>
          <cell r="F463"/>
          <cell r="G463" t="str">
            <v>B. Fashion &amp; Lifestyle</v>
          </cell>
          <cell r="H463" t="str">
            <v>Trends &amp; Allied Formats (Part A)</v>
          </cell>
          <cell r="I463" t="str">
            <v>Trends Footwear</v>
          </cell>
        </row>
        <row r="464">
          <cell r="A464" t="str">
            <v>TRFTBK10706</v>
          </cell>
          <cell r="B464">
            <v>463</v>
          </cell>
          <cell r="C464"/>
          <cell r="D464"/>
          <cell r="E464"/>
          <cell r="F464"/>
          <cell r="G464" t="str">
            <v>B. Fashion &amp; Lifestyle</v>
          </cell>
          <cell r="H464" t="str">
            <v>Trends &amp; Allied Formats (Part A)</v>
          </cell>
          <cell r="I464" t="str">
            <v>Trends Footwear</v>
          </cell>
        </row>
        <row r="465">
          <cell r="A465" t="str">
            <v>TRFTSD10718</v>
          </cell>
          <cell r="B465">
            <v>464</v>
          </cell>
          <cell r="C465"/>
          <cell r="D465"/>
          <cell r="E465"/>
          <cell r="F465"/>
          <cell r="G465" t="str">
            <v>B. Fashion &amp; Lifestyle</v>
          </cell>
          <cell r="H465" t="str">
            <v>Trends &amp; Allied Formats (Part A)</v>
          </cell>
          <cell r="I465" t="str">
            <v>Trends Footwear</v>
          </cell>
        </row>
        <row r="466">
          <cell r="A466" t="str">
            <v>TRFTAS10742</v>
          </cell>
          <cell r="B466">
            <v>465</v>
          </cell>
          <cell r="C466"/>
          <cell r="D466"/>
          <cell r="E466"/>
          <cell r="F466"/>
          <cell r="G466" t="str">
            <v>B. Fashion &amp; Lifestyle</v>
          </cell>
          <cell r="H466" t="str">
            <v>Trends &amp; Allied Formats (Part A)</v>
          </cell>
          <cell r="I466" t="str">
            <v>Trends Footwear</v>
          </cell>
        </row>
        <row r="467">
          <cell r="A467" t="str">
            <v>TRFTAS10746</v>
          </cell>
          <cell r="B467">
            <v>466</v>
          </cell>
          <cell r="C467"/>
          <cell r="D467"/>
          <cell r="E467"/>
          <cell r="F467"/>
          <cell r="G467" t="str">
            <v>B. Fashion &amp; Lifestyle</v>
          </cell>
          <cell r="H467" t="str">
            <v>Trends &amp; Allied Formats (Part A)</v>
          </cell>
          <cell r="I467" t="str">
            <v>Trends Footwear</v>
          </cell>
        </row>
        <row r="468">
          <cell r="A468" t="str">
            <v>TRFTAS10864</v>
          </cell>
          <cell r="B468">
            <v>467</v>
          </cell>
          <cell r="C468"/>
          <cell r="D468"/>
          <cell r="E468"/>
          <cell r="F468"/>
          <cell r="G468" t="str">
            <v>B. Fashion &amp; Lifestyle</v>
          </cell>
          <cell r="H468" t="str">
            <v>Trends &amp; Allied Formats (Part A)</v>
          </cell>
          <cell r="I468" t="str">
            <v>Trends Footwear</v>
          </cell>
        </row>
        <row r="469">
          <cell r="A469" t="str">
            <v>TRFTSD10865</v>
          </cell>
          <cell r="B469">
            <v>468</v>
          </cell>
          <cell r="C469"/>
          <cell r="D469"/>
          <cell r="E469"/>
          <cell r="F469"/>
          <cell r="G469" t="str">
            <v>B. Fashion &amp; Lifestyle</v>
          </cell>
          <cell r="H469" t="str">
            <v>Trends &amp; Allied Formats (Part A)</v>
          </cell>
          <cell r="I469" t="str">
            <v>Trends Footwear</v>
          </cell>
        </row>
        <row r="470">
          <cell r="A470" t="str">
            <v>TRFTAS10866</v>
          </cell>
          <cell r="B470">
            <v>469</v>
          </cell>
          <cell r="C470"/>
          <cell r="D470"/>
          <cell r="E470"/>
          <cell r="F470"/>
          <cell r="G470" t="str">
            <v>B. Fashion &amp; Lifestyle</v>
          </cell>
          <cell r="H470" t="str">
            <v>Trends &amp; Allied Formats (Part A)</v>
          </cell>
          <cell r="I470" t="str">
            <v>Trends Footwear</v>
          </cell>
        </row>
        <row r="471">
          <cell r="A471" t="str">
            <v>TRFTAS10867</v>
          </cell>
          <cell r="B471">
            <v>470</v>
          </cell>
          <cell r="C471"/>
          <cell r="D471"/>
          <cell r="E471"/>
          <cell r="F471"/>
          <cell r="G471" t="str">
            <v>B. Fashion &amp; Lifestyle</v>
          </cell>
          <cell r="H471" t="str">
            <v>Trends &amp; Allied Formats (Part A)</v>
          </cell>
          <cell r="I471" t="str">
            <v>Trends Footwear</v>
          </cell>
        </row>
        <row r="472">
          <cell r="A472" t="str">
            <v>TRFTAS10868</v>
          </cell>
          <cell r="B472">
            <v>471</v>
          </cell>
          <cell r="C472"/>
          <cell r="D472"/>
          <cell r="E472"/>
          <cell r="F472"/>
          <cell r="G472" t="str">
            <v>B. Fashion &amp; Lifestyle</v>
          </cell>
          <cell r="H472" t="str">
            <v>Trends &amp; Allied Formats (Part A)</v>
          </cell>
          <cell r="I472" t="str">
            <v>Trends Footwear</v>
          </cell>
        </row>
        <row r="473">
          <cell r="A473" t="str">
            <v>TRFTAS10869</v>
          </cell>
          <cell r="B473">
            <v>472</v>
          </cell>
          <cell r="C473"/>
          <cell r="D473"/>
          <cell r="E473"/>
          <cell r="F473"/>
          <cell r="G473" t="str">
            <v>B. Fashion &amp; Lifestyle</v>
          </cell>
          <cell r="H473" t="str">
            <v>Trends &amp; Allied Formats (Part A)</v>
          </cell>
          <cell r="I473" t="str">
            <v>Trends Footwear</v>
          </cell>
        </row>
        <row r="474">
          <cell r="A474" t="str">
            <v>TRFTAS10870</v>
          </cell>
          <cell r="B474">
            <v>473</v>
          </cell>
          <cell r="C474"/>
          <cell r="D474"/>
          <cell r="E474"/>
          <cell r="F474"/>
          <cell r="G474" t="str">
            <v>B. Fashion &amp; Lifestyle</v>
          </cell>
          <cell r="H474" t="str">
            <v>Trends &amp; Allied Formats (Part A)</v>
          </cell>
          <cell r="I474" t="str">
            <v>Trends Footwear</v>
          </cell>
        </row>
        <row r="475">
          <cell r="A475" t="str">
            <v>TRFTAS10871</v>
          </cell>
          <cell r="B475">
            <v>474</v>
          </cell>
          <cell r="C475"/>
          <cell r="D475"/>
          <cell r="E475"/>
          <cell r="F475"/>
          <cell r="G475" t="str">
            <v>B. Fashion &amp; Lifestyle</v>
          </cell>
          <cell r="H475" t="str">
            <v>Trends &amp; Allied Formats (Part A)</v>
          </cell>
          <cell r="I475" t="str">
            <v>Trends Footwear</v>
          </cell>
        </row>
        <row r="476">
          <cell r="A476" t="str">
            <v>TRFTAS10872</v>
          </cell>
          <cell r="B476">
            <v>475</v>
          </cell>
          <cell r="C476"/>
          <cell r="D476"/>
          <cell r="E476"/>
          <cell r="F476"/>
          <cell r="G476" t="str">
            <v>B. Fashion &amp; Lifestyle</v>
          </cell>
          <cell r="H476" t="str">
            <v>Trends &amp; Allied Formats (Part A)</v>
          </cell>
          <cell r="I476" t="str">
            <v>Trends Footwear</v>
          </cell>
        </row>
        <row r="477">
          <cell r="A477" t="str">
            <v>TRFTSD10873</v>
          </cell>
          <cell r="B477">
            <v>476</v>
          </cell>
          <cell r="C477"/>
          <cell r="D477"/>
          <cell r="E477"/>
          <cell r="F477"/>
          <cell r="G477" t="str">
            <v>B. Fashion &amp; Lifestyle</v>
          </cell>
          <cell r="H477" t="str">
            <v>Trends &amp; Allied Formats (Part A)</v>
          </cell>
          <cell r="I477" t="str">
            <v>Trends Footwear</v>
          </cell>
        </row>
        <row r="478">
          <cell r="A478" t="str">
            <v>TRFTAS10874</v>
          </cell>
          <cell r="B478">
            <v>477</v>
          </cell>
          <cell r="C478"/>
          <cell r="D478"/>
          <cell r="E478"/>
          <cell r="F478"/>
          <cell r="G478" t="str">
            <v>B. Fashion &amp; Lifestyle</v>
          </cell>
          <cell r="H478" t="str">
            <v>Trends &amp; Allied Formats (Part A)</v>
          </cell>
          <cell r="I478" t="str">
            <v>Trends Footwear</v>
          </cell>
        </row>
        <row r="479">
          <cell r="A479" t="str">
            <v>TRFTAS11083</v>
          </cell>
          <cell r="B479">
            <v>478</v>
          </cell>
          <cell r="C479"/>
          <cell r="D479"/>
          <cell r="E479"/>
          <cell r="F479"/>
          <cell r="G479" t="str">
            <v>B. Fashion &amp; Lifestyle</v>
          </cell>
          <cell r="H479" t="str">
            <v>Trends &amp; Allied Formats (Part A)</v>
          </cell>
          <cell r="I479" t="str">
            <v>Trends Footwear</v>
          </cell>
        </row>
        <row r="480">
          <cell r="A480" t="str">
            <v>TRFTAS11099</v>
          </cell>
          <cell r="B480">
            <v>479</v>
          </cell>
          <cell r="C480"/>
          <cell r="D480"/>
          <cell r="E480"/>
          <cell r="F480"/>
          <cell r="G480" t="str">
            <v>B. Fashion &amp; Lifestyle</v>
          </cell>
          <cell r="H480" t="str">
            <v>Trends &amp; Allied Formats (Part A)</v>
          </cell>
          <cell r="I480" t="str">
            <v>Trends Footwear</v>
          </cell>
        </row>
        <row r="481">
          <cell r="A481" t="str">
            <v>TRFTAS11137</v>
          </cell>
          <cell r="B481">
            <v>480</v>
          </cell>
          <cell r="C481"/>
          <cell r="D481"/>
          <cell r="E481"/>
          <cell r="F481"/>
          <cell r="G481" t="str">
            <v>B. Fashion &amp; Lifestyle</v>
          </cell>
          <cell r="H481" t="str">
            <v>Trends &amp; Allied Formats (Part A)</v>
          </cell>
          <cell r="I481" t="str">
            <v>Trends Footwear</v>
          </cell>
        </row>
        <row r="482">
          <cell r="A482" t="str">
            <v>TRFTBK11223</v>
          </cell>
          <cell r="B482">
            <v>481</v>
          </cell>
          <cell r="C482"/>
          <cell r="D482"/>
          <cell r="E482"/>
          <cell r="F482"/>
          <cell r="G482" t="str">
            <v>B. Fashion &amp; Lifestyle</v>
          </cell>
          <cell r="H482" t="str">
            <v>Trends &amp; Allied Formats (Part A)</v>
          </cell>
          <cell r="I482" t="str">
            <v>Trends Footwear</v>
          </cell>
        </row>
        <row r="483">
          <cell r="A483" t="str">
            <v>TRFSBK5168</v>
          </cell>
          <cell r="B483">
            <v>482</v>
          </cell>
          <cell r="C483" t="str">
            <v>MH-SM-LAT-901</v>
          </cell>
          <cell r="D483" t="str">
            <v>TSS5</v>
          </cell>
          <cell r="E483" t="str">
            <v>Q2QB</v>
          </cell>
          <cell r="F483" t="str">
            <v>TRNDMQ2QB00</v>
          </cell>
          <cell r="G483" t="str">
            <v>B. Fashion &amp; Lifestyle</v>
          </cell>
          <cell r="H483" t="str">
            <v>Trends &amp; Allied Formats (Part B)</v>
          </cell>
          <cell r="I483" t="str">
            <v>Trends Footwear SIS</v>
          </cell>
        </row>
        <row r="484">
          <cell r="A484" t="str">
            <v>TRFSBK5169</v>
          </cell>
          <cell r="B484">
            <v>483</v>
          </cell>
          <cell r="C484" t="str">
            <v>GJ-SM-BHR-903</v>
          </cell>
          <cell r="D484" t="str">
            <v>T0P9</v>
          </cell>
          <cell r="E484" t="str">
            <v>Q2QS</v>
          </cell>
          <cell r="F484" t="str">
            <v>TRNDGQ2QS00</v>
          </cell>
          <cell r="G484" t="str">
            <v>B. Fashion &amp; Lifestyle</v>
          </cell>
          <cell r="H484" t="str">
            <v>Trends &amp; Allied Formats (Part B)</v>
          </cell>
          <cell r="I484" t="str">
            <v>Trends Footwear SIS</v>
          </cell>
        </row>
        <row r="485">
          <cell r="A485" t="str">
            <v>TRFSBK5170</v>
          </cell>
          <cell r="B485">
            <v>484</v>
          </cell>
          <cell r="C485" t="str">
            <v>GJ-SM-AHM-919</v>
          </cell>
          <cell r="D485" t="str">
            <v>T97G</v>
          </cell>
          <cell r="E485" t="str">
            <v>QRAY</v>
          </cell>
          <cell r="F485" t="str">
            <v>FOOTGQRAY00</v>
          </cell>
          <cell r="G485" t="str">
            <v>B. Fashion &amp; Lifestyle</v>
          </cell>
          <cell r="H485" t="str">
            <v>Trends &amp; Allied Formats (Part B)</v>
          </cell>
          <cell r="I485" t="str">
            <v>Trends Footwear SIS</v>
          </cell>
        </row>
        <row r="486">
          <cell r="A486" t="str">
            <v>TRFSBK5171</v>
          </cell>
          <cell r="B486">
            <v>485</v>
          </cell>
          <cell r="C486" t="str">
            <v>MH-SM-SAN-905</v>
          </cell>
          <cell r="D486" t="str">
            <v>T2TK</v>
          </cell>
          <cell r="E486" t="str">
            <v>Q4NR</v>
          </cell>
          <cell r="F486" t="str">
            <v>TRNDMQ4NR00</v>
          </cell>
          <cell r="G486" t="str">
            <v>B. Fashion &amp; Lifestyle</v>
          </cell>
          <cell r="H486" t="str">
            <v>Trends &amp; Allied Formats (Part B)</v>
          </cell>
          <cell r="I486" t="str">
            <v>Trends Footwear SIS</v>
          </cell>
        </row>
        <row r="487">
          <cell r="A487" t="str">
            <v>TRJRSD10796</v>
          </cell>
          <cell r="B487">
            <v>486</v>
          </cell>
          <cell r="C487"/>
          <cell r="D487"/>
          <cell r="E487"/>
          <cell r="F487"/>
          <cell r="G487" t="str">
            <v>B. Fashion &amp; Lifestyle</v>
          </cell>
          <cell r="H487" t="str">
            <v>Trends &amp; Allied Formats (Part A)</v>
          </cell>
          <cell r="I487" t="str">
            <v>Trends Junior</v>
          </cell>
        </row>
        <row r="488">
          <cell r="A488" t="str">
            <v>TRJRSD10797</v>
          </cell>
          <cell r="B488">
            <v>487</v>
          </cell>
          <cell r="C488"/>
          <cell r="D488"/>
          <cell r="E488"/>
          <cell r="F488"/>
          <cell r="G488" t="str">
            <v>B. Fashion &amp; Lifestyle</v>
          </cell>
          <cell r="H488" t="str">
            <v>Trends &amp; Allied Formats (Part A)</v>
          </cell>
          <cell r="I488" t="str">
            <v>Trends Junior</v>
          </cell>
        </row>
        <row r="489">
          <cell r="A489" t="str">
            <v>TRJRAS10814</v>
          </cell>
          <cell r="B489">
            <v>488</v>
          </cell>
          <cell r="C489"/>
          <cell r="D489"/>
          <cell r="E489"/>
          <cell r="F489"/>
          <cell r="G489" t="str">
            <v>B. Fashion &amp; Lifestyle</v>
          </cell>
          <cell r="H489" t="str">
            <v>Trends &amp; Allied Formats (Part A)</v>
          </cell>
          <cell r="I489" t="str">
            <v>Trends Junior</v>
          </cell>
        </row>
        <row r="490">
          <cell r="A490" t="str">
            <v>TRJRAS10816</v>
          </cell>
          <cell r="B490">
            <v>489</v>
          </cell>
          <cell r="C490"/>
          <cell r="D490"/>
          <cell r="E490"/>
          <cell r="F490"/>
          <cell r="G490" t="str">
            <v>B. Fashion &amp; Lifestyle</v>
          </cell>
          <cell r="H490" t="str">
            <v>Trends &amp; Allied Formats (Part A)</v>
          </cell>
          <cell r="I490" t="str">
            <v>Trends Junior</v>
          </cell>
        </row>
        <row r="491">
          <cell r="A491" t="str">
            <v>TRJRAS11121</v>
          </cell>
          <cell r="B491">
            <v>490</v>
          </cell>
          <cell r="C491"/>
          <cell r="D491"/>
          <cell r="E491"/>
          <cell r="F491"/>
          <cell r="G491" t="str">
            <v>B. Fashion &amp; Lifestyle</v>
          </cell>
          <cell r="H491" t="str">
            <v>Trends &amp; Allied Formats (Part A)</v>
          </cell>
          <cell r="I491" t="str">
            <v>Trends Junior</v>
          </cell>
        </row>
        <row r="492">
          <cell r="A492" t="str">
            <v>TRJRAS11125</v>
          </cell>
          <cell r="B492">
            <v>491</v>
          </cell>
          <cell r="C492"/>
          <cell r="D492"/>
          <cell r="E492"/>
          <cell r="F492"/>
          <cell r="G492" t="str">
            <v>B. Fashion &amp; Lifestyle</v>
          </cell>
          <cell r="H492" t="str">
            <v>Trends &amp; Allied Formats (Part A)</v>
          </cell>
          <cell r="I492" t="str">
            <v>Trends Junior</v>
          </cell>
        </row>
        <row r="493">
          <cell r="A493" t="str">
            <v>TRMNBK200</v>
          </cell>
          <cell r="B493">
            <v>492</v>
          </cell>
          <cell r="C493"/>
          <cell r="D493"/>
          <cell r="E493"/>
          <cell r="F493"/>
          <cell r="G493" t="str">
            <v>B. Fashion &amp; Lifestyle</v>
          </cell>
          <cell r="H493" t="str">
            <v>Trends &amp; Allied Formats (Part A)</v>
          </cell>
          <cell r="I493" t="str">
            <v>Trends Man</v>
          </cell>
        </row>
        <row r="494">
          <cell r="A494" t="str">
            <v>TRMNBK10705</v>
          </cell>
          <cell r="B494">
            <v>493</v>
          </cell>
          <cell r="C494"/>
          <cell r="D494"/>
          <cell r="E494"/>
          <cell r="F494"/>
          <cell r="G494" t="str">
            <v>B. Fashion &amp; Lifestyle</v>
          </cell>
          <cell r="H494" t="str">
            <v>Trends &amp; Allied Formats (Part A)</v>
          </cell>
          <cell r="I494" t="str">
            <v>Trends Man</v>
          </cell>
        </row>
        <row r="495">
          <cell r="A495" t="str">
            <v>TRMNAS10731</v>
          </cell>
          <cell r="B495">
            <v>494</v>
          </cell>
          <cell r="C495"/>
          <cell r="D495"/>
          <cell r="E495"/>
          <cell r="F495"/>
          <cell r="G495" t="str">
            <v>B. Fashion &amp; Lifestyle</v>
          </cell>
          <cell r="H495" t="str">
            <v>Trends &amp; Allied Formats (Part A)</v>
          </cell>
          <cell r="I495" t="str">
            <v>Trends Man</v>
          </cell>
        </row>
        <row r="496">
          <cell r="A496" t="str">
            <v>TRMNSD10815</v>
          </cell>
          <cell r="B496">
            <v>495</v>
          </cell>
          <cell r="C496"/>
          <cell r="D496"/>
          <cell r="E496"/>
          <cell r="F496"/>
          <cell r="G496" t="str">
            <v>B. Fashion &amp; Lifestyle</v>
          </cell>
          <cell r="H496" t="str">
            <v>Trends &amp; Allied Formats (Part A)</v>
          </cell>
          <cell r="I496" t="str">
            <v>Trends Man</v>
          </cell>
        </row>
        <row r="497">
          <cell r="A497" t="str">
            <v>TRMNAS11100</v>
          </cell>
          <cell r="B497">
            <v>496</v>
          </cell>
          <cell r="C497"/>
          <cell r="D497"/>
          <cell r="E497"/>
          <cell r="F497"/>
          <cell r="G497" t="str">
            <v>B. Fashion &amp; Lifestyle</v>
          </cell>
          <cell r="H497" t="str">
            <v>Trends &amp; Allied Formats (Part A)</v>
          </cell>
          <cell r="I497" t="str">
            <v>Trends Man</v>
          </cell>
        </row>
        <row r="498">
          <cell r="A498" t="str">
            <v>TRMNAS11117</v>
          </cell>
          <cell r="B498">
            <v>497</v>
          </cell>
          <cell r="C498"/>
          <cell r="D498"/>
          <cell r="E498"/>
          <cell r="F498"/>
          <cell r="G498" t="str">
            <v>B. Fashion &amp; Lifestyle</v>
          </cell>
          <cell r="H498" t="str">
            <v>Trends &amp; Allied Formats (Part A)</v>
          </cell>
          <cell r="I498" t="str">
            <v>Trends Man</v>
          </cell>
        </row>
        <row r="499">
          <cell r="A499" t="str">
            <v>TRMNAS11136</v>
          </cell>
          <cell r="B499">
            <v>498</v>
          </cell>
          <cell r="C499"/>
          <cell r="D499"/>
          <cell r="E499"/>
          <cell r="F499"/>
          <cell r="G499" t="str">
            <v>B. Fashion &amp; Lifestyle</v>
          </cell>
          <cell r="H499" t="str">
            <v>Trends &amp; Allied Formats (Part A)</v>
          </cell>
          <cell r="I499" t="str">
            <v>Trends Man</v>
          </cell>
        </row>
        <row r="500">
          <cell r="A500" t="str">
            <v>TRMNRT11237</v>
          </cell>
          <cell r="B500">
            <v>499</v>
          </cell>
          <cell r="C500"/>
          <cell r="D500"/>
          <cell r="E500"/>
          <cell r="F500"/>
          <cell r="G500" t="str">
            <v>B. Fashion &amp; Lifestyle</v>
          </cell>
          <cell r="H500" t="str">
            <v>Trends &amp; Allied Formats (Part A)</v>
          </cell>
          <cell r="I500" t="str">
            <v>Trends Man</v>
          </cell>
        </row>
        <row r="501">
          <cell r="A501" t="str">
            <v>TRSASD4425</v>
          </cell>
          <cell r="B501">
            <v>500</v>
          </cell>
          <cell r="C501" t="str">
            <v>AP-SM-HYD-1053</v>
          </cell>
          <cell r="D501" t="str">
            <v>TJ5J</v>
          </cell>
          <cell r="E501" t="str">
            <v>QZYG</v>
          </cell>
          <cell r="F501" t="str">
            <v>TSARNQZYG00</v>
          </cell>
          <cell r="G501" t="str">
            <v>B. Fashion &amp; Lifestyle</v>
          </cell>
          <cell r="H501" t="str">
            <v>Trends &amp; Allied Formats (Part A)</v>
          </cell>
          <cell r="I501" t="str">
            <v>Trends Sarees</v>
          </cell>
        </row>
        <row r="502">
          <cell r="A502" t="str">
            <v>TRSART10695</v>
          </cell>
          <cell r="B502">
            <v>501</v>
          </cell>
          <cell r="C502"/>
          <cell r="D502"/>
          <cell r="E502"/>
          <cell r="F502"/>
          <cell r="G502" t="str">
            <v>B. Fashion &amp; Lifestyle</v>
          </cell>
          <cell r="H502" t="str">
            <v>Trends &amp; Allied Formats (Part A)</v>
          </cell>
          <cell r="I502" t="str">
            <v>Trends Sarees</v>
          </cell>
        </row>
        <row r="503">
          <cell r="A503" t="str">
            <v>TRSAAS10766</v>
          </cell>
          <cell r="B503">
            <v>502</v>
          </cell>
          <cell r="C503"/>
          <cell r="D503"/>
          <cell r="E503"/>
          <cell r="F503"/>
          <cell r="G503" t="str">
            <v>B. Fashion &amp; Lifestyle</v>
          </cell>
          <cell r="H503" t="str">
            <v>Trends &amp; Allied Formats (Part A)</v>
          </cell>
          <cell r="I503" t="str">
            <v>Trends Sarees</v>
          </cell>
        </row>
        <row r="504">
          <cell r="A504" t="str">
            <v>TRSAAS10813</v>
          </cell>
          <cell r="B504">
            <v>503</v>
          </cell>
          <cell r="C504"/>
          <cell r="D504"/>
          <cell r="E504"/>
          <cell r="F504"/>
          <cell r="G504" t="str">
            <v>B. Fashion &amp; Lifestyle</v>
          </cell>
          <cell r="H504" t="str">
            <v>Trends &amp; Allied Formats (Part A)</v>
          </cell>
          <cell r="I504" t="str">
            <v>Trends Sarees</v>
          </cell>
        </row>
        <row r="505">
          <cell r="A505" t="str">
            <v>TRSASD10876</v>
          </cell>
          <cell r="B505">
            <v>504</v>
          </cell>
          <cell r="C505"/>
          <cell r="D505"/>
          <cell r="E505"/>
          <cell r="F505"/>
          <cell r="G505" t="str">
            <v>B. Fashion &amp; Lifestyle</v>
          </cell>
          <cell r="H505" t="str">
            <v>Trends &amp; Allied Formats (Part A)</v>
          </cell>
          <cell r="I505" t="str">
            <v>Trends Sarees</v>
          </cell>
        </row>
        <row r="506">
          <cell r="A506" t="str">
            <v>TRSASD10878</v>
          </cell>
          <cell r="B506">
            <v>505</v>
          </cell>
          <cell r="C506"/>
          <cell r="D506"/>
          <cell r="E506"/>
          <cell r="F506"/>
          <cell r="G506" t="str">
            <v>B. Fashion &amp; Lifestyle</v>
          </cell>
          <cell r="H506" t="str">
            <v>Trends &amp; Allied Formats (Part A)</v>
          </cell>
          <cell r="I506" t="str">
            <v>Trends Sarees</v>
          </cell>
        </row>
        <row r="507">
          <cell r="A507" t="str">
            <v>TRSAAS11019</v>
          </cell>
          <cell r="B507">
            <v>506</v>
          </cell>
          <cell r="C507"/>
          <cell r="D507"/>
          <cell r="E507"/>
          <cell r="F507"/>
          <cell r="G507" t="str">
            <v>B. Fashion &amp; Lifestyle</v>
          </cell>
          <cell r="H507" t="str">
            <v>Trends &amp; Allied Formats (Part A)</v>
          </cell>
          <cell r="I507" t="str">
            <v>Trends Sarees</v>
          </cell>
        </row>
        <row r="508">
          <cell r="A508" t="str">
            <v>TRSAAS11020</v>
          </cell>
          <cell r="B508">
            <v>507</v>
          </cell>
          <cell r="C508"/>
          <cell r="D508"/>
          <cell r="E508"/>
          <cell r="F508"/>
          <cell r="G508" t="str">
            <v>B. Fashion &amp; Lifestyle</v>
          </cell>
          <cell r="H508" t="str">
            <v>Trends &amp; Allied Formats (Part A)</v>
          </cell>
          <cell r="I508" t="str">
            <v>Trends Sarees</v>
          </cell>
        </row>
        <row r="509">
          <cell r="A509" t="str">
            <v>TRSAAS11107</v>
          </cell>
          <cell r="B509">
            <v>508</v>
          </cell>
          <cell r="C509"/>
          <cell r="D509"/>
          <cell r="E509"/>
          <cell r="F509"/>
          <cell r="G509" t="str">
            <v>B. Fashion &amp; Lifestyle</v>
          </cell>
          <cell r="H509" t="str">
            <v>Trends &amp; Allied Formats (Part A)</v>
          </cell>
          <cell r="I509" t="str">
            <v>Trends Sarees</v>
          </cell>
        </row>
        <row r="510">
          <cell r="A510" t="str">
            <v>TRSAAS11119</v>
          </cell>
          <cell r="B510">
            <v>509</v>
          </cell>
          <cell r="C510"/>
          <cell r="D510"/>
          <cell r="E510"/>
          <cell r="F510"/>
          <cell r="G510" t="str">
            <v>B. Fashion &amp; Lifestyle</v>
          </cell>
          <cell r="H510" t="str">
            <v>Trends &amp; Allied Formats (Part A)</v>
          </cell>
          <cell r="I510" t="str">
            <v>Trends Sarees</v>
          </cell>
        </row>
        <row r="511">
          <cell r="A511" t="str">
            <v>TRSAAS11134</v>
          </cell>
          <cell r="B511">
            <v>510</v>
          </cell>
          <cell r="C511"/>
          <cell r="D511"/>
          <cell r="E511"/>
          <cell r="F511"/>
          <cell r="G511" t="str">
            <v>B. Fashion &amp; Lifestyle</v>
          </cell>
          <cell r="H511" t="str">
            <v>Trends &amp; Allied Formats (Part A)</v>
          </cell>
          <cell r="I511" t="str">
            <v>Trends Sarees</v>
          </cell>
        </row>
        <row r="512">
          <cell r="A512" t="str">
            <v>TRSTAS256</v>
          </cell>
          <cell r="B512">
            <v>511</v>
          </cell>
          <cell r="C512" t="str">
            <v>TN-SM-MBK-901</v>
          </cell>
          <cell r="D512" t="str">
            <v>TJ2Z</v>
          </cell>
          <cell r="E512" t="str">
            <v>QZPZ</v>
          </cell>
          <cell r="F512" t="str">
            <v>TEXPTQZPZ00</v>
          </cell>
          <cell r="G512" t="str">
            <v>B. Fashion &amp; Lifestyle</v>
          </cell>
          <cell r="H512" t="str">
            <v>Trends &amp; Allied Formats (Part A)</v>
          </cell>
          <cell r="I512" t="str">
            <v>Trends Small Town</v>
          </cell>
        </row>
        <row r="513">
          <cell r="A513" t="str">
            <v>TRSTBK323</v>
          </cell>
          <cell r="B513">
            <v>512</v>
          </cell>
          <cell r="C513" t="str">
            <v>MH-SM-KAT-901</v>
          </cell>
          <cell r="D513" t="str">
            <v>TG0M</v>
          </cell>
          <cell r="E513" t="str">
            <v>QXQJ</v>
          </cell>
          <cell r="F513" t="str">
            <v>TEXPMQXQJ00</v>
          </cell>
          <cell r="G513" t="str">
            <v>B. Fashion &amp; Lifestyle</v>
          </cell>
          <cell r="H513" t="str">
            <v>Trends &amp; Allied Formats (Part A)</v>
          </cell>
          <cell r="I513" t="str">
            <v>Trends Small Town</v>
          </cell>
        </row>
        <row r="514">
          <cell r="A514" t="str">
            <v>TRSTSD347</v>
          </cell>
          <cell r="B514">
            <v>513</v>
          </cell>
          <cell r="C514" t="str">
            <v>AP-SM-KAG-902</v>
          </cell>
          <cell r="D514" t="str">
            <v>T9XA</v>
          </cell>
          <cell r="E514" t="str">
            <v>QXOA</v>
          </cell>
          <cell r="F514" t="str">
            <v>TEXPNQXOA00</v>
          </cell>
          <cell r="G514" t="str">
            <v>B. Fashion &amp; Lifestyle</v>
          </cell>
          <cell r="H514" t="str">
            <v>Trends &amp; Allied Formats (Part A)</v>
          </cell>
          <cell r="I514" t="str">
            <v>Trends Small Town</v>
          </cell>
        </row>
        <row r="515">
          <cell r="A515" t="str">
            <v>TRENS568</v>
          </cell>
          <cell r="B515">
            <v>514</v>
          </cell>
          <cell r="C515"/>
          <cell r="D515" t="str">
            <v>T9SK</v>
          </cell>
          <cell r="E515" t="str">
            <v>QXJH</v>
          </cell>
          <cell r="F515" t="str">
            <v>TEXPVQXJH00</v>
          </cell>
          <cell r="G515" t="str">
            <v>B. Fashion &amp; Lifestyle</v>
          </cell>
          <cell r="H515" t="str">
            <v>Trends &amp; Allied Formats (Part A)</v>
          </cell>
          <cell r="I515" t="str">
            <v>Trends Small Town</v>
          </cell>
        </row>
        <row r="516">
          <cell r="A516" t="str">
            <v>TRSTAS4139</v>
          </cell>
          <cell r="B516">
            <v>515</v>
          </cell>
          <cell r="C516" t="str">
            <v>KE-SM-TPB-901</v>
          </cell>
          <cell r="D516" t="str">
            <v>TX6P</v>
          </cell>
          <cell r="E516" t="str">
            <v>QA3W</v>
          </cell>
          <cell r="F516" t="str">
            <v>TEXPVQA3W00</v>
          </cell>
          <cell r="G516" t="str">
            <v>B. Fashion &amp; Lifestyle</v>
          </cell>
          <cell r="H516" t="str">
            <v>Trends &amp; Allied Formats (Part A)</v>
          </cell>
          <cell r="I516" t="str">
            <v>Trends Small Town</v>
          </cell>
        </row>
        <row r="517">
          <cell r="A517" t="str">
            <v>TRSTBK10153</v>
          </cell>
          <cell r="B517">
            <v>516</v>
          </cell>
          <cell r="C517"/>
          <cell r="D517"/>
          <cell r="E517" t="str">
            <v>QXOB</v>
          </cell>
          <cell r="F517" t="str">
            <v>TEXPMQXOB00</v>
          </cell>
          <cell r="G517" t="str">
            <v>B. Fashion &amp; Lifestyle</v>
          </cell>
          <cell r="H517" t="str">
            <v>Trends &amp; Allied Formats (Part A)</v>
          </cell>
          <cell r="I517" t="str">
            <v>Trends Small Town</v>
          </cell>
        </row>
        <row r="518">
          <cell r="A518" t="str">
            <v>TRSTAS10649</v>
          </cell>
          <cell r="B518">
            <v>517</v>
          </cell>
          <cell r="C518"/>
          <cell r="D518"/>
          <cell r="E518"/>
          <cell r="F518"/>
          <cell r="G518" t="str">
            <v>B. Fashion &amp; Lifestyle</v>
          </cell>
          <cell r="H518" t="str">
            <v>Trends &amp; Allied Formats (Part A)</v>
          </cell>
          <cell r="I518" t="str">
            <v>Trends Small Town</v>
          </cell>
        </row>
        <row r="519">
          <cell r="A519" t="str">
            <v>TRSTAS10651</v>
          </cell>
          <cell r="B519">
            <v>518</v>
          </cell>
          <cell r="C519"/>
          <cell r="D519"/>
          <cell r="E519"/>
          <cell r="F519"/>
          <cell r="G519" t="str">
            <v>B. Fashion &amp; Lifestyle</v>
          </cell>
          <cell r="H519" t="str">
            <v>Trends &amp; Allied Formats (Part A)</v>
          </cell>
          <cell r="I519" t="str">
            <v>Trends Small Town</v>
          </cell>
        </row>
        <row r="520">
          <cell r="A520" t="str">
            <v>TRSTAS10654</v>
          </cell>
          <cell r="B520">
            <v>519</v>
          </cell>
          <cell r="C520"/>
          <cell r="D520"/>
          <cell r="E520"/>
          <cell r="F520"/>
          <cell r="G520" t="str">
            <v>B. Fashion &amp; Lifestyle</v>
          </cell>
          <cell r="H520" t="str">
            <v>Trends &amp; Allied Formats (Part A)</v>
          </cell>
          <cell r="I520" t="str">
            <v>Trends Small Town 3.0</v>
          </cell>
        </row>
        <row r="521">
          <cell r="A521" t="str">
            <v>TRSTAS10655</v>
          </cell>
          <cell r="B521">
            <v>520</v>
          </cell>
          <cell r="C521"/>
          <cell r="D521"/>
          <cell r="E521"/>
          <cell r="F521"/>
          <cell r="G521" t="str">
            <v>B. Fashion &amp; Lifestyle</v>
          </cell>
          <cell r="H521" t="str">
            <v>Trends &amp; Allied Formats (Part A)</v>
          </cell>
          <cell r="I521" t="str">
            <v>Trends Small Town 3.0</v>
          </cell>
        </row>
        <row r="522">
          <cell r="A522" t="str">
            <v>TRSTAS10656</v>
          </cell>
          <cell r="B522">
            <v>521</v>
          </cell>
          <cell r="C522"/>
          <cell r="D522"/>
          <cell r="E522"/>
          <cell r="F522"/>
          <cell r="G522" t="str">
            <v>B. Fashion &amp; Lifestyle</v>
          </cell>
          <cell r="H522" t="str">
            <v>Trends &amp; Allied Formats (Part A)</v>
          </cell>
          <cell r="I522" t="str">
            <v>Trends Small Town</v>
          </cell>
        </row>
        <row r="523">
          <cell r="A523" t="str">
            <v>TRSTAS10659</v>
          </cell>
          <cell r="B523">
            <v>522</v>
          </cell>
          <cell r="C523"/>
          <cell r="D523"/>
          <cell r="E523"/>
          <cell r="F523"/>
          <cell r="G523" t="str">
            <v>B. Fashion &amp; Lifestyle</v>
          </cell>
          <cell r="H523" t="str">
            <v>Trends &amp; Allied Formats (Part A)</v>
          </cell>
          <cell r="I523" t="str">
            <v>Trends Small Town 3.0</v>
          </cell>
        </row>
        <row r="524">
          <cell r="A524" t="str">
            <v>TRSTAS10665</v>
          </cell>
          <cell r="B524">
            <v>523</v>
          </cell>
          <cell r="C524"/>
          <cell r="D524"/>
          <cell r="E524"/>
          <cell r="F524"/>
          <cell r="G524" t="str">
            <v>B. Fashion &amp; Lifestyle</v>
          </cell>
          <cell r="H524" t="str">
            <v>Trends &amp; Allied Formats (Part A)</v>
          </cell>
          <cell r="I524" t="str">
            <v>Trends Small Town 3.0</v>
          </cell>
        </row>
        <row r="525">
          <cell r="A525" t="str">
            <v>TRSTBK10709</v>
          </cell>
          <cell r="B525">
            <v>524</v>
          </cell>
          <cell r="C525"/>
          <cell r="D525"/>
          <cell r="E525"/>
          <cell r="F525"/>
          <cell r="G525" t="str">
            <v>B. Fashion &amp; Lifestyle</v>
          </cell>
          <cell r="H525" t="str">
            <v>Trends &amp; Allied Formats (Part A)</v>
          </cell>
          <cell r="I525" t="str">
            <v>Trends Small Town</v>
          </cell>
        </row>
        <row r="526">
          <cell r="A526" t="str">
            <v>TRSTBK10711</v>
          </cell>
          <cell r="B526">
            <v>525</v>
          </cell>
          <cell r="C526"/>
          <cell r="D526"/>
          <cell r="E526"/>
          <cell r="F526"/>
          <cell r="G526" t="str">
            <v>B. Fashion &amp; Lifestyle</v>
          </cell>
          <cell r="H526" t="str">
            <v>Trends &amp; Allied Formats (Part A)</v>
          </cell>
          <cell r="I526" t="str">
            <v>Trends Small Town</v>
          </cell>
        </row>
        <row r="527">
          <cell r="A527" t="str">
            <v>TRSTAS10719</v>
          </cell>
          <cell r="B527">
            <v>526</v>
          </cell>
          <cell r="C527"/>
          <cell r="D527"/>
          <cell r="E527"/>
          <cell r="F527"/>
          <cell r="G527" t="str">
            <v>B. Fashion &amp; Lifestyle</v>
          </cell>
          <cell r="H527" t="str">
            <v>Trends &amp; Allied Formats (Part A)</v>
          </cell>
          <cell r="I527" t="str">
            <v>Trends Small Town 3.0</v>
          </cell>
        </row>
        <row r="528">
          <cell r="A528" t="str">
            <v>TRSTAS10723</v>
          </cell>
          <cell r="B528">
            <v>527</v>
          </cell>
          <cell r="C528"/>
          <cell r="D528"/>
          <cell r="E528"/>
          <cell r="F528"/>
          <cell r="G528" t="str">
            <v>B. Fashion &amp; Lifestyle</v>
          </cell>
          <cell r="H528" t="str">
            <v>Trends &amp; Allied Formats (Part A)</v>
          </cell>
          <cell r="I528" t="str">
            <v>Trends Small Town</v>
          </cell>
        </row>
        <row r="529">
          <cell r="A529" t="str">
            <v>TRSTAS10725</v>
          </cell>
          <cell r="B529">
            <v>528</v>
          </cell>
          <cell r="C529"/>
          <cell r="D529"/>
          <cell r="E529"/>
          <cell r="F529"/>
          <cell r="G529" t="str">
            <v>B. Fashion &amp; Lifestyle</v>
          </cell>
          <cell r="H529" t="str">
            <v>Trends &amp; Allied Formats (Part A)</v>
          </cell>
          <cell r="I529" t="str">
            <v>Trends Small Town 3.0</v>
          </cell>
        </row>
        <row r="530">
          <cell r="A530" t="str">
            <v>TRSTAS10727</v>
          </cell>
          <cell r="B530">
            <v>529</v>
          </cell>
          <cell r="C530"/>
          <cell r="D530"/>
          <cell r="E530"/>
          <cell r="F530"/>
          <cell r="G530" t="str">
            <v>B. Fashion &amp; Lifestyle</v>
          </cell>
          <cell r="H530" t="str">
            <v>Trends &amp; Allied Formats (Part A)</v>
          </cell>
          <cell r="I530" t="str">
            <v>Trends Small Town 3.0</v>
          </cell>
        </row>
        <row r="531">
          <cell r="A531" t="str">
            <v>TRSTAS10728</v>
          </cell>
          <cell r="B531">
            <v>530</v>
          </cell>
          <cell r="C531"/>
          <cell r="D531"/>
          <cell r="E531"/>
          <cell r="F531"/>
          <cell r="G531" t="str">
            <v>B. Fashion &amp; Lifestyle</v>
          </cell>
          <cell r="H531" t="str">
            <v>Trends &amp; Allied Formats (Part A)</v>
          </cell>
          <cell r="I531" t="str">
            <v>Trends Small Town 3.0</v>
          </cell>
        </row>
        <row r="532">
          <cell r="A532" t="str">
            <v>TRSTAS10729</v>
          </cell>
          <cell r="B532">
            <v>531</v>
          </cell>
          <cell r="C532"/>
          <cell r="D532"/>
          <cell r="E532"/>
          <cell r="F532"/>
          <cell r="G532" t="str">
            <v>B. Fashion &amp; Lifestyle</v>
          </cell>
          <cell r="H532" t="str">
            <v>Trends &amp; Allied Formats (Part A)</v>
          </cell>
          <cell r="I532" t="str">
            <v>Trends Small Town 3.0</v>
          </cell>
        </row>
        <row r="533">
          <cell r="A533" t="str">
            <v>TRSTAS10730</v>
          </cell>
          <cell r="B533">
            <v>532</v>
          </cell>
          <cell r="C533"/>
          <cell r="D533"/>
          <cell r="E533"/>
          <cell r="F533"/>
          <cell r="G533" t="str">
            <v>B. Fashion &amp; Lifestyle</v>
          </cell>
          <cell r="H533" t="str">
            <v>Trends &amp; Allied Formats (Part A)</v>
          </cell>
          <cell r="I533" t="str">
            <v>Trends Small Town 3.0</v>
          </cell>
        </row>
        <row r="534">
          <cell r="A534" t="str">
            <v>TRSTSD10732</v>
          </cell>
          <cell r="B534">
            <v>533</v>
          </cell>
          <cell r="C534"/>
          <cell r="D534"/>
          <cell r="E534"/>
          <cell r="F534"/>
          <cell r="G534" t="str">
            <v>B. Fashion &amp; Lifestyle</v>
          </cell>
          <cell r="H534" t="str">
            <v>Trends &amp; Allied Formats (Part A)</v>
          </cell>
          <cell r="I534" t="str">
            <v>Trends Small Town 3.0</v>
          </cell>
        </row>
        <row r="535">
          <cell r="A535" t="str">
            <v>TRSTSD10733</v>
          </cell>
          <cell r="B535">
            <v>534</v>
          </cell>
          <cell r="C535"/>
          <cell r="D535"/>
          <cell r="E535"/>
          <cell r="F535"/>
          <cell r="G535" t="str">
            <v>B. Fashion &amp; Lifestyle</v>
          </cell>
          <cell r="H535" t="str">
            <v>Trends &amp; Allied Formats (Part A)</v>
          </cell>
          <cell r="I535" t="str">
            <v>Trends Small Town 3.0</v>
          </cell>
        </row>
        <row r="536">
          <cell r="A536" t="str">
            <v>TRSTAS10734</v>
          </cell>
          <cell r="B536">
            <v>535</v>
          </cell>
          <cell r="C536"/>
          <cell r="D536"/>
          <cell r="E536"/>
          <cell r="F536"/>
          <cell r="G536" t="str">
            <v>B. Fashion &amp; Lifestyle</v>
          </cell>
          <cell r="H536" t="str">
            <v>Trends &amp; Allied Formats (Part A)</v>
          </cell>
          <cell r="I536" t="str">
            <v>Trends Small Town</v>
          </cell>
        </row>
        <row r="537">
          <cell r="A537" t="str">
            <v>TRSTAS10736</v>
          </cell>
          <cell r="B537">
            <v>536</v>
          </cell>
          <cell r="C537"/>
          <cell r="D537"/>
          <cell r="E537"/>
          <cell r="F537"/>
          <cell r="G537" t="str">
            <v>B. Fashion &amp; Lifestyle</v>
          </cell>
          <cell r="H537" t="str">
            <v>Trends &amp; Allied Formats (Part A)</v>
          </cell>
          <cell r="I537" t="str">
            <v>Trends Small Town 3.0</v>
          </cell>
        </row>
        <row r="538">
          <cell r="A538" t="str">
            <v>TRSTAS10738</v>
          </cell>
          <cell r="B538">
            <v>537</v>
          </cell>
          <cell r="C538"/>
          <cell r="D538"/>
          <cell r="E538"/>
          <cell r="F538"/>
          <cell r="G538" t="str">
            <v>B. Fashion &amp; Lifestyle</v>
          </cell>
          <cell r="H538" t="str">
            <v>Trends &amp; Allied Formats (Part A)</v>
          </cell>
          <cell r="I538" t="str">
            <v>Trends Small Town 3.0</v>
          </cell>
        </row>
        <row r="539">
          <cell r="A539" t="str">
            <v>TRSTAS10743</v>
          </cell>
          <cell r="B539">
            <v>538</v>
          </cell>
          <cell r="C539"/>
          <cell r="D539"/>
          <cell r="E539"/>
          <cell r="F539"/>
          <cell r="G539" t="str">
            <v>B. Fashion &amp; Lifestyle</v>
          </cell>
          <cell r="H539" t="str">
            <v>Trends &amp; Allied Formats (Part A)</v>
          </cell>
          <cell r="I539" t="str">
            <v>Trends Small Town 3.0</v>
          </cell>
        </row>
        <row r="540">
          <cell r="A540" t="str">
            <v>TRSTAS10762</v>
          </cell>
          <cell r="B540">
            <v>539</v>
          </cell>
          <cell r="C540"/>
          <cell r="D540"/>
          <cell r="E540"/>
          <cell r="F540"/>
          <cell r="G540" t="str">
            <v>B. Fashion &amp; Lifestyle</v>
          </cell>
          <cell r="H540" t="str">
            <v>Trends &amp; Allied Formats (Part A)</v>
          </cell>
          <cell r="I540" t="str">
            <v>Trends Small Town 3.0</v>
          </cell>
        </row>
        <row r="541">
          <cell r="A541" t="str">
            <v>TRSTAS10763</v>
          </cell>
          <cell r="B541">
            <v>540</v>
          </cell>
          <cell r="C541"/>
          <cell r="D541"/>
          <cell r="E541"/>
          <cell r="F541"/>
          <cell r="G541" t="str">
            <v>B. Fashion &amp; Lifestyle</v>
          </cell>
          <cell r="H541" t="str">
            <v>Trends &amp; Allied Formats (Part A)</v>
          </cell>
          <cell r="I541" t="str">
            <v>Trends Small Town 3.0</v>
          </cell>
        </row>
        <row r="542">
          <cell r="A542" t="str">
            <v>TRSTSD10786</v>
          </cell>
          <cell r="B542">
            <v>541</v>
          </cell>
          <cell r="C542"/>
          <cell r="D542"/>
          <cell r="E542"/>
          <cell r="F542"/>
          <cell r="G542" t="str">
            <v>B. Fashion &amp; Lifestyle</v>
          </cell>
          <cell r="H542" t="str">
            <v>Trends &amp; Allied Formats (Part A)</v>
          </cell>
          <cell r="I542" t="str">
            <v>Trends Small Town</v>
          </cell>
        </row>
        <row r="543">
          <cell r="A543" t="str">
            <v>TRSTSD10787</v>
          </cell>
          <cell r="B543">
            <v>542</v>
          </cell>
          <cell r="C543"/>
          <cell r="D543"/>
          <cell r="E543"/>
          <cell r="F543"/>
          <cell r="G543" t="str">
            <v>B. Fashion &amp; Lifestyle</v>
          </cell>
          <cell r="H543" t="str">
            <v>Trends &amp; Allied Formats (Part A)</v>
          </cell>
          <cell r="I543" t="str">
            <v>Trends Small Town</v>
          </cell>
        </row>
        <row r="544">
          <cell r="A544" t="str">
            <v>TRSTAS10836</v>
          </cell>
          <cell r="B544">
            <v>543</v>
          </cell>
          <cell r="C544"/>
          <cell r="D544"/>
          <cell r="E544"/>
          <cell r="F544"/>
          <cell r="G544" t="str">
            <v>B. Fashion &amp; Lifestyle</v>
          </cell>
          <cell r="H544" t="str">
            <v>Trends &amp; Allied Formats (Part A)</v>
          </cell>
          <cell r="I544" t="str">
            <v>Trends Small Town</v>
          </cell>
        </row>
        <row r="545">
          <cell r="A545" t="str">
            <v>TRSTSD10838</v>
          </cell>
          <cell r="B545">
            <v>544</v>
          </cell>
          <cell r="C545"/>
          <cell r="D545"/>
          <cell r="E545"/>
          <cell r="F545"/>
          <cell r="G545" t="str">
            <v>B. Fashion &amp; Lifestyle</v>
          </cell>
          <cell r="H545" t="str">
            <v>Trends &amp; Allied Formats (Part A)</v>
          </cell>
          <cell r="I545" t="str">
            <v>Trends Small Town</v>
          </cell>
        </row>
        <row r="546">
          <cell r="A546" t="str">
            <v>TRSTSD10839</v>
          </cell>
          <cell r="B546">
            <v>545</v>
          </cell>
          <cell r="C546"/>
          <cell r="D546"/>
          <cell r="E546"/>
          <cell r="F546"/>
          <cell r="G546" t="str">
            <v>B. Fashion &amp; Lifestyle</v>
          </cell>
          <cell r="H546" t="str">
            <v>Trends &amp; Allied Formats (Part A)</v>
          </cell>
          <cell r="I546" t="str">
            <v>Trends Small Town</v>
          </cell>
        </row>
        <row r="547">
          <cell r="A547" t="str">
            <v>TRSTSD10840</v>
          </cell>
          <cell r="B547">
            <v>546</v>
          </cell>
          <cell r="C547"/>
          <cell r="D547"/>
          <cell r="E547"/>
          <cell r="F547"/>
          <cell r="G547" t="str">
            <v>B. Fashion &amp; Lifestyle</v>
          </cell>
          <cell r="H547" t="str">
            <v>Trends &amp; Allied Formats (Part A)</v>
          </cell>
          <cell r="I547" t="str">
            <v>Trends Small Town</v>
          </cell>
        </row>
        <row r="548">
          <cell r="A548" t="str">
            <v>TRSTAS10841</v>
          </cell>
          <cell r="B548">
            <v>547</v>
          </cell>
          <cell r="C548"/>
          <cell r="D548"/>
          <cell r="E548"/>
          <cell r="F548"/>
          <cell r="G548" t="str">
            <v>B. Fashion &amp; Lifestyle</v>
          </cell>
          <cell r="H548" t="str">
            <v>Trends &amp; Allied Formats (Part A)</v>
          </cell>
          <cell r="I548" t="str">
            <v>Trends Small Town</v>
          </cell>
        </row>
        <row r="549">
          <cell r="A549" t="str">
            <v>TRSTSD10842</v>
          </cell>
          <cell r="B549">
            <v>548</v>
          </cell>
          <cell r="C549"/>
          <cell r="D549"/>
          <cell r="E549"/>
          <cell r="F549"/>
          <cell r="G549" t="str">
            <v>B. Fashion &amp; Lifestyle</v>
          </cell>
          <cell r="H549" t="str">
            <v>Trends &amp; Allied Formats (Part A)</v>
          </cell>
          <cell r="I549" t="str">
            <v>Trends Small Town</v>
          </cell>
        </row>
        <row r="550">
          <cell r="A550" t="str">
            <v>TRSTSD10843</v>
          </cell>
          <cell r="B550">
            <v>549</v>
          </cell>
          <cell r="C550"/>
          <cell r="D550"/>
          <cell r="E550"/>
          <cell r="F550"/>
          <cell r="G550" t="str">
            <v>B. Fashion &amp; Lifestyle</v>
          </cell>
          <cell r="H550" t="str">
            <v>Trends &amp; Allied Formats (Part A)</v>
          </cell>
          <cell r="I550" t="str">
            <v>Trends Small Town</v>
          </cell>
        </row>
        <row r="551">
          <cell r="A551" t="str">
            <v>TRSTAS10844</v>
          </cell>
          <cell r="B551">
            <v>550</v>
          </cell>
          <cell r="C551"/>
          <cell r="D551"/>
          <cell r="E551"/>
          <cell r="F551"/>
          <cell r="G551" t="str">
            <v>B. Fashion &amp; Lifestyle</v>
          </cell>
          <cell r="H551" t="str">
            <v>Trends &amp; Allied Formats (Part A)</v>
          </cell>
          <cell r="I551" t="str">
            <v>Trends Small Town</v>
          </cell>
        </row>
        <row r="552">
          <cell r="A552" t="str">
            <v>TRSTSD10850</v>
          </cell>
          <cell r="B552">
            <v>551</v>
          </cell>
          <cell r="C552"/>
          <cell r="D552"/>
          <cell r="E552"/>
          <cell r="F552"/>
          <cell r="G552" t="str">
            <v>B. Fashion &amp; Lifestyle</v>
          </cell>
          <cell r="H552" t="str">
            <v>Trends &amp; Allied Formats (Part A)</v>
          </cell>
          <cell r="I552" t="str">
            <v>Trends Small Town</v>
          </cell>
        </row>
        <row r="553">
          <cell r="A553" t="str">
            <v>TRSTSD10851</v>
          </cell>
          <cell r="B553">
            <v>552</v>
          </cell>
          <cell r="C553"/>
          <cell r="D553"/>
          <cell r="E553"/>
          <cell r="F553"/>
          <cell r="G553" t="str">
            <v>B. Fashion &amp; Lifestyle</v>
          </cell>
          <cell r="H553" t="str">
            <v>Trends &amp; Allied Formats (Part A)</v>
          </cell>
          <cell r="I553" t="str">
            <v>Trends Small Town</v>
          </cell>
        </row>
        <row r="554">
          <cell r="A554" t="str">
            <v>TRSTSD10852</v>
          </cell>
          <cell r="B554">
            <v>553</v>
          </cell>
          <cell r="C554"/>
          <cell r="D554"/>
          <cell r="E554"/>
          <cell r="F554"/>
          <cell r="G554" t="str">
            <v>B. Fashion &amp; Lifestyle</v>
          </cell>
          <cell r="H554" t="str">
            <v>Trends &amp; Allied Formats (Part A)</v>
          </cell>
          <cell r="I554" t="str">
            <v>Trends Small Town</v>
          </cell>
        </row>
        <row r="555">
          <cell r="A555" t="str">
            <v>TRSTSD10853</v>
          </cell>
          <cell r="B555">
            <v>554</v>
          </cell>
          <cell r="C555"/>
          <cell r="D555"/>
          <cell r="E555"/>
          <cell r="F555"/>
          <cell r="G555" t="str">
            <v>B. Fashion &amp; Lifestyle</v>
          </cell>
          <cell r="H555" t="str">
            <v>Trends &amp; Allied Formats (Part A)</v>
          </cell>
          <cell r="I555" t="str">
            <v>Trends Small Town</v>
          </cell>
        </row>
        <row r="556">
          <cell r="A556" t="str">
            <v>TRSTSD10854</v>
          </cell>
          <cell r="B556">
            <v>555</v>
          </cell>
          <cell r="C556"/>
          <cell r="D556"/>
          <cell r="E556"/>
          <cell r="F556"/>
          <cell r="G556" t="str">
            <v>B. Fashion &amp; Lifestyle</v>
          </cell>
          <cell r="H556" t="str">
            <v>Trends &amp; Allied Formats (Part A)</v>
          </cell>
          <cell r="I556" t="str">
            <v>Trends Small Town</v>
          </cell>
        </row>
        <row r="557">
          <cell r="A557" t="str">
            <v>TRSTSD10856</v>
          </cell>
          <cell r="B557">
            <v>556</v>
          </cell>
          <cell r="C557"/>
          <cell r="D557"/>
          <cell r="E557"/>
          <cell r="F557"/>
          <cell r="G557" t="str">
            <v>B. Fashion &amp; Lifestyle</v>
          </cell>
          <cell r="H557" t="str">
            <v>Trends &amp; Allied Formats (Part A)</v>
          </cell>
          <cell r="I557" t="str">
            <v>Trends Small Town</v>
          </cell>
        </row>
        <row r="558">
          <cell r="A558" t="str">
            <v>TRSTSD10857</v>
          </cell>
          <cell r="B558">
            <v>557</v>
          </cell>
          <cell r="C558"/>
          <cell r="D558"/>
          <cell r="E558"/>
          <cell r="F558"/>
          <cell r="G558" t="str">
            <v>B. Fashion &amp; Lifestyle</v>
          </cell>
          <cell r="H558" t="str">
            <v>Trends &amp; Allied Formats (Part A)</v>
          </cell>
          <cell r="I558" t="str">
            <v>Trends Small Town</v>
          </cell>
        </row>
        <row r="559">
          <cell r="A559" t="str">
            <v>TRSTSD10858</v>
          </cell>
          <cell r="B559">
            <v>558</v>
          </cell>
          <cell r="C559"/>
          <cell r="D559"/>
          <cell r="E559"/>
          <cell r="F559"/>
          <cell r="G559" t="str">
            <v>B. Fashion &amp; Lifestyle</v>
          </cell>
          <cell r="H559" t="str">
            <v>Trends &amp; Allied Formats (Part A)</v>
          </cell>
          <cell r="I559" t="str">
            <v>Trends Small Town</v>
          </cell>
        </row>
        <row r="560">
          <cell r="A560" t="str">
            <v>TRSTRT10912</v>
          </cell>
          <cell r="B560">
            <v>559</v>
          </cell>
          <cell r="C560"/>
          <cell r="D560"/>
          <cell r="E560"/>
          <cell r="F560"/>
          <cell r="G560" t="str">
            <v>B. Fashion &amp; Lifestyle</v>
          </cell>
          <cell r="H560" t="str">
            <v>Trends &amp; Allied Formats (Part A)</v>
          </cell>
          <cell r="I560" t="str">
            <v>Trends Small Town</v>
          </cell>
        </row>
        <row r="561">
          <cell r="A561" t="str">
            <v>TRSTBK10934</v>
          </cell>
          <cell r="B561">
            <v>560</v>
          </cell>
          <cell r="C561"/>
          <cell r="D561"/>
          <cell r="E561"/>
          <cell r="F561"/>
          <cell r="G561" t="str">
            <v>B. Fashion &amp; Lifestyle</v>
          </cell>
          <cell r="H561" t="str">
            <v>Trends &amp; Allied Formats (Part A)</v>
          </cell>
          <cell r="I561" t="str">
            <v>Trends Small Town</v>
          </cell>
        </row>
        <row r="562">
          <cell r="A562" t="str">
            <v>TRSTAS11018</v>
          </cell>
          <cell r="B562">
            <v>561</v>
          </cell>
          <cell r="C562"/>
          <cell r="D562"/>
          <cell r="E562"/>
          <cell r="F562"/>
          <cell r="G562" t="str">
            <v>B. Fashion &amp; Lifestyle</v>
          </cell>
          <cell r="H562" t="str">
            <v>Trends &amp; Allied Formats (Part A)</v>
          </cell>
          <cell r="I562" t="str">
            <v>Trends Small Town 3.0</v>
          </cell>
        </row>
        <row r="563">
          <cell r="A563" t="str">
            <v>TRSTRT11054</v>
          </cell>
          <cell r="B563">
            <v>562</v>
          </cell>
          <cell r="C563"/>
          <cell r="D563"/>
          <cell r="E563"/>
          <cell r="F563"/>
          <cell r="G563" t="str">
            <v>B. Fashion &amp; Lifestyle</v>
          </cell>
          <cell r="H563" t="str">
            <v>Trends &amp; Allied Formats (Part A)</v>
          </cell>
          <cell r="I563" t="str">
            <v>Trends Small Town 3.0</v>
          </cell>
        </row>
        <row r="564">
          <cell r="A564" t="str">
            <v>TRSTSD11071</v>
          </cell>
          <cell r="B564">
            <v>563</v>
          </cell>
          <cell r="C564"/>
          <cell r="D564"/>
          <cell r="E564"/>
          <cell r="F564"/>
          <cell r="G564" t="str">
            <v>B. Fashion &amp; Lifestyle</v>
          </cell>
          <cell r="H564" t="str">
            <v>Trends &amp; Allied Formats (Part A)</v>
          </cell>
          <cell r="I564" t="str">
            <v>Trends Small Town</v>
          </cell>
        </row>
        <row r="565">
          <cell r="A565" t="str">
            <v>TRSTSD11073</v>
          </cell>
          <cell r="B565">
            <v>564</v>
          </cell>
          <cell r="C565"/>
          <cell r="D565"/>
          <cell r="E565"/>
          <cell r="F565"/>
          <cell r="G565" t="str">
            <v>B. Fashion &amp; Lifestyle</v>
          </cell>
          <cell r="H565" t="str">
            <v>Trends &amp; Allied Formats (Part A)</v>
          </cell>
          <cell r="I565" t="str">
            <v>Trends Small Town</v>
          </cell>
        </row>
        <row r="566">
          <cell r="A566" t="str">
            <v>TRSTSD11076</v>
          </cell>
          <cell r="B566">
            <v>565</v>
          </cell>
          <cell r="C566"/>
          <cell r="D566"/>
          <cell r="E566"/>
          <cell r="F566"/>
          <cell r="G566" t="str">
            <v>B. Fashion &amp; Lifestyle</v>
          </cell>
          <cell r="H566" t="str">
            <v>Trends &amp; Allied Formats (Part A)</v>
          </cell>
          <cell r="I566" t="str">
            <v>Trends Small Town</v>
          </cell>
        </row>
        <row r="567">
          <cell r="A567" t="str">
            <v>TRSTSD11077</v>
          </cell>
          <cell r="B567">
            <v>566</v>
          </cell>
          <cell r="C567"/>
          <cell r="D567"/>
          <cell r="E567"/>
          <cell r="F567"/>
          <cell r="G567" t="str">
            <v>B. Fashion &amp; Lifestyle</v>
          </cell>
          <cell r="H567" t="str">
            <v>Trends &amp; Allied Formats (Part A)</v>
          </cell>
          <cell r="I567" t="str">
            <v>Trends Small Town</v>
          </cell>
        </row>
        <row r="568">
          <cell r="A568" t="str">
            <v>TRSTAS11080</v>
          </cell>
          <cell r="B568">
            <v>567</v>
          </cell>
          <cell r="C568"/>
          <cell r="D568"/>
          <cell r="E568"/>
          <cell r="F568"/>
          <cell r="G568" t="str">
            <v>B. Fashion &amp; Lifestyle</v>
          </cell>
          <cell r="H568" t="str">
            <v>Trends &amp; Allied Formats (Part A)</v>
          </cell>
          <cell r="I568" t="str">
            <v>Trends Small Town</v>
          </cell>
        </row>
        <row r="569">
          <cell r="A569" t="str">
            <v>TRSTAS11085</v>
          </cell>
          <cell r="B569">
            <v>568</v>
          </cell>
          <cell r="C569"/>
          <cell r="D569"/>
          <cell r="E569"/>
          <cell r="F569"/>
          <cell r="G569" t="str">
            <v>B. Fashion &amp; Lifestyle</v>
          </cell>
          <cell r="H569" t="str">
            <v>Trends &amp; Allied Formats (Part A)</v>
          </cell>
          <cell r="I569" t="str">
            <v>Trends Small Town</v>
          </cell>
        </row>
        <row r="570">
          <cell r="A570" t="str">
            <v>TRSTAS11087</v>
          </cell>
          <cell r="B570">
            <v>569</v>
          </cell>
          <cell r="C570"/>
          <cell r="D570"/>
          <cell r="E570"/>
          <cell r="F570"/>
          <cell r="G570" t="str">
            <v>B. Fashion &amp; Lifestyle</v>
          </cell>
          <cell r="H570" t="str">
            <v>Trends &amp; Allied Formats (Part A)</v>
          </cell>
          <cell r="I570" t="str">
            <v>Trends Small Town</v>
          </cell>
        </row>
        <row r="571">
          <cell r="A571" t="str">
            <v>TRSTAS11088</v>
          </cell>
          <cell r="B571">
            <v>570</v>
          </cell>
          <cell r="C571"/>
          <cell r="D571"/>
          <cell r="E571"/>
          <cell r="F571"/>
          <cell r="G571" t="str">
            <v>B. Fashion &amp; Lifestyle</v>
          </cell>
          <cell r="H571" t="str">
            <v>Trends &amp; Allied Formats (Part A)</v>
          </cell>
          <cell r="I571" t="str">
            <v>Trends Small Town</v>
          </cell>
        </row>
        <row r="572">
          <cell r="A572" t="str">
            <v>TRSTAS11089</v>
          </cell>
          <cell r="B572">
            <v>571</v>
          </cell>
          <cell r="C572"/>
          <cell r="D572"/>
          <cell r="E572"/>
          <cell r="F572"/>
          <cell r="G572" t="str">
            <v>B. Fashion &amp; Lifestyle</v>
          </cell>
          <cell r="H572" t="str">
            <v>Trends &amp; Allied Formats (Part A)</v>
          </cell>
          <cell r="I572" t="str">
            <v>Trends Small Town</v>
          </cell>
        </row>
        <row r="573">
          <cell r="A573" t="str">
            <v>TRSTAS11096</v>
          </cell>
          <cell r="B573">
            <v>572</v>
          </cell>
          <cell r="C573"/>
          <cell r="D573"/>
          <cell r="E573"/>
          <cell r="F573"/>
          <cell r="G573" t="str">
            <v>B. Fashion &amp; Lifestyle</v>
          </cell>
          <cell r="H573" t="str">
            <v>Trends &amp; Allied Formats (Part A)</v>
          </cell>
          <cell r="I573" t="str">
            <v>Trends Small Town</v>
          </cell>
        </row>
        <row r="574">
          <cell r="A574" t="str">
            <v>TRSTAS11097</v>
          </cell>
          <cell r="B574">
            <v>573</v>
          </cell>
          <cell r="C574"/>
          <cell r="D574"/>
          <cell r="E574"/>
          <cell r="F574"/>
          <cell r="G574" t="str">
            <v>B. Fashion &amp; Lifestyle</v>
          </cell>
          <cell r="H574" t="str">
            <v>Trends &amp; Allied Formats (Part A)</v>
          </cell>
          <cell r="I574" t="str">
            <v>Trends Small Town</v>
          </cell>
        </row>
        <row r="575">
          <cell r="A575" t="str">
            <v>TRSTAS11098</v>
          </cell>
          <cell r="B575">
            <v>574</v>
          </cell>
          <cell r="C575"/>
          <cell r="D575"/>
          <cell r="E575"/>
          <cell r="F575"/>
          <cell r="G575" t="str">
            <v>B. Fashion &amp; Lifestyle</v>
          </cell>
          <cell r="H575" t="str">
            <v>Trends &amp; Allied Formats (Part A)</v>
          </cell>
          <cell r="I575" t="str">
            <v>Trends Small Town</v>
          </cell>
        </row>
        <row r="576">
          <cell r="A576" t="str">
            <v>TRSTAS11103</v>
          </cell>
          <cell r="B576">
            <v>575</v>
          </cell>
          <cell r="C576"/>
          <cell r="D576"/>
          <cell r="E576"/>
          <cell r="F576"/>
          <cell r="G576" t="str">
            <v>B. Fashion &amp; Lifestyle</v>
          </cell>
          <cell r="H576" t="str">
            <v>Trends &amp; Allied Formats (Part A)</v>
          </cell>
          <cell r="I576" t="str">
            <v>Trends Small Town</v>
          </cell>
        </row>
        <row r="577">
          <cell r="A577" t="str">
            <v>TRSTAS11104</v>
          </cell>
          <cell r="B577">
            <v>576</v>
          </cell>
          <cell r="C577"/>
          <cell r="D577"/>
          <cell r="E577"/>
          <cell r="F577"/>
          <cell r="G577" t="str">
            <v>B. Fashion &amp; Lifestyle</v>
          </cell>
          <cell r="H577" t="str">
            <v>Trends &amp; Allied Formats (Part A)</v>
          </cell>
          <cell r="I577" t="str">
            <v>Trends Small Town</v>
          </cell>
        </row>
        <row r="578">
          <cell r="A578" t="str">
            <v>TRSTSD11106</v>
          </cell>
          <cell r="B578">
            <v>577</v>
          </cell>
          <cell r="C578"/>
          <cell r="D578"/>
          <cell r="E578"/>
          <cell r="F578"/>
          <cell r="G578" t="str">
            <v>B. Fashion &amp; Lifestyle</v>
          </cell>
          <cell r="H578" t="str">
            <v>Trends &amp; Allied Formats (Part A)</v>
          </cell>
          <cell r="I578" t="str">
            <v>Trends Small Town</v>
          </cell>
        </row>
        <row r="579">
          <cell r="A579" t="str">
            <v>TRSTAS11110</v>
          </cell>
          <cell r="B579">
            <v>578</v>
          </cell>
          <cell r="C579"/>
          <cell r="D579"/>
          <cell r="E579"/>
          <cell r="F579"/>
          <cell r="G579" t="str">
            <v>B. Fashion &amp; Lifestyle</v>
          </cell>
          <cell r="H579" t="str">
            <v>Trends &amp; Allied Formats (Part A)</v>
          </cell>
          <cell r="I579" t="str">
            <v>Trends Small Town</v>
          </cell>
        </row>
        <row r="580">
          <cell r="A580" t="str">
            <v>TRSTAS11116</v>
          </cell>
          <cell r="B580">
            <v>579</v>
          </cell>
          <cell r="C580"/>
          <cell r="D580"/>
          <cell r="E580"/>
          <cell r="F580"/>
          <cell r="G580" t="str">
            <v>B. Fashion &amp; Lifestyle</v>
          </cell>
          <cell r="H580" t="str">
            <v>Trends &amp; Allied Formats (Part A)</v>
          </cell>
          <cell r="I580" t="str">
            <v>Trends Small Town</v>
          </cell>
        </row>
        <row r="581">
          <cell r="A581" t="str">
            <v>TRSTAS11131</v>
          </cell>
          <cell r="B581">
            <v>580</v>
          </cell>
          <cell r="C581"/>
          <cell r="D581"/>
          <cell r="E581"/>
          <cell r="F581"/>
          <cell r="G581" t="str">
            <v>B. Fashion &amp; Lifestyle</v>
          </cell>
          <cell r="H581" t="str">
            <v>Trends &amp; Allied Formats (Part A)</v>
          </cell>
          <cell r="I581" t="str">
            <v>Trends Small Town</v>
          </cell>
        </row>
        <row r="582">
          <cell r="A582" t="str">
            <v>TRSTBK11236</v>
          </cell>
          <cell r="B582">
            <v>581</v>
          </cell>
          <cell r="C582"/>
          <cell r="D582"/>
          <cell r="E582"/>
          <cell r="F582"/>
          <cell r="G582" t="str">
            <v>B. Fashion &amp; Lifestyle</v>
          </cell>
          <cell r="H582" t="str">
            <v>Trends &amp; Allied Formats (Part A)</v>
          </cell>
          <cell r="I582" t="str">
            <v>Trends Small Town</v>
          </cell>
        </row>
        <row r="583">
          <cell r="A583" t="str">
            <v>TRWNAS238</v>
          </cell>
          <cell r="B583">
            <v>582</v>
          </cell>
          <cell r="C583" t="str">
            <v>TN-SM-KAK-903</v>
          </cell>
          <cell r="D583" t="str">
            <v>T9BT</v>
          </cell>
          <cell r="E583" t="str">
            <v>QSAX</v>
          </cell>
          <cell r="F583" t="str">
            <v>TWIW8QSAX00</v>
          </cell>
          <cell r="G583" t="str">
            <v>B. Fashion &amp; Lifestyle</v>
          </cell>
          <cell r="H583" t="str">
            <v>Trends &amp; Allied Formats (Part A)</v>
          </cell>
          <cell r="I583" t="str">
            <v>Trends Woman</v>
          </cell>
        </row>
        <row r="584">
          <cell r="A584" t="str">
            <v>TRENS418</v>
          </cell>
          <cell r="B584">
            <v>583</v>
          </cell>
          <cell r="C584" t="str">
            <v>KE-SM-TRI-911</v>
          </cell>
          <cell r="D584" t="str">
            <v>TX8V</v>
          </cell>
          <cell r="E584" t="str">
            <v>QH1K</v>
          </cell>
          <cell r="F584" t="str">
            <v>TWIWVQH1K00</v>
          </cell>
          <cell r="G584" t="str">
            <v>B. Fashion &amp; Lifestyle</v>
          </cell>
          <cell r="H584" t="str">
            <v>Trends &amp; Allied Formats (Part A)</v>
          </cell>
          <cell r="I584" t="str">
            <v>Trends Woman</v>
          </cell>
        </row>
        <row r="585">
          <cell r="A585" t="str">
            <v>TRENS587</v>
          </cell>
          <cell r="B585">
            <v>584</v>
          </cell>
          <cell r="C585" t="str">
            <v>KE-SM-KOC-911</v>
          </cell>
          <cell r="D585" t="str">
            <v>T1BI</v>
          </cell>
          <cell r="E585" t="str">
            <v>QG6G</v>
          </cell>
          <cell r="F585" t="str">
            <v>TWIWVQG6G00</v>
          </cell>
          <cell r="G585" t="str">
            <v>B. Fashion &amp; Lifestyle</v>
          </cell>
          <cell r="H585" t="str">
            <v>Trends &amp; Allied Formats (Part A)</v>
          </cell>
          <cell r="I585" t="str">
            <v>Trends Woman</v>
          </cell>
        </row>
        <row r="586">
          <cell r="A586" t="str">
            <v>TRWNBK10704</v>
          </cell>
          <cell r="B586">
            <v>585</v>
          </cell>
          <cell r="C586"/>
          <cell r="D586"/>
          <cell r="E586"/>
          <cell r="F586"/>
          <cell r="G586" t="str">
            <v>B. Fashion &amp; Lifestyle</v>
          </cell>
          <cell r="H586" t="str">
            <v>Trends &amp; Allied Formats (Part A)</v>
          </cell>
          <cell r="I586" t="str">
            <v>Trends Woman</v>
          </cell>
        </row>
        <row r="587">
          <cell r="A587" t="str">
            <v>TRWNAS10744</v>
          </cell>
          <cell r="B587">
            <v>586</v>
          </cell>
          <cell r="C587"/>
          <cell r="D587"/>
          <cell r="E587"/>
          <cell r="F587"/>
          <cell r="G587" t="str">
            <v>B. Fashion &amp; Lifestyle</v>
          </cell>
          <cell r="H587" t="str">
            <v>Trends &amp; Allied Formats (Part A)</v>
          </cell>
          <cell r="I587" t="str">
            <v>Trends WIW 3.0</v>
          </cell>
        </row>
        <row r="588">
          <cell r="A588" t="str">
            <v>TRWNSD10798</v>
          </cell>
          <cell r="B588">
            <v>587</v>
          </cell>
          <cell r="C588"/>
          <cell r="D588"/>
          <cell r="E588"/>
          <cell r="F588"/>
          <cell r="G588" t="str">
            <v>B. Fashion &amp; Lifestyle</v>
          </cell>
          <cell r="H588" t="str">
            <v>Trends &amp; Allied Formats (Part A)</v>
          </cell>
          <cell r="I588" t="str">
            <v>Trends Woman</v>
          </cell>
        </row>
        <row r="589">
          <cell r="A589" t="str">
            <v>TRWNAS10799</v>
          </cell>
          <cell r="B589">
            <v>588</v>
          </cell>
          <cell r="C589"/>
          <cell r="D589"/>
          <cell r="E589"/>
          <cell r="F589"/>
          <cell r="G589" t="str">
            <v>B. Fashion &amp; Lifestyle</v>
          </cell>
          <cell r="H589" t="str">
            <v>Trends &amp; Allied Formats (Part A)</v>
          </cell>
          <cell r="I589" t="str">
            <v>Trends Woman</v>
          </cell>
        </row>
        <row r="590">
          <cell r="A590" t="str">
            <v>TRWNAS10800</v>
          </cell>
          <cell r="B590">
            <v>589</v>
          </cell>
          <cell r="C590"/>
          <cell r="D590"/>
          <cell r="E590"/>
          <cell r="F590"/>
          <cell r="G590" t="str">
            <v>B. Fashion &amp; Lifestyle</v>
          </cell>
          <cell r="H590" t="str">
            <v>Trends &amp; Allied Formats (Part A)</v>
          </cell>
          <cell r="I590" t="str">
            <v>Trends Woman</v>
          </cell>
        </row>
        <row r="591">
          <cell r="A591" t="str">
            <v>TRWNSD10801</v>
          </cell>
          <cell r="B591">
            <v>590</v>
          </cell>
          <cell r="C591"/>
          <cell r="D591"/>
          <cell r="E591"/>
          <cell r="F591"/>
          <cell r="G591" t="str">
            <v>B. Fashion &amp; Lifestyle</v>
          </cell>
          <cell r="H591" t="str">
            <v>Trends &amp; Allied Formats (Part A)</v>
          </cell>
          <cell r="I591" t="str">
            <v>Trends Woman</v>
          </cell>
        </row>
        <row r="592">
          <cell r="A592" t="str">
            <v>TRWNSD10802</v>
          </cell>
          <cell r="B592">
            <v>591</v>
          </cell>
          <cell r="C592"/>
          <cell r="D592"/>
          <cell r="E592"/>
          <cell r="F592"/>
          <cell r="G592" t="str">
            <v>B. Fashion &amp; Lifestyle</v>
          </cell>
          <cell r="H592" t="str">
            <v>Trends &amp; Allied Formats (Part A)</v>
          </cell>
          <cell r="I592" t="str">
            <v>Trends Woman</v>
          </cell>
        </row>
        <row r="593">
          <cell r="A593" t="str">
            <v>TRWNAS10817</v>
          </cell>
          <cell r="B593">
            <v>592</v>
          </cell>
          <cell r="C593"/>
          <cell r="D593"/>
          <cell r="E593"/>
          <cell r="F593"/>
          <cell r="G593" t="str">
            <v>B. Fashion &amp; Lifestyle</v>
          </cell>
          <cell r="H593" t="str">
            <v>Trends &amp; Allied Formats (Part A)</v>
          </cell>
          <cell r="I593" t="str">
            <v>Trends Woman</v>
          </cell>
        </row>
        <row r="594">
          <cell r="A594" t="str">
            <v>TRWNAS10818</v>
          </cell>
          <cell r="B594">
            <v>593</v>
          </cell>
          <cell r="C594"/>
          <cell r="D594"/>
          <cell r="E594"/>
          <cell r="F594"/>
          <cell r="G594" t="str">
            <v>B. Fashion &amp; Lifestyle</v>
          </cell>
          <cell r="H594" t="str">
            <v>Trends &amp; Allied Formats (Part A)</v>
          </cell>
          <cell r="I594" t="str">
            <v>Trends Woman</v>
          </cell>
        </row>
        <row r="595">
          <cell r="A595" t="str">
            <v>TRWNAS10819</v>
          </cell>
          <cell r="B595">
            <v>594</v>
          </cell>
          <cell r="C595"/>
          <cell r="D595"/>
          <cell r="E595"/>
          <cell r="F595"/>
          <cell r="G595" t="str">
            <v>B. Fashion &amp; Lifestyle</v>
          </cell>
          <cell r="H595" t="str">
            <v>Trends &amp; Allied Formats (Part A)</v>
          </cell>
          <cell r="I595" t="str">
            <v>Trends Woman</v>
          </cell>
        </row>
        <row r="596">
          <cell r="A596" t="str">
            <v>TRWNAS10820</v>
          </cell>
          <cell r="B596">
            <v>595</v>
          </cell>
          <cell r="C596"/>
          <cell r="D596"/>
          <cell r="E596"/>
          <cell r="F596"/>
          <cell r="G596" t="str">
            <v>B. Fashion &amp; Lifestyle</v>
          </cell>
          <cell r="H596" t="str">
            <v>Trends &amp; Allied Formats (Part A)</v>
          </cell>
          <cell r="I596" t="str">
            <v>Trends Woman</v>
          </cell>
        </row>
        <row r="597">
          <cell r="A597" t="str">
            <v>TRWNAS11012</v>
          </cell>
          <cell r="B597">
            <v>596</v>
          </cell>
          <cell r="C597"/>
          <cell r="D597"/>
          <cell r="E597"/>
          <cell r="F597"/>
          <cell r="G597" t="str">
            <v>B. Fashion &amp; Lifestyle</v>
          </cell>
          <cell r="H597" t="str">
            <v>Trends &amp; Allied Formats (Part A)</v>
          </cell>
          <cell r="I597" t="str">
            <v>Trends WIW 3.0</v>
          </cell>
        </row>
        <row r="598">
          <cell r="A598" t="str">
            <v>TRWNAS11072</v>
          </cell>
          <cell r="B598">
            <v>597</v>
          </cell>
          <cell r="C598"/>
          <cell r="D598"/>
          <cell r="E598"/>
          <cell r="F598"/>
          <cell r="G598" t="str">
            <v>B. Fashion &amp; Lifestyle</v>
          </cell>
          <cell r="H598" t="str">
            <v>Trends &amp; Allied Formats (Part A)</v>
          </cell>
          <cell r="I598" t="str">
            <v>Trends Woman</v>
          </cell>
        </row>
        <row r="599">
          <cell r="A599" t="str">
            <v>TRWNAS11118</v>
          </cell>
          <cell r="B599">
            <v>598</v>
          </cell>
          <cell r="C599"/>
          <cell r="D599"/>
          <cell r="E599"/>
          <cell r="F599"/>
          <cell r="G599" t="str">
            <v>B. Fashion &amp; Lifestyle</v>
          </cell>
          <cell r="H599" t="str">
            <v>Trends &amp; Allied Formats (Part A)</v>
          </cell>
          <cell r="I599" t="str">
            <v>Trends Woman</v>
          </cell>
        </row>
        <row r="600">
          <cell r="A600" t="str">
            <v>TRWNAS11120</v>
          </cell>
          <cell r="B600">
            <v>599</v>
          </cell>
          <cell r="C600"/>
          <cell r="D600"/>
          <cell r="E600"/>
          <cell r="F600"/>
          <cell r="G600" t="str">
            <v>B. Fashion &amp; Lifestyle</v>
          </cell>
          <cell r="H600" t="str">
            <v>Trends &amp; Allied Formats (Part A)</v>
          </cell>
          <cell r="I600" t="str">
            <v>Trends Woman</v>
          </cell>
        </row>
        <row r="601">
          <cell r="A601" t="str">
            <v>TRWNAS11124</v>
          </cell>
          <cell r="B601">
            <v>600</v>
          </cell>
          <cell r="C601"/>
          <cell r="D601"/>
          <cell r="E601"/>
          <cell r="F601"/>
          <cell r="G601" t="str">
            <v>B. Fashion &amp; Lifestyle</v>
          </cell>
          <cell r="H601" t="str">
            <v>Trends &amp; Allied Formats (Part A)</v>
          </cell>
          <cell r="I601" t="str">
            <v>Trends Woman</v>
          </cell>
        </row>
        <row r="602">
          <cell r="A602" t="str">
            <v>TRWNBK11215</v>
          </cell>
          <cell r="B602">
            <v>601</v>
          </cell>
          <cell r="C602"/>
          <cell r="D602"/>
          <cell r="E602"/>
          <cell r="F602"/>
          <cell r="G602" t="str">
            <v>B. Fashion &amp; Lifestyle</v>
          </cell>
          <cell r="H602" t="str">
            <v>Trends &amp; Allied Formats (Part A)</v>
          </cell>
          <cell r="I602" t="str">
            <v>Trends Woman</v>
          </cell>
        </row>
        <row r="603">
          <cell r="A603" t="str">
            <v>TRWNBK11218</v>
          </cell>
          <cell r="B603">
            <v>602</v>
          </cell>
          <cell r="C603"/>
          <cell r="D603"/>
          <cell r="E603"/>
          <cell r="F603"/>
          <cell r="G603" t="str">
            <v>B. Fashion &amp; Lifestyle</v>
          </cell>
          <cell r="H603" t="str">
            <v>Trends &amp; Allied Formats (Part A)</v>
          </cell>
          <cell r="I603" t="str">
            <v>Trends Woman</v>
          </cell>
        </row>
        <row r="604">
          <cell r="A604" t="str">
            <v>YOTHBK187</v>
          </cell>
          <cell r="B604">
            <v>603</v>
          </cell>
          <cell r="C604"/>
          <cell r="D604"/>
          <cell r="E604" t="str">
            <v>Q5AB</v>
          </cell>
          <cell r="F604" t="str">
            <v>TYOUMQ5AB00</v>
          </cell>
          <cell r="G604" t="str">
            <v>B. Fashion &amp; Lifestyle</v>
          </cell>
          <cell r="H604" t="str">
            <v>Trends &amp; Allied Formats (Part A)</v>
          </cell>
          <cell r="I604" t="str">
            <v>Yousta</v>
          </cell>
        </row>
        <row r="605">
          <cell r="A605" t="str">
            <v>YOTHBK191</v>
          </cell>
          <cell r="B605">
            <v>604</v>
          </cell>
          <cell r="C605"/>
          <cell r="D605"/>
          <cell r="E605" t="str">
            <v>QJ5O</v>
          </cell>
          <cell r="F605" t="str">
            <v>TYOUMQJ5O00</v>
          </cell>
          <cell r="G605" t="str">
            <v>B. Fashion &amp; Lifestyle</v>
          </cell>
          <cell r="H605" t="str">
            <v>Trends &amp; Allied Formats (Part A)</v>
          </cell>
          <cell r="I605" t="str">
            <v>Yousta</v>
          </cell>
        </row>
        <row r="606">
          <cell r="A606" t="str">
            <v>YOTHBK211</v>
          </cell>
          <cell r="B606">
            <v>605</v>
          </cell>
          <cell r="C606"/>
          <cell r="D606" t="str">
            <v>T3IH</v>
          </cell>
          <cell r="E606" t="str">
            <v>QJ2S</v>
          </cell>
          <cell r="F606" t="str">
            <v>TYOUMQJ2S00</v>
          </cell>
          <cell r="G606" t="str">
            <v>B. Fashion &amp; Lifestyle</v>
          </cell>
          <cell r="H606" t="str">
            <v>Trends &amp; Allied Formats (Part A)</v>
          </cell>
          <cell r="I606" t="str">
            <v>Yousta</v>
          </cell>
        </row>
        <row r="607">
          <cell r="A607" t="str">
            <v>YOTHBK212</v>
          </cell>
          <cell r="B607">
            <v>606</v>
          </cell>
          <cell r="C607"/>
          <cell r="D607"/>
          <cell r="E607"/>
          <cell r="F607"/>
          <cell r="G607" t="str">
            <v>B. Fashion &amp; Lifestyle</v>
          </cell>
          <cell r="H607" t="str">
            <v>Trends &amp; Allied Formats (Part A)</v>
          </cell>
          <cell r="I607" t="str">
            <v>Yousta</v>
          </cell>
        </row>
        <row r="608">
          <cell r="A608" t="str">
            <v>YOTHAS412</v>
          </cell>
          <cell r="B608">
            <v>607</v>
          </cell>
          <cell r="C608"/>
          <cell r="D608"/>
          <cell r="E608"/>
          <cell r="F608"/>
          <cell r="G608" t="str">
            <v>B. Fashion &amp; Lifestyle</v>
          </cell>
          <cell r="H608" t="str">
            <v>Trends &amp; Allied Formats (Part A)</v>
          </cell>
          <cell r="I608" t="str">
            <v>Yousta</v>
          </cell>
        </row>
        <row r="609">
          <cell r="A609" t="str">
            <v>YOTHKC4130</v>
          </cell>
          <cell r="B609">
            <v>608</v>
          </cell>
          <cell r="C609" t="str">
            <v>GJ-SM-JAM-091</v>
          </cell>
          <cell r="D609" t="str">
            <v>T2FQ</v>
          </cell>
          <cell r="E609" t="str">
            <v>Q7CA</v>
          </cell>
          <cell r="F609" t="str">
            <v>TYOUGQ7CA00</v>
          </cell>
          <cell r="G609" t="str">
            <v>B. Fashion &amp; Lifestyle</v>
          </cell>
          <cell r="H609" t="str">
            <v>Trends &amp; Allied Formats (Part A)</v>
          </cell>
          <cell r="I609" t="str">
            <v>Yousta</v>
          </cell>
        </row>
        <row r="610">
          <cell r="A610" t="str">
            <v>YOTHBK4511</v>
          </cell>
          <cell r="B610">
            <v>609</v>
          </cell>
          <cell r="C610"/>
          <cell r="D610"/>
          <cell r="E610"/>
          <cell r="F610"/>
          <cell r="G610" t="str">
            <v>B. Fashion &amp; Lifestyle</v>
          </cell>
          <cell r="H610" t="str">
            <v>Trends &amp; Allied Formats (Part A)</v>
          </cell>
          <cell r="I610" t="str">
            <v>Yousta</v>
          </cell>
        </row>
        <row r="611">
          <cell r="A611" t="str">
            <v>YOTHBK4516</v>
          </cell>
          <cell r="B611">
            <v>610</v>
          </cell>
          <cell r="C611"/>
          <cell r="D611"/>
          <cell r="E611"/>
          <cell r="F611"/>
          <cell r="G611" t="str">
            <v>B. Fashion &amp; Lifestyle</v>
          </cell>
          <cell r="H611" t="str">
            <v>Trends &amp; Allied Formats (Part A)</v>
          </cell>
          <cell r="I611" t="str">
            <v>Yousta</v>
          </cell>
        </row>
        <row r="612">
          <cell r="A612" t="str">
            <v>YOTHBK4518</v>
          </cell>
          <cell r="B612">
            <v>611</v>
          </cell>
          <cell r="C612"/>
          <cell r="D612" t="str">
            <v>T2GU</v>
          </cell>
          <cell r="E612" t="str">
            <v>QB0Q</v>
          </cell>
          <cell r="F612" t="str">
            <v>TYOUGQB0Q00</v>
          </cell>
          <cell r="G612" t="str">
            <v>B. Fashion &amp; Lifestyle</v>
          </cell>
          <cell r="H612" t="str">
            <v>Trends &amp; Allied Formats (Part A)</v>
          </cell>
          <cell r="I612" t="str">
            <v>Yousta</v>
          </cell>
        </row>
        <row r="613">
          <cell r="A613" t="str">
            <v>YOTHAS4882</v>
          </cell>
          <cell r="B613">
            <v>612</v>
          </cell>
          <cell r="C613" t="str">
            <v>KE-SM-VKM-901-01</v>
          </cell>
          <cell r="D613" t="str">
            <v>T2HA</v>
          </cell>
          <cell r="E613" t="str">
            <v>QC0W</v>
          </cell>
          <cell r="F613" t="str">
            <v>TYOUVQC0W00</v>
          </cell>
          <cell r="G613" t="str">
            <v>B. Fashion &amp; Lifestyle</v>
          </cell>
          <cell r="H613" t="str">
            <v>Trends &amp; Allied Formats (Part A)</v>
          </cell>
          <cell r="I613" t="str">
            <v>Yousta</v>
          </cell>
        </row>
        <row r="614">
          <cell r="A614" t="str">
            <v>YOTHAS4883</v>
          </cell>
          <cell r="B614">
            <v>613</v>
          </cell>
          <cell r="C614" t="str">
            <v>TN-SM-CHE-193-01</v>
          </cell>
          <cell r="D614" t="str">
            <v>TJ2Y</v>
          </cell>
          <cell r="E614" t="str">
            <v>QZPY</v>
          </cell>
          <cell r="F614" t="str">
            <v>TYOUTQI5P00</v>
          </cell>
          <cell r="G614" t="str">
            <v>B. Fashion &amp; Lifestyle</v>
          </cell>
          <cell r="H614" t="str">
            <v>Trends &amp; Allied Formats (Part A)</v>
          </cell>
          <cell r="I614" t="str">
            <v>Yousta</v>
          </cell>
        </row>
        <row r="615">
          <cell r="A615" t="str">
            <v>YOTHRT5167</v>
          </cell>
          <cell r="B615">
            <v>614</v>
          </cell>
          <cell r="C615"/>
          <cell r="D615"/>
          <cell r="E615" t="str">
            <v>QI4C</v>
          </cell>
          <cell r="F615" t="str">
            <v>TYOUUQI4C00</v>
          </cell>
          <cell r="G615" t="str">
            <v>B. Fashion &amp; Lifestyle</v>
          </cell>
          <cell r="H615" t="str">
            <v>Trends &amp; Allied Formats (Part A)</v>
          </cell>
          <cell r="I615" t="str">
            <v>Yousta</v>
          </cell>
        </row>
        <row r="616">
          <cell r="A616" t="str">
            <v>YOTHBK10151</v>
          </cell>
          <cell r="B616">
            <v>615</v>
          </cell>
          <cell r="C616"/>
          <cell r="D616"/>
          <cell r="E616" t="str">
            <v>QB0S</v>
          </cell>
          <cell r="F616" t="str">
            <v>TYOUGQB0S00</v>
          </cell>
          <cell r="G616" t="str">
            <v>B. Fashion &amp; Lifestyle</v>
          </cell>
          <cell r="H616" t="str">
            <v>Trends &amp; Allied Formats (Part A)</v>
          </cell>
          <cell r="I616" t="str">
            <v>Yousta</v>
          </cell>
        </row>
        <row r="617">
          <cell r="A617" t="str">
            <v>TRDYAS10661</v>
          </cell>
          <cell r="B617">
            <v>616</v>
          </cell>
          <cell r="C617"/>
          <cell r="D617"/>
          <cell r="E617"/>
          <cell r="F617"/>
          <cell r="G617" t="str">
            <v>B. Fashion &amp; Lifestyle</v>
          </cell>
          <cell r="H617" t="str">
            <v>Trends &amp; Allied Formats (Part A)</v>
          </cell>
          <cell r="I617" t="str">
            <v>Yousta</v>
          </cell>
        </row>
        <row r="618">
          <cell r="A618" t="str">
            <v>TRDYAS10662</v>
          </cell>
          <cell r="B618">
            <v>617</v>
          </cell>
          <cell r="C618"/>
          <cell r="D618"/>
          <cell r="E618"/>
          <cell r="F618"/>
          <cell r="G618" t="str">
            <v>B. Fashion &amp; Lifestyle</v>
          </cell>
          <cell r="H618" t="str">
            <v>Trends &amp; Allied Formats (Part A)</v>
          </cell>
          <cell r="I618" t="str">
            <v>Yousta</v>
          </cell>
        </row>
        <row r="619">
          <cell r="A619" t="str">
            <v>YOTHAS10663</v>
          </cell>
          <cell r="B619">
            <v>618</v>
          </cell>
          <cell r="C619"/>
          <cell r="D619"/>
          <cell r="E619"/>
          <cell r="F619"/>
          <cell r="G619" t="str">
            <v>B. Fashion &amp; Lifestyle</v>
          </cell>
          <cell r="H619" t="str">
            <v>Trends &amp; Allied Formats (Part A)</v>
          </cell>
          <cell r="I619" t="str">
            <v>Yousta</v>
          </cell>
        </row>
        <row r="620">
          <cell r="A620" t="str">
            <v>YOTHSD10667</v>
          </cell>
          <cell r="B620">
            <v>619</v>
          </cell>
          <cell r="C620"/>
          <cell r="D620"/>
          <cell r="E620"/>
          <cell r="F620"/>
          <cell r="G620" t="str">
            <v>B. Fashion &amp; Lifestyle</v>
          </cell>
          <cell r="H620" t="str">
            <v>Trends &amp; Allied Formats (Part A)</v>
          </cell>
          <cell r="I620" t="str">
            <v>Yousta</v>
          </cell>
        </row>
        <row r="621">
          <cell r="A621" t="str">
            <v>YOTHSD10668</v>
          </cell>
          <cell r="B621">
            <v>620</v>
          </cell>
          <cell r="C621"/>
          <cell r="D621"/>
          <cell r="E621"/>
          <cell r="F621"/>
          <cell r="G621" t="str">
            <v>B. Fashion &amp; Lifestyle</v>
          </cell>
          <cell r="H621" t="str">
            <v>Trends &amp; Allied Formats (Part A)</v>
          </cell>
          <cell r="I621" t="str">
            <v>Yousta</v>
          </cell>
        </row>
        <row r="622">
          <cell r="A622" t="str">
            <v>TRDYSD10669</v>
          </cell>
          <cell r="B622">
            <v>621</v>
          </cell>
          <cell r="C622"/>
          <cell r="D622"/>
          <cell r="E622"/>
          <cell r="F622"/>
          <cell r="G622" t="str">
            <v>B. Fashion &amp; Lifestyle</v>
          </cell>
          <cell r="H622" t="str">
            <v>Trends &amp; Allied Formats (Part A)</v>
          </cell>
          <cell r="I622" t="str">
            <v>Yousta</v>
          </cell>
        </row>
        <row r="623">
          <cell r="A623" t="str">
            <v>TRDYAS10670</v>
          </cell>
          <cell r="B623">
            <v>622</v>
          </cell>
          <cell r="C623"/>
          <cell r="D623"/>
          <cell r="E623"/>
          <cell r="F623"/>
          <cell r="G623" t="str">
            <v>B. Fashion &amp; Lifestyle</v>
          </cell>
          <cell r="H623" t="str">
            <v>Trends &amp; Allied Formats (Part A)</v>
          </cell>
          <cell r="I623" t="str">
            <v>Yousta</v>
          </cell>
        </row>
        <row r="624">
          <cell r="A624" t="str">
            <v>TRDYSD10672</v>
          </cell>
          <cell r="B624">
            <v>623</v>
          </cell>
          <cell r="C624"/>
          <cell r="D624"/>
          <cell r="E624"/>
          <cell r="F624"/>
          <cell r="G624" t="str">
            <v>B. Fashion &amp; Lifestyle</v>
          </cell>
          <cell r="H624" t="str">
            <v>Trends &amp; Allied Formats (Part A)</v>
          </cell>
          <cell r="I624" t="str">
            <v>Yousta</v>
          </cell>
        </row>
        <row r="625">
          <cell r="A625" t="str">
            <v>TRDYAS10673</v>
          </cell>
          <cell r="B625">
            <v>624</v>
          </cell>
          <cell r="C625"/>
          <cell r="D625"/>
          <cell r="E625"/>
          <cell r="F625"/>
          <cell r="G625" t="str">
            <v>B. Fashion &amp; Lifestyle</v>
          </cell>
          <cell r="H625" t="str">
            <v>Trends &amp; Allied Formats (Part A)</v>
          </cell>
          <cell r="I625" t="str">
            <v>Yousta</v>
          </cell>
        </row>
        <row r="626">
          <cell r="A626" t="str">
            <v>TRDYAS10674</v>
          </cell>
          <cell r="B626">
            <v>625</v>
          </cell>
          <cell r="C626"/>
          <cell r="D626"/>
          <cell r="E626"/>
          <cell r="F626"/>
          <cell r="G626" t="str">
            <v>B. Fashion &amp; Lifestyle</v>
          </cell>
          <cell r="H626" t="str">
            <v>Trends &amp; Allied Formats (Part A)</v>
          </cell>
          <cell r="I626" t="str">
            <v>Yousta</v>
          </cell>
        </row>
        <row r="627">
          <cell r="A627" t="str">
            <v>YOTHSD10682</v>
          </cell>
          <cell r="B627">
            <v>626</v>
          </cell>
          <cell r="C627"/>
          <cell r="D627"/>
          <cell r="E627"/>
          <cell r="F627"/>
          <cell r="G627" t="str">
            <v>B. Fashion &amp; Lifestyle</v>
          </cell>
          <cell r="H627" t="str">
            <v>Trends &amp; Allied Formats (Part A)</v>
          </cell>
          <cell r="I627" t="str">
            <v>Yousta</v>
          </cell>
        </row>
        <row r="628">
          <cell r="A628" t="str">
            <v>YOTHRT10693</v>
          </cell>
          <cell r="B628">
            <v>627</v>
          </cell>
          <cell r="C628"/>
          <cell r="D628"/>
          <cell r="E628"/>
          <cell r="F628"/>
          <cell r="G628" t="str">
            <v>B. Fashion &amp; Lifestyle</v>
          </cell>
          <cell r="H628" t="str">
            <v>Trends &amp; Allied Formats (Part A)</v>
          </cell>
          <cell r="I628" t="str">
            <v>Yousta</v>
          </cell>
        </row>
        <row r="629">
          <cell r="A629" t="str">
            <v>TRDYRT10696</v>
          </cell>
          <cell r="B629">
            <v>628</v>
          </cell>
          <cell r="C629"/>
          <cell r="D629"/>
          <cell r="E629"/>
          <cell r="F629"/>
          <cell r="G629" t="str">
            <v>B. Fashion &amp; Lifestyle</v>
          </cell>
          <cell r="H629" t="str">
            <v>Trends &amp; Allied Formats (Part A)</v>
          </cell>
          <cell r="I629" t="str">
            <v>Yousta</v>
          </cell>
        </row>
        <row r="630">
          <cell r="A630" t="str">
            <v>YOTHRT10697</v>
          </cell>
          <cell r="B630">
            <v>629</v>
          </cell>
          <cell r="C630"/>
          <cell r="D630"/>
          <cell r="E630"/>
          <cell r="F630"/>
          <cell r="G630" t="str">
            <v>B. Fashion &amp; Lifestyle</v>
          </cell>
          <cell r="H630" t="str">
            <v>Trends &amp; Allied Formats (Part A)</v>
          </cell>
          <cell r="I630" t="str">
            <v>Yousta</v>
          </cell>
        </row>
        <row r="631">
          <cell r="A631" t="str">
            <v>YOTHBK10701</v>
          </cell>
          <cell r="B631">
            <v>630</v>
          </cell>
          <cell r="C631"/>
          <cell r="D631"/>
          <cell r="E631"/>
          <cell r="F631"/>
          <cell r="G631" t="str">
            <v>B. Fashion &amp; Lifestyle</v>
          </cell>
          <cell r="H631" t="str">
            <v>Trends &amp; Allied Formats (Part A)</v>
          </cell>
          <cell r="I631" t="str">
            <v>Yousta</v>
          </cell>
        </row>
        <row r="632">
          <cell r="A632" t="str">
            <v>YOTHBK10703</v>
          </cell>
          <cell r="B632">
            <v>631</v>
          </cell>
          <cell r="C632"/>
          <cell r="D632"/>
          <cell r="E632"/>
          <cell r="F632"/>
          <cell r="G632" t="str">
            <v>B. Fashion &amp; Lifestyle</v>
          </cell>
          <cell r="H632" t="str">
            <v>Trends &amp; Allied Formats (Part A)</v>
          </cell>
          <cell r="I632" t="str">
            <v>Yousta</v>
          </cell>
        </row>
        <row r="633">
          <cell r="A633" t="str">
            <v>YOTHAS10716</v>
          </cell>
          <cell r="B633">
            <v>632</v>
          </cell>
          <cell r="C633"/>
          <cell r="D633"/>
          <cell r="E633"/>
          <cell r="F633"/>
          <cell r="G633" t="str">
            <v>B. Fashion &amp; Lifestyle</v>
          </cell>
          <cell r="H633" t="str">
            <v>Trends &amp; Allied Formats (Part A)</v>
          </cell>
          <cell r="I633" t="str">
            <v>Yousta</v>
          </cell>
        </row>
        <row r="634">
          <cell r="A634" t="str">
            <v>TRDYAS10751</v>
          </cell>
          <cell r="B634">
            <v>633</v>
          </cell>
          <cell r="C634"/>
          <cell r="D634"/>
          <cell r="E634"/>
          <cell r="F634"/>
          <cell r="G634" t="str">
            <v>B. Fashion &amp; Lifestyle</v>
          </cell>
          <cell r="H634" t="str">
            <v>Trends &amp; Allied Formats (Part A)</v>
          </cell>
          <cell r="I634" t="str">
            <v>Yousta</v>
          </cell>
        </row>
        <row r="635">
          <cell r="A635" t="str">
            <v>TRDYSD10756</v>
          </cell>
          <cell r="B635">
            <v>634</v>
          </cell>
          <cell r="C635"/>
          <cell r="D635"/>
          <cell r="E635"/>
          <cell r="F635"/>
          <cell r="G635" t="str">
            <v>B. Fashion &amp; Lifestyle</v>
          </cell>
          <cell r="H635" t="str">
            <v>Trends &amp; Allied Formats (Part A)</v>
          </cell>
          <cell r="I635" t="str">
            <v>Yousta</v>
          </cell>
        </row>
        <row r="636">
          <cell r="A636" t="str">
            <v>TRDYAS10757</v>
          </cell>
          <cell r="B636">
            <v>635</v>
          </cell>
          <cell r="C636"/>
          <cell r="D636"/>
          <cell r="E636"/>
          <cell r="F636"/>
          <cell r="G636" t="str">
            <v>B. Fashion &amp; Lifestyle</v>
          </cell>
          <cell r="H636" t="str">
            <v>Trends &amp; Allied Formats (Part A)</v>
          </cell>
          <cell r="I636" t="str">
            <v>Yousta</v>
          </cell>
        </row>
        <row r="637">
          <cell r="A637" t="str">
            <v>TRDYAS10758</v>
          </cell>
          <cell r="B637">
            <v>636</v>
          </cell>
          <cell r="C637"/>
          <cell r="D637"/>
          <cell r="E637"/>
          <cell r="F637"/>
          <cell r="G637" t="str">
            <v>B. Fashion &amp; Lifestyle</v>
          </cell>
          <cell r="H637" t="str">
            <v>Trends &amp; Allied Formats (Part A)</v>
          </cell>
          <cell r="I637" t="str">
            <v>Yousta</v>
          </cell>
        </row>
        <row r="638">
          <cell r="A638" t="str">
            <v>TRDYAS10760</v>
          </cell>
          <cell r="B638">
            <v>637</v>
          </cell>
          <cell r="C638"/>
          <cell r="D638"/>
          <cell r="E638"/>
          <cell r="F638"/>
          <cell r="G638" t="str">
            <v>B. Fashion &amp; Lifestyle</v>
          </cell>
          <cell r="H638" t="str">
            <v>Trends &amp; Allied Formats (Part A)</v>
          </cell>
          <cell r="I638" t="str">
            <v>Yousta</v>
          </cell>
        </row>
        <row r="639">
          <cell r="A639" t="str">
            <v>TRDYAS10761</v>
          </cell>
          <cell r="B639">
            <v>638</v>
          </cell>
          <cell r="C639"/>
          <cell r="D639"/>
          <cell r="E639"/>
          <cell r="F639"/>
          <cell r="G639" t="str">
            <v>B. Fashion &amp; Lifestyle</v>
          </cell>
          <cell r="H639" t="str">
            <v>Trends &amp; Allied Formats (Part A)</v>
          </cell>
          <cell r="I639" t="str">
            <v>Yousta</v>
          </cell>
        </row>
        <row r="640">
          <cell r="A640" t="str">
            <v>YOTHSD10764</v>
          </cell>
          <cell r="B640">
            <v>639</v>
          </cell>
          <cell r="C640"/>
          <cell r="D640"/>
          <cell r="E640"/>
          <cell r="F640"/>
          <cell r="G640" t="str">
            <v>B. Fashion &amp; Lifestyle</v>
          </cell>
          <cell r="H640" t="str">
            <v>Trends &amp; Allied Formats (Part A)</v>
          </cell>
          <cell r="I640" t="str">
            <v>Yousta</v>
          </cell>
        </row>
        <row r="641">
          <cell r="A641" t="str">
            <v>YOTHAS10765</v>
          </cell>
          <cell r="B641">
            <v>640</v>
          </cell>
          <cell r="C641"/>
          <cell r="D641"/>
          <cell r="E641"/>
          <cell r="F641"/>
          <cell r="G641" t="str">
            <v>B. Fashion &amp; Lifestyle</v>
          </cell>
          <cell r="H641" t="str">
            <v>Trends &amp; Allied Formats (Part A)</v>
          </cell>
          <cell r="I641" t="str">
            <v>Yousta</v>
          </cell>
        </row>
        <row r="642">
          <cell r="A642" t="str">
            <v>TRDYAS10788</v>
          </cell>
          <cell r="B642">
            <v>641</v>
          </cell>
          <cell r="C642"/>
          <cell r="D642"/>
          <cell r="E642"/>
          <cell r="F642"/>
          <cell r="G642" t="str">
            <v>B. Fashion &amp; Lifestyle</v>
          </cell>
          <cell r="H642" t="str">
            <v>Trends &amp; Allied Formats (Part A)</v>
          </cell>
          <cell r="I642" t="str">
            <v>Yousta</v>
          </cell>
        </row>
        <row r="643">
          <cell r="A643" t="str">
            <v>TRDYSD10789</v>
          </cell>
          <cell r="B643">
            <v>642</v>
          </cell>
          <cell r="C643"/>
          <cell r="D643"/>
          <cell r="E643"/>
          <cell r="F643"/>
          <cell r="G643" t="str">
            <v>B. Fashion &amp; Lifestyle</v>
          </cell>
          <cell r="H643" t="str">
            <v>Trends &amp; Allied Formats (Part A)</v>
          </cell>
          <cell r="I643" t="str">
            <v>Yousta</v>
          </cell>
        </row>
        <row r="644">
          <cell r="A644" t="str">
            <v>TRDYAS10790</v>
          </cell>
          <cell r="B644">
            <v>643</v>
          </cell>
          <cell r="C644"/>
          <cell r="D644"/>
          <cell r="E644"/>
          <cell r="F644"/>
          <cell r="G644" t="str">
            <v>B. Fashion &amp; Lifestyle</v>
          </cell>
          <cell r="H644" t="str">
            <v>Trends &amp; Allied Formats (Part A)</v>
          </cell>
          <cell r="I644" t="str">
            <v>Yousta</v>
          </cell>
        </row>
        <row r="645">
          <cell r="A645" t="str">
            <v>TRDYAS10791</v>
          </cell>
          <cell r="B645">
            <v>644</v>
          </cell>
          <cell r="C645"/>
          <cell r="D645"/>
          <cell r="E645"/>
          <cell r="F645"/>
          <cell r="G645" t="str">
            <v>B. Fashion &amp; Lifestyle</v>
          </cell>
          <cell r="H645" t="str">
            <v>Trends &amp; Allied Formats (Part A)</v>
          </cell>
          <cell r="I645" t="str">
            <v>Yousta</v>
          </cell>
        </row>
        <row r="646">
          <cell r="A646" t="str">
            <v>TRDYAS10792</v>
          </cell>
          <cell r="B646">
            <v>645</v>
          </cell>
          <cell r="C646"/>
          <cell r="D646"/>
          <cell r="E646"/>
          <cell r="F646"/>
          <cell r="G646" t="str">
            <v>B. Fashion &amp; Lifestyle</v>
          </cell>
          <cell r="H646" t="str">
            <v>Trends &amp; Allied Formats (Part A)</v>
          </cell>
          <cell r="I646" t="str">
            <v>Yousta</v>
          </cell>
        </row>
        <row r="647">
          <cell r="A647" t="str">
            <v>TRDYSD10793</v>
          </cell>
          <cell r="B647">
            <v>646</v>
          </cell>
          <cell r="C647"/>
          <cell r="D647"/>
          <cell r="E647"/>
          <cell r="F647"/>
          <cell r="G647" t="str">
            <v>B. Fashion &amp; Lifestyle</v>
          </cell>
          <cell r="H647" t="str">
            <v>Trends &amp; Allied Formats (Part A)</v>
          </cell>
          <cell r="I647" t="str">
            <v>Yousta</v>
          </cell>
        </row>
        <row r="648">
          <cell r="A648" t="str">
            <v>TRDYSD10794</v>
          </cell>
          <cell r="B648">
            <v>647</v>
          </cell>
          <cell r="C648"/>
          <cell r="D648"/>
          <cell r="E648"/>
          <cell r="F648"/>
          <cell r="G648" t="str">
            <v>B. Fashion &amp; Lifestyle</v>
          </cell>
          <cell r="H648" t="str">
            <v>Trends &amp; Allied Formats (Part A)</v>
          </cell>
          <cell r="I648" t="str">
            <v>Yousta</v>
          </cell>
        </row>
        <row r="649">
          <cell r="A649" t="str">
            <v>TRDYSD10795</v>
          </cell>
          <cell r="B649">
            <v>648</v>
          </cell>
          <cell r="C649"/>
          <cell r="D649"/>
          <cell r="E649"/>
          <cell r="F649"/>
          <cell r="G649" t="str">
            <v>B. Fashion &amp; Lifestyle</v>
          </cell>
          <cell r="H649" t="str">
            <v>Trends &amp; Allied Formats (Part A)</v>
          </cell>
          <cell r="I649" t="str">
            <v>Yousta</v>
          </cell>
        </row>
        <row r="650">
          <cell r="A650" t="str">
            <v>TRDYAS10807</v>
          </cell>
          <cell r="B650">
            <v>649</v>
          </cell>
          <cell r="C650"/>
          <cell r="D650"/>
          <cell r="E650"/>
          <cell r="F650"/>
          <cell r="G650" t="str">
            <v>B. Fashion &amp; Lifestyle</v>
          </cell>
          <cell r="H650" t="str">
            <v>Trends &amp; Allied Formats (Part A)</v>
          </cell>
          <cell r="I650" t="str">
            <v>Yousta</v>
          </cell>
        </row>
        <row r="651">
          <cell r="A651" t="str">
            <v>YOTHBK10914</v>
          </cell>
          <cell r="B651">
            <v>650</v>
          </cell>
          <cell r="C651"/>
          <cell r="D651"/>
          <cell r="E651"/>
          <cell r="F651"/>
          <cell r="G651" t="str">
            <v>B. Fashion &amp; Lifestyle</v>
          </cell>
          <cell r="H651" t="str">
            <v>Trends &amp; Allied Formats (Part A)</v>
          </cell>
          <cell r="I651" t="str">
            <v>Yousta</v>
          </cell>
        </row>
        <row r="652">
          <cell r="A652" t="str">
            <v>YOTHRT10918</v>
          </cell>
          <cell r="B652">
            <v>651</v>
          </cell>
          <cell r="C652"/>
          <cell r="D652"/>
          <cell r="E652"/>
          <cell r="F652"/>
          <cell r="G652" t="str">
            <v>B. Fashion &amp; Lifestyle</v>
          </cell>
          <cell r="H652" t="str">
            <v>Trends &amp; Allied Formats (Part A)</v>
          </cell>
          <cell r="I652" t="str">
            <v>Yousta</v>
          </cell>
        </row>
        <row r="653">
          <cell r="A653" t="str">
            <v>YOTHBK10919</v>
          </cell>
          <cell r="B653">
            <v>652</v>
          </cell>
          <cell r="C653"/>
          <cell r="D653"/>
          <cell r="E653"/>
          <cell r="F653"/>
          <cell r="G653" t="str">
            <v>B. Fashion &amp; Lifestyle</v>
          </cell>
          <cell r="H653" t="str">
            <v>Trends &amp; Allied Formats (Part A)</v>
          </cell>
          <cell r="I653" t="str">
            <v>Yousta</v>
          </cell>
        </row>
        <row r="654">
          <cell r="A654" t="str">
            <v>YOTHBK10920</v>
          </cell>
          <cell r="B654">
            <v>653</v>
          </cell>
          <cell r="C654"/>
          <cell r="D654"/>
          <cell r="E654"/>
          <cell r="F654"/>
          <cell r="G654" t="str">
            <v>B. Fashion &amp; Lifestyle</v>
          </cell>
          <cell r="H654" t="str">
            <v>Trends &amp; Allied Formats (Part A)</v>
          </cell>
          <cell r="I654" t="str">
            <v>Yousta</v>
          </cell>
        </row>
        <row r="655">
          <cell r="A655" t="str">
            <v>YOTHRT10921</v>
          </cell>
          <cell r="B655">
            <v>654</v>
          </cell>
          <cell r="C655"/>
          <cell r="D655"/>
          <cell r="E655"/>
          <cell r="F655"/>
          <cell r="G655" t="str">
            <v>B. Fashion &amp; Lifestyle</v>
          </cell>
          <cell r="H655" t="str">
            <v>Trends &amp; Allied Formats (Part A)</v>
          </cell>
          <cell r="I655" t="str">
            <v>Yousta</v>
          </cell>
        </row>
        <row r="656">
          <cell r="A656" t="str">
            <v>YOTHRT10922</v>
          </cell>
          <cell r="B656">
            <v>655</v>
          </cell>
          <cell r="C656"/>
          <cell r="D656"/>
          <cell r="E656"/>
          <cell r="F656"/>
          <cell r="G656" t="str">
            <v>B. Fashion &amp; Lifestyle</v>
          </cell>
          <cell r="H656" t="str">
            <v>Trends &amp; Allied Formats (Part A)</v>
          </cell>
          <cell r="I656" t="str">
            <v>Yousta</v>
          </cell>
        </row>
        <row r="657">
          <cell r="A657" t="str">
            <v>YOTHRT10923</v>
          </cell>
          <cell r="B657">
            <v>656</v>
          </cell>
          <cell r="C657"/>
          <cell r="D657"/>
          <cell r="E657"/>
          <cell r="F657"/>
          <cell r="G657" t="str">
            <v>B. Fashion &amp; Lifestyle</v>
          </cell>
          <cell r="H657" t="str">
            <v>Trends &amp; Allied Formats (Part A)</v>
          </cell>
          <cell r="I657" t="str">
            <v>Yousta</v>
          </cell>
        </row>
        <row r="658">
          <cell r="A658" t="str">
            <v>YOTHRT10924</v>
          </cell>
          <cell r="B658">
            <v>657</v>
          </cell>
          <cell r="C658"/>
          <cell r="D658"/>
          <cell r="E658"/>
          <cell r="F658"/>
          <cell r="G658" t="str">
            <v>B. Fashion &amp; Lifestyle</v>
          </cell>
          <cell r="H658" t="str">
            <v>Trends &amp; Allied Formats (Part A)</v>
          </cell>
          <cell r="I658" t="str">
            <v>Yousta</v>
          </cell>
        </row>
        <row r="659">
          <cell r="A659" t="str">
            <v>YOTHRT10925</v>
          </cell>
          <cell r="B659">
            <v>658</v>
          </cell>
          <cell r="C659"/>
          <cell r="D659"/>
          <cell r="E659"/>
          <cell r="F659"/>
          <cell r="G659" t="str">
            <v>B. Fashion &amp; Lifestyle</v>
          </cell>
          <cell r="H659" t="str">
            <v>Trends &amp; Allied Formats (Part A)</v>
          </cell>
          <cell r="I659" t="str">
            <v>Yousta</v>
          </cell>
        </row>
        <row r="660">
          <cell r="A660" t="str">
            <v>YOTHBK10926</v>
          </cell>
          <cell r="B660">
            <v>659</v>
          </cell>
          <cell r="C660"/>
          <cell r="D660"/>
          <cell r="E660"/>
          <cell r="F660"/>
          <cell r="G660" t="str">
            <v>B. Fashion &amp; Lifestyle</v>
          </cell>
          <cell r="H660" t="str">
            <v>Trends &amp; Allied Formats (Part A)</v>
          </cell>
          <cell r="I660" t="str">
            <v>Yousta</v>
          </cell>
        </row>
        <row r="661">
          <cell r="A661" t="str">
            <v>YOTHBK10927</v>
          </cell>
          <cell r="B661">
            <v>660</v>
          </cell>
          <cell r="C661"/>
          <cell r="D661"/>
          <cell r="E661"/>
          <cell r="F661"/>
          <cell r="G661" t="str">
            <v>B. Fashion &amp; Lifestyle</v>
          </cell>
          <cell r="H661" t="str">
            <v>Trends &amp; Allied Formats (Part A)</v>
          </cell>
          <cell r="I661" t="str">
            <v>Yousta</v>
          </cell>
        </row>
        <row r="662">
          <cell r="A662" t="str">
            <v>YOTHRT10928</v>
          </cell>
          <cell r="B662">
            <v>661</v>
          </cell>
          <cell r="C662"/>
          <cell r="D662"/>
          <cell r="E662"/>
          <cell r="F662"/>
          <cell r="G662" t="str">
            <v>B. Fashion &amp; Lifestyle</v>
          </cell>
          <cell r="H662" t="str">
            <v>Trends &amp; Allied Formats (Part A)</v>
          </cell>
          <cell r="I662" t="str">
            <v>Yousta</v>
          </cell>
        </row>
        <row r="663">
          <cell r="A663" t="str">
            <v>YOTHRT10929</v>
          </cell>
          <cell r="B663">
            <v>662</v>
          </cell>
          <cell r="C663"/>
          <cell r="D663"/>
          <cell r="E663"/>
          <cell r="F663"/>
          <cell r="G663" t="str">
            <v>B. Fashion &amp; Lifestyle</v>
          </cell>
          <cell r="H663" t="str">
            <v>Trends &amp; Allied Formats (Part A)</v>
          </cell>
          <cell r="I663" t="str">
            <v>Yousta</v>
          </cell>
        </row>
        <row r="664">
          <cell r="A664" t="str">
            <v>YOTHRT10930</v>
          </cell>
          <cell r="B664">
            <v>663</v>
          </cell>
          <cell r="C664"/>
          <cell r="D664"/>
          <cell r="E664"/>
          <cell r="F664"/>
          <cell r="G664" t="str">
            <v>B. Fashion &amp; Lifestyle</v>
          </cell>
          <cell r="H664" t="str">
            <v>Trends &amp; Allied Formats (Part A)</v>
          </cell>
          <cell r="I664" t="str">
            <v>Yousta</v>
          </cell>
        </row>
        <row r="665">
          <cell r="A665" t="str">
            <v>YOTHBK10931</v>
          </cell>
          <cell r="B665">
            <v>664</v>
          </cell>
          <cell r="C665"/>
          <cell r="D665"/>
          <cell r="E665"/>
          <cell r="F665"/>
          <cell r="G665" t="str">
            <v>B. Fashion &amp; Lifestyle</v>
          </cell>
          <cell r="H665" t="str">
            <v>Trends &amp; Allied Formats (Part A)</v>
          </cell>
          <cell r="I665" t="str">
            <v>Yousta</v>
          </cell>
        </row>
        <row r="666">
          <cell r="A666" t="str">
            <v>YOTHRT10932</v>
          </cell>
          <cell r="B666">
            <v>665</v>
          </cell>
          <cell r="C666"/>
          <cell r="D666"/>
          <cell r="E666"/>
          <cell r="F666"/>
          <cell r="G666" t="str">
            <v>B. Fashion &amp; Lifestyle</v>
          </cell>
          <cell r="H666" t="str">
            <v>Trends &amp; Allied Formats (Part A)</v>
          </cell>
          <cell r="I666" t="str">
            <v>Yousta</v>
          </cell>
        </row>
        <row r="667">
          <cell r="A667" t="str">
            <v>YOTHRT10933</v>
          </cell>
          <cell r="B667">
            <v>666</v>
          </cell>
          <cell r="C667"/>
          <cell r="D667"/>
          <cell r="E667"/>
          <cell r="F667"/>
          <cell r="G667" t="str">
            <v>B. Fashion &amp; Lifestyle</v>
          </cell>
          <cell r="H667" t="str">
            <v>Trends &amp; Allied Formats (Part A)</v>
          </cell>
          <cell r="I667" t="str">
            <v>Yousta</v>
          </cell>
        </row>
        <row r="668">
          <cell r="A668" t="str">
            <v>YOTHSD11016</v>
          </cell>
          <cell r="B668">
            <v>667</v>
          </cell>
          <cell r="C668"/>
          <cell r="D668"/>
          <cell r="E668"/>
          <cell r="F668"/>
          <cell r="G668" t="str">
            <v>B. Fashion &amp; Lifestyle</v>
          </cell>
          <cell r="H668" t="str">
            <v>Trends &amp; Allied Formats (Part A)</v>
          </cell>
          <cell r="I668" t="str">
            <v>Yousta</v>
          </cell>
        </row>
        <row r="669">
          <cell r="A669" t="str">
            <v>TRDYRT11063</v>
          </cell>
          <cell r="B669">
            <v>668</v>
          </cell>
          <cell r="C669"/>
          <cell r="D669"/>
          <cell r="E669"/>
          <cell r="F669"/>
          <cell r="G669" t="str">
            <v>B. Fashion &amp; Lifestyle</v>
          </cell>
          <cell r="H669" t="str">
            <v>Trends &amp; Allied Formats (Part A)</v>
          </cell>
          <cell r="I669" t="str">
            <v>Yousta</v>
          </cell>
        </row>
        <row r="670">
          <cell r="A670" t="str">
            <v>TRDYRT11064</v>
          </cell>
          <cell r="B670">
            <v>669</v>
          </cell>
          <cell r="C670"/>
          <cell r="D670"/>
          <cell r="E670"/>
          <cell r="F670"/>
          <cell r="G670" t="str">
            <v>B. Fashion &amp; Lifestyle</v>
          </cell>
          <cell r="H670" t="str">
            <v>Trends &amp; Allied Formats (Part A)</v>
          </cell>
          <cell r="I670" t="str">
            <v>Yousta</v>
          </cell>
        </row>
        <row r="671">
          <cell r="A671" t="str">
            <v>YOTHSD11082</v>
          </cell>
          <cell r="B671">
            <v>670</v>
          </cell>
          <cell r="C671"/>
          <cell r="D671"/>
          <cell r="E671"/>
          <cell r="F671"/>
          <cell r="G671" t="str">
            <v>B. Fashion &amp; Lifestyle</v>
          </cell>
          <cell r="H671" t="str">
            <v>Trends &amp; Allied Formats (Part A)</v>
          </cell>
          <cell r="I671" t="str">
            <v>Yousta</v>
          </cell>
        </row>
        <row r="672">
          <cell r="A672" t="str">
            <v>YOTHSD11112</v>
          </cell>
          <cell r="B672">
            <v>671</v>
          </cell>
          <cell r="C672"/>
          <cell r="D672"/>
          <cell r="E672"/>
          <cell r="F672"/>
          <cell r="G672" t="str">
            <v>B. Fashion &amp; Lifestyle</v>
          </cell>
          <cell r="H672" t="str">
            <v>Trends &amp; Allied Formats (Part A)</v>
          </cell>
          <cell r="I672" t="str">
            <v>Yousta</v>
          </cell>
        </row>
        <row r="673">
          <cell r="A673" t="str">
            <v>YOTHSD11115</v>
          </cell>
          <cell r="B673">
            <v>672</v>
          </cell>
          <cell r="C673"/>
          <cell r="D673"/>
          <cell r="E673"/>
          <cell r="F673"/>
          <cell r="G673" t="str">
            <v>B. Fashion &amp; Lifestyle</v>
          </cell>
          <cell r="H673" t="str">
            <v>Trends &amp; Allied Formats (Part A)</v>
          </cell>
          <cell r="I673" t="str">
            <v>Yousta</v>
          </cell>
        </row>
        <row r="674">
          <cell r="A674" t="str">
            <v>YOTHAS11135</v>
          </cell>
          <cell r="B674">
            <v>673</v>
          </cell>
          <cell r="C674"/>
          <cell r="D674"/>
          <cell r="E674"/>
          <cell r="F674"/>
          <cell r="G674" t="str">
            <v>B. Fashion &amp; Lifestyle</v>
          </cell>
          <cell r="H674" t="str">
            <v>Trends &amp; Allied Formats (Part A)</v>
          </cell>
          <cell r="I674" t="str">
            <v>Yousta</v>
          </cell>
        </row>
        <row r="675">
          <cell r="A675" t="str">
            <v>YOTHBK11217</v>
          </cell>
          <cell r="B675">
            <v>674</v>
          </cell>
          <cell r="C675"/>
          <cell r="D675"/>
          <cell r="E675"/>
          <cell r="F675"/>
          <cell r="G675" t="str">
            <v>B. Fashion &amp; Lifestyle</v>
          </cell>
          <cell r="H675" t="str">
            <v>Trends &amp; Allied Formats (Part A)</v>
          </cell>
          <cell r="I675" t="str">
            <v>Yousta</v>
          </cell>
        </row>
        <row r="676">
          <cell r="A676" t="str">
            <v>YOTHBK11224</v>
          </cell>
          <cell r="B676">
            <v>675</v>
          </cell>
          <cell r="C676"/>
          <cell r="D676"/>
          <cell r="E676"/>
          <cell r="F676"/>
          <cell r="G676" t="str">
            <v>B. Fashion &amp; Lifestyle</v>
          </cell>
          <cell r="H676" t="str">
            <v>Trends &amp; Allied Formats (Part A)</v>
          </cell>
          <cell r="I676" t="str">
            <v>Yousta</v>
          </cell>
        </row>
        <row r="677">
          <cell r="A677" t="str">
            <v>YOTHBK11226</v>
          </cell>
          <cell r="B677">
            <v>676</v>
          </cell>
          <cell r="C677"/>
          <cell r="D677"/>
          <cell r="E677"/>
          <cell r="F677"/>
          <cell r="G677" t="str">
            <v>B. Fashion &amp; Lifestyle</v>
          </cell>
          <cell r="H677" t="str">
            <v>Trends &amp; Allied Formats (Part A)</v>
          </cell>
          <cell r="I677" t="str">
            <v>Yousta</v>
          </cell>
        </row>
        <row r="678">
          <cell r="A678" t="str">
            <v>YOTHRT11228</v>
          </cell>
          <cell r="B678">
            <v>677</v>
          </cell>
          <cell r="C678"/>
          <cell r="D678"/>
          <cell r="E678"/>
          <cell r="F678"/>
          <cell r="G678" t="str">
            <v>B. Fashion &amp; Lifestyle</v>
          </cell>
          <cell r="H678" t="str">
            <v>Trends &amp; Allied Formats (Part A)</v>
          </cell>
          <cell r="I678" t="str">
            <v>Yousta</v>
          </cell>
        </row>
        <row r="679">
          <cell r="A679" t="str">
            <v>YOTHBK11232</v>
          </cell>
          <cell r="B679">
            <v>678</v>
          </cell>
          <cell r="C679"/>
          <cell r="D679"/>
          <cell r="E679"/>
          <cell r="F679"/>
          <cell r="G679" t="str">
            <v>B. Fashion &amp; Lifestyle</v>
          </cell>
          <cell r="H679" t="str">
            <v>Trends &amp; Allied Formats (Part A)</v>
          </cell>
          <cell r="I679" t="str">
            <v>Yousta</v>
          </cell>
        </row>
        <row r="680">
          <cell r="A680" t="str">
            <v>YOTHBK11234</v>
          </cell>
          <cell r="B680">
            <v>679</v>
          </cell>
          <cell r="C680"/>
          <cell r="D680"/>
          <cell r="E680"/>
          <cell r="F680"/>
          <cell r="G680" t="str">
            <v>B. Fashion &amp; Lifestyle</v>
          </cell>
          <cell r="H680" t="str">
            <v>Trends &amp; Allied Formats (Part A)</v>
          </cell>
          <cell r="I680" t="str">
            <v>Yousta</v>
          </cell>
        </row>
        <row r="681">
          <cell r="A681" t="str">
            <v>YOTHBK11235</v>
          </cell>
          <cell r="B681">
            <v>680</v>
          </cell>
          <cell r="C681"/>
          <cell r="D681"/>
          <cell r="E681"/>
          <cell r="F681"/>
          <cell r="G681" t="str">
            <v>B. Fashion &amp; Lifestyle</v>
          </cell>
          <cell r="H681" t="str">
            <v>Trends &amp; Allied Formats (Part A)</v>
          </cell>
          <cell r="I681" t="str">
            <v>Yousta</v>
          </cell>
        </row>
        <row r="682">
          <cell r="A682" t="str">
            <v>YOTHRT11238</v>
          </cell>
          <cell r="B682">
            <v>681</v>
          </cell>
          <cell r="C682"/>
          <cell r="D682"/>
          <cell r="E682"/>
          <cell r="F682"/>
          <cell r="G682" t="str">
            <v>B. Fashion &amp; Lifestyle</v>
          </cell>
          <cell r="H682" t="str">
            <v>Trends &amp; Allied Formats (Part A)</v>
          </cell>
          <cell r="I682" t="str">
            <v>Yousta</v>
          </cell>
        </row>
        <row r="683">
          <cell r="A683" t="str">
            <v>YOTHBK11241</v>
          </cell>
          <cell r="B683">
            <v>682</v>
          </cell>
          <cell r="C683"/>
          <cell r="D683"/>
          <cell r="E683"/>
          <cell r="F683"/>
          <cell r="G683" t="str">
            <v>B. Fashion &amp; Lifestyle</v>
          </cell>
          <cell r="H683" t="str">
            <v>Trends &amp; Allied Formats (Part A)</v>
          </cell>
          <cell r="I683" t="str">
            <v>Yousta</v>
          </cell>
        </row>
        <row r="684">
          <cell r="A684" t="str">
            <v>YOTHRT11244</v>
          </cell>
          <cell r="B684">
            <v>683</v>
          </cell>
          <cell r="C684"/>
          <cell r="D684"/>
          <cell r="E684"/>
          <cell r="F684"/>
          <cell r="G684" t="str">
            <v>B. Fashion &amp; Lifestyle</v>
          </cell>
          <cell r="H684" t="str">
            <v>Trends &amp; Allied Formats (Part A)</v>
          </cell>
          <cell r="I684" t="str">
            <v>Yousta</v>
          </cell>
        </row>
        <row r="685">
          <cell r="A685" t="str">
            <v>YOTHRT11246</v>
          </cell>
          <cell r="B685">
            <v>684</v>
          </cell>
          <cell r="C685"/>
          <cell r="D685"/>
          <cell r="E685"/>
          <cell r="F685"/>
          <cell r="G685" t="str">
            <v>B. Fashion &amp; Lifestyle</v>
          </cell>
          <cell r="H685" t="str">
            <v>Trends &amp; Allied Formats (Part A)</v>
          </cell>
          <cell r="I685" t="str">
            <v>Yousta</v>
          </cell>
        </row>
        <row r="686">
          <cell r="A686" t="str">
            <v>YOTHBK11247</v>
          </cell>
          <cell r="B686">
            <v>685</v>
          </cell>
          <cell r="C686"/>
          <cell r="D686"/>
          <cell r="E686"/>
          <cell r="F686"/>
          <cell r="G686" t="str">
            <v>B. Fashion &amp; Lifestyle</v>
          </cell>
          <cell r="H686" t="str">
            <v>Trends &amp; Allied Formats (Part A)</v>
          </cell>
          <cell r="I686" t="str">
            <v>Yousta</v>
          </cell>
        </row>
        <row r="687">
          <cell r="A687" t="str">
            <v>ZIVART113</v>
          </cell>
          <cell r="B687">
            <v>686</v>
          </cell>
          <cell r="C687"/>
          <cell r="D687" t="str">
            <v>T2PJ</v>
          </cell>
          <cell r="E687" t="str">
            <v>QH4R</v>
          </cell>
          <cell r="F687" t="str">
            <v>RZIV9QH4R00</v>
          </cell>
          <cell r="G687" t="str">
            <v>B. Fashion &amp; Lifestyle</v>
          </cell>
          <cell r="H687" t="str">
            <v>Other Fashion &amp; Lifestyle Formats</v>
          </cell>
          <cell r="I687" t="str">
            <v>Zivame EBO</v>
          </cell>
        </row>
        <row r="688">
          <cell r="A688" t="str">
            <v>ZIVART4565</v>
          </cell>
          <cell r="B688">
            <v>687</v>
          </cell>
          <cell r="C688"/>
          <cell r="D688" t="str">
            <v>T0IG</v>
          </cell>
          <cell r="E688" t="str">
            <v>Q4TQ</v>
          </cell>
          <cell r="F688" t="str">
            <v>RZIV9Q4TQ00</v>
          </cell>
          <cell r="G688" t="str">
            <v>B. Fashion &amp; Lifestyle</v>
          </cell>
          <cell r="H688" t="str">
            <v>Other Fashion &amp; Lifestyle Formats</v>
          </cell>
          <cell r="I688" t="str">
            <v>Zivame EBO</v>
          </cell>
        </row>
        <row r="689">
          <cell r="A689" t="str">
            <v>ZIVAJD4759</v>
          </cell>
          <cell r="B689">
            <v>688</v>
          </cell>
          <cell r="C689"/>
          <cell r="D689" t="str">
            <v>T3EB</v>
          </cell>
          <cell r="E689" t="str">
            <v>QJ0B</v>
          </cell>
          <cell r="F689" t="str">
            <v>RZIVAQJ0B00</v>
          </cell>
          <cell r="G689" t="str">
            <v>B. Fashion &amp; Lifestyle</v>
          </cell>
          <cell r="H689" t="str">
            <v>Other Fashion &amp; Lifestyle Formats</v>
          </cell>
          <cell r="I689" t="str">
            <v>Zivame EBO</v>
          </cell>
        </row>
        <row r="690">
          <cell r="A690" t="str">
            <v>ZIVART10522</v>
          </cell>
          <cell r="B690">
            <v>689</v>
          </cell>
          <cell r="C690"/>
          <cell r="D690"/>
          <cell r="E690"/>
          <cell r="F690"/>
          <cell r="G690" t="str">
            <v>B. Fashion &amp; Lifestyle</v>
          </cell>
          <cell r="H690" t="str">
            <v>Other Fashion &amp; Lifestyle Formats</v>
          </cell>
          <cell r="I690" t="str">
            <v>Zivame EBO</v>
          </cell>
        </row>
        <row r="691">
          <cell r="A691" t="str">
            <v>ZIVART10564</v>
          </cell>
          <cell r="B691">
            <v>690</v>
          </cell>
          <cell r="C691"/>
          <cell r="D691"/>
          <cell r="E691"/>
          <cell r="F691"/>
          <cell r="G691" t="str">
            <v>B. Fashion &amp; Lifestyle</v>
          </cell>
          <cell r="H691" t="str">
            <v>Other Fashion &amp; Lifestyle Formats</v>
          </cell>
          <cell r="I691" t="str">
            <v>Zivame EBO</v>
          </cell>
        </row>
        <row r="692">
          <cell r="A692" t="str">
            <v>ZIVART10565</v>
          </cell>
          <cell r="B692">
            <v>691</v>
          </cell>
          <cell r="C692"/>
          <cell r="D692"/>
          <cell r="E692"/>
          <cell r="F692"/>
          <cell r="G692" t="str">
            <v>B. Fashion &amp; Lifestyle</v>
          </cell>
          <cell r="H692" t="str">
            <v>Other Fashion &amp; Lifestyle Formats</v>
          </cell>
          <cell r="I692" t="str">
            <v>Zivame EBO</v>
          </cell>
        </row>
        <row r="693">
          <cell r="A693" t="str">
            <v>ZIVAAS10566</v>
          </cell>
          <cell r="B693">
            <v>692</v>
          </cell>
          <cell r="C693"/>
          <cell r="D693"/>
          <cell r="E693"/>
          <cell r="F693"/>
          <cell r="G693" t="str">
            <v>B. Fashion &amp; Lifestyle</v>
          </cell>
          <cell r="H693" t="str">
            <v>Other Fashion &amp; Lifestyle Formats</v>
          </cell>
          <cell r="I693" t="str">
            <v>Zivame EBO</v>
          </cell>
        </row>
        <row r="694">
          <cell r="A694" t="str">
            <v>ZIVART10567</v>
          </cell>
          <cell r="B694">
            <v>693</v>
          </cell>
          <cell r="C694"/>
          <cell r="D694"/>
          <cell r="E694"/>
          <cell r="F694"/>
          <cell r="G694" t="str">
            <v>B. Fashion &amp; Lifestyle</v>
          </cell>
          <cell r="H694" t="str">
            <v>Other Fashion &amp; Lifestyle Formats</v>
          </cell>
          <cell r="I694" t="str">
            <v>Zivame EBO</v>
          </cell>
        </row>
        <row r="695">
          <cell r="A695" t="str">
            <v>ZIVART10568</v>
          </cell>
          <cell r="B695">
            <v>694</v>
          </cell>
          <cell r="C695"/>
          <cell r="D695"/>
          <cell r="E695"/>
          <cell r="F695"/>
          <cell r="G695" t="str">
            <v>B. Fashion &amp; Lifestyle</v>
          </cell>
          <cell r="H695" t="str">
            <v>Other Fashion &amp; Lifestyle Formats</v>
          </cell>
          <cell r="I695" t="str">
            <v>Zivame EBO</v>
          </cell>
        </row>
        <row r="696">
          <cell r="A696" t="str">
            <v>ZIVAAS10631</v>
          </cell>
          <cell r="B696">
            <v>695</v>
          </cell>
          <cell r="C696"/>
          <cell r="D696"/>
          <cell r="E696"/>
          <cell r="F696"/>
          <cell r="G696" t="str">
            <v>B. Fashion &amp; Lifestyle</v>
          </cell>
          <cell r="H696" t="str">
            <v>Other Fashion &amp; Lifestyle Formats</v>
          </cell>
          <cell r="I696" t="str">
            <v>Zivame EBO</v>
          </cell>
        </row>
        <row r="697">
          <cell r="A697" t="str">
            <v>ZIVAAS10632</v>
          </cell>
          <cell r="B697">
            <v>696</v>
          </cell>
          <cell r="C697"/>
          <cell r="D697"/>
          <cell r="E697"/>
          <cell r="F697"/>
          <cell r="G697" t="str">
            <v>B. Fashion &amp; Lifestyle</v>
          </cell>
          <cell r="H697" t="str">
            <v>Other Fashion &amp; Lifestyle Formats</v>
          </cell>
          <cell r="I697" t="str">
            <v>Zivame EBO</v>
          </cell>
        </row>
        <row r="698">
          <cell r="A698" t="str">
            <v>BLSBBK127</v>
          </cell>
          <cell r="B698">
            <v>697</v>
          </cell>
          <cell r="C698" t="str">
            <v>MU-HM-GMU-014-1</v>
          </cell>
          <cell r="D698" t="str">
            <v>T86G</v>
          </cell>
          <cell r="E698" t="str">
            <v>QORN</v>
          </cell>
          <cell r="F698" t="str">
            <v>BLUSMQORN00</v>
          </cell>
          <cell r="G698" t="str">
            <v>C. Grocery</v>
          </cell>
          <cell r="H698" t="str">
            <v>Grocery</v>
          </cell>
          <cell r="I698" t="str">
            <v>Blushlace in Smart</v>
          </cell>
        </row>
        <row r="699">
          <cell r="A699" t="str">
            <v>BLSSBK163</v>
          </cell>
          <cell r="B699">
            <v>698</v>
          </cell>
          <cell r="C699"/>
          <cell r="D699" t="str">
            <v>TI9L</v>
          </cell>
          <cell r="E699" t="str">
            <v>QZOM</v>
          </cell>
          <cell r="F699" t="str">
            <v>BLUSMQZOM00</v>
          </cell>
          <cell r="G699" t="str">
            <v>C. Grocery</v>
          </cell>
          <cell r="H699" t="str">
            <v>Grocery</v>
          </cell>
          <cell r="I699" t="str">
            <v>Blushlace in Smart</v>
          </cell>
        </row>
        <row r="700">
          <cell r="A700" t="str">
            <v>BLSSBK167</v>
          </cell>
          <cell r="B700">
            <v>699</v>
          </cell>
          <cell r="C700"/>
          <cell r="D700" t="str">
            <v>T0BB</v>
          </cell>
          <cell r="E700" t="str">
            <v>Q4MU</v>
          </cell>
          <cell r="F700" t="str">
            <v>BLUSGQ4MU00</v>
          </cell>
          <cell r="G700" t="str">
            <v>C. Grocery</v>
          </cell>
          <cell r="H700" t="str">
            <v>Grocery</v>
          </cell>
          <cell r="I700" t="str">
            <v>Blushlace in Smart</v>
          </cell>
        </row>
        <row r="701">
          <cell r="A701" t="str">
            <v>BLSSBK170</v>
          </cell>
          <cell r="B701">
            <v>700</v>
          </cell>
          <cell r="C701"/>
          <cell r="D701"/>
          <cell r="E701" t="str">
            <v>QI7W</v>
          </cell>
          <cell r="F701" t="str">
            <v>BLUSEQI7W00</v>
          </cell>
          <cell r="G701" t="str">
            <v>C. Grocery</v>
          </cell>
          <cell r="H701" t="str">
            <v>Grocery</v>
          </cell>
          <cell r="I701" t="str">
            <v>Blushlace in Smart</v>
          </cell>
        </row>
        <row r="702">
          <cell r="A702" t="str">
            <v>BLSSBK171</v>
          </cell>
          <cell r="B702">
            <v>701</v>
          </cell>
          <cell r="C702"/>
          <cell r="D702" t="str">
            <v>T0AL</v>
          </cell>
          <cell r="E702" t="str">
            <v>Q4LV</v>
          </cell>
          <cell r="F702" t="str">
            <v>BLUSMQ4LV00</v>
          </cell>
          <cell r="G702" t="str">
            <v>C. Grocery</v>
          </cell>
          <cell r="H702" t="str">
            <v>Grocery</v>
          </cell>
          <cell r="I702" t="str">
            <v>Blushlace in Smart</v>
          </cell>
        </row>
        <row r="703">
          <cell r="A703" t="str">
            <v>BLSSBK174</v>
          </cell>
          <cell r="B703">
            <v>702</v>
          </cell>
          <cell r="C703"/>
          <cell r="D703" t="str">
            <v>T0UN</v>
          </cell>
          <cell r="E703" t="str">
            <v>Q5DE</v>
          </cell>
          <cell r="F703" t="str">
            <v>BLUSEQ5DE00</v>
          </cell>
          <cell r="G703" t="str">
            <v>C. Grocery</v>
          </cell>
          <cell r="H703" t="str">
            <v>Grocery</v>
          </cell>
          <cell r="I703" t="str">
            <v>Blushlace in Smart</v>
          </cell>
        </row>
        <row r="704">
          <cell r="A704" t="str">
            <v>BLSBBK3745</v>
          </cell>
          <cell r="B704">
            <v>703</v>
          </cell>
          <cell r="C704" t="str">
            <v>MU-SM-GMU-739</v>
          </cell>
          <cell r="D704" t="str">
            <v>T0R2</v>
          </cell>
          <cell r="E704" t="str">
            <v>Q4GY</v>
          </cell>
          <cell r="F704" t="str">
            <v>BLUSMQ4GY00</v>
          </cell>
          <cell r="G704" t="str">
            <v>C. Grocery</v>
          </cell>
          <cell r="H704" t="str">
            <v>Grocery</v>
          </cell>
          <cell r="I704" t="str">
            <v>Blushlace in Smart</v>
          </cell>
        </row>
        <row r="705">
          <cell r="A705" t="str">
            <v>BLSSAS3957</v>
          </cell>
          <cell r="B705">
            <v>704</v>
          </cell>
          <cell r="C705"/>
          <cell r="D705" t="str">
            <v>T0Y1</v>
          </cell>
          <cell r="E705" t="str">
            <v>Q4KC</v>
          </cell>
          <cell r="F705" t="str">
            <v>BLUSVQ4KC00</v>
          </cell>
          <cell r="G705" t="str">
            <v>C. Grocery</v>
          </cell>
          <cell r="H705" t="str">
            <v>Grocery</v>
          </cell>
          <cell r="I705" t="str">
            <v>Blushlace in Smart</v>
          </cell>
        </row>
        <row r="706">
          <cell r="A706" t="str">
            <v>BLSSSD3994</v>
          </cell>
          <cell r="B706">
            <v>705</v>
          </cell>
          <cell r="C706"/>
          <cell r="D706" t="str">
            <v>TJ3O</v>
          </cell>
          <cell r="E706" t="str">
            <v>QZQO</v>
          </cell>
          <cell r="F706" t="str">
            <v>BLUSBQZQO00</v>
          </cell>
          <cell r="G706" t="str">
            <v>C. Grocery</v>
          </cell>
          <cell r="H706" t="str">
            <v>Grocery</v>
          </cell>
          <cell r="I706" t="str">
            <v>Blushlace in Smart</v>
          </cell>
        </row>
        <row r="707">
          <cell r="A707" t="str">
            <v>BLSSJD3996</v>
          </cell>
          <cell r="B707">
            <v>706</v>
          </cell>
          <cell r="C707"/>
          <cell r="D707" t="str">
            <v>TJ3L</v>
          </cell>
          <cell r="E707" t="str">
            <v>QZQL</v>
          </cell>
          <cell r="F707" t="str">
            <v>BLUSAQZQL00</v>
          </cell>
          <cell r="G707" t="str">
            <v>C. Grocery</v>
          </cell>
          <cell r="H707" t="str">
            <v>Grocery</v>
          </cell>
          <cell r="I707" t="str">
            <v>Blushlace in Smart</v>
          </cell>
        </row>
        <row r="708">
          <cell r="A708" t="str">
            <v>BLSBRT4007</v>
          </cell>
          <cell r="B708">
            <v>707</v>
          </cell>
          <cell r="C708"/>
          <cell r="D708" t="str">
            <v>TJ3F</v>
          </cell>
          <cell r="E708" t="str">
            <v>QZQF</v>
          </cell>
          <cell r="F708" t="str">
            <v>BLUSRQZQF00</v>
          </cell>
          <cell r="G708" t="str">
            <v>C. Grocery</v>
          </cell>
          <cell r="H708" t="str">
            <v>Grocery</v>
          </cell>
          <cell r="I708" t="str">
            <v>Blushlace in Smart</v>
          </cell>
        </row>
        <row r="709">
          <cell r="A709" t="str">
            <v>BLSSAS4017</v>
          </cell>
          <cell r="B709">
            <v>708</v>
          </cell>
          <cell r="C709"/>
          <cell r="D709" t="str">
            <v>TJ3V</v>
          </cell>
          <cell r="E709" t="str">
            <v>QZQW</v>
          </cell>
          <cell r="F709" t="str">
            <v>BLUSVQZQW00</v>
          </cell>
          <cell r="G709" t="str">
            <v>C. Grocery</v>
          </cell>
          <cell r="H709" t="str">
            <v>Grocery</v>
          </cell>
          <cell r="I709" t="str">
            <v>Blushlace in Smart</v>
          </cell>
        </row>
        <row r="710">
          <cell r="A710" t="str">
            <v>BLSSSD4019</v>
          </cell>
          <cell r="B710">
            <v>709</v>
          </cell>
          <cell r="C710"/>
          <cell r="D710" t="str">
            <v>TJ3P</v>
          </cell>
          <cell r="E710" t="str">
            <v>QZQP</v>
          </cell>
          <cell r="F710" t="str">
            <v>BLUSVQZQP00</v>
          </cell>
          <cell r="G710" t="str">
            <v>C. Grocery</v>
          </cell>
          <cell r="H710" t="str">
            <v>Grocery</v>
          </cell>
          <cell r="I710" t="str">
            <v>Blushlace in Smart</v>
          </cell>
        </row>
        <row r="711">
          <cell r="A711" t="str">
            <v>BLSBRT4039</v>
          </cell>
          <cell r="B711">
            <v>710</v>
          </cell>
          <cell r="C711"/>
          <cell r="D711" t="str">
            <v>T0D6</v>
          </cell>
          <cell r="E711" t="str">
            <v>Q2MN</v>
          </cell>
          <cell r="F711" t="str">
            <v>BLUSRQ2MN00</v>
          </cell>
          <cell r="G711" t="str">
            <v>C. Grocery</v>
          </cell>
          <cell r="H711" t="str">
            <v>Grocery</v>
          </cell>
          <cell r="I711" t="str">
            <v>Blushlace in Smart</v>
          </cell>
        </row>
        <row r="712">
          <cell r="A712" t="str">
            <v>BLSSAS4044</v>
          </cell>
          <cell r="B712">
            <v>711</v>
          </cell>
          <cell r="C712"/>
          <cell r="D712" t="str">
            <v>TJ5Z</v>
          </cell>
          <cell r="E712" t="str">
            <v>QZYS</v>
          </cell>
          <cell r="F712" t="str">
            <v>BLUSTQZYS00</v>
          </cell>
          <cell r="G712" t="str">
            <v>C. Grocery</v>
          </cell>
          <cell r="H712" t="str">
            <v>Grocery</v>
          </cell>
          <cell r="I712" t="str">
            <v>Blushlace in Smart</v>
          </cell>
        </row>
        <row r="713">
          <cell r="A713" t="str">
            <v>BLSSAS4053</v>
          </cell>
          <cell r="B713">
            <v>712</v>
          </cell>
          <cell r="C713"/>
          <cell r="D713" t="str">
            <v>T0BD</v>
          </cell>
          <cell r="E713" t="str">
            <v>Q4MW</v>
          </cell>
          <cell r="F713" t="str">
            <v>BLUSTQ4MW00</v>
          </cell>
          <cell r="G713" t="str">
            <v>C. Grocery</v>
          </cell>
          <cell r="H713" t="str">
            <v>Grocery</v>
          </cell>
          <cell r="I713" t="str">
            <v>Blushlace in Smart</v>
          </cell>
        </row>
        <row r="714">
          <cell r="A714" t="str">
            <v>BLSSJD4054</v>
          </cell>
          <cell r="B714">
            <v>713</v>
          </cell>
          <cell r="C714"/>
          <cell r="D714" t="str">
            <v>T0Y8</v>
          </cell>
          <cell r="E714" t="str">
            <v>Q4KK</v>
          </cell>
          <cell r="F714" t="str">
            <v>BLUSAQ4KK00</v>
          </cell>
          <cell r="G714" t="str">
            <v>C. Grocery</v>
          </cell>
          <cell r="H714" t="str">
            <v>Grocery</v>
          </cell>
          <cell r="I714" t="str">
            <v>Blushlace in Smart</v>
          </cell>
        </row>
        <row r="715">
          <cell r="A715" t="str">
            <v>BLSSBK4078</v>
          </cell>
          <cell r="B715">
            <v>714</v>
          </cell>
          <cell r="C715"/>
          <cell r="D715" t="str">
            <v>TJ5W</v>
          </cell>
          <cell r="E715" t="str">
            <v>QZYQ</v>
          </cell>
          <cell r="F715" t="str">
            <v>BLUSGQZYQ00</v>
          </cell>
          <cell r="G715" t="str">
            <v>C. Grocery</v>
          </cell>
          <cell r="H715" t="str">
            <v>Grocery</v>
          </cell>
          <cell r="I715" t="str">
            <v>Blushlace in Smart</v>
          </cell>
        </row>
        <row r="716">
          <cell r="A716" t="str">
            <v>BLSHKC4092</v>
          </cell>
          <cell r="B716">
            <v>715</v>
          </cell>
          <cell r="C716"/>
          <cell r="D716" t="str">
            <v>T2FN</v>
          </cell>
          <cell r="E716" t="str">
            <v>Q7BV</v>
          </cell>
          <cell r="F716" t="str">
            <v>BLUSGQ7BV00</v>
          </cell>
          <cell r="G716" t="str">
            <v>C. Grocery</v>
          </cell>
          <cell r="H716" t="str">
            <v>Grocery</v>
          </cell>
          <cell r="I716" t="str">
            <v>Blushlace in Smart</v>
          </cell>
        </row>
        <row r="717">
          <cell r="A717" t="str">
            <v>BLSSBK4098</v>
          </cell>
          <cell r="B717">
            <v>716</v>
          </cell>
          <cell r="C717"/>
          <cell r="D717" t="str">
            <v>T0IB</v>
          </cell>
          <cell r="E717" t="str">
            <v>Q4TL</v>
          </cell>
          <cell r="F717" t="str">
            <v>BLUSCQ4TL00</v>
          </cell>
          <cell r="G717" t="str">
            <v>C. Grocery</v>
          </cell>
          <cell r="H717" t="str">
            <v>Grocery</v>
          </cell>
          <cell r="I717" t="str">
            <v>Blushlace in Smart</v>
          </cell>
        </row>
        <row r="718">
          <cell r="A718" t="str">
            <v>BLSSBK4099</v>
          </cell>
          <cell r="B718">
            <v>717</v>
          </cell>
          <cell r="C718"/>
          <cell r="D718" t="str">
            <v>T0OK</v>
          </cell>
          <cell r="E718" t="str">
            <v>Q4ZL</v>
          </cell>
          <cell r="F718" t="str">
            <v>BLUSMQ4ZL00</v>
          </cell>
          <cell r="G718" t="str">
            <v>C. Grocery</v>
          </cell>
          <cell r="H718" t="str">
            <v>Grocery</v>
          </cell>
          <cell r="I718" t="str">
            <v>Blushlace in Smart</v>
          </cell>
        </row>
        <row r="719">
          <cell r="A719" t="str">
            <v>BLSSAS4108</v>
          </cell>
          <cell r="B719">
            <v>718</v>
          </cell>
          <cell r="C719"/>
          <cell r="D719" t="str">
            <v>T0K7</v>
          </cell>
          <cell r="E719" t="str">
            <v>Q4ET</v>
          </cell>
          <cell r="F719" t="str">
            <v>BLUSTQ4ET00</v>
          </cell>
          <cell r="G719" t="str">
            <v>C. Grocery</v>
          </cell>
          <cell r="H719" t="str">
            <v>Grocery</v>
          </cell>
          <cell r="I719" t="str">
            <v>Blushlace in Smart</v>
          </cell>
        </row>
        <row r="720">
          <cell r="A720" t="str">
            <v>BLSSBK4111</v>
          </cell>
          <cell r="B720">
            <v>719</v>
          </cell>
          <cell r="C720"/>
          <cell r="D720" t="str">
            <v>T0E2</v>
          </cell>
          <cell r="E720" t="str">
            <v>Q2VX</v>
          </cell>
          <cell r="F720" t="str">
            <v>BLUSMQ2VX00</v>
          </cell>
          <cell r="G720" t="str">
            <v>C. Grocery</v>
          </cell>
          <cell r="H720" t="str">
            <v>Grocery</v>
          </cell>
          <cell r="I720" t="str">
            <v>Blushlace in Smart</v>
          </cell>
        </row>
        <row r="721">
          <cell r="A721" t="str">
            <v>BLSSAS4120</v>
          </cell>
          <cell r="B721">
            <v>720</v>
          </cell>
          <cell r="C721"/>
          <cell r="D721" t="str">
            <v>T0D9</v>
          </cell>
          <cell r="E721" t="str">
            <v>Q2MQ</v>
          </cell>
          <cell r="F721" t="str">
            <v>BLUSKQ2MQ00</v>
          </cell>
          <cell r="G721" t="str">
            <v>C. Grocery</v>
          </cell>
          <cell r="H721" t="str">
            <v>Grocery</v>
          </cell>
          <cell r="I721" t="str">
            <v>Blushlace in Smart</v>
          </cell>
        </row>
        <row r="722">
          <cell r="A722" t="str">
            <v>BLSSBK4120</v>
          </cell>
          <cell r="B722">
            <v>721</v>
          </cell>
          <cell r="C722"/>
          <cell r="D722" t="str">
            <v>T0F4</v>
          </cell>
          <cell r="E722" t="str">
            <v>Q2WK</v>
          </cell>
          <cell r="F722" t="str">
            <v>BLUSGQ2WK00</v>
          </cell>
          <cell r="G722" t="str">
            <v>C. Grocery</v>
          </cell>
          <cell r="H722" t="str">
            <v>Grocery</v>
          </cell>
          <cell r="I722" t="str">
            <v>Blushlace in Smart</v>
          </cell>
        </row>
        <row r="723">
          <cell r="A723" t="str">
            <v>BLSSJD4123</v>
          </cell>
          <cell r="B723">
            <v>722</v>
          </cell>
          <cell r="C723"/>
          <cell r="D723" t="str">
            <v>T0ZH</v>
          </cell>
          <cell r="E723" t="str">
            <v>Q5JB</v>
          </cell>
          <cell r="F723" t="str">
            <v>BLUSOQ5JB00</v>
          </cell>
          <cell r="G723" t="str">
            <v>C. Grocery</v>
          </cell>
          <cell r="H723" t="str">
            <v>Grocery</v>
          </cell>
          <cell r="I723" t="str">
            <v>Blushlace in Smart</v>
          </cell>
        </row>
        <row r="724">
          <cell r="A724" t="str">
            <v>BLSSBK4127</v>
          </cell>
          <cell r="B724">
            <v>723</v>
          </cell>
          <cell r="C724"/>
          <cell r="D724" t="str">
            <v>T0A9</v>
          </cell>
          <cell r="E724" t="str">
            <v>Q2LU</v>
          </cell>
          <cell r="F724" t="str">
            <v>BLUSGQ2LU00</v>
          </cell>
          <cell r="G724" t="str">
            <v>C. Grocery</v>
          </cell>
          <cell r="H724" t="str">
            <v>Grocery</v>
          </cell>
          <cell r="I724" t="str">
            <v>Blushlace in Smart</v>
          </cell>
        </row>
        <row r="725">
          <cell r="A725" t="str">
            <v>BLSSSD4137</v>
          </cell>
          <cell r="B725">
            <v>724</v>
          </cell>
          <cell r="C725"/>
          <cell r="D725" t="str">
            <v>T0D3</v>
          </cell>
          <cell r="E725" t="str">
            <v>Q2MK</v>
          </cell>
          <cell r="F725" t="str">
            <v>BLUSBQ2MK00</v>
          </cell>
          <cell r="G725" t="str">
            <v>C. Grocery</v>
          </cell>
          <cell r="H725" t="str">
            <v>Grocery</v>
          </cell>
          <cell r="I725" t="str">
            <v>Blushlace in Smart</v>
          </cell>
        </row>
        <row r="726">
          <cell r="A726" t="str">
            <v>BLSSJD4157</v>
          </cell>
          <cell r="B726">
            <v>725</v>
          </cell>
          <cell r="C726"/>
          <cell r="D726" t="str">
            <v>T0UO</v>
          </cell>
          <cell r="E726" t="str">
            <v>Q5DF</v>
          </cell>
          <cell r="F726" t="str">
            <v>BLUSAQ5DF00</v>
          </cell>
          <cell r="G726" t="str">
            <v>C. Grocery</v>
          </cell>
          <cell r="H726" t="str">
            <v>Grocery</v>
          </cell>
          <cell r="I726" t="str">
            <v>Blushlace in Smart</v>
          </cell>
        </row>
        <row r="727">
          <cell r="A727" t="str">
            <v>BLSSRT4158</v>
          </cell>
          <cell r="B727">
            <v>726</v>
          </cell>
          <cell r="C727"/>
          <cell r="D727" t="str">
            <v>T0B0</v>
          </cell>
          <cell r="E727" t="str">
            <v>Q2LV</v>
          </cell>
          <cell r="F727" t="str">
            <v>BLUSHQ2LV00</v>
          </cell>
          <cell r="G727" t="str">
            <v>C. Grocery</v>
          </cell>
          <cell r="H727" t="str">
            <v>Grocery</v>
          </cell>
          <cell r="I727" t="str">
            <v>Blushlace in Smart</v>
          </cell>
        </row>
        <row r="728">
          <cell r="A728" t="str">
            <v>SMRTAS4384</v>
          </cell>
          <cell r="B728">
            <v>727</v>
          </cell>
          <cell r="C728"/>
          <cell r="D728" t="str">
            <v>T1B7</v>
          </cell>
          <cell r="E728" t="str">
            <v>Q4MY</v>
          </cell>
          <cell r="F728" t="str">
            <v>BLUSVQ4MY00</v>
          </cell>
          <cell r="G728" t="str">
            <v>C. Grocery</v>
          </cell>
          <cell r="H728" t="str">
            <v>Grocery</v>
          </cell>
          <cell r="I728" t="str">
            <v>Blushlace in Smart</v>
          </cell>
        </row>
        <row r="729">
          <cell r="A729" t="str">
            <v>BLSSSD4704</v>
          </cell>
          <cell r="B729">
            <v>728</v>
          </cell>
          <cell r="C729"/>
          <cell r="D729" t="str">
            <v>T0AC</v>
          </cell>
          <cell r="E729" t="str">
            <v>Q4KZ</v>
          </cell>
          <cell r="F729" t="str">
            <v>BLUSWQ4KZ00</v>
          </cell>
          <cell r="G729" t="str">
            <v>C. Grocery</v>
          </cell>
          <cell r="H729" t="str">
            <v>Grocery</v>
          </cell>
          <cell r="I729" t="str">
            <v>Blushlace in Smart</v>
          </cell>
        </row>
        <row r="730">
          <cell r="A730" t="str">
            <v>BLSSSD4705</v>
          </cell>
          <cell r="B730">
            <v>729</v>
          </cell>
          <cell r="C730"/>
          <cell r="D730" t="str">
            <v>T0K8</v>
          </cell>
          <cell r="E730" t="str">
            <v>Q4EU</v>
          </cell>
          <cell r="F730" t="str">
            <v>BLUSBQ4EU00</v>
          </cell>
          <cell r="G730" t="str">
            <v>C. Grocery</v>
          </cell>
          <cell r="H730" t="str">
            <v>Grocery</v>
          </cell>
          <cell r="I730" t="str">
            <v>Blushlace in Smart</v>
          </cell>
        </row>
        <row r="731">
          <cell r="A731" t="str">
            <v>BLSSSD4712</v>
          </cell>
          <cell r="B731">
            <v>730</v>
          </cell>
          <cell r="C731"/>
          <cell r="D731" t="str">
            <v>T0XP</v>
          </cell>
          <cell r="E731" t="str">
            <v>Q5GJ</v>
          </cell>
          <cell r="F731" t="str">
            <v>BLUSNQ5GJ00</v>
          </cell>
          <cell r="G731" t="str">
            <v>C. Grocery</v>
          </cell>
          <cell r="H731" t="str">
            <v>Grocery</v>
          </cell>
          <cell r="I731" t="str">
            <v>Blushlace in Smart</v>
          </cell>
        </row>
        <row r="732">
          <cell r="A732" t="str">
            <v>BLSSSD4713</v>
          </cell>
          <cell r="B732">
            <v>731</v>
          </cell>
          <cell r="C732"/>
          <cell r="D732" t="str">
            <v>T0ZI</v>
          </cell>
          <cell r="E732" t="str">
            <v>Q5JC</v>
          </cell>
          <cell r="F732" t="str">
            <v>BLUSQQ5JC00</v>
          </cell>
          <cell r="G732" t="str">
            <v>C. Grocery</v>
          </cell>
          <cell r="H732" t="str">
            <v>Grocery</v>
          </cell>
          <cell r="I732" t="str">
            <v>Blushlace in Smart</v>
          </cell>
        </row>
        <row r="733">
          <cell r="A733" t="str">
            <v>BLSSAS4714</v>
          </cell>
          <cell r="B733">
            <v>732</v>
          </cell>
          <cell r="C733"/>
          <cell r="D733" t="str">
            <v>T0N4</v>
          </cell>
          <cell r="E733" t="str">
            <v>Q4FS</v>
          </cell>
          <cell r="F733" t="str">
            <v>BLUSTQ4FS00</v>
          </cell>
          <cell r="G733" t="str">
            <v>C. Grocery</v>
          </cell>
          <cell r="H733" t="str">
            <v>Grocery</v>
          </cell>
          <cell r="I733" t="str">
            <v>Blushlace in Smart</v>
          </cell>
        </row>
        <row r="734">
          <cell r="A734" t="str">
            <v>BLSSAS4715</v>
          </cell>
          <cell r="B734">
            <v>733</v>
          </cell>
          <cell r="C734"/>
          <cell r="D734" t="str">
            <v>TJ3M</v>
          </cell>
          <cell r="E734" t="str">
            <v>QZQM</v>
          </cell>
          <cell r="F734" t="str">
            <v>BLUSVQZQM00</v>
          </cell>
          <cell r="G734" t="str">
            <v>C. Grocery</v>
          </cell>
          <cell r="H734" t="str">
            <v>Grocery</v>
          </cell>
          <cell r="I734" t="str">
            <v>Blushlace in Smart</v>
          </cell>
        </row>
        <row r="735">
          <cell r="A735" t="str">
            <v>BLSSRT4717</v>
          </cell>
          <cell r="B735">
            <v>734</v>
          </cell>
          <cell r="C735"/>
          <cell r="D735" t="str">
            <v>TJ3B</v>
          </cell>
          <cell r="E735" t="str">
            <v>QZQB</v>
          </cell>
          <cell r="F735" t="str">
            <v>BLUSRQZQB00</v>
          </cell>
          <cell r="G735" t="str">
            <v>C. Grocery</v>
          </cell>
          <cell r="H735" t="str">
            <v>Grocery</v>
          </cell>
          <cell r="I735" t="str">
            <v>Blushlace in Smart</v>
          </cell>
        </row>
        <row r="736">
          <cell r="A736" t="str">
            <v>BLSSRT4725</v>
          </cell>
          <cell r="B736">
            <v>735</v>
          </cell>
          <cell r="C736"/>
          <cell r="D736" t="str">
            <v>T0UF</v>
          </cell>
          <cell r="E736" t="str">
            <v>Q5DC</v>
          </cell>
          <cell r="F736" t="str">
            <v>BLUSUQ5DC00</v>
          </cell>
          <cell r="G736" t="str">
            <v>C. Grocery</v>
          </cell>
          <cell r="H736" t="str">
            <v>Grocery</v>
          </cell>
          <cell r="I736" t="str">
            <v>Blushlace in Smart</v>
          </cell>
        </row>
        <row r="737">
          <cell r="A737" t="str">
            <v>BLSSAS4743</v>
          </cell>
          <cell r="B737">
            <v>736</v>
          </cell>
          <cell r="C737"/>
          <cell r="D737" t="str">
            <v>T0Z5</v>
          </cell>
          <cell r="E737" t="str">
            <v>Q4KS</v>
          </cell>
          <cell r="F737" t="str">
            <v>BLUSTQ4KS00</v>
          </cell>
          <cell r="G737" t="str">
            <v>C. Grocery</v>
          </cell>
          <cell r="H737" t="str">
            <v>Grocery</v>
          </cell>
          <cell r="I737" t="str">
            <v>Blushlace in Smart</v>
          </cell>
        </row>
        <row r="738">
          <cell r="A738" t="str">
            <v>BLSSAS4763</v>
          </cell>
          <cell r="B738">
            <v>737</v>
          </cell>
          <cell r="C738"/>
          <cell r="D738" t="str">
            <v>T0XN</v>
          </cell>
          <cell r="E738" t="str">
            <v>Q5GH</v>
          </cell>
          <cell r="F738" t="str">
            <v>BLUSTQ5GH00</v>
          </cell>
          <cell r="G738" t="str">
            <v>C. Grocery</v>
          </cell>
          <cell r="H738" t="str">
            <v>Grocery</v>
          </cell>
          <cell r="I738" t="str">
            <v>Blushlace in Smart</v>
          </cell>
        </row>
        <row r="739">
          <cell r="A739" t="str">
            <v>BLSSAS4820</v>
          </cell>
          <cell r="B739">
            <v>738</v>
          </cell>
          <cell r="C739"/>
          <cell r="D739" t="str">
            <v>T96I</v>
          </cell>
          <cell r="E739" t="str">
            <v>Q5MK</v>
          </cell>
          <cell r="F739" t="str">
            <v>BLUSKQ5MK00</v>
          </cell>
          <cell r="G739" t="str">
            <v>C. Grocery</v>
          </cell>
          <cell r="H739" t="str">
            <v>Grocery</v>
          </cell>
          <cell r="I739" t="str">
            <v>Blushlace in Smart</v>
          </cell>
        </row>
        <row r="740">
          <cell r="A740" t="str">
            <v>BLSSAS4838</v>
          </cell>
          <cell r="B740">
            <v>739</v>
          </cell>
          <cell r="C740"/>
          <cell r="D740" t="str">
            <v>T2EU</v>
          </cell>
          <cell r="E740" t="str">
            <v>Q5NV</v>
          </cell>
          <cell r="F740" t="str">
            <v>BLUSTQ5NV00</v>
          </cell>
          <cell r="G740" t="str">
            <v>C. Grocery</v>
          </cell>
          <cell r="H740" t="str">
            <v>Grocery</v>
          </cell>
          <cell r="I740" t="str">
            <v>Blushlace in Smart</v>
          </cell>
        </row>
        <row r="741">
          <cell r="A741" t="str">
            <v>BLSSRT4847</v>
          </cell>
          <cell r="B741">
            <v>740</v>
          </cell>
          <cell r="C741"/>
          <cell r="D741"/>
          <cell r="E741" t="str">
            <v>Q5KT</v>
          </cell>
          <cell r="F741" t="str">
            <v>BLUSRQ5KT00</v>
          </cell>
          <cell r="G741" t="str">
            <v>C. Grocery</v>
          </cell>
          <cell r="H741" t="str">
            <v>Grocery</v>
          </cell>
          <cell r="I741" t="str">
            <v>Blushlace in Smart</v>
          </cell>
        </row>
        <row r="742">
          <cell r="A742" t="str">
            <v>BLSSSD4849</v>
          </cell>
          <cell r="B742">
            <v>741</v>
          </cell>
          <cell r="C742"/>
          <cell r="D742" t="str">
            <v>T2DR</v>
          </cell>
          <cell r="E742" t="str">
            <v>Q5MJ</v>
          </cell>
          <cell r="F742" t="str">
            <v>BLUSWQ5MJ00</v>
          </cell>
          <cell r="G742" t="str">
            <v>C. Grocery</v>
          </cell>
          <cell r="H742" t="str">
            <v>Grocery</v>
          </cell>
          <cell r="I742" t="str">
            <v>Blushlace in Smart</v>
          </cell>
        </row>
        <row r="743">
          <cell r="A743" t="str">
            <v>BLSSJD4850</v>
          </cell>
          <cell r="B743">
            <v>742</v>
          </cell>
          <cell r="C743"/>
          <cell r="D743"/>
          <cell r="E743" t="str">
            <v>Q4HK</v>
          </cell>
          <cell r="F743" t="str">
            <v>BLUSAQ4HK00</v>
          </cell>
          <cell r="G743" t="str">
            <v>C. Grocery</v>
          </cell>
          <cell r="H743" t="str">
            <v>Grocery</v>
          </cell>
          <cell r="I743" t="str">
            <v>Blushlace in Smart</v>
          </cell>
        </row>
        <row r="744">
          <cell r="A744" t="str">
            <v>BLSSAS4854</v>
          </cell>
          <cell r="B744">
            <v>743</v>
          </cell>
          <cell r="C744"/>
          <cell r="D744"/>
          <cell r="E744" t="str">
            <v>Q5AA</v>
          </cell>
          <cell r="F744" t="str">
            <v>BLUSTQ5AA00</v>
          </cell>
          <cell r="G744" t="str">
            <v>C. Grocery</v>
          </cell>
          <cell r="H744" t="str">
            <v>Grocery</v>
          </cell>
          <cell r="I744" t="str">
            <v>Blushlace in Smart</v>
          </cell>
        </row>
        <row r="745">
          <cell r="A745" t="str">
            <v>BLSSSD4855</v>
          </cell>
          <cell r="B745">
            <v>744</v>
          </cell>
          <cell r="C745"/>
          <cell r="D745"/>
          <cell r="E745" t="str">
            <v>Q4GG</v>
          </cell>
          <cell r="F745" t="str">
            <v>BLUSBQ4GG00</v>
          </cell>
          <cell r="G745" t="str">
            <v>C. Grocery</v>
          </cell>
          <cell r="H745" t="str">
            <v>Grocery</v>
          </cell>
          <cell r="I745" t="str">
            <v>Blushlace in Smart</v>
          </cell>
        </row>
        <row r="746">
          <cell r="A746" t="str">
            <v>BLSSJD4869</v>
          </cell>
          <cell r="B746">
            <v>745</v>
          </cell>
          <cell r="C746"/>
          <cell r="D746"/>
          <cell r="E746" t="str">
            <v>QH2I</v>
          </cell>
          <cell r="F746" t="str">
            <v>BLUSAQH2I00</v>
          </cell>
          <cell r="G746" t="str">
            <v>C. Grocery</v>
          </cell>
          <cell r="H746" t="str">
            <v>Grocery</v>
          </cell>
          <cell r="I746" t="str">
            <v>Blushlace in Smart</v>
          </cell>
        </row>
        <row r="747">
          <cell r="A747" t="str">
            <v>BLSSAS4871</v>
          </cell>
          <cell r="B747">
            <v>746</v>
          </cell>
          <cell r="C747"/>
          <cell r="D747"/>
          <cell r="E747" t="str">
            <v>Q2WS</v>
          </cell>
          <cell r="F747" t="str">
            <v>BLUSTQ2WS00</v>
          </cell>
          <cell r="G747" t="str">
            <v>C. Grocery</v>
          </cell>
          <cell r="H747" t="str">
            <v>Grocery</v>
          </cell>
          <cell r="I747" t="str">
            <v>Blushlace in Smart</v>
          </cell>
        </row>
        <row r="748">
          <cell r="A748" t="str">
            <v>BLSSSD4873</v>
          </cell>
          <cell r="B748">
            <v>747</v>
          </cell>
          <cell r="C748"/>
          <cell r="D748"/>
          <cell r="E748" t="str">
            <v>Q2WI</v>
          </cell>
          <cell r="F748" t="str">
            <v>BLUSWQ2WI00</v>
          </cell>
          <cell r="G748" t="str">
            <v>C. Grocery</v>
          </cell>
          <cell r="H748" t="str">
            <v>Grocery</v>
          </cell>
          <cell r="I748" t="str">
            <v>Blushlace in Smart</v>
          </cell>
        </row>
        <row r="749">
          <cell r="A749" t="str">
            <v>BLSSJD4874</v>
          </cell>
          <cell r="B749">
            <v>748</v>
          </cell>
          <cell r="C749"/>
          <cell r="D749"/>
          <cell r="E749" t="str">
            <v>QH2H</v>
          </cell>
          <cell r="F749" t="str">
            <v>BLUSAQH2H00</v>
          </cell>
          <cell r="G749" t="str">
            <v>C. Grocery</v>
          </cell>
          <cell r="H749" t="str">
            <v>Grocery</v>
          </cell>
          <cell r="I749" t="str">
            <v>Blushlace in Smart</v>
          </cell>
        </row>
        <row r="750">
          <cell r="A750" t="str">
            <v>BLSSSD4913</v>
          </cell>
          <cell r="B750">
            <v>749</v>
          </cell>
          <cell r="C750"/>
          <cell r="D750"/>
          <cell r="E750" t="str">
            <v>Q5GI</v>
          </cell>
          <cell r="F750" t="str">
            <v>BLUSBQ5GI00</v>
          </cell>
          <cell r="G750" t="str">
            <v>C. Grocery</v>
          </cell>
          <cell r="H750" t="str">
            <v>Grocery</v>
          </cell>
          <cell r="I750" t="str">
            <v>Blushlace in Smart</v>
          </cell>
        </row>
        <row r="751">
          <cell r="A751" t="str">
            <v>BLSSRT4914</v>
          </cell>
          <cell r="B751">
            <v>750</v>
          </cell>
          <cell r="C751"/>
          <cell r="D751"/>
          <cell r="E751" t="str">
            <v>Q4FQ</v>
          </cell>
          <cell r="F751" t="str">
            <v>BLUSUQ4FQ00</v>
          </cell>
          <cell r="G751" t="str">
            <v>C. Grocery</v>
          </cell>
          <cell r="H751" t="str">
            <v>Grocery</v>
          </cell>
          <cell r="I751" t="str">
            <v>Blushlace in Smart</v>
          </cell>
        </row>
        <row r="752">
          <cell r="A752" t="str">
            <v>BLSSAS5188</v>
          </cell>
          <cell r="B752">
            <v>751</v>
          </cell>
          <cell r="C752"/>
          <cell r="D752"/>
          <cell r="E752" t="str">
            <v>QG0F</v>
          </cell>
          <cell r="F752" t="str">
            <v>BLUSTQG0F00</v>
          </cell>
          <cell r="G752" t="str">
            <v>C. Grocery</v>
          </cell>
          <cell r="H752" t="str">
            <v>Grocery</v>
          </cell>
          <cell r="I752" t="str">
            <v>Blushlace in Smart</v>
          </cell>
        </row>
        <row r="753">
          <cell r="A753" t="str">
            <v>BLSSBK5196</v>
          </cell>
          <cell r="B753">
            <v>752</v>
          </cell>
          <cell r="C753"/>
          <cell r="D753"/>
          <cell r="E753" t="str">
            <v>QA2I</v>
          </cell>
          <cell r="F753" t="str">
            <v>BLUSEQA2I00</v>
          </cell>
          <cell r="G753" t="str">
            <v>C. Grocery</v>
          </cell>
          <cell r="H753" t="str">
            <v>Grocery</v>
          </cell>
          <cell r="I753" t="str">
            <v>Blushlace in Smart</v>
          </cell>
        </row>
        <row r="754">
          <cell r="A754" t="str">
            <v>SMRTBK5199</v>
          </cell>
          <cell r="B754">
            <v>753</v>
          </cell>
          <cell r="C754"/>
          <cell r="D754"/>
          <cell r="E754" t="str">
            <v>Q4FR</v>
          </cell>
          <cell r="F754" t="str">
            <v>BLUSMQ4FR00</v>
          </cell>
          <cell r="G754" t="str">
            <v>C. Grocery</v>
          </cell>
          <cell r="H754" t="str">
            <v>Grocery</v>
          </cell>
          <cell r="I754" t="str">
            <v>Blushlace in Smart</v>
          </cell>
        </row>
        <row r="755">
          <cell r="A755" t="str">
            <v>BLSSAS10148</v>
          </cell>
          <cell r="B755">
            <v>754</v>
          </cell>
          <cell r="C755"/>
          <cell r="D755"/>
          <cell r="E755" t="str">
            <v>Q5AF</v>
          </cell>
          <cell r="F755" t="str">
            <v>BLUSTQ5AF00</v>
          </cell>
          <cell r="G755" t="str">
            <v>C. Grocery</v>
          </cell>
          <cell r="H755" t="str">
            <v>Grocery</v>
          </cell>
          <cell r="I755" t="str">
            <v>Blushlace in Smart</v>
          </cell>
        </row>
        <row r="756">
          <cell r="A756" t="str">
            <v>BLSSAS10150</v>
          </cell>
          <cell r="B756">
            <v>755</v>
          </cell>
          <cell r="C756"/>
          <cell r="D756"/>
          <cell r="E756" t="str">
            <v>QK3O</v>
          </cell>
          <cell r="F756" t="str">
            <v>BLUSTQK3O00</v>
          </cell>
          <cell r="G756" t="str">
            <v>C. Grocery</v>
          </cell>
          <cell r="H756" t="str">
            <v>Grocery</v>
          </cell>
          <cell r="I756" t="str">
            <v>Blushlace in Smart</v>
          </cell>
        </row>
        <row r="757">
          <cell r="A757" t="str">
            <v>BLSSSD10156</v>
          </cell>
          <cell r="B757">
            <v>756</v>
          </cell>
          <cell r="C757"/>
          <cell r="D757"/>
          <cell r="E757" t="str">
            <v>QH8B</v>
          </cell>
          <cell r="F757" t="str">
            <v>BLUSWQH8B00</v>
          </cell>
          <cell r="G757" t="str">
            <v>C. Grocery</v>
          </cell>
          <cell r="H757" t="str">
            <v>Grocery</v>
          </cell>
          <cell r="I757" t="str">
            <v>Blushlace in Smart</v>
          </cell>
        </row>
        <row r="758">
          <cell r="A758" t="str">
            <v>BLSSSD10160</v>
          </cell>
          <cell r="B758">
            <v>757</v>
          </cell>
          <cell r="C758"/>
          <cell r="D758"/>
          <cell r="E758"/>
          <cell r="F758"/>
          <cell r="G758" t="str">
            <v>C. Grocery</v>
          </cell>
          <cell r="H758" t="str">
            <v>Grocery</v>
          </cell>
          <cell r="I758" t="str">
            <v>Blushlace in Smart</v>
          </cell>
        </row>
        <row r="759">
          <cell r="A759" t="str">
            <v>BLSSAS10162</v>
          </cell>
          <cell r="B759">
            <v>758</v>
          </cell>
          <cell r="C759"/>
          <cell r="D759"/>
          <cell r="E759"/>
          <cell r="F759"/>
          <cell r="G759" t="str">
            <v>C. Grocery</v>
          </cell>
          <cell r="H759" t="str">
            <v>Grocery</v>
          </cell>
          <cell r="I759" t="str">
            <v>Blushlace in Smart</v>
          </cell>
        </row>
        <row r="760">
          <cell r="A760" t="str">
            <v>BLSSAS10164</v>
          </cell>
          <cell r="B760">
            <v>759</v>
          </cell>
          <cell r="C760"/>
          <cell r="D760"/>
          <cell r="E760" t="str">
            <v>QG0E</v>
          </cell>
          <cell r="F760" t="str">
            <v>BLUSKQG0E00</v>
          </cell>
          <cell r="G760" t="str">
            <v>C. Grocery</v>
          </cell>
          <cell r="H760" t="str">
            <v>Grocery</v>
          </cell>
          <cell r="I760" t="str">
            <v>Blushlace in Smart</v>
          </cell>
        </row>
        <row r="761">
          <cell r="A761" t="str">
            <v>BLSSAS10167</v>
          </cell>
          <cell r="B761">
            <v>760</v>
          </cell>
          <cell r="C761"/>
          <cell r="D761"/>
          <cell r="E761"/>
          <cell r="F761"/>
          <cell r="G761" t="str">
            <v>C. Grocery</v>
          </cell>
          <cell r="H761" t="str">
            <v>Grocery</v>
          </cell>
          <cell r="I761" t="str">
            <v>Blushlace in Smart</v>
          </cell>
        </row>
        <row r="762">
          <cell r="A762" t="str">
            <v>BLSSAS10169</v>
          </cell>
          <cell r="B762">
            <v>761</v>
          </cell>
          <cell r="C762"/>
          <cell r="D762"/>
          <cell r="E762"/>
          <cell r="F762"/>
          <cell r="G762" t="str">
            <v>C. Grocery</v>
          </cell>
          <cell r="H762" t="str">
            <v>Grocery</v>
          </cell>
          <cell r="I762" t="str">
            <v>Blushlace in Smart</v>
          </cell>
        </row>
        <row r="763">
          <cell r="A763" t="str">
            <v>BLSSAS10172</v>
          </cell>
          <cell r="B763">
            <v>762</v>
          </cell>
          <cell r="C763"/>
          <cell r="D763"/>
          <cell r="E763"/>
          <cell r="F763"/>
          <cell r="G763" t="str">
            <v>C. Grocery</v>
          </cell>
          <cell r="H763" t="str">
            <v>Grocery</v>
          </cell>
          <cell r="I763" t="str">
            <v>Blushlace in Smart</v>
          </cell>
        </row>
        <row r="764">
          <cell r="A764" t="str">
            <v>BLSSAS10175</v>
          </cell>
          <cell r="B764">
            <v>763</v>
          </cell>
          <cell r="C764"/>
          <cell r="D764"/>
          <cell r="E764"/>
          <cell r="F764"/>
          <cell r="G764" t="str">
            <v>C. Grocery</v>
          </cell>
          <cell r="H764" t="str">
            <v>Grocery</v>
          </cell>
          <cell r="I764" t="str">
            <v>Blushlace in Smart</v>
          </cell>
        </row>
        <row r="765">
          <cell r="A765" t="str">
            <v>BLSSAS10177</v>
          </cell>
          <cell r="B765">
            <v>764</v>
          </cell>
          <cell r="C765"/>
          <cell r="D765"/>
          <cell r="E765"/>
          <cell r="F765"/>
          <cell r="G765" t="str">
            <v>C. Grocery</v>
          </cell>
          <cell r="H765" t="str">
            <v>Grocery</v>
          </cell>
          <cell r="I765" t="str">
            <v>Blushlace in Smart</v>
          </cell>
        </row>
        <row r="766">
          <cell r="A766" t="str">
            <v>BLSSAS10179</v>
          </cell>
          <cell r="B766">
            <v>765</v>
          </cell>
          <cell r="C766"/>
          <cell r="D766"/>
          <cell r="E766"/>
          <cell r="F766"/>
          <cell r="G766" t="str">
            <v>C. Grocery</v>
          </cell>
          <cell r="H766" t="str">
            <v>Grocery</v>
          </cell>
          <cell r="I766" t="str">
            <v>Blushlace in Smart</v>
          </cell>
        </row>
        <row r="767">
          <cell r="A767" t="str">
            <v>BLSSAS10181</v>
          </cell>
          <cell r="B767">
            <v>766</v>
          </cell>
          <cell r="C767"/>
          <cell r="D767"/>
          <cell r="E767"/>
          <cell r="F767"/>
          <cell r="G767" t="str">
            <v>C. Grocery</v>
          </cell>
          <cell r="H767" t="str">
            <v>Grocery</v>
          </cell>
          <cell r="I767" t="str">
            <v>Blushlace in Smart</v>
          </cell>
        </row>
        <row r="768">
          <cell r="A768" t="str">
            <v>BLSSAS10185</v>
          </cell>
          <cell r="B768">
            <v>767</v>
          </cell>
          <cell r="C768"/>
          <cell r="D768"/>
          <cell r="E768"/>
          <cell r="F768"/>
          <cell r="G768" t="str">
            <v>C. Grocery</v>
          </cell>
          <cell r="H768" t="str">
            <v>Grocery</v>
          </cell>
          <cell r="I768" t="str">
            <v>Blushlace in Smart</v>
          </cell>
        </row>
        <row r="769">
          <cell r="A769" t="str">
            <v>BLSSAS10187</v>
          </cell>
          <cell r="B769">
            <v>768</v>
          </cell>
          <cell r="C769"/>
          <cell r="D769"/>
          <cell r="E769"/>
          <cell r="F769"/>
          <cell r="G769" t="str">
            <v>C. Grocery</v>
          </cell>
          <cell r="H769" t="str">
            <v>Grocery</v>
          </cell>
          <cell r="I769" t="str">
            <v>Blushlace in Smart</v>
          </cell>
        </row>
        <row r="770">
          <cell r="A770" t="str">
            <v>BLSSAS10190</v>
          </cell>
          <cell r="B770">
            <v>769</v>
          </cell>
          <cell r="C770"/>
          <cell r="D770"/>
          <cell r="E770"/>
          <cell r="F770"/>
          <cell r="G770" t="str">
            <v>C. Grocery</v>
          </cell>
          <cell r="H770" t="str">
            <v>Grocery</v>
          </cell>
          <cell r="I770" t="str">
            <v>Blushlace in Smart</v>
          </cell>
        </row>
        <row r="771">
          <cell r="A771" t="str">
            <v>BLSSAS10192</v>
          </cell>
          <cell r="B771">
            <v>770</v>
          </cell>
          <cell r="C771"/>
          <cell r="D771"/>
          <cell r="E771"/>
          <cell r="F771"/>
          <cell r="G771" t="str">
            <v>C. Grocery</v>
          </cell>
          <cell r="H771" t="str">
            <v>Grocery</v>
          </cell>
          <cell r="I771" t="str">
            <v>Blushlace in Smart</v>
          </cell>
        </row>
        <row r="772">
          <cell r="A772" t="str">
            <v>BLSSRT10210</v>
          </cell>
          <cell r="B772">
            <v>771</v>
          </cell>
          <cell r="C772"/>
          <cell r="D772"/>
          <cell r="E772"/>
          <cell r="F772"/>
          <cell r="G772" t="str">
            <v>C. Grocery</v>
          </cell>
          <cell r="H772" t="str">
            <v>Grocery</v>
          </cell>
          <cell r="I772" t="str">
            <v>Blushlace in Smart</v>
          </cell>
        </row>
        <row r="773">
          <cell r="A773" t="str">
            <v>BLSSRT10211</v>
          </cell>
          <cell r="B773">
            <v>772</v>
          </cell>
          <cell r="C773"/>
          <cell r="D773"/>
          <cell r="E773"/>
          <cell r="F773"/>
          <cell r="G773" t="str">
            <v>C. Grocery</v>
          </cell>
          <cell r="H773" t="str">
            <v>Grocery</v>
          </cell>
          <cell r="I773" t="str">
            <v>Blushlace in Smart</v>
          </cell>
        </row>
        <row r="774">
          <cell r="A774" t="str">
            <v>BLSSRT10212</v>
          </cell>
          <cell r="B774">
            <v>773</v>
          </cell>
          <cell r="C774"/>
          <cell r="D774"/>
          <cell r="E774"/>
          <cell r="F774"/>
          <cell r="G774" t="str">
            <v>C. Grocery</v>
          </cell>
          <cell r="H774" t="str">
            <v>Grocery</v>
          </cell>
          <cell r="I774" t="str">
            <v>Blushlace in Smart</v>
          </cell>
        </row>
        <row r="775">
          <cell r="A775" t="str">
            <v>BLSSRT10213</v>
          </cell>
          <cell r="B775">
            <v>774</v>
          </cell>
          <cell r="C775"/>
          <cell r="D775"/>
          <cell r="E775"/>
          <cell r="F775"/>
          <cell r="G775" t="str">
            <v>C. Grocery</v>
          </cell>
          <cell r="H775" t="str">
            <v>Grocery</v>
          </cell>
          <cell r="I775" t="str">
            <v>Blushlace in Smart</v>
          </cell>
        </row>
        <row r="776">
          <cell r="A776" t="str">
            <v>BLSSRT10214</v>
          </cell>
          <cell r="B776">
            <v>775</v>
          </cell>
          <cell r="C776"/>
          <cell r="D776"/>
          <cell r="E776"/>
          <cell r="F776"/>
          <cell r="G776" t="str">
            <v>C. Grocery</v>
          </cell>
          <cell r="H776" t="str">
            <v>Grocery</v>
          </cell>
          <cell r="I776" t="str">
            <v>Blushlace in Smart</v>
          </cell>
        </row>
        <row r="777">
          <cell r="A777" t="str">
            <v>BLSSRT10215</v>
          </cell>
          <cell r="B777">
            <v>776</v>
          </cell>
          <cell r="C777"/>
          <cell r="D777"/>
          <cell r="E777"/>
          <cell r="F777"/>
          <cell r="G777" t="str">
            <v>C. Grocery</v>
          </cell>
          <cell r="H777" t="str">
            <v>Grocery</v>
          </cell>
          <cell r="I777" t="str">
            <v>Blushlace in Smart</v>
          </cell>
        </row>
        <row r="778">
          <cell r="A778" t="str">
            <v>BLSSRT10216</v>
          </cell>
          <cell r="B778">
            <v>777</v>
          </cell>
          <cell r="C778"/>
          <cell r="D778"/>
          <cell r="E778"/>
          <cell r="F778"/>
          <cell r="G778" t="str">
            <v>C. Grocery</v>
          </cell>
          <cell r="H778" t="str">
            <v>Grocery</v>
          </cell>
          <cell r="I778" t="str">
            <v>Blushlace in Smart</v>
          </cell>
        </row>
        <row r="779">
          <cell r="A779" t="str">
            <v>BLSSRT10217</v>
          </cell>
          <cell r="B779">
            <v>778</v>
          </cell>
          <cell r="C779"/>
          <cell r="D779"/>
          <cell r="E779"/>
          <cell r="F779"/>
          <cell r="G779" t="str">
            <v>C. Grocery</v>
          </cell>
          <cell r="H779" t="str">
            <v>Grocery</v>
          </cell>
          <cell r="I779" t="str">
            <v>Blushlace in Smart</v>
          </cell>
        </row>
        <row r="780">
          <cell r="A780" t="str">
            <v>BLSSRT10218</v>
          </cell>
          <cell r="B780">
            <v>779</v>
          </cell>
          <cell r="C780"/>
          <cell r="D780"/>
          <cell r="E780"/>
          <cell r="F780"/>
          <cell r="G780" t="str">
            <v>C. Grocery</v>
          </cell>
          <cell r="H780" t="str">
            <v>Grocery</v>
          </cell>
          <cell r="I780" t="str">
            <v>Blushlace in Smart</v>
          </cell>
        </row>
        <row r="781">
          <cell r="A781" t="str">
            <v>BLSSBK10219</v>
          </cell>
          <cell r="B781">
            <v>780</v>
          </cell>
          <cell r="C781"/>
          <cell r="D781"/>
          <cell r="E781"/>
          <cell r="F781"/>
          <cell r="G781" t="str">
            <v>C. Grocery</v>
          </cell>
          <cell r="H781" t="str">
            <v>Grocery</v>
          </cell>
          <cell r="I781" t="str">
            <v>Blushlace in Smart</v>
          </cell>
        </row>
        <row r="782">
          <cell r="A782" t="str">
            <v>BLSSBK10220</v>
          </cell>
          <cell r="B782">
            <v>781</v>
          </cell>
          <cell r="C782"/>
          <cell r="D782"/>
          <cell r="E782"/>
          <cell r="F782"/>
          <cell r="G782" t="str">
            <v>C. Grocery</v>
          </cell>
          <cell r="H782" t="str">
            <v>Grocery</v>
          </cell>
          <cell r="I782" t="str">
            <v>Blushlace in Smart</v>
          </cell>
        </row>
        <row r="783">
          <cell r="A783" t="str">
            <v>BLSSSD10284</v>
          </cell>
          <cell r="B783">
            <v>782</v>
          </cell>
          <cell r="C783"/>
          <cell r="D783"/>
          <cell r="E783"/>
          <cell r="F783"/>
          <cell r="G783" t="str">
            <v>C. Grocery</v>
          </cell>
          <cell r="H783" t="str">
            <v>Grocery</v>
          </cell>
          <cell r="I783" t="str">
            <v>Blushlace in Smart</v>
          </cell>
        </row>
        <row r="784">
          <cell r="A784" t="str">
            <v>BLSSRT10285</v>
          </cell>
          <cell r="B784">
            <v>783</v>
          </cell>
          <cell r="C784"/>
          <cell r="D784"/>
          <cell r="E784"/>
          <cell r="F784"/>
          <cell r="G784" t="str">
            <v>C. Grocery</v>
          </cell>
          <cell r="H784" t="str">
            <v>Grocery</v>
          </cell>
          <cell r="I784" t="str">
            <v>Blushlace in Smart</v>
          </cell>
        </row>
        <row r="785">
          <cell r="A785" t="str">
            <v>BLSSRT10286</v>
          </cell>
          <cell r="B785">
            <v>784</v>
          </cell>
          <cell r="C785"/>
          <cell r="D785"/>
          <cell r="E785"/>
          <cell r="F785"/>
          <cell r="G785" t="str">
            <v>C. Grocery</v>
          </cell>
          <cell r="H785" t="str">
            <v>Grocery</v>
          </cell>
          <cell r="I785" t="str">
            <v>Blushlace in Smart</v>
          </cell>
        </row>
        <row r="786">
          <cell r="A786" t="str">
            <v>BLSSSD10287</v>
          </cell>
          <cell r="B786">
            <v>785</v>
          </cell>
          <cell r="C786"/>
          <cell r="D786"/>
          <cell r="E786"/>
          <cell r="F786"/>
          <cell r="G786" t="str">
            <v>C. Grocery</v>
          </cell>
          <cell r="H786" t="str">
            <v>Grocery</v>
          </cell>
          <cell r="I786" t="str">
            <v>Blushlace in Smart</v>
          </cell>
        </row>
        <row r="787">
          <cell r="A787" t="str">
            <v>BLSSSD10288</v>
          </cell>
          <cell r="B787">
            <v>786</v>
          </cell>
          <cell r="C787"/>
          <cell r="D787"/>
          <cell r="E787"/>
          <cell r="F787"/>
          <cell r="G787" t="str">
            <v>C. Grocery</v>
          </cell>
          <cell r="H787" t="str">
            <v>Grocery</v>
          </cell>
          <cell r="I787" t="str">
            <v>Blushlace in Smart</v>
          </cell>
        </row>
        <row r="788">
          <cell r="A788" t="str">
            <v>BLSSRT10289</v>
          </cell>
          <cell r="B788">
            <v>787</v>
          </cell>
          <cell r="C788"/>
          <cell r="D788"/>
          <cell r="E788"/>
          <cell r="F788"/>
          <cell r="G788" t="str">
            <v>C. Grocery</v>
          </cell>
          <cell r="H788" t="str">
            <v>Grocery</v>
          </cell>
          <cell r="I788" t="str">
            <v>Blushlace in Smart</v>
          </cell>
        </row>
        <row r="789">
          <cell r="A789" t="str">
            <v>BLSSAS10290</v>
          </cell>
          <cell r="B789">
            <v>788</v>
          </cell>
          <cell r="C789"/>
          <cell r="D789"/>
          <cell r="E789"/>
          <cell r="F789"/>
          <cell r="G789" t="str">
            <v>C. Grocery</v>
          </cell>
          <cell r="H789" t="str">
            <v>Grocery</v>
          </cell>
          <cell r="I789" t="str">
            <v>Blushlace in Smart</v>
          </cell>
        </row>
        <row r="790">
          <cell r="A790" t="str">
            <v>BLSSBK10291</v>
          </cell>
          <cell r="B790">
            <v>789</v>
          </cell>
          <cell r="C790"/>
          <cell r="D790"/>
          <cell r="E790"/>
          <cell r="F790"/>
          <cell r="G790" t="str">
            <v>C. Grocery</v>
          </cell>
          <cell r="H790" t="str">
            <v>Grocery</v>
          </cell>
          <cell r="I790" t="str">
            <v>Blushlace in Smart</v>
          </cell>
        </row>
        <row r="791">
          <cell r="A791" t="str">
            <v>BLSSRT10292</v>
          </cell>
          <cell r="B791">
            <v>790</v>
          </cell>
          <cell r="C791"/>
          <cell r="D791"/>
          <cell r="E791"/>
          <cell r="F791"/>
          <cell r="G791" t="str">
            <v>C. Grocery</v>
          </cell>
          <cell r="H791" t="str">
            <v>Grocery</v>
          </cell>
          <cell r="I791" t="str">
            <v>Blushlace in Smart</v>
          </cell>
        </row>
        <row r="792">
          <cell r="A792" t="str">
            <v>BLSSRT10293</v>
          </cell>
          <cell r="B792">
            <v>791</v>
          </cell>
          <cell r="C792"/>
          <cell r="D792"/>
          <cell r="E792"/>
          <cell r="F792"/>
          <cell r="G792" t="str">
            <v>C. Grocery</v>
          </cell>
          <cell r="H792" t="str">
            <v>Grocery</v>
          </cell>
          <cell r="I792" t="str">
            <v>Blushlace in Smart</v>
          </cell>
        </row>
        <row r="793">
          <cell r="A793" t="str">
            <v>BLSSAS10294</v>
          </cell>
          <cell r="B793">
            <v>792</v>
          </cell>
          <cell r="C793"/>
          <cell r="D793"/>
          <cell r="E793"/>
          <cell r="F793"/>
          <cell r="G793" t="str">
            <v>C. Grocery</v>
          </cell>
          <cell r="H793" t="str">
            <v>Grocery</v>
          </cell>
          <cell r="I793" t="str">
            <v>Blushlace in Smart</v>
          </cell>
        </row>
        <row r="794">
          <cell r="A794" t="str">
            <v>BLSSAS10295</v>
          </cell>
          <cell r="B794">
            <v>793</v>
          </cell>
          <cell r="C794"/>
          <cell r="D794"/>
          <cell r="E794"/>
          <cell r="F794"/>
          <cell r="G794" t="str">
            <v>C. Grocery</v>
          </cell>
          <cell r="H794" t="str">
            <v>Grocery</v>
          </cell>
          <cell r="I794" t="str">
            <v>Blushlace in Smart</v>
          </cell>
        </row>
        <row r="795">
          <cell r="A795" t="str">
            <v>BLSSAS10296</v>
          </cell>
          <cell r="B795">
            <v>794</v>
          </cell>
          <cell r="C795"/>
          <cell r="D795"/>
          <cell r="E795"/>
          <cell r="F795"/>
          <cell r="G795" t="str">
            <v>C. Grocery</v>
          </cell>
          <cell r="H795" t="str">
            <v>Grocery</v>
          </cell>
          <cell r="I795" t="str">
            <v>Blushlace in Smart</v>
          </cell>
        </row>
        <row r="796">
          <cell r="A796" t="str">
            <v>BLSSAS10297</v>
          </cell>
          <cell r="B796">
            <v>795</v>
          </cell>
          <cell r="C796"/>
          <cell r="D796"/>
          <cell r="E796"/>
          <cell r="F796"/>
          <cell r="G796" t="str">
            <v>C. Grocery</v>
          </cell>
          <cell r="H796" t="str">
            <v>Grocery</v>
          </cell>
          <cell r="I796" t="str">
            <v>Blushlace in Smart</v>
          </cell>
        </row>
        <row r="797">
          <cell r="A797" t="str">
            <v>BLSSRT10298</v>
          </cell>
          <cell r="B797">
            <v>796</v>
          </cell>
          <cell r="C797"/>
          <cell r="D797"/>
          <cell r="E797"/>
          <cell r="F797"/>
          <cell r="G797" t="str">
            <v>C. Grocery</v>
          </cell>
          <cell r="H797" t="str">
            <v>Grocery</v>
          </cell>
          <cell r="I797" t="str">
            <v>Blushlace in Smart</v>
          </cell>
        </row>
        <row r="798">
          <cell r="A798" t="str">
            <v>BLSSAS10312</v>
          </cell>
          <cell r="B798">
            <v>797</v>
          </cell>
          <cell r="C798"/>
          <cell r="D798"/>
          <cell r="E798"/>
          <cell r="F798"/>
          <cell r="G798" t="str">
            <v>C. Grocery</v>
          </cell>
          <cell r="H798" t="str">
            <v>Grocery</v>
          </cell>
          <cell r="I798" t="str">
            <v>Blushlace in Smart</v>
          </cell>
        </row>
        <row r="799">
          <cell r="A799" t="str">
            <v>BLSSBK10354</v>
          </cell>
          <cell r="B799">
            <v>798</v>
          </cell>
          <cell r="C799"/>
          <cell r="D799"/>
          <cell r="E799"/>
          <cell r="F799"/>
          <cell r="G799" t="str">
            <v>C. Grocery</v>
          </cell>
          <cell r="H799" t="str">
            <v>Grocery</v>
          </cell>
          <cell r="I799" t="str">
            <v>Blushlace in Smart</v>
          </cell>
        </row>
        <row r="800">
          <cell r="A800" t="str">
            <v>BLSSAS10355</v>
          </cell>
          <cell r="B800">
            <v>799</v>
          </cell>
          <cell r="C800"/>
          <cell r="D800"/>
          <cell r="E800"/>
          <cell r="F800"/>
          <cell r="G800" t="str">
            <v>C. Grocery</v>
          </cell>
          <cell r="H800" t="str">
            <v>Grocery</v>
          </cell>
          <cell r="I800" t="str">
            <v>Blushlace in Smart</v>
          </cell>
        </row>
        <row r="801">
          <cell r="A801" t="str">
            <v>BLSSBK11286</v>
          </cell>
          <cell r="B801">
            <v>800</v>
          </cell>
          <cell r="C801"/>
          <cell r="D801"/>
          <cell r="E801" t="str">
            <v>QI7T</v>
          </cell>
          <cell r="F801" t="str">
            <v>BLUSMQI7T00</v>
          </cell>
          <cell r="G801" t="str">
            <v>C. Grocery</v>
          </cell>
          <cell r="H801" t="str">
            <v>Grocery</v>
          </cell>
          <cell r="I801" t="str">
            <v>Blushlace in Smart</v>
          </cell>
        </row>
        <row r="802">
          <cell r="A802" t="str">
            <v>BLSBRT123</v>
          </cell>
          <cell r="B802">
            <v>801</v>
          </cell>
          <cell r="C802" t="str">
            <v>DE-SM-DEL-378-1</v>
          </cell>
          <cell r="D802" t="str">
            <v>T75S</v>
          </cell>
          <cell r="E802" t="str">
            <v>QKBU</v>
          </cell>
          <cell r="F802" t="str">
            <v>BLUSDQKBU00</v>
          </cell>
          <cell r="G802" t="str">
            <v>C. Grocery</v>
          </cell>
          <cell r="H802" t="str">
            <v>Grocery</v>
          </cell>
          <cell r="I802" t="str">
            <v>Blushlace in Smart Bazar</v>
          </cell>
        </row>
        <row r="803">
          <cell r="A803" t="str">
            <v>BLSBBK138</v>
          </cell>
          <cell r="B803">
            <v>802</v>
          </cell>
          <cell r="C803" t="str">
            <v>MP-SM-BIL-032</v>
          </cell>
          <cell r="D803" t="str">
            <v>T9GX</v>
          </cell>
          <cell r="E803" t="str">
            <v>QXAC</v>
          </cell>
          <cell r="F803" t="str">
            <v>BLUSCQXAC00</v>
          </cell>
          <cell r="G803" t="str">
            <v>C. Grocery</v>
          </cell>
          <cell r="H803" t="str">
            <v>Grocery</v>
          </cell>
          <cell r="I803" t="str">
            <v>Blushlace in Smart Bazar</v>
          </cell>
        </row>
        <row r="804">
          <cell r="A804" t="str">
            <v>BLSBKC177</v>
          </cell>
          <cell r="B804">
            <v>803</v>
          </cell>
          <cell r="C804" t="str">
            <v>GJ-SM-BHR-901</v>
          </cell>
          <cell r="D804" t="str">
            <v>TG4S</v>
          </cell>
          <cell r="E804" t="str">
            <v>QZUC</v>
          </cell>
          <cell r="F804" t="str">
            <v>BLUSGQZUC00</v>
          </cell>
          <cell r="G804" t="str">
            <v>C. Grocery</v>
          </cell>
          <cell r="H804" t="str">
            <v>Grocery</v>
          </cell>
          <cell r="I804" t="str">
            <v>Blushlace in Smart Bazar</v>
          </cell>
        </row>
        <row r="805">
          <cell r="A805" t="str">
            <v>BLSBBK181</v>
          </cell>
          <cell r="B805">
            <v>804</v>
          </cell>
          <cell r="C805" t="str">
            <v>MH-SM-PUN-625</v>
          </cell>
          <cell r="D805" t="str">
            <v>T81J</v>
          </cell>
          <cell r="E805" t="str">
            <v>QNFB</v>
          </cell>
          <cell r="F805" t="str">
            <v>BLUSMQNFB00</v>
          </cell>
          <cell r="G805" t="str">
            <v>C. Grocery</v>
          </cell>
          <cell r="H805" t="str">
            <v>Grocery</v>
          </cell>
          <cell r="I805" t="str">
            <v>Blushlace in Smart Bazar</v>
          </cell>
        </row>
        <row r="806">
          <cell r="A806" t="str">
            <v>BLSBRT192</v>
          </cell>
          <cell r="B806">
            <v>805</v>
          </cell>
          <cell r="C806" t="str">
            <v>RJ-SM-BHD-007</v>
          </cell>
          <cell r="D806" t="str">
            <v>T96U</v>
          </cell>
          <cell r="E806" t="str">
            <v>QRAM</v>
          </cell>
          <cell r="F806" t="str">
            <v>BLUSRQRAM00</v>
          </cell>
          <cell r="G806" t="str">
            <v>C. Grocery</v>
          </cell>
          <cell r="H806" t="str">
            <v>Grocery</v>
          </cell>
          <cell r="I806" t="str">
            <v>Blushlace in Smart Bazar</v>
          </cell>
        </row>
        <row r="807">
          <cell r="A807" t="str">
            <v>BLSBBK227</v>
          </cell>
          <cell r="B807">
            <v>806</v>
          </cell>
          <cell r="C807"/>
          <cell r="D807" t="str">
            <v>TH5W</v>
          </cell>
          <cell r="E807" t="str">
            <v>QZHC</v>
          </cell>
          <cell r="F807" t="str">
            <v>BLUS7QZHC00</v>
          </cell>
          <cell r="G807" t="str">
            <v>C. Grocery</v>
          </cell>
          <cell r="H807" t="str">
            <v>Grocery</v>
          </cell>
          <cell r="I807" t="str">
            <v>Blushlace in Smart Bazar</v>
          </cell>
        </row>
        <row r="808">
          <cell r="A808" t="str">
            <v>BLSBAS290</v>
          </cell>
          <cell r="B808">
            <v>807</v>
          </cell>
          <cell r="C808" t="str">
            <v>TN-SM-CHE-273/FG</v>
          </cell>
          <cell r="D808" t="str">
            <v>T88A</v>
          </cell>
          <cell r="E808" t="str">
            <v>QOTG</v>
          </cell>
          <cell r="F808" t="str">
            <v>BLUSTQOTG00</v>
          </cell>
          <cell r="G808" t="str">
            <v>C. Grocery</v>
          </cell>
          <cell r="H808" t="str">
            <v>Grocery</v>
          </cell>
          <cell r="I808" t="str">
            <v>Blushlace in Smart Bazar</v>
          </cell>
        </row>
        <row r="809">
          <cell r="A809" t="str">
            <v>BLSBSD340</v>
          </cell>
          <cell r="B809">
            <v>808</v>
          </cell>
          <cell r="C809" t="str">
            <v>WB-SM-CHB-008</v>
          </cell>
          <cell r="D809" t="str">
            <v>TH7Z</v>
          </cell>
          <cell r="E809" t="str">
            <v>QZIX</v>
          </cell>
          <cell r="F809" t="str">
            <v>BLUSWQZIX00</v>
          </cell>
          <cell r="G809" t="str">
            <v>C. Grocery</v>
          </cell>
          <cell r="H809" t="str">
            <v>Grocery</v>
          </cell>
          <cell r="I809" t="str">
            <v>Blushlace in Smart Bazar</v>
          </cell>
        </row>
        <row r="810">
          <cell r="A810" t="str">
            <v>BLSBAS354</v>
          </cell>
          <cell r="B810">
            <v>809</v>
          </cell>
          <cell r="C810" t="str">
            <v>KR-SM-HUB-165/FG</v>
          </cell>
          <cell r="D810" t="str">
            <v>T87P</v>
          </cell>
          <cell r="E810" t="str">
            <v>QOSV</v>
          </cell>
          <cell r="F810" t="str">
            <v>BLUSKQOSV00</v>
          </cell>
          <cell r="G810" t="str">
            <v>C. Grocery</v>
          </cell>
          <cell r="H810" t="str">
            <v>Grocery</v>
          </cell>
          <cell r="I810" t="str">
            <v>Blushlace in Smart Bazar</v>
          </cell>
        </row>
        <row r="811">
          <cell r="A811" t="str">
            <v>BLSBAK368</v>
          </cell>
          <cell r="B811">
            <v>810</v>
          </cell>
          <cell r="C811"/>
          <cell r="D811" t="str">
            <v>TI5M</v>
          </cell>
          <cell r="E811" t="str">
            <v>QZNC</v>
          </cell>
          <cell r="F811" t="str">
            <v>BLUSKQZNC00</v>
          </cell>
          <cell r="G811" t="str">
            <v>C. Grocery</v>
          </cell>
          <cell r="H811" t="str">
            <v>Grocery</v>
          </cell>
          <cell r="I811" t="str">
            <v>Blushlace in Smart Bazar</v>
          </cell>
        </row>
        <row r="812">
          <cell r="A812" t="str">
            <v>BLSBAS371</v>
          </cell>
          <cell r="B812">
            <v>811</v>
          </cell>
          <cell r="C812" t="str">
            <v>KE-SM-KOZ-075/FG</v>
          </cell>
          <cell r="D812" t="str">
            <v>TH1V</v>
          </cell>
          <cell r="E812" t="str">
            <v>QZEA</v>
          </cell>
          <cell r="F812" t="str">
            <v>BLUSVQZEA00</v>
          </cell>
          <cell r="G812" t="str">
            <v>C. Grocery</v>
          </cell>
          <cell r="H812" t="str">
            <v>Grocery</v>
          </cell>
          <cell r="I812" t="str">
            <v>Blushlace in Smart Bazar</v>
          </cell>
        </row>
        <row r="813">
          <cell r="A813" t="str">
            <v>BlushSAS905</v>
          </cell>
          <cell r="B813">
            <v>812</v>
          </cell>
          <cell r="C813" t="str">
            <v>KR-SM-BAN-459</v>
          </cell>
          <cell r="D813" t="str">
            <v>T9BY</v>
          </cell>
          <cell r="E813" t="str">
            <v>QTAC</v>
          </cell>
          <cell r="F813" t="str">
            <v>BLUSKQTAC00</v>
          </cell>
          <cell r="G813" t="str">
            <v>C. Grocery</v>
          </cell>
          <cell r="H813" t="str">
            <v>Grocery</v>
          </cell>
          <cell r="I813" t="str">
            <v>Blushlace in Smart Bazar</v>
          </cell>
        </row>
        <row r="814">
          <cell r="A814" t="str">
            <v>BlushSAS907</v>
          </cell>
          <cell r="B814">
            <v>813</v>
          </cell>
          <cell r="C814" t="str">
            <v>TN-SM-CHE-285</v>
          </cell>
          <cell r="D814" t="str">
            <v>T88C</v>
          </cell>
          <cell r="E814" t="str">
            <v>QOTI</v>
          </cell>
          <cell r="F814" t="str">
            <v>BLUSTQOTI00</v>
          </cell>
          <cell r="G814" t="str">
            <v>C. Grocery</v>
          </cell>
          <cell r="H814" t="str">
            <v>Grocery</v>
          </cell>
          <cell r="I814" t="str">
            <v>Blushlace in Smart Bazar</v>
          </cell>
        </row>
        <row r="815">
          <cell r="A815" t="str">
            <v>BLSBKC3365</v>
          </cell>
          <cell r="B815">
            <v>814</v>
          </cell>
          <cell r="C815"/>
          <cell r="D815" t="str">
            <v>T75Q</v>
          </cell>
          <cell r="E815" t="str">
            <v>QKBS</v>
          </cell>
          <cell r="F815" t="str">
            <v>BLUSHQKBS00</v>
          </cell>
          <cell r="G815" t="str">
            <v>C. Grocery</v>
          </cell>
          <cell r="H815" t="str">
            <v>Grocery</v>
          </cell>
          <cell r="I815" t="str">
            <v>Blushlace in Smart Bazar</v>
          </cell>
        </row>
        <row r="816">
          <cell r="A816" t="str">
            <v>FRSPAS4717</v>
          </cell>
          <cell r="B816">
            <v>815</v>
          </cell>
          <cell r="C816"/>
          <cell r="D816" t="str">
            <v>T0W9</v>
          </cell>
          <cell r="E816" t="str">
            <v>Q4KR</v>
          </cell>
          <cell r="F816" t="str">
            <v>FPIKKQ4KR00</v>
          </cell>
          <cell r="G816" t="str">
            <v>C. Grocery</v>
          </cell>
          <cell r="H816" t="str">
            <v>Grocery</v>
          </cell>
          <cell r="I816" t="str">
            <v>FreshPik</v>
          </cell>
        </row>
        <row r="817">
          <cell r="A817" t="str">
            <v>FRSPBK10357</v>
          </cell>
          <cell r="B817">
            <v>816</v>
          </cell>
          <cell r="C817"/>
          <cell r="D817"/>
          <cell r="E817"/>
          <cell r="F817"/>
          <cell r="G817" t="str">
            <v>C. Grocery</v>
          </cell>
          <cell r="H817" t="str">
            <v>Grocery</v>
          </cell>
          <cell r="I817" t="str">
            <v>FreshPik</v>
          </cell>
        </row>
        <row r="818">
          <cell r="A818" t="str">
            <v>SMDHAS4726</v>
          </cell>
          <cell r="B818">
            <v>817</v>
          </cell>
          <cell r="C818"/>
          <cell r="D818" t="str">
            <v>FR32</v>
          </cell>
          <cell r="E818" t="str">
            <v>Dehire Site</v>
          </cell>
          <cell r="F818" t="str">
            <v>DH-SMRT-451-TN-FR32</v>
          </cell>
          <cell r="G818" t="str">
            <v>C. Grocery</v>
          </cell>
          <cell r="H818" t="str">
            <v>Grocery</v>
          </cell>
          <cell r="I818" t="str">
            <v>Grocery - Dehire</v>
          </cell>
        </row>
        <row r="819">
          <cell r="A819" t="str">
            <v>GRDHJD4833</v>
          </cell>
          <cell r="B819">
            <v>818</v>
          </cell>
          <cell r="C819"/>
          <cell r="D819" t="str">
            <v>U682</v>
          </cell>
          <cell r="E819" t="str">
            <v>Dehire Site</v>
          </cell>
          <cell r="F819" t="str">
            <v>DH-SMPT-451-AP-U682</v>
          </cell>
          <cell r="G819" t="str">
            <v>C. Grocery</v>
          </cell>
          <cell r="H819" t="str">
            <v>Grocery</v>
          </cell>
          <cell r="I819" t="str">
            <v>Grocery - Dehire</v>
          </cell>
        </row>
        <row r="820">
          <cell r="A820" t="str">
            <v>GRDHRT5038</v>
          </cell>
          <cell r="B820">
            <v>819</v>
          </cell>
          <cell r="C820"/>
          <cell r="D820" t="str">
            <v>FRA5</v>
          </cell>
          <cell r="E820" t="str">
            <v>QE6I</v>
          </cell>
          <cell r="F820" t="str">
            <v>FRSH9QE6I01</v>
          </cell>
          <cell r="G820" t="str">
            <v>C. Grocery</v>
          </cell>
          <cell r="H820" t="str">
            <v>Grocery</v>
          </cell>
          <cell r="I820" t="str">
            <v>Grocery - Dehire</v>
          </cell>
        </row>
        <row r="821">
          <cell r="A821" t="str">
            <v>GRDHRT5039</v>
          </cell>
          <cell r="B821">
            <v>820</v>
          </cell>
          <cell r="C821"/>
          <cell r="D821" t="str">
            <v>FRB1</v>
          </cell>
          <cell r="E821" t="str">
            <v>QE6K</v>
          </cell>
          <cell r="F821" t="str">
            <v>FRSH9QE6K01</v>
          </cell>
          <cell r="G821" t="str">
            <v>C. Grocery</v>
          </cell>
          <cell r="H821" t="str">
            <v>Grocery</v>
          </cell>
          <cell r="I821" t="str">
            <v>Grocery - Dehire</v>
          </cell>
        </row>
        <row r="822">
          <cell r="A822" t="str">
            <v>GRDHKC5042</v>
          </cell>
          <cell r="B822">
            <v>821</v>
          </cell>
          <cell r="C822" t="str">
            <v>DE-SM-DEL-913/FG</v>
          </cell>
          <cell r="D822" t="str">
            <v xml:space="preserve">FRV1 </v>
          </cell>
          <cell r="E822" t="str">
            <v>Dehire Site</v>
          </cell>
          <cell r="F822"/>
          <cell r="G822" t="str">
            <v>C. Grocery</v>
          </cell>
          <cell r="H822" t="str">
            <v>Grocery</v>
          </cell>
          <cell r="I822" t="str">
            <v>Grocery - Dehire</v>
          </cell>
        </row>
        <row r="823">
          <cell r="A823" t="str">
            <v>GRDHRT5043</v>
          </cell>
          <cell r="B823">
            <v>822</v>
          </cell>
          <cell r="C823"/>
          <cell r="D823">
            <v>2609</v>
          </cell>
          <cell r="E823" t="str">
            <v>Dehire Site</v>
          </cell>
          <cell r="F823"/>
          <cell r="G823" t="str">
            <v>C. Grocery</v>
          </cell>
          <cell r="H823" t="str">
            <v>Grocery</v>
          </cell>
          <cell r="I823" t="str">
            <v>Grocery - Dehire</v>
          </cell>
        </row>
        <row r="824">
          <cell r="A824" t="str">
            <v>GRDHRT5044</v>
          </cell>
          <cell r="B824">
            <v>823</v>
          </cell>
          <cell r="C824"/>
          <cell r="D824" t="str">
            <v>FROX</v>
          </cell>
          <cell r="E824" t="str">
            <v>Dehire Site</v>
          </cell>
          <cell r="F824"/>
          <cell r="G824" t="str">
            <v>C. Grocery</v>
          </cell>
          <cell r="H824" t="str">
            <v>Grocery</v>
          </cell>
          <cell r="I824" t="str">
            <v>Grocery - Dehire</v>
          </cell>
        </row>
        <row r="825">
          <cell r="A825" t="str">
            <v>GRDHRT5045</v>
          </cell>
          <cell r="B825">
            <v>824</v>
          </cell>
          <cell r="C825"/>
          <cell r="D825" t="str">
            <v>FROI</v>
          </cell>
          <cell r="E825" t="str">
            <v>Dehire Site</v>
          </cell>
          <cell r="F825"/>
          <cell r="G825" t="str">
            <v>C. Grocery</v>
          </cell>
          <cell r="H825" t="str">
            <v>Grocery</v>
          </cell>
          <cell r="I825" t="str">
            <v>Grocery - Dehire</v>
          </cell>
        </row>
        <row r="826">
          <cell r="A826" t="str">
            <v>GRDHKC5046</v>
          </cell>
          <cell r="B826">
            <v>825</v>
          </cell>
          <cell r="C826"/>
          <cell r="D826" t="str">
            <v>FRT3</v>
          </cell>
          <cell r="E826" t="str">
            <v>Dehire Site</v>
          </cell>
          <cell r="F826"/>
          <cell r="G826" t="str">
            <v>C. Grocery</v>
          </cell>
          <cell r="H826" t="str">
            <v>Grocery</v>
          </cell>
          <cell r="I826" t="str">
            <v>Grocery - Dehire</v>
          </cell>
        </row>
        <row r="827">
          <cell r="A827" t="str">
            <v>GRDHRT5047</v>
          </cell>
          <cell r="B827">
            <v>826</v>
          </cell>
          <cell r="C827"/>
          <cell r="D827" t="str">
            <v>FRF7</v>
          </cell>
          <cell r="E827" t="str">
            <v>Dehire Site</v>
          </cell>
          <cell r="F827"/>
          <cell r="G827" t="str">
            <v>C. Grocery</v>
          </cell>
          <cell r="H827" t="str">
            <v>Grocery</v>
          </cell>
          <cell r="I827" t="str">
            <v>Grocery - Dehire</v>
          </cell>
        </row>
        <row r="828">
          <cell r="A828" t="str">
            <v>GRDHKC5048</v>
          </cell>
          <cell r="B828">
            <v>827</v>
          </cell>
          <cell r="C828"/>
          <cell r="D828" t="str">
            <v>FRVU</v>
          </cell>
          <cell r="E828" t="str">
            <v>Dehire Site</v>
          </cell>
          <cell r="F828"/>
          <cell r="G828" t="str">
            <v>C. Grocery</v>
          </cell>
          <cell r="H828" t="str">
            <v>Grocery</v>
          </cell>
          <cell r="I828" t="str">
            <v>Grocery - Dehire</v>
          </cell>
        </row>
        <row r="829">
          <cell r="A829" t="str">
            <v>GRDHKC5049</v>
          </cell>
          <cell r="B829">
            <v>828</v>
          </cell>
          <cell r="C829"/>
          <cell r="D829" t="str">
            <v>FRUL</v>
          </cell>
          <cell r="E829" t="str">
            <v>Dehire Site</v>
          </cell>
          <cell r="F829"/>
          <cell r="G829" t="str">
            <v>C. Grocery</v>
          </cell>
          <cell r="H829" t="str">
            <v>Grocery</v>
          </cell>
          <cell r="I829" t="str">
            <v>Grocery - Dehire</v>
          </cell>
        </row>
        <row r="830">
          <cell r="A830" t="str">
            <v>GRDHRT5050</v>
          </cell>
          <cell r="B830">
            <v>829</v>
          </cell>
          <cell r="C830"/>
          <cell r="D830" t="str">
            <v>FRP1</v>
          </cell>
          <cell r="E830" t="str">
            <v>Dehire Site</v>
          </cell>
          <cell r="F830"/>
          <cell r="G830" t="str">
            <v>C. Grocery</v>
          </cell>
          <cell r="H830" t="str">
            <v>Grocery</v>
          </cell>
          <cell r="I830" t="str">
            <v>Grocery - Dehire</v>
          </cell>
        </row>
        <row r="831">
          <cell r="A831" t="str">
            <v>GRDHRT5051</v>
          </cell>
          <cell r="B831">
            <v>830</v>
          </cell>
          <cell r="C831"/>
          <cell r="D831" t="str">
            <v>FRUZ</v>
          </cell>
          <cell r="E831" t="str">
            <v>Dehire Site</v>
          </cell>
          <cell r="F831"/>
          <cell r="G831" t="str">
            <v>C. Grocery</v>
          </cell>
          <cell r="H831" t="str">
            <v>Grocery</v>
          </cell>
          <cell r="I831" t="str">
            <v>Grocery - Dehire</v>
          </cell>
        </row>
        <row r="832">
          <cell r="A832" t="str">
            <v>GRDHRT5052</v>
          </cell>
          <cell r="B832">
            <v>831</v>
          </cell>
          <cell r="C832"/>
          <cell r="D832" t="str">
            <v>FRK5</v>
          </cell>
          <cell r="E832" t="str">
            <v>Dehire Site</v>
          </cell>
          <cell r="F832"/>
          <cell r="G832" t="str">
            <v>C. Grocery</v>
          </cell>
          <cell r="H832" t="str">
            <v>Grocery</v>
          </cell>
          <cell r="I832" t="str">
            <v>Grocery - Dehire</v>
          </cell>
        </row>
        <row r="833">
          <cell r="A833" t="str">
            <v>GRDHKC5053</v>
          </cell>
          <cell r="B833">
            <v>832</v>
          </cell>
          <cell r="C833"/>
          <cell r="D833" t="str">
            <v>F1KB</v>
          </cell>
          <cell r="E833" t="str">
            <v>Dehire Site</v>
          </cell>
          <cell r="F833"/>
          <cell r="G833" t="str">
            <v>C. Grocery</v>
          </cell>
          <cell r="H833" t="str">
            <v>Grocery</v>
          </cell>
          <cell r="I833" t="str">
            <v>Grocery - Dehire</v>
          </cell>
        </row>
        <row r="834">
          <cell r="A834" t="str">
            <v>GRDHRT5054</v>
          </cell>
          <cell r="B834">
            <v>833</v>
          </cell>
          <cell r="C834"/>
          <cell r="D834" t="str">
            <v>FRNF</v>
          </cell>
          <cell r="E834" t="str">
            <v>Dehire Site</v>
          </cell>
          <cell r="F834"/>
          <cell r="G834" t="str">
            <v>C. Grocery</v>
          </cell>
          <cell r="H834" t="str">
            <v>Grocery</v>
          </cell>
          <cell r="I834" t="str">
            <v>Grocery - Dehire</v>
          </cell>
        </row>
        <row r="835">
          <cell r="A835" t="str">
            <v>GRDHRT5055</v>
          </cell>
          <cell r="B835">
            <v>834</v>
          </cell>
          <cell r="C835"/>
          <cell r="D835" t="str">
            <v>U3XY</v>
          </cell>
          <cell r="E835" t="str">
            <v>Dehire Site</v>
          </cell>
          <cell r="F835"/>
          <cell r="G835" t="str">
            <v>C. Grocery</v>
          </cell>
          <cell r="H835" t="str">
            <v>Grocery</v>
          </cell>
          <cell r="I835" t="str">
            <v>Grocery - Dehire</v>
          </cell>
        </row>
        <row r="836">
          <cell r="A836" t="str">
            <v>GRDHBK5056</v>
          </cell>
          <cell r="B836">
            <v>835</v>
          </cell>
          <cell r="C836"/>
          <cell r="D836" t="str">
            <v>FR28</v>
          </cell>
          <cell r="E836" t="str">
            <v>Dehire Site</v>
          </cell>
          <cell r="F836"/>
          <cell r="G836" t="str">
            <v>C. Grocery</v>
          </cell>
          <cell r="H836" t="str">
            <v>Grocery</v>
          </cell>
          <cell r="I836" t="str">
            <v>Grocery - Dehire</v>
          </cell>
        </row>
        <row r="837">
          <cell r="A837" t="str">
            <v>GRDHRT5057</v>
          </cell>
          <cell r="B837">
            <v>836</v>
          </cell>
          <cell r="C837"/>
          <cell r="D837" t="str">
            <v>FRFT</v>
          </cell>
          <cell r="E837" t="str">
            <v>Dehire Site</v>
          </cell>
          <cell r="F837"/>
          <cell r="G837" t="str">
            <v>C. Grocery</v>
          </cell>
          <cell r="H837" t="str">
            <v>Grocery</v>
          </cell>
          <cell r="I837" t="str">
            <v>Grocery - Dehire</v>
          </cell>
        </row>
        <row r="838">
          <cell r="A838" t="str">
            <v>GRDHBK5058</v>
          </cell>
          <cell r="B838">
            <v>837</v>
          </cell>
          <cell r="C838"/>
          <cell r="D838" t="str">
            <v>FRHU</v>
          </cell>
          <cell r="E838" t="str">
            <v>Dehire Site</v>
          </cell>
          <cell r="F838"/>
          <cell r="G838" t="str">
            <v>C. Grocery</v>
          </cell>
          <cell r="H838" t="str">
            <v>Grocery</v>
          </cell>
          <cell r="I838" t="str">
            <v>Grocery - Dehire</v>
          </cell>
        </row>
        <row r="839">
          <cell r="A839" t="str">
            <v>GRDHBK5059</v>
          </cell>
          <cell r="B839">
            <v>838</v>
          </cell>
          <cell r="C839"/>
          <cell r="D839" t="str">
            <v>FR31</v>
          </cell>
          <cell r="E839" t="str">
            <v>Dehire Site</v>
          </cell>
          <cell r="F839"/>
          <cell r="G839" t="str">
            <v>C. Grocery</v>
          </cell>
          <cell r="H839" t="str">
            <v>Grocery</v>
          </cell>
          <cell r="I839" t="str">
            <v>Grocery - Dehire</v>
          </cell>
        </row>
        <row r="840">
          <cell r="A840" t="str">
            <v>GRDHKC5060</v>
          </cell>
          <cell r="B840">
            <v>839</v>
          </cell>
          <cell r="C840"/>
          <cell r="D840" t="str">
            <v>FRDX</v>
          </cell>
          <cell r="E840" t="str">
            <v>Dehire Site</v>
          </cell>
          <cell r="F840"/>
          <cell r="G840" t="str">
            <v>C. Grocery</v>
          </cell>
          <cell r="H840" t="str">
            <v>Grocery</v>
          </cell>
          <cell r="I840" t="str">
            <v>Grocery - Dehire</v>
          </cell>
        </row>
        <row r="841">
          <cell r="A841" t="str">
            <v>GRDHBK5061</v>
          </cell>
          <cell r="B841">
            <v>840</v>
          </cell>
          <cell r="C841" t="str">
            <v>MP-SM-RAI-103</v>
          </cell>
          <cell r="D841" t="str">
            <v>TAA4</v>
          </cell>
          <cell r="E841" t="str">
            <v>Dehire Site</v>
          </cell>
          <cell r="F841"/>
          <cell r="G841" t="str">
            <v>C. Grocery</v>
          </cell>
          <cell r="H841" t="str">
            <v>Grocery</v>
          </cell>
          <cell r="I841" t="str">
            <v>Grocery - Dehire</v>
          </cell>
        </row>
        <row r="842">
          <cell r="A842" t="str">
            <v>GRDHBK5062</v>
          </cell>
          <cell r="B842">
            <v>841</v>
          </cell>
          <cell r="C842"/>
          <cell r="D842" t="str">
            <v>TCV6</v>
          </cell>
          <cell r="E842" t="str">
            <v>Dehire Site</v>
          </cell>
          <cell r="F842"/>
          <cell r="G842" t="str">
            <v>C. Grocery</v>
          </cell>
          <cell r="H842" t="str">
            <v>Grocery</v>
          </cell>
          <cell r="I842" t="str">
            <v>Grocery - Dehire</v>
          </cell>
        </row>
        <row r="843">
          <cell r="A843" t="str">
            <v>GRDHBK5063</v>
          </cell>
          <cell r="B843">
            <v>842</v>
          </cell>
          <cell r="C843" t="str">
            <v>MP-SM-BUR-029</v>
          </cell>
          <cell r="D843" t="str">
            <v>TAA2</v>
          </cell>
          <cell r="E843" t="str">
            <v>Dehire Site</v>
          </cell>
          <cell r="F843"/>
          <cell r="G843" t="str">
            <v>C. Grocery</v>
          </cell>
          <cell r="H843" t="str">
            <v>Grocery</v>
          </cell>
          <cell r="I843" t="str">
            <v>Grocery - Dehire</v>
          </cell>
        </row>
        <row r="844">
          <cell r="A844" t="str">
            <v>GRDHBK5064</v>
          </cell>
          <cell r="B844">
            <v>843</v>
          </cell>
          <cell r="C844" t="str">
            <v>MP-SM-RAT-004</v>
          </cell>
          <cell r="D844" t="str">
            <v>TU50</v>
          </cell>
          <cell r="E844" t="str">
            <v>Dehire Site</v>
          </cell>
          <cell r="F844"/>
          <cell r="G844" t="str">
            <v>C. Grocery</v>
          </cell>
          <cell r="H844" t="str">
            <v>Grocery</v>
          </cell>
          <cell r="I844" t="str">
            <v>Grocery - Dehire</v>
          </cell>
        </row>
        <row r="845">
          <cell r="A845" t="str">
            <v>GRDHBK5065</v>
          </cell>
          <cell r="B845">
            <v>844</v>
          </cell>
          <cell r="C845" t="str">
            <v>MH-SM-SAN-901</v>
          </cell>
          <cell r="D845" t="str">
            <v>TY7I</v>
          </cell>
          <cell r="E845" t="str">
            <v>Dehire Site</v>
          </cell>
          <cell r="F845"/>
          <cell r="G845" t="str">
            <v>C. Grocery</v>
          </cell>
          <cell r="H845" t="str">
            <v>Grocery</v>
          </cell>
          <cell r="I845" t="str">
            <v>Grocery - Dehire</v>
          </cell>
        </row>
        <row r="846">
          <cell r="A846" t="str">
            <v>GRDHBK5066</v>
          </cell>
          <cell r="B846">
            <v>845</v>
          </cell>
          <cell r="C846" t="str">
            <v>MH-SM-NAN-439</v>
          </cell>
          <cell r="D846" t="str">
            <v>TV53</v>
          </cell>
          <cell r="E846" t="str">
            <v>Dehire Site</v>
          </cell>
          <cell r="F846"/>
          <cell r="G846" t="str">
            <v>C. Grocery</v>
          </cell>
          <cell r="H846" t="str">
            <v>Grocery</v>
          </cell>
          <cell r="I846" t="str">
            <v>Grocery - Dehire</v>
          </cell>
        </row>
        <row r="847">
          <cell r="A847" t="str">
            <v>GRDHBK5067</v>
          </cell>
          <cell r="B847">
            <v>846</v>
          </cell>
          <cell r="C847" t="str">
            <v>MU-SM-GMU-451</v>
          </cell>
          <cell r="D847" t="str">
            <v>TFM4</v>
          </cell>
          <cell r="E847" t="str">
            <v>Dehire Site</v>
          </cell>
          <cell r="F847"/>
          <cell r="G847" t="str">
            <v>C. Grocery</v>
          </cell>
          <cell r="H847" t="str">
            <v>Grocery</v>
          </cell>
          <cell r="I847" t="str">
            <v>Grocery - Dehire</v>
          </cell>
        </row>
        <row r="848">
          <cell r="A848" t="str">
            <v>GRDHRT5068</v>
          </cell>
          <cell r="B848">
            <v>847</v>
          </cell>
          <cell r="C848" t="str">
            <v>DE-SM-DEL-515</v>
          </cell>
          <cell r="D848" t="str">
            <v>TB22</v>
          </cell>
          <cell r="E848" t="str">
            <v>Dehire Site</v>
          </cell>
          <cell r="F848"/>
          <cell r="G848" t="str">
            <v>C. Grocery</v>
          </cell>
          <cell r="H848" t="str">
            <v>Grocery</v>
          </cell>
          <cell r="I848" t="str">
            <v>Grocery - Dehire</v>
          </cell>
        </row>
        <row r="849">
          <cell r="A849" t="str">
            <v>GRDHRT5069</v>
          </cell>
          <cell r="B849">
            <v>848</v>
          </cell>
          <cell r="C849" t="str">
            <v>PB-SM-BRN-901</v>
          </cell>
          <cell r="D849" t="str">
            <v>TQ62</v>
          </cell>
          <cell r="E849" t="str">
            <v>Dehire Site</v>
          </cell>
          <cell r="F849"/>
          <cell r="G849" t="str">
            <v>C. Grocery</v>
          </cell>
          <cell r="H849" t="str">
            <v>Grocery</v>
          </cell>
          <cell r="I849" t="str">
            <v>Grocery - Dehire</v>
          </cell>
        </row>
        <row r="850">
          <cell r="A850" t="str">
            <v>GRDHRT5070</v>
          </cell>
          <cell r="B850">
            <v>849</v>
          </cell>
          <cell r="C850" t="str">
            <v>PB-SM-CHA-035</v>
          </cell>
          <cell r="D850" t="str">
            <v>TCX5</v>
          </cell>
          <cell r="E850" t="str">
            <v>Dehire Site</v>
          </cell>
          <cell r="F850"/>
          <cell r="G850" t="str">
            <v>C. Grocery</v>
          </cell>
          <cell r="H850" t="str">
            <v>Grocery</v>
          </cell>
          <cell r="I850" t="str">
            <v>Grocery - Dehire</v>
          </cell>
        </row>
        <row r="851">
          <cell r="A851" t="str">
            <v>GRDHRT5071</v>
          </cell>
          <cell r="B851">
            <v>850</v>
          </cell>
          <cell r="C851" t="str">
            <v>PB-SM-NBH-901</v>
          </cell>
          <cell r="D851" t="str">
            <v>TDC3</v>
          </cell>
          <cell r="E851" t="str">
            <v>Dehire Site</v>
          </cell>
          <cell r="F851"/>
          <cell r="G851" t="str">
            <v>C. Grocery</v>
          </cell>
          <cell r="H851" t="str">
            <v>Grocery</v>
          </cell>
          <cell r="I851" t="str">
            <v>Grocery - Dehire</v>
          </cell>
        </row>
        <row r="852">
          <cell r="A852" t="str">
            <v>GRDHRT5072</v>
          </cell>
          <cell r="B852">
            <v>851</v>
          </cell>
          <cell r="C852" t="str">
            <v>RJ-SM-KOT-078</v>
          </cell>
          <cell r="D852" t="str">
            <v>TY86</v>
          </cell>
          <cell r="E852" t="str">
            <v>Dehire Site</v>
          </cell>
          <cell r="F852"/>
          <cell r="G852" t="str">
            <v>C. Grocery</v>
          </cell>
          <cell r="H852" t="str">
            <v>Grocery</v>
          </cell>
          <cell r="I852" t="str">
            <v>Grocery - Dehire</v>
          </cell>
        </row>
        <row r="853">
          <cell r="A853" t="str">
            <v>GRDHRT5073</v>
          </cell>
          <cell r="B853">
            <v>852</v>
          </cell>
          <cell r="C853"/>
          <cell r="D853" t="str">
            <v>FRRS</v>
          </cell>
          <cell r="E853" t="str">
            <v>Dehire Site</v>
          </cell>
          <cell r="F853"/>
          <cell r="G853" t="str">
            <v>C. Grocery</v>
          </cell>
          <cell r="H853" t="str">
            <v>Grocery</v>
          </cell>
          <cell r="I853" t="str">
            <v>Grocery - Dehire</v>
          </cell>
        </row>
        <row r="854">
          <cell r="A854" t="str">
            <v>GRDHRT5074</v>
          </cell>
          <cell r="B854">
            <v>853</v>
          </cell>
          <cell r="C854"/>
          <cell r="D854" t="str">
            <v>FRNE</v>
          </cell>
          <cell r="E854" t="str">
            <v>Dehire Site</v>
          </cell>
          <cell r="F854"/>
          <cell r="G854" t="str">
            <v>C. Grocery</v>
          </cell>
          <cell r="H854" t="str">
            <v>Grocery</v>
          </cell>
          <cell r="I854" t="str">
            <v>Grocery - Dehire</v>
          </cell>
        </row>
        <row r="855">
          <cell r="A855" t="str">
            <v>GRDHRT5075</v>
          </cell>
          <cell r="B855">
            <v>854</v>
          </cell>
          <cell r="C855"/>
          <cell r="D855" t="str">
            <v>FRO6</v>
          </cell>
          <cell r="E855" t="str">
            <v>Dehire Site</v>
          </cell>
          <cell r="F855"/>
          <cell r="G855" t="str">
            <v>C. Grocery</v>
          </cell>
          <cell r="H855" t="str">
            <v>Grocery</v>
          </cell>
          <cell r="I855" t="str">
            <v>Grocery - Dehire</v>
          </cell>
        </row>
        <row r="856">
          <cell r="A856" t="str">
            <v>GRDHRT5076</v>
          </cell>
          <cell r="B856">
            <v>855</v>
          </cell>
          <cell r="C856"/>
          <cell r="D856" t="str">
            <v>FRXK</v>
          </cell>
          <cell r="E856" t="str">
            <v>Dehire Site</v>
          </cell>
          <cell r="F856"/>
          <cell r="G856" t="str">
            <v>C. Grocery</v>
          </cell>
          <cell r="H856" t="str">
            <v>Grocery</v>
          </cell>
          <cell r="I856" t="str">
            <v>Grocery - Dehire</v>
          </cell>
        </row>
        <row r="857">
          <cell r="A857" t="str">
            <v>GRDHRT5077</v>
          </cell>
          <cell r="B857">
            <v>856</v>
          </cell>
          <cell r="C857"/>
          <cell r="D857" t="str">
            <v>FRUF</v>
          </cell>
          <cell r="E857" t="str">
            <v>Dehire Site</v>
          </cell>
          <cell r="F857"/>
          <cell r="G857" t="str">
            <v>C. Grocery</v>
          </cell>
          <cell r="H857" t="str">
            <v>Grocery</v>
          </cell>
          <cell r="I857" t="str">
            <v>Grocery - Dehire</v>
          </cell>
        </row>
        <row r="858">
          <cell r="A858" t="str">
            <v>GRDHRT5078</v>
          </cell>
          <cell r="B858">
            <v>857</v>
          </cell>
          <cell r="C858"/>
          <cell r="D858" t="str">
            <v>FRVA</v>
          </cell>
          <cell r="E858" t="str">
            <v>Dehire Site</v>
          </cell>
          <cell r="F858"/>
          <cell r="G858" t="str">
            <v>C. Grocery</v>
          </cell>
          <cell r="H858" t="str">
            <v>Grocery</v>
          </cell>
          <cell r="I858" t="str">
            <v>Grocery - Dehire</v>
          </cell>
        </row>
        <row r="859">
          <cell r="A859" t="str">
            <v>GRDHRT5079</v>
          </cell>
          <cell r="B859">
            <v>858</v>
          </cell>
          <cell r="C859"/>
          <cell r="D859" t="str">
            <v>FRPD</v>
          </cell>
          <cell r="E859" t="str">
            <v>Dehire Site</v>
          </cell>
          <cell r="F859"/>
          <cell r="G859" t="str">
            <v>C. Grocery</v>
          </cell>
          <cell r="H859" t="str">
            <v>Grocery</v>
          </cell>
          <cell r="I859" t="str">
            <v>Grocery - Dehire</v>
          </cell>
        </row>
        <row r="860">
          <cell r="A860" t="str">
            <v>GRDHRT5080</v>
          </cell>
          <cell r="B860">
            <v>859</v>
          </cell>
          <cell r="C860"/>
          <cell r="D860" t="str">
            <v>FRPH</v>
          </cell>
          <cell r="E860" t="str">
            <v>Dehire Site</v>
          </cell>
          <cell r="F860"/>
          <cell r="G860" t="str">
            <v>C. Grocery</v>
          </cell>
          <cell r="H860" t="str">
            <v>Grocery</v>
          </cell>
          <cell r="I860" t="str">
            <v>Grocery - Dehire</v>
          </cell>
        </row>
        <row r="861">
          <cell r="A861" t="str">
            <v>GRDHRT5081</v>
          </cell>
          <cell r="B861">
            <v>860</v>
          </cell>
          <cell r="C861"/>
          <cell r="D861" t="str">
            <v>FRC1</v>
          </cell>
          <cell r="E861" t="str">
            <v>Dehire Site</v>
          </cell>
          <cell r="F861"/>
          <cell r="G861" t="str">
            <v>C. Grocery</v>
          </cell>
          <cell r="H861" t="str">
            <v>Grocery</v>
          </cell>
          <cell r="I861" t="str">
            <v>Grocery - Dehire</v>
          </cell>
        </row>
        <row r="862">
          <cell r="A862" t="str">
            <v>GRDHRT5082</v>
          </cell>
          <cell r="B862">
            <v>861</v>
          </cell>
          <cell r="C862"/>
          <cell r="D862" t="str">
            <v>FRNC</v>
          </cell>
          <cell r="E862" t="str">
            <v>Dehire Site</v>
          </cell>
          <cell r="F862"/>
          <cell r="G862" t="str">
            <v>C. Grocery</v>
          </cell>
          <cell r="H862" t="str">
            <v>Grocery</v>
          </cell>
          <cell r="I862" t="str">
            <v>Grocery - Dehire</v>
          </cell>
        </row>
        <row r="863">
          <cell r="A863" t="str">
            <v>GRDHRT5083</v>
          </cell>
          <cell r="B863">
            <v>862</v>
          </cell>
          <cell r="C863"/>
          <cell r="D863" t="str">
            <v>FRYK</v>
          </cell>
          <cell r="E863" t="str">
            <v>Dehire Site</v>
          </cell>
          <cell r="F863"/>
          <cell r="G863" t="str">
            <v>C. Grocery</v>
          </cell>
          <cell r="H863" t="str">
            <v>Grocery</v>
          </cell>
          <cell r="I863" t="str">
            <v>Grocery - Dehire</v>
          </cell>
        </row>
        <row r="864">
          <cell r="A864" t="str">
            <v>GRDHRT5084</v>
          </cell>
          <cell r="B864">
            <v>863</v>
          </cell>
          <cell r="C864"/>
          <cell r="D864" t="str">
            <v>FRPR</v>
          </cell>
          <cell r="E864" t="str">
            <v>Dehire Site</v>
          </cell>
          <cell r="F864"/>
          <cell r="G864" t="str">
            <v>C. Grocery</v>
          </cell>
          <cell r="H864" t="str">
            <v>Grocery</v>
          </cell>
          <cell r="I864" t="str">
            <v>Grocery - Dehire</v>
          </cell>
        </row>
        <row r="865">
          <cell r="A865" t="str">
            <v>GRDHRT5085</v>
          </cell>
          <cell r="B865">
            <v>864</v>
          </cell>
          <cell r="C865"/>
          <cell r="D865" t="str">
            <v>FRXS</v>
          </cell>
          <cell r="E865" t="str">
            <v>Dehire Site</v>
          </cell>
          <cell r="F865"/>
          <cell r="G865" t="str">
            <v>C. Grocery</v>
          </cell>
          <cell r="H865" t="str">
            <v>Grocery</v>
          </cell>
          <cell r="I865" t="str">
            <v>Grocery - Dehire</v>
          </cell>
        </row>
        <row r="866">
          <cell r="A866" t="str">
            <v>GRDHRT5086</v>
          </cell>
          <cell r="B866">
            <v>865</v>
          </cell>
          <cell r="C866"/>
          <cell r="D866" t="str">
            <v>FRRY</v>
          </cell>
          <cell r="E866" t="str">
            <v>Dehire Site</v>
          </cell>
          <cell r="F866"/>
          <cell r="G866" t="str">
            <v>C. Grocery</v>
          </cell>
          <cell r="H866" t="str">
            <v>Grocery</v>
          </cell>
          <cell r="I866" t="str">
            <v>Grocery - Dehire</v>
          </cell>
        </row>
        <row r="867">
          <cell r="A867" t="str">
            <v>GRDHRT5087</v>
          </cell>
          <cell r="B867">
            <v>866</v>
          </cell>
          <cell r="C867"/>
          <cell r="D867" t="str">
            <v>FRQQ</v>
          </cell>
          <cell r="E867" t="str">
            <v>Dehire Site</v>
          </cell>
          <cell r="F867"/>
          <cell r="G867" t="str">
            <v>C. Grocery</v>
          </cell>
          <cell r="H867" t="str">
            <v>Grocery</v>
          </cell>
          <cell r="I867" t="str">
            <v>Grocery - Dehire</v>
          </cell>
        </row>
        <row r="868">
          <cell r="A868" t="str">
            <v>GRDHRT5088</v>
          </cell>
          <cell r="B868">
            <v>867</v>
          </cell>
          <cell r="C868"/>
          <cell r="D868" t="str">
            <v>FRTD</v>
          </cell>
          <cell r="E868" t="str">
            <v>Dehire Site</v>
          </cell>
          <cell r="F868"/>
          <cell r="G868" t="str">
            <v>C. Grocery</v>
          </cell>
          <cell r="H868" t="str">
            <v>Grocery</v>
          </cell>
          <cell r="I868" t="str">
            <v>Grocery - Dehire</v>
          </cell>
        </row>
        <row r="869">
          <cell r="A869" t="str">
            <v>GRDHRT5089</v>
          </cell>
          <cell r="B869">
            <v>868</v>
          </cell>
          <cell r="C869"/>
          <cell r="D869" t="str">
            <v>FRZU</v>
          </cell>
          <cell r="E869" t="str">
            <v>Dehire Site</v>
          </cell>
          <cell r="F869"/>
          <cell r="G869" t="str">
            <v>C. Grocery</v>
          </cell>
          <cell r="H869" t="str">
            <v>Grocery</v>
          </cell>
          <cell r="I869" t="str">
            <v>Grocery - Dehire</v>
          </cell>
        </row>
        <row r="870">
          <cell r="A870" t="str">
            <v>GRDHRT5090</v>
          </cell>
          <cell r="B870">
            <v>869</v>
          </cell>
          <cell r="C870"/>
          <cell r="D870" t="str">
            <v>FRQB</v>
          </cell>
          <cell r="E870" t="str">
            <v>Dehire Site</v>
          </cell>
          <cell r="F870"/>
          <cell r="G870" t="str">
            <v>C. Grocery</v>
          </cell>
          <cell r="H870" t="str">
            <v>Grocery</v>
          </cell>
          <cell r="I870" t="str">
            <v>Grocery - Dehire</v>
          </cell>
        </row>
        <row r="871">
          <cell r="A871" t="str">
            <v>GRDHRT5091</v>
          </cell>
          <cell r="B871">
            <v>870</v>
          </cell>
          <cell r="C871"/>
          <cell r="D871" t="str">
            <v>FRQV</v>
          </cell>
          <cell r="E871" t="str">
            <v>Dehire Site</v>
          </cell>
          <cell r="F871"/>
          <cell r="G871" t="str">
            <v>C. Grocery</v>
          </cell>
          <cell r="H871" t="str">
            <v>Grocery</v>
          </cell>
          <cell r="I871" t="str">
            <v>Grocery - Dehire</v>
          </cell>
        </row>
        <row r="872">
          <cell r="A872" t="str">
            <v>GRDHRT5092</v>
          </cell>
          <cell r="B872">
            <v>871</v>
          </cell>
          <cell r="C872"/>
          <cell r="D872" t="str">
            <v>FRXC</v>
          </cell>
          <cell r="E872" t="str">
            <v>Dehire Site</v>
          </cell>
          <cell r="F872"/>
          <cell r="G872" t="str">
            <v>C. Grocery</v>
          </cell>
          <cell r="H872" t="str">
            <v>Grocery</v>
          </cell>
          <cell r="I872" t="str">
            <v>Grocery - Dehire</v>
          </cell>
        </row>
        <row r="873">
          <cell r="A873" t="str">
            <v>GRDHRT5093</v>
          </cell>
          <cell r="B873">
            <v>872</v>
          </cell>
          <cell r="C873"/>
          <cell r="D873" t="str">
            <v>FRQP</v>
          </cell>
          <cell r="E873" t="str">
            <v>Dehire Site</v>
          </cell>
          <cell r="F873"/>
          <cell r="G873" t="str">
            <v>C. Grocery</v>
          </cell>
          <cell r="H873" t="str">
            <v>Grocery</v>
          </cell>
          <cell r="I873" t="str">
            <v>Grocery - Dehire</v>
          </cell>
        </row>
        <row r="874">
          <cell r="A874" t="str">
            <v>GRDHRT5094</v>
          </cell>
          <cell r="B874">
            <v>873</v>
          </cell>
          <cell r="C874"/>
          <cell r="D874" t="str">
            <v>FRQY</v>
          </cell>
          <cell r="E874" t="str">
            <v>Dehire Site</v>
          </cell>
          <cell r="F874"/>
          <cell r="G874" t="str">
            <v>C. Grocery</v>
          </cell>
          <cell r="H874" t="str">
            <v>Grocery</v>
          </cell>
          <cell r="I874" t="str">
            <v>Grocery - Dehire</v>
          </cell>
        </row>
        <row r="875">
          <cell r="A875" t="str">
            <v>GRDHRT5095</v>
          </cell>
          <cell r="B875">
            <v>874</v>
          </cell>
          <cell r="C875"/>
          <cell r="D875" t="str">
            <v>FRPJ</v>
          </cell>
          <cell r="E875" t="str">
            <v>Dehire Site</v>
          </cell>
          <cell r="F875"/>
          <cell r="G875" t="str">
            <v>C. Grocery</v>
          </cell>
          <cell r="H875" t="str">
            <v>Grocery</v>
          </cell>
          <cell r="I875" t="str">
            <v>Grocery - Dehire</v>
          </cell>
        </row>
        <row r="876">
          <cell r="A876" t="str">
            <v>GRDHRT5096</v>
          </cell>
          <cell r="B876">
            <v>875</v>
          </cell>
          <cell r="C876"/>
          <cell r="D876" t="str">
            <v>FRRZ</v>
          </cell>
          <cell r="E876" t="str">
            <v>Dehire Site</v>
          </cell>
          <cell r="F876"/>
          <cell r="G876" t="str">
            <v>C. Grocery</v>
          </cell>
          <cell r="H876" t="str">
            <v>Grocery</v>
          </cell>
          <cell r="I876" t="str">
            <v>Grocery - Dehire</v>
          </cell>
        </row>
        <row r="877">
          <cell r="A877" t="str">
            <v>GRDHRT5097</v>
          </cell>
          <cell r="B877">
            <v>876</v>
          </cell>
          <cell r="C877"/>
          <cell r="D877" t="str">
            <v>FRSG</v>
          </cell>
          <cell r="E877" t="str">
            <v>Dehire Site</v>
          </cell>
          <cell r="F877"/>
          <cell r="G877" t="str">
            <v>C. Grocery</v>
          </cell>
          <cell r="H877" t="str">
            <v>Grocery</v>
          </cell>
          <cell r="I877" t="str">
            <v>Grocery - Dehire</v>
          </cell>
        </row>
        <row r="878">
          <cell r="A878" t="str">
            <v>GRDHRT5098</v>
          </cell>
          <cell r="B878">
            <v>877</v>
          </cell>
          <cell r="C878"/>
          <cell r="D878" t="str">
            <v>FRPK</v>
          </cell>
          <cell r="E878" t="str">
            <v>Dehire Site</v>
          </cell>
          <cell r="F878"/>
          <cell r="G878" t="str">
            <v>C. Grocery</v>
          </cell>
          <cell r="H878" t="str">
            <v>Grocery</v>
          </cell>
          <cell r="I878" t="str">
            <v>Grocery - Dehire</v>
          </cell>
        </row>
        <row r="879">
          <cell r="A879" t="str">
            <v>GRDHRT5099</v>
          </cell>
          <cell r="B879">
            <v>878</v>
          </cell>
          <cell r="C879"/>
          <cell r="D879" t="str">
            <v>FRRG</v>
          </cell>
          <cell r="E879" t="str">
            <v>Dehire Site</v>
          </cell>
          <cell r="F879"/>
          <cell r="G879" t="str">
            <v>C. Grocery</v>
          </cell>
          <cell r="H879" t="str">
            <v>Grocery</v>
          </cell>
          <cell r="I879" t="str">
            <v>Grocery - Dehire</v>
          </cell>
        </row>
        <row r="880">
          <cell r="A880" t="str">
            <v>GRDHRT5100</v>
          </cell>
          <cell r="B880">
            <v>879</v>
          </cell>
          <cell r="C880"/>
          <cell r="D880" t="str">
            <v>FRG9</v>
          </cell>
          <cell r="E880" t="str">
            <v>Dehire Site</v>
          </cell>
          <cell r="F880"/>
          <cell r="G880" t="str">
            <v>C. Grocery</v>
          </cell>
          <cell r="H880" t="str">
            <v>Grocery</v>
          </cell>
          <cell r="I880" t="str">
            <v>Grocery - Dehire</v>
          </cell>
        </row>
        <row r="881">
          <cell r="A881" t="str">
            <v>GRDHRT5101</v>
          </cell>
          <cell r="B881">
            <v>880</v>
          </cell>
          <cell r="C881"/>
          <cell r="D881" t="str">
            <v>FRTS</v>
          </cell>
          <cell r="E881" t="str">
            <v>Dehire Site</v>
          </cell>
          <cell r="F881"/>
          <cell r="G881" t="str">
            <v>C. Grocery</v>
          </cell>
          <cell r="H881" t="str">
            <v>Grocery</v>
          </cell>
          <cell r="I881" t="str">
            <v>Grocery - Dehire</v>
          </cell>
        </row>
        <row r="882">
          <cell r="A882" t="str">
            <v>GRDHRT5102</v>
          </cell>
          <cell r="B882">
            <v>881</v>
          </cell>
          <cell r="C882"/>
          <cell r="D882" t="str">
            <v>FRNG</v>
          </cell>
          <cell r="E882" t="str">
            <v>Dehire Site</v>
          </cell>
          <cell r="F882"/>
          <cell r="G882" t="str">
            <v>C. Grocery</v>
          </cell>
          <cell r="H882" t="str">
            <v>Grocery</v>
          </cell>
          <cell r="I882" t="str">
            <v>Grocery - Dehire</v>
          </cell>
        </row>
        <row r="883">
          <cell r="A883" t="str">
            <v>GRDHRT5103</v>
          </cell>
          <cell r="B883">
            <v>882</v>
          </cell>
          <cell r="C883"/>
          <cell r="D883" t="str">
            <v>FRTL</v>
          </cell>
          <cell r="E883" t="str">
            <v>Dehire Site</v>
          </cell>
          <cell r="F883"/>
          <cell r="G883" t="str">
            <v>C. Grocery</v>
          </cell>
          <cell r="H883" t="str">
            <v>Grocery</v>
          </cell>
          <cell r="I883" t="str">
            <v>Grocery - Dehire</v>
          </cell>
        </row>
        <row r="884">
          <cell r="A884" t="str">
            <v>GRDHRT5104</v>
          </cell>
          <cell r="B884">
            <v>883</v>
          </cell>
          <cell r="C884"/>
          <cell r="D884" t="str">
            <v>FRNA</v>
          </cell>
          <cell r="E884" t="str">
            <v>Dehire Site</v>
          </cell>
          <cell r="F884"/>
          <cell r="G884" t="str">
            <v>C. Grocery</v>
          </cell>
          <cell r="H884" t="str">
            <v>Grocery</v>
          </cell>
          <cell r="I884" t="str">
            <v>Grocery - Dehire</v>
          </cell>
        </row>
        <row r="885">
          <cell r="A885" t="str">
            <v>GRDHRT5105</v>
          </cell>
          <cell r="B885">
            <v>884</v>
          </cell>
          <cell r="C885"/>
          <cell r="D885" t="str">
            <v>FRNV</v>
          </cell>
          <cell r="E885" t="str">
            <v>Dehire Site</v>
          </cell>
          <cell r="F885"/>
          <cell r="G885" t="str">
            <v>C. Grocery</v>
          </cell>
          <cell r="H885" t="str">
            <v>Grocery</v>
          </cell>
          <cell r="I885" t="str">
            <v>Grocery - Dehire</v>
          </cell>
        </row>
        <row r="886">
          <cell r="A886" t="str">
            <v>GRDHRT5106</v>
          </cell>
          <cell r="B886">
            <v>885</v>
          </cell>
          <cell r="C886"/>
          <cell r="D886" t="str">
            <v>FROS</v>
          </cell>
          <cell r="E886" t="str">
            <v>Dehire Site</v>
          </cell>
          <cell r="F886"/>
          <cell r="G886" t="str">
            <v>C. Grocery</v>
          </cell>
          <cell r="H886" t="str">
            <v>Grocery</v>
          </cell>
          <cell r="I886" t="str">
            <v>Grocery - Dehire</v>
          </cell>
        </row>
        <row r="887">
          <cell r="A887" t="str">
            <v>GRDHRT5107</v>
          </cell>
          <cell r="B887">
            <v>886</v>
          </cell>
          <cell r="C887"/>
          <cell r="D887" t="str">
            <v>FRSJ</v>
          </cell>
          <cell r="E887" t="str">
            <v>Dehire Site</v>
          </cell>
          <cell r="F887"/>
          <cell r="G887" t="str">
            <v>C. Grocery</v>
          </cell>
          <cell r="H887" t="str">
            <v>Grocery</v>
          </cell>
          <cell r="I887" t="str">
            <v>Grocery - Dehire</v>
          </cell>
        </row>
        <row r="888">
          <cell r="A888" t="str">
            <v>GRDHRT5108</v>
          </cell>
          <cell r="B888">
            <v>887</v>
          </cell>
          <cell r="C888"/>
          <cell r="D888" t="str">
            <v>FRSM</v>
          </cell>
          <cell r="E888" t="str">
            <v>Dehire Site</v>
          </cell>
          <cell r="F888"/>
          <cell r="G888" t="str">
            <v>C. Grocery</v>
          </cell>
          <cell r="H888" t="str">
            <v>Grocery</v>
          </cell>
          <cell r="I888" t="str">
            <v>Grocery - Dehire</v>
          </cell>
        </row>
        <row r="889">
          <cell r="A889" t="str">
            <v>GRDHRT5109</v>
          </cell>
          <cell r="B889">
            <v>888</v>
          </cell>
          <cell r="C889"/>
          <cell r="D889" t="str">
            <v>FRJ3</v>
          </cell>
          <cell r="E889" t="str">
            <v>Dehire Site</v>
          </cell>
          <cell r="F889"/>
          <cell r="G889" t="str">
            <v>C. Grocery</v>
          </cell>
          <cell r="H889" t="str">
            <v>Grocery</v>
          </cell>
          <cell r="I889" t="str">
            <v>Grocery - Dehire</v>
          </cell>
        </row>
        <row r="890">
          <cell r="A890" t="str">
            <v>GRDHRT5110</v>
          </cell>
          <cell r="B890">
            <v>889</v>
          </cell>
          <cell r="C890"/>
          <cell r="D890" t="str">
            <v>FRXF</v>
          </cell>
          <cell r="E890" t="str">
            <v>Dehire Site</v>
          </cell>
          <cell r="F890"/>
          <cell r="G890" t="str">
            <v>C. Grocery</v>
          </cell>
          <cell r="H890" t="str">
            <v>Grocery</v>
          </cell>
          <cell r="I890" t="str">
            <v>Grocery - Dehire</v>
          </cell>
        </row>
        <row r="891">
          <cell r="A891" t="str">
            <v>GRDHRT5111</v>
          </cell>
          <cell r="B891">
            <v>890</v>
          </cell>
          <cell r="C891"/>
          <cell r="D891" t="str">
            <v>FRMX</v>
          </cell>
          <cell r="E891" t="str">
            <v>Dehire Site</v>
          </cell>
          <cell r="F891"/>
          <cell r="G891" t="str">
            <v>C. Grocery</v>
          </cell>
          <cell r="H891" t="str">
            <v>Grocery</v>
          </cell>
          <cell r="I891" t="str">
            <v>Grocery - Dehire</v>
          </cell>
        </row>
        <row r="892">
          <cell r="A892" t="str">
            <v>GRDHRT5112</v>
          </cell>
          <cell r="B892">
            <v>891</v>
          </cell>
          <cell r="C892"/>
          <cell r="D892" t="str">
            <v>FRMT</v>
          </cell>
          <cell r="E892" t="str">
            <v>Dehire Site</v>
          </cell>
          <cell r="F892"/>
          <cell r="G892" t="str">
            <v>C. Grocery</v>
          </cell>
          <cell r="H892" t="str">
            <v>Grocery</v>
          </cell>
          <cell r="I892" t="str">
            <v>Grocery - Dehire</v>
          </cell>
        </row>
        <row r="893">
          <cell r="A893" t="str">
            <v>GRDHRT5113</v>
          </cell>
          <cell r="B893">
            <v>892</v>
          </cell>
          <cell r="C893"/>
          <cell r="D893" t="str">
            <v>FRLX</v>
          </cell>
          <cell r="E893" t="str">
            <v>Dehire Site</v>
          </cell>
          <cell r="F893"/>
          <cell r="G893" t="str">
            <v>C. Grocery</v>
          </cell>
          <cell r="H893" t="str">
            <v>Grocery</v>
          </cell>
          <cell r="I893" t="str">
            <v>Grocery - Dehire</v>
          </cell>
        </row>
        <row r="894">
          <cell r="A894" t="str">
            <v>GRDHRT5114</v>
          </cell>
          <cell r="B894">
            <v>893</v>
          </cell>
          <cell r="C894"/>
          <cell r="D894" t="str">
            <v>FRH3</v>
          </cell>
          <cell r="E894" t="str">
            <v>Dehire Site</v>
          </cell>
          <cell r="F894"/>
          <cell r="G894" t="str">
            <v>C. Grocery</v>
          </cell>
          <cell r="H894" t="str">
            <v>Grocery</v>
          </cell>
          <cell r="I894" t="str">
            <v>Grocery - Dehire</v>
          </cell>
        </row>
        <row r="895">
          <cell r="A895" t="str">
            <v>GRDHRT5117</v>
          </cell>
          <cell r="B895">
            <v>894</v>
          </cell>
          <cell r="C895"/>
          <cell r="D895" t="str">
            <v>FRD5</v>
          </cell>
          <cell r="E895" t="str">
            <v>Dehire Site</v>
          </cell>
          <cell r="F895"/>
          <cell r="G895" t="str">
            <v>C. Grocery</v>
          </cell>
          <cell r="H895" t="str">
            <v>Grocery</v>
          </cell>
          <cell r="I895" t="str">
            <v>Grocery - Dehire</v>
          </cell>
        </row>
        <row r="896">
          <cell r="A896" t="str">
            <v>GRDHRT5124</v>
          </cell>
          <cell r="B896">
            <v>895</v>
          </cell>
          <cell r="C896"/>
          <cell r="D896" t="str">
            <v>FRVB</v>
          </cell>
          <cell r="E896" t="str">
            <v>Dehire Site</v>
          </cell>
          <cell r="F896"/>
          <cell r="G896" t="str">
            <v>C. Grocery</v>
          </cell>
          <cell r="H896" t="str">
            <v>Grocery</v>
          </cell>
          <cell r="I896" t="str">
            <v>Grocery - Dehire</v>
          </cell>
        </row>
        <row r="897">
          <cell r="A897" t="str">
            <v>GRDHRT5125</v>
          </cell>
          <cell r="B897">
            <v>896</v>
          </cell>
          <cell r="C897"/>
          <cell r="D897" t="str">
            <v>FRVZ</v>
          </cell>
          <cell r="E897" t="str">
            <v>Dehire Site</v>
          </cell>
          <cell r="F897"/>
          <cell r="G897" t="str">
            <v>C. Grocery</v>
          </cell>
          <cell r="H897" t="str">
            <v>Grocery</v>
          </cell>
          <cell r="I897" t="str">
            <v>Grocery - Dehire</v>
          </cell>
        </row>
        <row r="898">
          <cell r="A898" t="str">
            <v>GRDHRT5126</v>
          </cell>
          <cell r="B898">
            <v>897</v>
          </cell>
          <cell r="C898"/>
          <cell r="D898" t="str">
            <v>FRUB</v>
          </cell>
          <cell r="E898" t="str">
            <v>Dehire Site</v>
          </cell>
          <cell r="F898"/>
          <cell r="G898" t="str">
            <v>C. Grocery</v>
          </cell>
          <cell r="H898" t="str">
            <v>Grocery</v>
          </cell>
          <cell r="I898" t="str">
            <v>Grocery - Dehire</v>
          </cell>
        </row>
        <row r="899">
          <cell r="A899" t="str">
            <v>GRDHRT5127</v>
          </cell>
          <cell r="B899">
            <v>898</v>
          </cell>
          <cell r="C899"/>
          <cell r="D899" t="str">
            <v>FRST</v>
          </cell>
          <cell r="E899" t="str">
            <v>Dehire Site</v>
          </cell>
          <cell r="F899"/>
          <cell r="G899" t="str">
            <v>C. Grocery</v>
          </cell>
          <cell r="H899" t="str">
            <v>Grocery</v>
          </cell>
          <cell r="I899" t="str">
            <v>Grocery - Dehire</v>
          </cell>
        </row>
        <row r="900">
          <cell r="A900" t="str">
            <v>GRDHRT5128</v>
          </cell>
          <cell r="B900">
            <v>899</v>
          </cell>
          <cell r="C900"/>
          <cell r="D900" t="str">
            <v>FRSI</v>
          </cell>
          <cell r="E900" t="str">
            <v>Dehire Site</v>
          </cell>
          <cell r="F900"/>
          <cell r="G900" t="str">
            <v>C. Grocery</v>
          </cell>
          <cell r="H900" t="str">
            <v>Grocery</v>
          </cell>
          <cell r="I900" t="str">
            <v>Grocery - Dehire</v>
          </cell>
        </row>
        <row r="901">
          <cell r="A901" t="str">
            <v>GRDHRT5130</v>
          </cell>
          <cell r="B901">
            <v>900</v>
          </cell>
          <cell r="C901"/>
          <cell r="D901" t="str">
            <v>FRB3</v>
          </cell>
          <cell r="E901" t="str">
            <v>Dehire Site</v>
          </cell>
          <cell r="F901"/>
          <cell r="G901" t="str">
            <v>C. Grocery</v>
          </cell>
          <cell r="H901" t="str">
            <v>Grocery</v>
          </cell>
          <cell r="I901" t="str">
            <v>Grocery - Dehire</v>
          </cell>
        </row>
        <row r="902">
          <cell r="A902" t="str">
            <v>GRDHSD5190</v>
          </cell>
          <cell r="B902">
            <v>901</v>
          </cell>
          <cell r="C902"/>
          <cell r="D902"/>
          <cell r="E902" t="str">
            <v>Dehire Site</v>
          </cell>
          <cell r="F902"/>
          <cell r="G902" t="str">
            <v>C. Grocery</v>
          </cell>
          <cell r="H902" t="str">
            <v>Grocery</v>
          </cell>
          <cell r="I902" t="str">
            <v>Grocery - Dehire</v>
          </cell>
        </row>
        <row r="903">
          <cell r="A903" t="str">
            <v>GRDHSD5191</v>
          </cell>
          <cell r="B903">
            <v>902</v>
          </cell>
          <cell r="C903"/>
          <cell r="D903"/>
          <cell r="E903" t="str">
            <v>Dehire Site</v>
          </cell>
          <cell r="F903"/>
          <cell r="G903" t="str">
            <v>C. Grocery</v>
          </cell>
          <cell r="H903" t="str">
            <v>Grocery</v>
          </cell>
          <cell r="I903" t="str">
            <v>Grocery - Dehire</v>
          </cell>
        </row>
        <row r="904">
          <cell r="A904" t="str">
            <v>GRDHSD5192</v>
          </cell>
          <cell r="B904">
            <v>903</v>
          </cell>
          <cell r="C904"/>
          <cell r="D904" t="str">
            <v>FR6M</v>
          </cell>
          <cell r="E904" t="str">
            <v>Dehire Site</v>
          </cell>
          <cell r="F904" t="str">
            <v>DH-SMPT-451-TG-FR6M</v>
          </cell>
          <cell r="G904" t="str">
            <v>C. Grocery</v>
          </cell>
          <cell r="H904" t="str">
            <v>Grocery</v>
          </cell>
          <cell r="I904" t="str">
            <v>Grocery - Dehire</v>
          </cell>
        </row>
        <row r="905">
          <cell r="A905" t="str">
            <v>GRDHSD5193</v>
          </cell>
          <cell r="B905">
            <v>904</v>
          </cell>
          <cell r="C905"/>
          <cell r="D905" t="str">
            <v>FR4I</v>
          </cell>
          <cell r="E905" t="str">
            <v>Dehire Site</v>
          </cell>
          <cell r="F905" t="str">
            <v>DH-SMPT-451-TG-FR4I</v>
          </cell>
          <cell r="G905" t="str">
            <v>C. Grocery</v>
          </cell>
          <cell r="H905" t="str">
            <v>Grocery</v>
          </cell>
          <cell r="I905" t="str">
            <v>Grocery - Dehire</v>
          </cell>
        </row>
        <row r="906">
          <cell r="A906" t="str">
            <v>GRDHSD5194</v>
          </cell>
          <cell r="B906">
            <v>905</v>
          </cell>
          <cell r="C906"/>
          <cell r="D906" t="str">
            <v>FR5D</v>
          </cell>
          <cell r="E906" t="str">
            <v>Dehire Site</v>
          </cell>
          <cell r="F906" t="str">
            <v>DH-SMPT-451-TG-FR5D</v>
          </cell>
          <cell r="G906" t="str">
            <v>C. Grocery</v>
          </cell>
          <cell r="H906" t="str">
            <v>Grocery</v>
          </cell>
          <cell r="I906" t="str">
            <v>Grocery - Dehire</v>
          </cell>
        </row>
        <row r="907">
          <cell r="A907" t="str">
            <v>GRDHSD5195</v>
          </cell>
          <cell r="B907">
            <v>906</v>
          </cell>
          <cell r="C907"/>
          <cell r="D907" t="str">
            <v>FR4X</v>
          </cell>
          <cell r="E907" t="str">
            <v>Dehire Site</v>
          </cell>
          <cell r="F907" t="str">
            <v>DH-SMPT-451-TG-FR4X</v>
          </cell>
          <cell r="G907" t="str">
            <v>C. Grocery</v>
          </cell>
          <cell r="H907" t="str">
            <v>Grocery</v>
          </cell>
          <cell r="I907" t="str">
            <v>Grocery - Dehire</v>
          </cell>
        </row>
        <row r="908">
          <cell r="A908" t="str">
            <v>GRDHAK10232</v>
          </cell>
          <cell r="B908">
            <v>907</v>
          </cell>
          <cell r="C908"/>
          <cell r="D908"/>
          <cell r="E908"/>
          <cell r="F908"/>
          <cell r="G908" t="str">
            <v>C. Grocery</v>
          </cell>
          <cell r="H908" t="str">
            <v>Grocery</v>
          </cell>
          <cell r="I908" t="str">
            <v>Grocery - Dehire</v>
          </cell>
        </row>
        <row r="909">
          <cell r="A909" t="str">
            <v>GRDHAK10233</v>
          </cell>
          <cell r="B909">
            <v>908</v>
          </cell>
          <cell r="C909"/>
          <cell r="D909"/>
          <cell r="E909"/>
          <cell r="F909"/>
          <cell r="G909" t="str">
            <v>C. Grocery</v>
          </cell>
          <cell r="H909" t="str">
            <v>Grocery</v>
          </cell>
          <cell r="I909" t="str">
            <v>Grocery - Dehire</v>
          </cell>
        </row>
        <row r="910">
          <cell r="A910" t="str">
            <v>GRDHAK10234</v>
          </cell>
          <cell r="B910">
            <v>909</v>
          </cell>
          <cell r="C910"/>
          <cell r="D910"/>
          <cell r="E910"/>
          <cell r="F910"/>
          <cell r="G910" t="str">
            <v>C. Grocery</v>
          </cell>
          <cell r="H910" t="str">
            <v>Grocery</v>
          </cell>
          <cell r="I910" t="str">
            <v>Grocery - Dehire</v>
          </cell>
        </row>
        <row r="911">
          <cell r="A911" t="str">
            <v>GRDHAK10235</v>
          </cell>
          <cell r="B911">
            <v>910</v>
          </cell>
          <cell r="C911"/>
          <cell r="D911"/>
          <cell r="E911"/>
          <cell r="F911"/>
          <cell r="G911" t="str">
            <v>C. Grocery</v>
          </cell>
          <cell r="H911" t="str">
            <v>Grocery</v>
          </cell>
          <cell r="I911" t="str">
            <v>Grocery - Dehire</v>
          </cell>
        </row>
        <row r="912">
          <cell r="A912" t="str">
            <v>GRDHAK10236</v>
          </cell>
          <cell r="B912">
            <v>911</v>
          </cell>
          <cell r="C912"/>
          <cell r="D912"/>
          <cell r="E912"/>
          <cell r="F912"/>
          <cell r="G912" t="str">
            <v>C. Grocery</v>
          </cell>
          <cell r="H912" t="str">
            <v>Grocery</v>
          </cell>
          <cell r="I912" t="str">
            <v>Grocery - Dehire</v>
          </cell>
        </row>
        <row r="913">
          <cell r="A913" t="str">
            <v>GRDHAK10237</v>
          </cell>
          <cell r="B913">
            <v>912</v>
          </cell>
          <cell r="C913"/>
          <cell r="D913"/>
          <cell r="E913"/>
          <cell r="F913"/>
          <cell r="G913" t="str">
            <v>C. Grocery</v>
          </cell>
          <cell r="H913" t="str">
            <v>Grocery</v>
          </cell>
          <cell r="I913" t="str">
            <v>Grocery - Dehire</v>
          </cell>
        </row>
        <row r="914">
          <cell r="A914" t="str">
            <v>GRDHAK10238</v>
          </cell>
          <cell r="B914">
            <v>913</v>
          </cell>
          <cell r="C914"/>
          <cell r="D914"/>
          <cell r="E914"/>
          <cell r="F914"/>
          <cell r="G914" t="str">
            <v>C. Grocery</v>
          </cell>
          <cell r="H914" t="str">
            <v>Grocery</v>
          </cell>
          <cell r="I914" t="str">
            <v>Grocery - Dehire</v>
          </cell>
        </row>
        <row r="915">
          <cell r="A915" t="str">
            <v>GRDHAK10239</v>
          </cell>
          <cell r="B915">
            <v>914</v>
          </cell>
          <cell r="C915"/>
          <cell r="D915"/>
          <cell r="E915"/>
          <cell r="F915"/>
          <cell r="G915" t="str">
            <v>C. Grocery</v>
          </cell>
          <cell r="H915" t="str">
            <v>Grocery</v>
          </cell>
          <cell r="I915" t="str">
            <v>Grocery - Dehire</v>
          </cell>
        </row>
        <row r="916">
          <cell r="A916" t="str">
            <v>GRDHAK10240</v>
          </cell>
          <cell r="B916">
            <v>915</v>
          </cell>
          <cell r="C916"/>
          <cell r="D916"/>
          <cell r="E916"/>
          <cell r="F916"/>
          <cell r="G916" t="str">
            <v>C. Grocery</v>
          </cell>
          <cell r="H916" t="str">
            <v>Grocery</v>
          </cell>
          <cell r="I916" t="str">
            <v>Grocery - Dehire</v>
          </cell>
        </row>
        <row r="917">
          <cell r="A917" t="str">
            <v>GRDHAK10241</v>
          </cell>
          <cell r="B917">
            <v>916</v>
          </cell>
          <cell r="C917"/>
          <cell r="D917"/>
          <cell r="E917"/>
          <cell r="F917"/>
          <cell r="G917" t="str">
            <v>C. Grocery</v>
          </cell>
          <cell r="H917" t="str">
            <v>Grocery</v>
          </cell>
          <cell r="I917" t="str">
            <v>Grocery - Dehire</v>
          </cell>
        </row>
        <row r="918">
          <cell r="A918" t="str">
            <v>GRDHAK10242</v>
          </cell>
          <cell r="B918">
            <v>917</v>
          </cell>
          <cell r="C918"/>
          <cell r="D918"/>
          <cell r="E918"/>
          <cell r="F918"/>
          <cell r="G918" t="str">
            <v>C. Grocery</v>
          </cell>
          <cell r="H918" t="str">
            <v>Grocery</v>
          </cell>
          <cell r="I918" t="str">
            <v>Grocery - Dehire</v>
          </cell>
        </row>
        <row r="919">
          <cell r="A919" t="str">
            <v>GRDHAK10243</v>
          </cell>
          <cell r="B919">
            <v>918</v>
          </cell>
          <cell r="C919"/>
          <cell r="D919"/>
          <cell r="E919"/>
          <cell r="F919"/>
          <cell r="G919" t="str">
            <v>C. Grocery</v>
          </cell>
          <cell r="H919" t="str">
            <v>Grocery</v>
          </cell>
          <cell r="I919" t="str">
            <v>Grocery - Dehire</v>
          </cell>
        </row>
        <row r="920">
          <cell r="A920" t="str">
            <v>GRDHAK10244</v>
          </cell>
          <cell r="B920">
            <v>919</v>
          </cell>
          <cell r="C920"/>
          <cell r="D920"/>
          <cell r="E920"/>
          <cell r="F920"/>
          <cell r="G920" t="str">
            <v>C. Grocery</v>
          </cell>
          <cell r="H920" t="str">
            <v>Grocery</v>
          </cell>
          <cell r="I920" t="str">
            <v>Grocery - Dehire</v>
          </cell>
        </row>
        <row r="921">
          <cell r="A921" t="str">
            <v>GRDHAK10314</v>
          </cell>
          <cell r="B921">
            <v>920</v>
          </cell>
          <cell r="C921"/>
          <cell r="D921"/>
          <cell r="E921"/>
          <cell r="F921"/>
          <cell r="G921" t="str">
            <v>C. Grocery</v>
          </cell>
          <cell r="H921" t="str">
            <v>Grocery</v>
          </cell>
          <cell r="I921" t="str">
            <v>Grocery - Dehire</v>
          </cell>
        </row>
        <row r="922">
          <cell r="A922" t="str">
            <v>GRDHAK10315</v>
          </cell>
          <cell r="B922">
            <v>921</v>
          </cell>
          <cell r="C922"/>
          <cell r="D922"/>
          <cell r="E922"/>
          <cell r="F922"/>
          <cell r="G922" t="str">
            <v>C. Grocery</v>
          </cell>
          <cell r="H922" t="str">
            <v>Grocery</v>
          </cell>
          <cell r="I922" t="str">
            <v>Grocery - Dehire</v>
          </cell>
        </row>
        <row r="923">
          <cell r="A923" t="str">
            <v>GRDHAK10316</v>
          </cell>
          <cell r="B923">
            <v>922</v>
          </cell>
          <cell r="C923"/>
          <cell r="D923"/>
          <cell r="E923"/>
          <cell r="F923"/>
          <cell r="G923" t="str">
            <v>C. Grocery</v>
          </cell>
          <cell r="H923" t="str">
            <v>Grocery</v>
          </cell>
          <cell r="I923" t="str">
            <v>Grocery - Dehire</v>
          </cell>
        </row>
        <row r="924">
          <cell r="A924" t="str">
            <v>GRDHAK10317</v>
          </cell>
          <cell r="B924">
            <v>923</v>
          </cell>
          <cell r="C924"/>
          <cell r="D924"/>
          <cell r="E924"/>
          <cell r="F924"/>
          <cell r="G924" t="str">
            <v>C. Grocery</v>
          </cell>
          <cell r="H924" t="str">
            <v>Grocery</v>
          </cell>
          <cell r="I924" t="str">
            <v>Grocery - Dehire</v>
          </cell>
        </row>
        <row r="925">
          <cell r="A925" t="str">
            <v>GRDHAK10318</v>
          </cell>
          <cell r="B925">
            <v>924</v>
          </cell>
          <cell r="C925"/>
          <cell r="D925"/>
          <cell r="E925"/>
          <cell r="F925"/>
          <cell r="G925" t="str">
            <v>C. Grocery</v>
          </cell>
          <cell r="H925" t="str">
            <v>Grocery</v>
          </cell>
          <cell r="I925" t="str">
            <v>Grocery - Dehire</v>
          </cell>
        </row>
        <row r="926">
          <cell r="A926" t="str">
            <v>GRDHAK10319</v>
          </cell>
          <cell r="B926">
            <v>925</v>
          </cell>
          <cell r="C926"/>
          <cell r="D926"/>
          <cell r="E926"/>
          <cell r="F926"/>
          <cell r="G926" t="str">
            <v>C. Grocery</v>
          </cell>
          <cell r="H926" t="str">
            <v>Grocery</v>
          </cell>
          <cell r="I926" t="str">
            <v>Grocery - Dehire</v>
          </cell>
        </row>
        <row r="927">
          <cell r="A927" t="str">
            <v>GRDHAK10320</v>
          </cell>
          <cell r="B927">
            <v>926</v>
          </cell>
          <cell r="C927"/>
          <cell r="D927"/>
          <cell r="E927"/>
          <cell r="F927"/>
          <cell r="G927" t="str">
            <v>C. Grocery</v>
          </cell>
          <cell r="H927" t="str">
            <v>Grocery</v>
          </cell>
          <cell r="I927" t="str">
            <v>Grocery - Dehire</v>
          </cell>
        </row>
        <row r="928">
          <cell r="A928" t="str">
            <v>GRDHAK10321</v>
          </cell>
          <cell r="B928">
            <v>927</v>
          </cell>
          <cell r="C928"/>
          <cell r="D928"/>
          <cell r="E928"/>
          <cell r="F928"/>
          <cell r="G928" t="str">
            <v>C. Grocery</v>
          </cell>
          <cell r="H928" t="str">
            <v>Grocery</v>
          </cell>
          <cell r="I928" t="str">
            <v>Grocery - Dehire</v>
          </cell>
        </row>
        <row r="929">
          <cell r="A929" t="str">
            <v>GRDHAK10322</v>
          </cell>
          <cell r="B929">
            <v>928</v>
          </cell>
          <cell r="C929"/>
          <cell r="D929"/>
          <cell r="E929"/>
          <cell r="F929"/>
          <cell r="G929" t="str">
            <v>C. Grocery</v>
          </cell>
          <cell r="H929" t="str">
            <v>Grocery</v>
          </cell>
          <cell r="I929" t="str">
            <v>Grocery - Dehire</v>
          </cell>
        </row>
        <row r="930">
          <cell r="A930" t="str">
            <v>GRDHAK10323</v>
          </cell>
          <cell r="B930">
            <v>929</v>
          </cell>
          <cell r="C930"/>
          <cell r="D930"/>
          <cell r="E930"/>
          <cell r="F930"/>
          <cell r="G930" t="str">
            <v>C. Grocery</v>
          </cell>
          <cell r="H930" t="str">
            <v>Grocery</v>
          </cell>
          <cell r="I930" t="str">
            <v>Grocery - Dehire</v>
          </cell>
        </row>
        <row r="931">
          <cell r="A931" t="str">
            <v>GRDHAK10324</v>
          </cell>
          <cell r="B931">
            <v>930</v>
          </cell>
          <cell r="C931"/>
          <cell r="D931"/>
          <cell r="E931"/>
          <cell r="F931"/>
          <cell r="G931" t="str">
            <v>C. Grocery</v>
          </cell>
          <cell r="H931" t="str">
            <v>Grocery</v>
          </cell>
          <cell r="I931" t="str">
            <v>Grocery - Dehire</v>
          </cell>
        </row>
        <row r="932">
          <cell r="A932" t="str">
            <v>GRDHAK10325</v>
          </cell>
          <cell r="B932">
            <v>931</v>
          </cell>
          <cell r="C932"/>
          <cell r="D932"/>
          <cell r="E932"/>
          <cell r="F932"/>
          <cell r="G932" t="str">
            <v>C. Grocery</v>
          </cell>
          <cell r="H932" t="str">
            <v>Grocery</v>
          </cell>
          <cell r="I932" t="str">
            <v>Grocery - Dehire</v>
          </cell>
        </row>
        <row r="933">
          <cell r="A933" t="str">
            <v>GRDHSD10326</v>
          </cell>
          <cell r="B933">
            <v>932</v>
          </cell>
          <cell r="C933"/>
          <cell r="D933"/>
          <cell r="E933"/>
          <cell r="F933"/>
          <cell r="G933" t="str">
            <v>C. Grocery</v>
          </cell>
          <cell r="H933" t="str">
            <v>Grocery</v>
          </cell>
          <cell r="I933" t="str">
            <v>Grocery - Dehire</v>
          </cell>
        </row>
        <row r="934">
          <cell r="A934" t="str">
            <v>GRDHAK10327</v>
          </cell>
          <cell r="B934">
            <v>933</v>
          </cell>
          <cell r="C934"/>
          <cell r="D934"/>
          <cell r="E934"/>
          <cell r="F934"/>
          <cell r="G934" t="str">
            <v>C. Grocery</v>
          </cell>
          <cell r="H934" t="str">
            <v>Grocery</v>
          </cell>
          <cell r="I934" t="str">
            <v>Grocery - Dehire</v>
          </cell>
        </row>
        <row r="935">
          <cell r="A935" t="str">
            <v>GRDHAK10328</v>
          </cell>
          <cell r="B935">
            <v>934</v>
          </cell>
          <cell r="C935"/>
          <cell r="D935"/>
          <cell r="E935"/>
          <cell r="F935"/>
          <cell r="G935" t="str">
            <v>C. Grocery</v>
          </cell>
          <cell r="H935" t="str">
            <v>Grocery</v>
          </cell>
          <cell r="I935" t="str">
            <v>Grocery - Dehire</v>
          </cell>
        </row>
        <row r="936">
          <cell r="A936" t="str">
            <v>GRDHAK10329</v>
          </cell>
          <cell r="B936">
            <v>935</v>
          </cell>
          <cell r="C936"/>
          <cell r="D936"/>
          <cell r="E936"/>
          <cell r="F936"/>
          <cell r="G936" t="str">
            <v>C. Grocery</v>
          </cell>
          <cell r="H936" t="str">
            <v>Grocery</v>
          </cell>
          <cell r="I936" t="str">
            <v>Grocery - Dehire</v>
          </cell>
        </row>
        <row r="937">
          <cell r="A937" t="str">
            <v>GRDHAK10330</v>
          </cell>
          <cell r="B937">
            <v>936</v>
          </cell>
          <cell r="C937"/>
          <cell r="D937"/>
          <cell r="E937"/>
          <cell r="F937"/>
          <cell r="G937" t="str">
            <v>C. Grocery</v>
          </cell>
          <cell r="H937" t="str">
            <v>Grocery</v>
          </cell>
          <cell r="I937" t="str">
            <v>Grocery - Dehire</v>
          </cell>
        </row>
        <row r="938">
          <cell r="A938" t="str">
            <v>GRDHAK10331</v>
          </cell>
          <cell r="B938">
            <v>937</v>
          </cell>
          <cell r="C938"/>
          <cell r="D938"/>
          <cell r="E938"/>
          <cell r="F938"/>
          <cell r="G938" t="str">
            <v>C. Grocery</v>
          </cell>
          <cell r="H938" t="str">
            <v>Grocery</v>
          </cell>
          <cell r="I938" t="str">
            <v>Grocery - Dehire</v>
          </cell>
        </row>
        <row r="939">
          <cell r="A939" t="str">
            <v>GRDHAK10332</v>
          </cell>
          <cell r="B939">
            <v>938</v>
          </cell>
          <cell r="C939"/>
          <cell r="D939"/>
          <cell r="E939"/>
          <cell r="F939"/>
          <cell r="G939" t="str">
            <v>C. Grocery</v>
          </cell>
          <cell r="H939" t="str">
            <v>Grocery</v>
          </cell>
          <cell r="I939" t="str">
            <v>Grocery - Dehire</v>
          </cell>
        </row>
        <row r="940">
          <cell r="A940" t="str">
            <v>GRDHAK10333</v>
          </cell>
          <cell r="B940">
            <v>939</v>
          </cell>
          <cell r="C940"/>
          <cell r="D940"/>
          <cell r="E940"/>
          <cell r="F940"/>
          <cell r="G940" t="str">
            <v>C. Grocery</v>
          </cell>
          <cell r="H940" t="str">
            <v>Grocery</v>
          </cell>
          <cell r="I940" t="str">
            <v>Grocery - Dehire</v>
          </cell>
        </row>
        <row r="941">
          <cell r="A941" t="str">
            <v>GRDHAK10334</v>
          </cell>
          <cell r="B941">
            <v>940</v>
          </cell>
          <cell r="C941"/>
          <cell r="D941"/>
          <cell r="E941"/>
          <cell r="F941"/>
          <cell r="G941" t="str">
            <v>C. Grocery</v>
          </cell>
          <cell r="H941" t="str">
            <v>Grocery</v>
          </cell>
          <cell r="I941" t="str">
            <v>Grocery - Dehire</v>
          </cell>
        </row>
        <row r="942">
          <cell r="A942" t="str">
            <v>GRDHAK10335</v>
          </cell>
          <cell r="B942">
            <v>941</v>
          </cell>
          <cell r="C942"/>
          <cell r="D942"/>
          <cell r="E942"/>
          <cell r="F942"/>
          <cell r="G942" t="str">
            <v>C. Grocery</v>
          </cell>
          <cell r="H942" t="str">
            <v>Grocery</v>
          </cell>
          <cell r="I942" t="str">
            <v>Grocery - Dehire</v>
          </cell>
        </row>
        <row r="943">
          <cell r="A943" t="str">
            <v>GRDHAK10336</v>
          </cell>
          <cell r="B943">
            <v>942</v>
          </cell>
          <cell r="C943"/>
          <cell r="D943"/>
          <cell r="E943"/>
          <cell r="F943"/>
          <cell r="G943" t="str">
            <v>C. Grocery</v>
          </cell>
          <cell r="H943" t="str">
            <v>Grocery</v>
          </cell>
          <cell r="I943" t="str">
            <v>Grocery - Dehire</v>
          </cell>
        </row>
        <row r="944">
          <cell r="A944" t="str">
            <v>GRDHAK10337</v>
          </cell>
          <cell r="B944">
            <v>943</v>
          </cell>
          <cell r="C944"/>
          <cell r="D944"/>
          <cell r="E944"/>
          <cell r="F944"/>
          <cell r="G944" t="str">
            <v>C. Grocery</v>
          </cell>
          <cell r="H944" t="str">
            <v>Grocery</v>
          </cell>
          <cell r="I944" t="str">
            <v>Grocery - Dehire</v>
          </cell>
        </row>
        <row r="945">
          <cell r="A945" t="str">
            <v>GRDHAK10338</v>
          </cell>
          <cell r="B945">
            <v>944</v>
          </cell>
          <cell r="C945"/>
          <cell r="D945"/>
          <cell r="E945"/>
          <cell r="F945"/>
          <cell r="G945" t="str">
            <v>C. Grocery</v>
          </cell>
          <cell r="H945" t="str">
            <v>Grocery</v>
          </cell>
          <cell r="I945" t="str">
            <v>Grocery - Dehire</v>
          </cell>
        </row>
        <row r="946">
          <cell r="A946" t="str">
            <v>GRDHAK10339</v>
          </cell>
          <cell r="B946">
            <v>945</v>
          </cell>
          <cell r="C946"/>
          <cell r="D946"/>
          <cell r="E946"/>
          <cell r="F946"/>
          <cell r="G946" t="str">
            <v>C. Grocery</v>
          </cell>
          <cell r="H946" t="str">
            <v>Grocery</v>
          </cell>
          <cell r="I946" t="str">
            <v>Grocery - Dehire</v>
          </cell>
        </row>
        <row r="947">
          <cell r="A947" t="str">
            <v>GRDHAK10340</v>
          </cell>
          <cell r="B947">
            <v>946</v>
          </cell>
          <cell r="C947"/>
          <cell r="D947"/>
          <cell r="E947"/>
          <cell r="F947"/>
          <cell r="G947" t="str">
            <v>C. Grocery</v>
          </cell>
          <cell r="H947" t="str">
            <v>Grocery</v>
          </cell>
          <cell r="I947" t="str">
            <v>Grocery - Dehire</v>
          </cell>
        </row>
        <row r="948">
          <cell r="A948" t="str">
            <v>GRDHAK10341</v>
          </cell>
          <cell r="B948">
            <v>947</v>
          </cell>
          <cell r="C948"/>
          <cell r="D948"/>
          <cell r="E948"/>
          <cell r="F948"/>
          <cell r="G948" t="str">
            <v>C. Grocery</v>
          </cell>
          <cell r="H948" t="str">
            <v>Grocery</v>
          </cell>
          <cell r="I948" t="str">
            <v>Grocery - Dehire</v>
          </cell>
        </row>
        <row r="949">
          <cell r="A949" t="str">
            <v>GRBSAS10173</v>
          </cell>
          <cell r="B949">
            <v>948</v>
          </cell>
          <cell r="C949"/>
          <cell r="D949"/>
          <cell r="E949"/>
          <cell r="F949"/>
          <cell r="G949" t="str">
            <v>C. Grocery</v>
          </cell>
          <cell r="H949" t="str">
            <v>Grocery</v>
          </cell>
          <cell r="I949" t="str">
            <v>Grocery Bismi</v>
          </cell>
        </row>
        <row r="950">
          <cell r="A950" t="str">
            <v>GRBSAS10394</v>
          </cell>
          <cell r="B950">
            <v>949</v>
          </cell>
          <cell r="C950"/>
          <cell r="D950"/>
          <cell r="E950"/>
          <cell r="F950"/>
          <cell r="G950" t="str">
            <v>C. Grocery</v>
          </cell>
          <cell r="H950" t="str">
            <v>Grocery</v>
          </cell>
          <cell r="I950" t="str">
            <v>Grocery Bismi</v>
          </cell>
        </row>
        <row r="951">
          <cell r="A951" t="str">
            <v>GRBSAS10395</v>
          </cell>
          <cell r="B951">
            <v>950</v>
          </cell>
          <cell r="C951"/>
          <cell r="D951"/>
          <cell r="E951"/>
          <cell r="F951"/>
          <cell r="G951" t="str">
            <v>C. Grocery</v>
          </cell>
          <cell r="H951" t="str">
            <v>Grocery</v>
          </cell>
          <cell r="I951" t="str">
            <v>Grocery Bismi</v>
          </cell>
        </row>
        <row r="952">
          <cell r="A952" t="str">
            <v>GRBSAS10396</v>
          </cell>
          <cell r="B952">
            <v>951</v>
          </cell>
          <cell r="C952"/>
          <cell r="D952"/>
          <cell r="E952"/>
          <cell r="F952"/>
          <cell r="G952" t="str">
            <v>C. Grocery</v>
          </cell>
          <cell r="H952" t="str">
            <v>Grocery</v>
          </cell>
          <cell r="I952" t="str">
            <v>Grocery Bismi</v>
          </cell>
        </row>
        <row r="953">
          <cell r="A953" t="str">
            <v>GRBSAS10397</v>
          </cell>
          <cell r="B953">
            <v>952</v>
          </cell>
          <cell r="C953"/>
          <cell r="D953"/>
          <cell r="E953"/>
          <cell r="F953"/>
          <cell r="G953" t="str">
            <v>C. Grocery</v>
          </cell>
          <cell r="H953" t="str">
            <v>Grocery</v>
          </cell>
          <cell r="I953" t="str">
            <v>Grocery Bismi</v>
          </cell>
        </row>
        <row r="954">
          <cell r="A954" t="str">
            <v>GRBSAS10398</v>
          </cell>
          <cell r="B954">
            <v>953</v>
          </cell>
          <cell r="C954"/>
          <cell r="D954"/>
          <cell r="E954"/>
          <cell r="F954"/>
          <cell r="G954" t="str">
            <v>C. Grocery</v>
          </cell>
          <cell r="H954" t="str">
            <v>Grocery</v>
          </cell>
          <cell r="I954" t="str">
            <v>Grocery Bismi</v>
          </cell>
        </row>
        <row r="955">
          <cell r="A955" t="str">
            <v>GRBSAS10399</v>
          </cell>
          <cell r="B955">
            <v>954</v>
          </cell>
          <cell r="C955"/>
          <cell r="D955"/>
          <cell r="E955"/>
          <cell r="F955"/>
          <cell r="G955" t="str">
            <v>C. Grocery</v>
          </cell>
          <cell r="H955" t="str">
            <v>Grocery</v>
          </cell>
          <cell r="I955" t="str">
            <v>Grocery Bismi</v>
          </cell>
        </row>
        <row r="956">
          <cell r="A956" t="str">
            <v>GRBSAS10400</v>
          </cell>
          <cell r="B956">
            <v>955</v>
          </cell>
          <cell r="C956"/>
          <cell r="D956"/>
          <cell r="E956"/>
          <cell r="F956"/>
          <cell r="G956" t="str">
            <v>C. Grocery</v>
          </cell>
          <cell r="H956" t="str">
            <v>Grocery</v>
          </cell>
          <cell r="I956" t="str">
            <v>Grocery Bismi</v>
          </cell>
        </row>
        <row r="957">
          <cell r="A957" t="str">
            <v>RDFLAS11284</v>
          </cell>
          <cell r="B957">
            <v>956</v>
          </cell>
          <cell r="C957"/>
          <cell r="D957"/>
          <cell r="E957" t="str">
            <v>QF9R</v>
          </cell>
          <cell r="F957" t="str">
            <v>RCITKQF9R00</v>
          </cell>
          <cell r="G957" t="str">
            <v>C. Grocery</v>
          </cell>
          <cell r="H957" t="str">
            <v>Grocery</v>
          </cell>
          <cell r="I957" t="str">
            <v>R&amp;D FMCG Lab</v>
          </cell>
        </row>
        <row r="958">
          <cell r="A958" t="str">
            <v>SIGNBK3746</v>
          </cell>
          <cell r="B958">
            <v>957</v>
          </cell>
          <cell r="C958"/>
          <cell r="D958"/>
          <cell r="E958" t="str">
            <v>QZHE</v>
          </cell>
          <cell r="F958" t="str">
            <v>FRSHGQZHE00</v>
          </cell>
          <cell r="G958" t="str">
            <v>C. Grocery</v>
          </cell>
          <cell r="H958" t="str">
            <v>Grocery</v>
          </cell>
          <cell r="I958" t="str">
            <v>Signature</v>
          </cell>
        </row>
        <row r="959">
          <cell r="A959" t="str">
            <v>SIGNBK10209</v>
          </cell>
          <cell r="B959">
            <v>958</v>
          </cell>
          <cell r="C959"/>
          <cell r="D959"/>
          <cell r="E959"/>
          <cell r="F959"/>
          <cell r="G959" t="str">
            <v>C. Grocery</v>
          </cell>
          <cell r="H959" t="str">
            <v>Grocery</v>
          </cell>
          <cell r="I959" t="str">
            <v>Signature</v>
          </cell>
        </row>
        <row r="960">
          <cell r="A960" t="str">
            <v>SIGNBK10356</v>
          </cell>
          <cell r="B960">
            <v>959</v>
          </cell>
          <cell r="C960"/>
          <cell r="D960"/>
          <cell r="E960"/>
          <cell r="F960"/>
          <cell r="G960" t="str">
            <v>C. Grocery</v>
          </cell>
          <cell r="H960" t="str">
            <v>Grocery</v>
          </cell>
          <cell r="I960" t="str">
            <v>Signature</v>
          </cell>
        </row>
        <row r="961">
          <cell r="A961" t="str">
            <v>SGFPAS73</v>
          </cell>
          <cell r="B961">
            <v>960</v>
          </cell>
          <cell r="C961"/>
          <cell r="D961" t="str">
            <v>TH5Q</v>
          </cell>
          <cell r="E961" t="str">
            <v>QZGW</v>
          </cell>
          <cell r="F961" t="str">
            <v>SIGPTQZGW00</v>
          </cell>
          <cell r="G961" t="str">
            <v>C. Grocery</v>
          </cell>
          <cell r="H961" t="str">
            <v>Grocery</v>
          </cell>
          <cell r="I961" t="str">
            <v>Signature Fresh Plus</v>
          </cell>
        </row>
        <row r="962">
          <cell r="A962" t="str">
            <v>SGFPKC4093</v>
          </cell>
          <cell r="B962">
            <v>961</v>
          </cell>
          <cell r="C962"/>
          <cell r="D962" t="str">
            <v>T2GM</v>
          </cell>
          <cell r="E962" t="str">
            <v>QB0E</v>
          </cell>
          <cell r="F962" t="str">
            <v>SIGPGQB0E00</v>
          </cell>
          <cell r="G962" t="str">
            <v>C. Grocery</v>
          </cell>
          <cell r="H962" t="str">
            <v>Grocery</v>
          </cell>
          <cell r="I962" t="str">
            <v>Signature Fresh Plus</v>
          </cell>
        </row>
        <row r="963">
          <cell r="A963" t="str">
            <v>SGFPBK4402</v>
          </cell>
          <cell r="B963">
            <v>962</v>
          </cell>
          <cell r="C963"/>
          <cell r="D963" t="str">
            <v>T2XL</v>
          </cell>
          <cell r="E963" t="str">
            <v>QI3P</v>
          </cell>
          <cell r="F963" t="str">
            <v>SIGPMQI3P00</v>
          </cell>
          <cell r="G963" t="str">
            <v>C. Grocery</v>
          </cell>
          <cell r="H963" t="str">
            <v>Grocery</v>
          </cell>
          <cell r="I963" t="str">
            <v>Signature Fresh Plus</v>
          </cell>
        </row>
        <row r="964">
          <cell r="A964" t="str">
            <v>SGFPAS4403</v>
          </cell>
          <cell r="B964">
            <v>963</v>
          </cell>
          <cell r="C964"/>
          <cell r="D964" t="str">
            <v>T2GR</v>
          </cell>
          <cell r="E964" t="str">
            <v>QB0J</v>
          </cell>
          <cell r="F964" t="str">
            <v>SIGPKQB0J00</v>
          </cell>
          <cell r="G964" t="str">
            <v>C. Grocery</v>
          </cell>
          <cell r="H964" t="str">
            <v>Grocery</v>
          </cell>
          <cell r="I964" t="str">
            <v>Signature Fresh Plus</v>
          </cell>
        </row>
        <row r="965">
          <cell r="A965" t="str">
            <v>SGFPBK4404</v>
          </cell>
          <cell r="B965">
            <v>964</v>
          </cell>
          <cell r="C965"/>
          <cell r="D965" t="str">
            <v>TH5R</v>
          </cell>
          <cell r="E965" t="str">
            <v>QZGX</v>
          </cell>
          <cell r="F965" t="str">
            <v>SIGPMQZGX00</v>
          </cell>
          <cell r="G965" t="str">
            <v>C. Grocery</v>
          </cell>
          <cell r="H965" t="str">
            <v>Grocery</v>
          </cell>
          <cell r="I965" t="str">
            <v>Signature Fresh Plus</v>
          </cell>
        </row>
        <row r="966">
          <cell r="A966" t="str">
            <v>SmartW24</v>
          </cell>
          <cell r="B966">
            <v>965</v>
          </cell>
          <cell r="C966"/>
          <cell r="D966" t="str">
            <v>TAEP</v>
          </cell>
          <cell r="E966" t="str">
            <v>QFNL</v>
          </cell>
          <cell r="F966" t="str">
            <v>SMRTMQFNL00</v>
          </cell>
          <cell r="G966" t="str">
            <v>C. Grocery</v>
          </cell>
          <cell r="H966" t="str">
            <v>Grocery</v>
          </cell>
          <cell r="I966" t="str">
            <v>Smart</v>
          </cell>
        </row>
        <row r="967">
          <cell r="A967" t="str">
            <v>SmartS72</v>
          </cell>
          <cell r="B967">
            <v>966</v>
          </cell>
          <cell r="C967"/>
          <cell r="D967" t="str">
            <v>TXVN</v>
          </cell>
          <cell r="E967" t="str">
            <v>Q8W8</v>
          </cell>
          <cell r="F967" t="str">
            <v>SMRTVQ8W800</v>
          </cell>
          <cell r="G967" t="str">
            <v>C. Grocery</v>
          </cell>
          <cell r="H967" t="str">
            <v>Grocery</v>
          </cell>
          <cell r="I967" t="str">
            <v>Smart</v>
          </cell>
        </row>
        <row r="968">
          <cell r="A968" t="str">
            <v>SMARTN96</v>
          </cell>
          <cell r="B968">
            <v>967</v>
          </cell>
          <cell r="C968"/>
          <cell r="D968"/>
          <cell r="E968"/>
          <cell r="F968"/>
          <cell r="G968" t="str">
            <v>C. Grocery</v>
          </cell>
          <cell r="H968" t="str">
            <v>Grocery</v>
          </cell>
          <cell r="I968" t="str">
            <v>Smart</v>
          </cell>
        </row>
        <row r="969">
          <cell r="A969" t="str">
            <v>SmartE268</v>
          </cell>
          <cell r="B969">
            <v>968</v>
          </cell>
          <cell r="C969"/>
          <cell r="D969" t="str">
            <v>T64J</v>
          </cell>
          <cell r="E969" t="str">
            <v>QACW</v>
          </cell>
          <cell r="F969" t="str">
            <v>SMRTFQACW00</v>
          </cell>
          <cell r="G969" t="str">
            <v>C. Grocery</v>
          </cell>
          <cell r="H969" t="str">
            <v>Grocery</v>
          </cell>
          <cell r="I969" t="str">
            <v>Smart</v>
          </cell>
        </row>
        <row r="970">
          <cell r="A970" t="str">
            <v>SMBZAS373</v>
          </cell>
          <cell r="B970">
            <v>969</v>
          </cell>
          <cell r="C970"/>
          <cell r="D970" t="str">
            <v>FRHH</v>
          </cell>
          <cell r="E970" t="str">
            <v>Q4K4</v>
          </cell>
          <cell r="F970" t="str">
            <v>RSBZKQ4K401/RSBZKQU1O00/RSBZKQ4K402</v>
          </cell>
          <cell r="G970" t="str">
            <v>C. Grocery</v>
          </cell>
          <cell r="H970" t="str">
            <v>Grocery</v>
          </cell>
          <cell r="I970" t="str">
            <v>Smart</v>
          </cell>
        </row>
        <row r="971">
          <cell r="A971" t="str">
            <v>SMRTAS4016</v>
          </cell>
          <cell r="B971">
            <v>970</v>
          </cell>
          <cell r="C971"/>
          <cell r="D971" t="str">
            <v>T1X4</v>
          </cell>
          <cell r="E971" t="str">
            <v>Q4Q8</v>
          </cell>
          <cell r="F971" t="str">
            <v>SMRTVQ4Q800</v>
          </cell>
          <cell r="G971" t="str">
            <v>C. Grocery</v>
          </cell>
          <cell r="H971" t="str">
            <v>Grocery</v>
          </cell>
          <cell r="I971" t="str">
            <v>Smart</v>
          </cell>
        </row>
        <row r="972">
          <cell r="A972" t="str">
            <v>SMRTAS4043</v>
          </cell>
          <cell r="B972">
            <v>971</v>
          </cell>
          <cell r="C972"/>
          <cell r="D972" t="str">
            <v>TH1H</v>
          </cell>
          <cell r="E972" t="str">
            <v>QZDN</v>
          </cell>
          <cell r="F972" t="str">
            <v>SMRTTQZDN00</v>
          </cell>
          <cell r="G972" t="str">
            <v>C. Grocery</v>
          </cell>
          <cell r="H972" t="str">
            <v>Grocery</v>
          </cell>
          <cell r="I972" t="str">
            <v>Smart</v>
          </cell>
        </row>
        <row r="973">
          <cell r="A973" t="str">
            <v>SMRTJD4051</v>
          </cell>
          <cell r="B973">
            <v>972</v>
          </cell>
          <cell r="C973"/>
          <cell r="D973" t="str">
            <v>TXPL</v>
          </cell>
          <cell r="E973" t="str">
            <v>Q8A7</v>
          </cell>
          <cell r="F973" t="str">
            <v>SMRTAQ8A700</v>
          </cell>
          <cell r="G973" t="str">
            <v>C. Grocery</v>
          </cell>
          <cell r="H973" t="str">
            <v>Grocery</v>
          </cell>
          <cell r="I973" t="str">
            <v>Smart</v>
          </cell>
        </row>
        <row r="974">
          <cell r="A974" t="str">
            <v>SMRTSD4136</v>
          </cell>
          <cell r="B974">
            <v>973</v>
          </cell>
          <cell r="C974"/>
          <cell r="D974" t="str">
            <v>T17Q</v>
          </cell>
          <cell r="E974" t="str">
            <v>QK1W</v>
          </cell>
          <cell r="F974" t="str">
            <v>SMRTBQK1W00</v>
          </cell>
          <cell r="G974" t="str">
            <v>C. Grocery</v>
          </cell>
          <cell r="H974" t="str">
            <v>Grocery</v>
          </cell>
          <cell r="I974" t="str">
            <v>Smart</v>
          </cell>
        </row>
        <row r="975">
          <cell r="A975" t="str">
            <v>SMRTJD4295</v>
          </cell>
          <cell r="B975">
            <v>974</v>
          </cell>
          <cell r="C975"/>
          <cell r="D975" t="str">
            <v>TZUN</v>
          </cell>
          <cell r="E975" t="str">
            <v>QDJW</v>
          </cell>
          <cell r="F975" t="str">
            <v>SMRTAQDJW00</v>
          </cell>
          <cell r="G975" t="str">
            <v>C. Grocery</v>
          </cell>
          <cell r="H975" t="str">
            <v>Grocery</v>
          </cell>
          <cell r="I975" t="str">
            <v>Smart</v>
          </cell>
        </row>
        <row r="976">
          <cell r="A976" t="str">
            <v>SMRTJD4296</v>
          </cell>
          <cell r="B976">
            <v>975</v>
          </cell>
          <cell r="C976"/>
          <cell r="D976" t="str">
            <v xml:space="preserve"> T0YK</v>
          </cell>
          <cell r="E976" t="str">
            <v>Q5HO</v>
          </cell>
          <cell r="F976" t="str">
            <v>SMRTAQ5HO00</v>
          </cell>
          <cell r="G976" t="str">
            <v>C. Grocery</v>
          </cell>
          <cell r="H976" t="str">
            <v>Grocery</v>
          </cell>
          <cell r="I976" t="str">
            <v>Smart</v>
          </cell>
        </row>
        <row r="977">
          <cell r="A977" t="str">
            <v>SMRTJD4297</v>
          </cell>
          <cell r="B977">
            <v>976</v>
          </cell>
          <cell r="C977"/>
          <cell r="D977" t="str">
            <v>T2DN</v>
          </cell>
          <cell r="E977" t="str">
            <v>Q5MF</v>
          </cell>
          <cell r="F977" t="str">
            <v>SMRTAQ5MF00</v>
          </cell>
          <cell r="G977" t="str">
            <v>C. Grocery</v>
          </cell>
          <cell r="H977" t="str">
            <v>Grocery</v>
          </cell>
          <cell r="I977" t="str">
            <v>Smart</v>
          </cell>
        </row>
        <row r="978">
          <cell r="A978" t="str">
            <v>SMRTSD4309</v>
          </cell>
          <cell r="B978">
            <v>977</v>
          </cell>
          <cell r="C978"/>
          <cell r="D978" t="str">
            <v>T42G</v>
          </cell>
          <cell r="E978" t="str">
            <v>QIWW</v>
          </cell>
          <cell r="F978" t="str">
            <v>SMRTBQIWW00</v>
          </cell>
          <cell r="G978" t="str">
            <v>C. Grocery</v>
          </cell>
          <cell r="H978" t="str">
            <v>Grocery</v>
          </cell>
          <cell r="I978" t="str">
            <v>Smart</v>
          </cell>
        </row>
        <row r="979">
          <cell r="A979" t="str">
            <v>SMRTSD4311</v>
          </cell>
          <cell r="B979">
            <v>978</v>
          </cell>
          <cell r="C979"/>
          <cell r="D979" t="str">
            <v>T11A</v>
          </cell>
          <cell r="E979" t="str">
            <v>Q4U6</v>
          </cell>
          <cell r="F979" t="str">
            <v>SMRTBQ4U600</v>
          </cell>
          <cell r="G979" t="str">
            <v>C. Grocery</v>
          </cell>
          <cell r="H979" t="str">
            <v>Grocery</v>
          </cell>
          <cell r="I979" t="str">
            <v>Smart</v>
          </cell>
        </row>
        <row r="980">
          <cell r="A980" t="str">
            <v>SMRTRT4317</v>
          </cell>
          <cell r="B980">
            <v>979</v>
          </cell>
          <cell r="C980"/>
          <cell r="D980" t="str">
            <v>T1OW</v>
          </cell>
          <cell r="E980" t="str">
            <v>Q2H4</v>
          </cell>
          <cell r="F980"/>
          <cell r="G980" t="str">
            <v>C. Grocery</v>
          </cell>
          <cell r="H980" t="str">
            <v>Grocery</v>
          </cell>
          <cell r="I980" t="str">
            <v>Smart</v>
          </cell>
        </row>
        <row r="981">
          <cell r="A981" t="str">
            <v>SMRTRT4321</v>
          </cell>
          <cell r="B981">
            <v>980</v>
          </cell>
          <cell r="C981"/>
          <cell r="D981" t="str">
            <v>T1BA</v>
          </cell>
          <cell r="E981" t="str">
            <v>QG5Y</v>
          </cell>
          <cell r="F981" t="str">
            <v>SMRTRQG5Y00</v>
          </cell>
          <cell r="G981" t="str">
            <v>C. Grocery</v>
          </cell>
          <cell r="H981" t="str">
            <v>Grocery</v>
          </cell>
          <cell r="I981" t="str">
            <v>Smart</v>
          </cell>
        </row>
        <row r="982">
          <cell r="A982" t="str">
            <v>SMRTAS4323</v>
          </cell>
          <cell r="B982">
            <v>981</v>
          </cell>
          <cell r="C982"/>
          <cell r="D982" t="str">
            <v>TI5T</v>
          </cell>
          <cell r="E982" t="str">
            <v>QZNJ</v>
          </cell>
          <cell r="F982" t="str">
            <v>SMRTTQZNJ00</v>
          </cell>
          <cell r="G982" t="str">
            <v>C. Grocery</v>
          </cell>
          <cell r="H982" t="str">
            <v>Grocery</v>
          </cell>
          <cell r="I982" t="str">
            <v>Smart</v>
          </cell>
        </row>
        <row r="983">
          <cell r="A983" t="str">
            <v>SMRTSD4331</v>
          </cell>
          <cell r="B983">
            <v>982</v>
          </cell>
          <cell r="C983"/>
          <cell r="D983" t="str">
            <v>T1CT</v>
          </cell>
          <cell r="E983" t="str">
            <v>QG7Y</v>
          </cell>
          <cell r="F983" t="str">
            <v>SMRTWQG7Y00</v>
          </cell>
          <cell r="G983" t="str">
            <v>C. Grocery</v>
          </cell>
          <cell r="H983" t="str">
            <v>Grocery</v>
          </cell>
          <cell r="I983" t="str">
            <v>Smart</v>
          </cell>
        </row>
        <row r="984">
          <cell r="A984" t="str">
            <v>SMRTSD4332</v>
          </cell>
          <cell r="B984">
            <v>983</v>
          </cell>
          <cell r="C984"/>
          <cell r="D984" t="str">
            <v>TZOK</v>
          </cell>
          <cell r="E984" t="str">
            <v>QDBK</v>
          </cell>
          <cell r="F984"/>
          <cell r="G984" t="str">
            <v>C. Grocery</v>
          </cell>
          <cell r="H984" t="str">
            <v>Grocery</v>
          </cell>
          <cell r="I984" t="str">
            <v>Smart</v>
          </cell>
        </row>
        <row r="985">
          <cell r="A985" t="str">
            <v>SMRTSD4334</v>
          </cell>
          <cell r="B985">
            <v>984</v>
          </cell>
          <cell r="C985"/>
          <cell r="D985" t="str">
            <v>T60N</v>
          </cell>
          <cell r="E985" t="str">
            <v>QWZZ</v>
          </cell>
          <cell r="F985" t="str">
            <v>SMRTWQWZZ00</v>
          </cell>
          <cell r="G985" t="str">
            <v>C. Grocery</v>
          </cell>
          <cell r="H985" t="str">
            <v>Grocery</v>
          </cell>
          <cell r="I985" t="str">
            <v>Smart</v>
          </cell>
        </row>
        <row r="986">
          <cell r="A986" t="str">
            <v>SMRTAS4337</v>
          </cell>
          <cell r="B986">
            <v>985</v>
          </cell>
          <cell r="C986"/>
          <cell r="D986" t="str">
            <v>T9NZ</v>
          </cell>
          <cell r="E986" t="str">
            <v>QXER</v>
          </cell>
          <cell r="F986" t="str">
            <v>SMRTVQXER00</v>
          </cell>
          <cell r="G986" t="str">
            <v>C. Grocery</v>
          </cell>
          <cell r="H986" t="str">
            <v>Grocery</v>
          </cell>
          <cell r="I986" t="str">
            <v>Smart</v>
          </cell>
        </row>
        <row r="987">
          <cell r="A987" t="str">
            <v>SMRTBK4338</v>
          </cell>
          <cell r="B987">
            <v>986</v>
          </cell>
          <cell r="C987"/>
          <cell r="D987" t="str">
            <v>T0Y3</v>
          </cell>
          <cell r="E987" t="str">
            <v>Q8Z9</v>
          </cell>
          <cell r="F987" t="str">
            <v>SMRTMQ8Z900</v>
          </cell>
          <cell r="G987" t="str">
            <v>C. Grocery</v>
          </cell>
          <cell r="H987" t="str">
            <v>Grocery</v>
          </cell>
          <cell r="I987" t="str">
            <v>Smart</v>
          </cell>
        </row>
        <row r="988">
          <cell r="A988" t="str">
            <v>SMRTRT4340</v>
          </cell>
          <cell r="B988">
            <v>987</v>
          </cell>
          <cell r="C988"/>
          <cell r="D988" t="str">
            <v>TAI1</v>
          </cell>
          <cell r="E988" t="str">
            <v>QGMI</v>
          </cell>
          <cell r="F988"/>
          <cell r="G988" t="str">
            <v>C. Grocery</v>
          </cell>
          <cell r="H988" t="str">
            <v>Grocery</v>
          </cell>
          <cell r="I988" t="str">
            <v>Smart</v>
          </cell>
        </row>
        <row r="989">
          <cell r="A989" t="str">
            <v>SMRTRT4342</v>
          </cell>
          <cell r="B989">
            <v>988</v>
          </cell>
          <cell r="C989"/>
          <cell r="D989" t="str">
            <v>TFX9</v>
          </cell>
          <cell r="E989" t="str">
            <v>QYK5</v>
          </cell>
          <cell r="F989"/>
          <cell r="G989" t="str">
            <v>C. Grocery</v>
          </cell>
          <cell r="H989" t="str">
            <v>Grocery</v>
          </cell>
          <cell r="I989" t="str">
            <v>Smart</v>
          </cell>
        </row>
        <row r="990">
          <cell r="A990" t="str">
            <v>SMRTRT4343</v>
          </cell>
          <cell r="B990">
            <v>989</v>
          </cell>
          <cell r="C990"/>
          <cell r="D990" t="str">
            <v>TXTD</v>
          </cell>
          <cell r="E990" t="str">
            <v>Q8N9</v>
          </cell>
          <cell r="F990"/>
          <cell r="G990" t="str">
            <v>C. Grocery</v>
          </cell>
          <cell r="H990" t="str">
            <v>Grocery</v>
          </cell>
          <cell r="I990" t="str">
            <v>Smart</v>
          </cell>
        </row>
        <row r="991">
          <cell r="A991" t="str">
            <v>SMRTRT4344</v>
          </cell>
          <cell r="B991">
            <v>990</v>
          </cell>
          <cell r="C991"/>
          <cell r="D991" t="str">
            <v>TAI3</v>
          </cell>
          <cell r="E991" t="str">
            <v>QGMK</v>
          </cell>
          <cell r="F991"/>
          <cell r="G991" t="str">
            <v>C. Grocery</v>
          </cell>
          <cell r="H991" t="str">
            <v>Grocery</v>
          </cell>
          <cell r="I991" t="str">
            <v>Smart</v>
          </cell>
        </row>
        <row r="992">
          <cell r="A992" t="str">
            <v>SMRTAS4347</v>
          </cell>
          <cell r="B992">
            <v>991</v>
          </cell>
          <cell r="C992"/>
          <cell r="D992" t="str">
            <v>T0NF</v>
          </cell>
          <cell r="E992" t="str">
            <v>Q4XQ</v>
          </cell>
          <cell r="F992" t="str">
            <v>SMRTTQ4XQ00</v>
          </cell>
          <cell r="G992" t="str">
            <v>C. Grocery</v>
          </cell>
          <cell r="H992" t="str">
            <v>Grocery</v>
          </cell>
          <cell r="I992" t="str">
            <v>Smart</v>
          </cell>
        </row>
        <row r="993">
          <cell r="A993" t="str">
            <v>SMRTAS4348</v>
          </cell>
          <cell r="B993">
            <v>992</v>
          </cell>
          <cell r="C993"/>
          <cell r="D993" t="str">
            <v>T0VH</v>
          </cell>
          <cell r="E993" t="str">
            <v>Q5EB</v>
          </cell>
          <cell r="F993" t="str">
            <v>SMRTTQ5EB00</v>
          </cell>
          <cell r="G993" t="str">
            <v>C. Grocery</v>
          </cell>
          <cell r="H993" t="str">
            <v>Grocery</v>
          </cell>
          <cell r="I993" t="str">
            <v>Smart</v>
          </cell>
        </row>
        <row r="994">
          <cell r="A994" t="str">
            <v>SMRTAS4349</v>
          </cell>
          <cell r="B994">
            <v>993</v>
          </cell>
          <cell r="C994"/>
          <cell r="D994" t="str">
            <v>T1OE</v>
          </cell>
          <cell r="E994" t="str">
            <v>Q2E5</v>
          </cell>
          <cell r="F994" t="str">
            <v>SMRTTQ2E500</v>
          </cell>
          <cell r="G994" t="str">
            <v>C. Grocery</v>
          </cell>
          <cell r="H994" t="str">
            <v>Grocery</v>
          </cell>
          <cell r="I994" t="str">
            <v>Smart</v>
          </cell>
        </row>
        <row r="995">
          <cell r="A995" t="str">
            <v>SMRTAS4350</v>
          </cell>
          <cell r="B995">
            <v>994</v>
          </cell>
          <cell r="C995"/>
          <cell r="D995" t="str">
            <v>TANQ</v>
          </cell>
          <cell r="E995" t="str">
            <v>QF3Q</v>
          </cell>
          <cell r="F995" t="str">
            <v>SMRTTQF3Q00</v>
          </cell>
          <cell r="G995" t="str">
            <v>C. Grocery</v>
          </cell>
          <cell r="H995" t="str">
            <v>Grocery</v>
          </cell>
          <cell r="I995" t="str">
            <v>Smart</v>
          </cell>
        </row>
        <row r="996">
          <cell r="A996" t="str">
            <v>SMRTBK4352</v>
          </cell>
          <cell r="B996">
            <v>995</v>
          </cell>
          <cell r="C996"/>
          <cell r="D996" t="str">
            <v>TZ6V</v>
          </cell>
          <cell r="E996" t="str">
            <v>QEKB</v>
          </cell>
          <cell r="F996" t="str">
            <v>SMRTMQEKB00</v>
          </cell>
          <cell r="G996" t="str">
            <v>C. Grocery</v>
          </cell>
          <cell r="H996" t="str">
            <v>Grocery</v>
          </cell>
          <cell r="I996" t="str">
            <v>Smart</v>
          </cell>
        </row>
        <row r="997">
          <cell r="A997" t="str">
            <v>SMRTSD4356</v>
          </cell>
          <cell r="B997">
            <v>996</v>
          </cell>
          <cell r="C997"/>
          <cell r="D997" t="str">
            <v>T1EG</v>
          </cell>
          <cell r="E997" t="str">
            <v>Q1E6</v>
          </cell>
          <cell r="F997" t="str">
            <v>SMRTQQ1E600</v>
          </cell>
          <cell r="G997" t="str">
            <v>C. Grocery</v>
          </cell>
          <cell r="H997" t="str">
            <v>Grocery</v>
          </cell>
          <cell r="I997" t="str">
            <v>Smart</v>
          </cell>
        </row>
        <row r="998">
          <cell r="A998" t="str">
            <v>SMRTAS4358</v>
          </cell>
          <cell r="B998">
            <v>997</v>
          </cell>
          <cell r="C998"/>
          <cell r="D998" t="str">
            <v>T1EH</v>
          </cell>
          <cell r="E998" t="str">
            <v>Q1E7</v>
          </cell>
          <cell r="F998" t="str">
            <v>SMRTKQ1E700</v>
          </cell>
          <cell r="G998" t="str">
            <v>C. Grocery</v>
          </cell>
          <cell r="H998" t="str">
            <v>Grocery</v>
          </cell>
          <cell r="I998" t="str">
            <v>Smart</v>
          </cell>
        </row>
        <row r="999">
          <cell r="A999" t="str">
            <v>SMRTAS4362</v>
          </cell>
          <cell r="B999">
            <v>998</v>
          </cell>
          <cell r="C999"/>
          <cell r="D999" t="str">
            <v>TAM6</v>
          </cell>
          <cell r="E999" t="str">
            <v>QGOR</v>
          </cell>
          <cell r="F999" t="str">
            <v>SMRTTQGOR00</v>
          </cell>
          <cell r="G999" t="str">
            <v>C. Grocery</v>
          </cell>
          <cell r="H999" t="str">
            <v>Grocery</v>
          </cell>
          <cell r="I999" t="str">
            <v>Smart</v>
          </cell>
        </row>
        <row r="1000">
          <cell r="A1000" t="str">
            <v>SMRTAS4363</v>
          </cell>
          <cell r="B1000">
            <v>999</v>
          </cell>
          <cell r="C1000"/>
          <cell r="D1000" t="str">
            <v>T62Z</v>
          </cell>
          <cell r="E1000" t="str">
            <v>QZVV</v>
          </cell>
          <cell r="F1000" t="str">
            <v>SMRTTQZVV00</v>
          </cell>
          <cell r="G1000" t="str">
            <v>C. Grocery</v>
          </cell>
          <cell r="H1000" t="str">
            <v>Grocery</v>
          </cell>
          <cell r="I1000" t="str">
            <v>Smart</v>
          </cell>
        </row>
        <row r="1001">
          <cell r="A1001" t="str">
            <v>SMRTAS4364</v>
          </cell>
          <cell r="B1001">
            <v>1000</v>
          </cell>
          <cell r="C1001"/>
          <cell r="D1001" t="str">
            <v>T9WX</v>
          </cell>
          <cell r="E1001" t="str">
            <v>QXNX</v>
          </cell>
          <cell r="F1001" t="str">
            <v>SMRTTQXNX00</v>
          </cell>
          <cell r="G1001" t="str">
            <v>C. Grocery</v>
          </cell>
          <cell r="H1001" t="str">
            <v>Grocery</v>
          </cell>
          <cell r="I1001" t="str">
            <v>Smart</v>
          </cell>
        </row>
        <row r="1002">
          <cell r="A1002" t="str">
            <v>SMRTRT4367</v>
          </cell>
          <cell r="B1002">
            <v>1001</v>
          </cell>
          <cell r="C1002"/>
          <cell r="D1002" t="str">
            <v>T12E</v>
          </cell>
          <cell r="E1002" t="str">
            <v>QH1I</v>
          </cell>
          <cell r="F1002" t="str">
            <v>SMRTUQH1I00</v>
          </cell>
          <cell r="G1002" t="str">
            <v>C. Grocery</v>
          </cell>
          <cell r="H1002" t="str">
            <v>Grocery</v>
          </cell>
          <cell r="I1002" t="str">
            <v>Smart</v>
          </cell>
        </row>
        <row r="1003">
          <cell r="A1003" t="str">
            <v>SMRTRT4368</v>
          </cell>
          <cell r="B1003">
            <v>1002</v>
          </cell>
          <cell r="C1003"/>
          <cell r="D1003" t="str">
            <v>T1B8</v>
          </cell>
          <cell r="E1003" t="str">
            <v>Q3P8</v>
          </cell>
          <cell r="F1003" t="str">
            <v>SMRTUQ3P800</v>
          </cell>
          <cell r="G1003" t="str">
            <v>C. Grocery</v>
          </cell>
          <cell r="H1003" t="str">
            <v>Grocery</v>
          </cell>
          <cell r="I1003" t="str">
            <v>Smart</v>
          </cell>
        </row>
        <row r="1004">
          <cell r="A1004" t="str">
            <v>SMRTSD4370</v>
          </cell>
          <cell r="B1004">
            <v>1003</v>
          </cell>
          <cell r="C1004"/>
          <cell r="D1004" t="str">
            <v>T189</v>
          </cell>
          <cell r="E1004" t="str">
            <v>QG4I</v>
          </cell>
          <cell r="F1004" t="str">
            <v>SMRTWQG4I00</v>
          </cell>
          <cell r="G1004" t="str">
            <v>C. Grocery</v>
          </cell>
          <cell r="H1004" t="str">
            <v>Grocery</v>
          </cell>
          <cell r="I1004" t="str">
            <v>Smart</v>
          </cell>
        </row>
        <row r="1005">
          <cell r="A1005" t="str">
            <v>SMRTBK4375</v>
          </cell>
          <cell r="B1005">
            <v>1004</v>
          </cell>
          <cell r="C1005"/>
          <cell r="D1005"/>
          <cell r="E1005" t="str">
            <v>QI4N</v>
          </cell>
          <cell r="F1005" t="str">
            <v>SMRTEQI4N00</v>
          </cell>
          <cell r="G1005" t="str">
            <v>C. Grocery</v>
          </cell>
          <cell r="H1005" t="str">
            <v>Grocery</v>
          </cell>
          <cell r="I1005" t="str">
            <v>Smart</v>
          </cell>
        </row>
        <row r="1006">
          <cell r="A1006" t="str">
            <v>SMRTBK4387</v>
          </cell>
          <cell r="B1006">
            <v>1005</v>
          </cell>
          <cell r="C1006"/>
          <cell r="D1006" t="str">
            <v>TAU6</v>
          </cell>
          <cell r="E1006" t="str">
            <v>QGRR</v>
          </cell>
          <cell r="F1006" t="str">
            <v>SMRTEQGRR00</v>
          </cell>
          <cell r="G1006" t="str">
            <v>C. Grocery</v>
          </cell>
          <cell r="H1006" t="str">
            <v>Grocery</v>
          </cell>
          <cell r="I1006" t="str">
            <v>Smart</v>
          </cell>
        </row>
        <row r="1007">
          <cell r="A1007" t="str">
            <v>SMRTRT4394</v>
          </cell>
          <cell r="B1007">
            <v>1006</v>
          </cell>
          <cell r="C1007"/>
          <cell r="D1007" t="str">
            <v>TA7C</v>
          </cell>
          <cell r="E1007" t="str">
            <v>QGZU</v>
          </cell>
          <cell r="F1007" t="str">
            <v>SMRTIQGZU00</v>
          </cell>
          <cell r="G1007" t="str">
            <v>C. Grocery</v>
          </cell>
          <cell r="H1007" t="str">
            <v>Grocery</v>
          </cell>
          <cell r="I1007" t="str">
            <v>Smart</v>
          </cell>
        </row>
        <row r="1008">
          <cell r="A1008" t="str">
            <v>SMRTAS4399</v>
          </cell>
          <cell r="B1008">
            <v>1007</v>
          </cell>
          <cell r="C1008"/>
          <cell r="D1008" t="str">
            <v>T49A</v>
          </cell>
          <cell r="E1008" t="str">
            <v>QLHH</v>
          </cell>
          <cell r="F1008"/>
          <cell r="G1008" t="str">
            <v>C. Grocery</v>
          </cell>
          <cell r="H1008" t="str">
            <v>Grocery</v>
          </cell>
          <cell r="I1008" t="str">
            <v>Smart</v>
          </cell>
        </row>
        <row r="1009">
          <cell r="A1009" t="str">
            <v>SMRTAS4752</v>
          </cell>
          <cell r="B1009">
            <v>1008</v>
          </cell>
          <cell r="C1009"/>
          <cell r="D1009" t="str">
            <v>T1B7</v>
          </cell>
          <cell r="E1009" t="str">
            <v>Q3P7</v>
          </cell>
          <cell r="F1009" t="str">
            <v>SMRTVQ3P700</v>
          </cell>
          <cell r="G1009" t="str">
            <v>C. Grocery</v>
          </cell>
          <cell r="H1009" t="str">
            <v>Grocery</v>
          </cell>
          <cell r="I1009" t="str">
            <v>Smart</v>
          </cell>
        </row>
        <row r="1010">
          <cell r="A1010" t="str">
            <v>SMRTSD4753</v>
          </cell>
          <cell r="B1010">
            <v>1009</v>
          </cell>
          <cell r="C1010"/>
          <cell r="D1010" t="str">
            <v>T1EL</v>
          </cell>
          <cell r="E1010" t="str">
            <v>Q1F2</v>
          </cell>
          <cell r="F1010" t="str">
            <v>SMRTFQ1F200</v>
          </cell>
          <cell r="G1010" t="str">
            <v>C. Grocery</v>
          </cell>
          <cell r="H1010" t="str">
            <v>Grocery</v>
          </cell>
          <cell r="I1010" t="str">
            <v>Smart</v>
          </cell>
        </row>
        <row r="1011">
          <cell r="A1011" t="str">
            <v>SMRTJD4763</v>
          </cell>
          <cell r="B1011">
            <v>1010</v>
          </cell>
          <cell r="C1011"/>
          <cell r="D1011" t="str">
            <v>TH2H</v>
          </cell>
          <cell r="E1011" t="str">
            <v>QZEM</v>
          </cell>
          <cell r="F1011" t="str">
            <v>SMRTAQZEM00</v>
          </cell>
          <cell r="G1011" t="str">
            <v>C. Grocery</v>
          </cell>
          <cell r="H1011" t="str">
            <v>Grocery</v>
          </cell>
          <cell r="I1011" t="str">
            <v>Smart</v>
          </cell>
        </row>
        <row r="1012">
          <cell r="A1012" t="str">
            <v>SMRTJD4829</v>
          </cell>
          <cell r="B1012">
            <v>1011</v>
          </cell>
          <cell r="C1012"/>
          <cell r="D1012" t="str">
            <v>TH2Y</v>
          </cell>
          <cell r="E1012" t="str">
            <v>QZFG</v>
          </cell>
          <cell r="F1012" t="str">
            <v>SMRTAQZFG00</v>
          </cell>
          <cell r="G1012" t="str">
            <v>C. Grocery</v>
          </cell>
          <cell r="H1012" t="str">
            <v>Grocery</v>
          </cell>
          <cell r="I1012" t="str">
            <v>Smart</v>
          </cell>
        </row>
        <row r="1013">
          <cell r="A1013" t="str">
            <v>SMRTJD4836</v>
          </cell>
          <cell r="B1013">
            <v>1012</v>
          </cell>
          <cell r="C1013"/>
          <cell r="D1013"/>
          <cell r="E1013" t="str">
            <v>QZEJ</v>
          </cell>
          <cell r="F1013" t="str">
            <v>SMRTAQZEJ00</v>
          </cell>
          <cell r="G1013" t="str">
            <v>C. Grocery</v>
          </cell>
          <cell r="H1013" t="str">
            <v>Grocery</v>
          </cell>
          <cell r="I1013" t="str">
            <v>Smart</v>
          </cell>
        </row>
        <row r="1014">
          <cell r="A1014" t="str">
            <v>SMRTSD5187</v>
          </cell>
          <cell r="B1014">
            <v>1013</v>
          </cell>
          <cell r="C1014"/>
          <cell r="D1014"/>
          <cell r="E1014" t="str">
            <v>QACY</v>
          </cell>
          <cell r="F1014" t="str">
            <v>SMRT6QACY00</v>
          </cell>
          <cell r="G1014" t="str">
            <v>C. Grocery</v>
          </cell>
          <cell r="H1014" t="str">
            <v>Grocery</v>
          </cell>
          <cell r="I1014" t="str">
            <v>Smart</v>
          </cell>
        </row>
        <row r="1015">
          <cell r="A1015" t="str">
            <v>SMRTJD5189</v>
          </cell>
          <cell r="B1015">
            <v>1014</v>
          </cell>
          <cell r="C1015"/>
          <cell r="D1015"/>
          <cell r="E1015" t="str">
            <v>QZER</v>
          </cell>
          <cell r="F1015" t="str">
            <v>SMRTAQZER00</v>
          </cell>
          <cell r="G1015" t="str">
            <v>C. Grocery</v>
          </cell>
          <cell r="H1015" t="str">
            <v>Grocery</v>
          </cell>
          <cell r="I1015" t="str">
            <v>Smart</v>
          </cell>
        </row>
        <row r="1016">
          <cell r="A1016" t="str">
            <v>SMRTAS10149</v>
          </cell>
          <cell r="B1016">
            <v>1015</v>
          </cell>
          <cell r="C1016"/>
          <cell r="D1016"/>
          <cell r="E1016" t="str">
            <v>QK0A</v>
          </cell>
          <cell r="F1016" t="str">
            <v>SMRTTQK0A00</v>
          </cell>
          <cell r="G1016" t="str">
            <v>C. Grocery</v>
          </cell>
          <cell r="H1016" t="str">
            <v>Grocery</v>
          </cell>
          <cell r="I1016" t="str">
            <v>Smart</v>
          </cell>
        </row>
        <row r="1017">
          <cell r="A1017" t="str">
            <v>SMRTSD10155</v>
          </cell>
          <cell r="B1017">
            <v>1016</v>
          </cell>
          <cell r="C1017"/>
          <cell r="D1017"/>
          <cell r="E1017" t="str">
            <v>QXNY</v>
          </cell>
          <cell r="F1017" t="str">
            <v>SMRTWQXNY00</v>
          </cell>
          <cell r="G1017" t="str">
            <v>C. Grocery</v>
          </cell>
          <cell r="H1017" t="str">
            <v>Grocery</v>
          </cell>
          <cell r="I1017" t="str">
            <v>Smart</v>
          </cell>
        </row>
        <row r="1018">
          <cell r="A1018" t="str">
            <v>SMRTSD10159</v>
          </cell>
          <cell r="B1018">
            <v>1017</v>
          </cell>
          <cell r="C1018"/>
          <cell r="D1018"/>
          <cell r="E1018"/>
          <cell r="F1018"/>
          <cell r="G1018" t="str">
            <v>C. Grocery</v>
          </cell>
          <cell r="H1018" t="str">
            <v>Grocery</v>
          </cell>
          <cell r="I1018" t="str">
            <v>Smart</v>
          </cell>
        </row>
        <row r="1019">
          <cell r="A1019" t="str">
            <v>SMRTAS10163</v>
          </cell>
          <cell r="B1019">
            <v>1018</v>
          </cell>
          <cell r="C1019"/>
          <cell r="D1019"/>
          <cell r="E1019"/>
          <cell r="F1019"/>
          <cell r="G1019" t="str">
            <v>C. Grocery</v>
          </cell>
          <cell r="H1019" t="str">
            <v>Grocery</v>
          </cell>
          <cell r="I1019" t="str">
            <v>Smart</v>
          </cell>
        </row>
        <row r="1020">
          <cell r="A1020" t="str">
            <v>SMRTAS10165</v>
          </cell>
          <cell r="B1020">
            <v>1019</v>
          </cell>
          <cell r="C1020"/>
          <cell r="D1020"/>
          <cell r="E1020"/>
          <cell r="F1020"/>
          <cell r="G1020" t="str">
            <v>C. Grocery</v>
          </cell>
          <cell r="H1020" t="str">
            <v>Grocery</v>
          </cell>
          <cell r="I1020" t="str">
            <v>Smart</v>
          </cell>
        </row>
        <row r="1021">
          <cell r="A1021" t="str">
            <v>SMRTAS10166</v>
          </cell>
          <cell r="B1021">
            <v>1020</v>
          </cell>
          <cell r="C1021"/>
          <cell r="D1021"/>
          <cell r="E1021"/>
          <cell r="F1021"/>
          <cell r="G1021" t="str">
            <v>C. Grocery</v>
          </cell>
          <cell r="H1021" t="str">
            <v>Grocery</v>
          </cell>
          <cell r="I1021" t="str">
            <v>Smart</v>
          </cell>
        </row>
        <row r="1022">
          <cell r="A1022" t="str">
            <v>SMRTAS10168</v>
          </cell>
          <cell r="B1022">
            <v>1021</v>
          </cell>
          <cell r="C1022"/>
          <cell r="D1022"/>
          <cell r="E1022"/>
          <cell r="F1022"/>
          <cell r="G1022" t="str">
            <v>C. Grocery</v>
          </cell>
          <cell r="H1022" t="str">
            <v>Grocery</v>
          </cell>
          <cell r="I1022" t="str">
            <v>Smart</v>
          </cell>
        </row>
        <row r="1023">
          <cell r="A1023" t="str">
            <v>SMRTAS10171</v>
          </cell>
          <cell r="B1023">
            <v>1022</v>
          </cell>
          <cell r="C1023"/>
          <cell r="D1023"/>
          <cell r="E1023"/>
          <cell r="F1023"/>
          <cell r="G1023" t="str">
            <v>C. Grocery</v>
          </cell>
          <cell r="H1023" t="str">
            <v>Grocery</v>
          </cell>
          <cell r="I1023" t="str">
            <v>Smart</v>
          </cell>
        </row>
        <row r="1024">
          <cell r="A1024" t="str">
            <v>SMRTAS10174</v>
          </cell>
          <cell r="B1024">
            <v>1023</v>
          </cell>
          <cell r="C1024"/>
          <cell r="D1024"/>
          <cell r="E1024"/>
          <cell r="F1024"/>
          <cell r="G1024" t="str">
            <v>C. Grocery</v>
          </cell>
          <cell r="H1024" t="str">
            <v>Grocery</v>
          </cell>
          <cell r="I1024" t="str">
            <v>Smart</v>
          </cell>
        </row>
        <row r="1025">
          <cell r="A1025" t="str">
            <v>SMRTAS10176</v>
          </cell>
          <cell r="B1025">
            <v>1024</v>
          </cell>
          <cell r="C1025"/>
          <cell r="D1025"/>
          <cell r="E1025"/>
          <cell r="F1025"/>
          <cell r="G1025" t="str">
            <v>C. Grocery</v>
          </cell>
          <cell r="H1025" t="str">
            <v>Grocery</v>
          </cell>
          <cell r="I1025" t="str">
            <v>Smart</v>
          </cell>
        </row>
        <row r="1026">
          <cell r="A1026" t="str">
            <v>SMRTAS10178</v>
          </cell>
          <cell r="B1026">
            <v>1025</v>
          </cell>
          <cell r="C1026"/>
          <cell r="D1026"/>
          <cell r="E1026"/>
          <cell r="F1026"/>
          <cell r="G1026" t="str">
            <v>C. Grocery</v>
          </cell>
          <cell r="H1026" t="str">
            <v>Grocery</v>
          </cell>
          <cell r="I1026" t="str">
            <v>Smart</v>
          </cell>
        </row>
        <row r="1027">
          <cell r="A1027" t="str">
            <v>SMRTAS10180</v>
          </cell>
          <cell r="B1027">
            <v>1026</v>
          </cell>
          <cell r="C1027"/>
          <cell r="D1027"/>
          <cell r="E1027"/>
          <cell r="F1027"/>
          <cell r="G1027" t="str">
            <v>C. Grocery</v>
          </cell>
          <cell r="H1027" t="str">
            <v>Grocery</v>
          </cell>
          <cell r="I1027" t="str">
            <v>Smart</v>
          </cell>
        </row>
        <row r="1028">
          <cell r="A1028" t="str">
            <v>SMRTAS10182</v>
          </cell>
          <cell r="B1028">
            <v>1027</v>
          </cell>
          <cell r="C1028"/>
          <cell r="D1028"/>
          <cell r="E1028"/>
          <cell r="F1028"/>
          <cell r="G1028" t="str">
            <v>C. Grocery</v>
          </cell>
          <cell r="H1028" t="str">
            <v>Grocery</v>
          </cell>
          <cell r="I1028" t="str">
            <v>Smart</v>
          </cell>
        </row>
        <row r="1029">
          <cell r="A1029" t="str">
            <v>SMRTAS10183</v>
          </cell>
          <cell r="B1029">
            <v>1028</v>
          </cell>
          <cell r="C1029"/>
          <cell r="D1029"/>
          <cell r="E1029"/>
          <cell r="F1029"/>
          <cell r="G1029" t="str">
            <v>C. Grocery</v>
          </cell>
          <cell r="H1029" t="str">
            <v>Grocery</v>
          </cell>
          <cell r="I1029" t="str">
            <v>Smart</v>
          </cell>
        </row>
        <row r="1030">
          <cell r="A1030" t="str">
            <v>SMRTAS10184</v>
          </cell>
          <cell r="B1030">
            <v>1029</v>
          </cell>
          <cell r="C1030"/>
          <cell r="D1030"/>
          <cell r="E1030"/>
          <cell r="F1030"/>
          <cell r="G1030" t="str">
            <v>C. Grocery</v>
          </cell>
          <cell r="H1030" t="str">
            <v>Grocery</v>
          </cell>
          <cell r="I1030" t="str">
            <v>Smart</v>
          </cell>
        </row>
        <row r="1031">
          <cell r="A1031" t="str">
            <v>SMRTAS10186</v>
          </cell>
          <cell r="B1031">
            <v>1030</v>
          </cell>
          <cell r="C1031"/>
          <cell r="D1031"/>
          <cell r="E1031"/>
          <cell r="F1031"/>
          <cell r="G1031" t="str">
            <v>C. Grocery</v>
          </cell>
          <cell r="H1031" t="str">
            <v>Grocery</v>
          </cell>
          <cell r="I1031" t="str">
            <v>Smart</v>
          </cell>
        </row>
        <row r="1032">
          <cell r="A1032" t="str">
            <v>SMRTAS10188</v>
          </cell>
          <cell r="B1032">
            <v>1031</v>
          </cell>
          <cell r="C1032"/>
          <cell r="D1032"/>
          <cell r="E1032"/>
          <cell r="F1032"/>
          <cell r="G1032" t="str">
            <v>C. Grocery</v>
          </cell>
          <cell r="H1032" t="str">
            <v>Grocery</v>
          </cell>
          <cell r="I1032" t="str">
            <v>Smart</v>
          </cell>
        </row>
        <row r="1033">
          <cell r="A1033" t="str">
            <v>SMRTAS10189</v>
          </cell>
          <cell r="B1033">
            <v>1032</v>
          </cell>
          <cell r="C1033"/>
          <cell r="D1033"/>
          <cell r="E1033"/>
          <cell r="F1033"/>
          <cell r="G1033" t="str">
            <v>C. Grocery</v>
          </cell>
          <cell r="H1033" t="str">
            <v>Grocery</v>
          </cell>
          <cell r="I1033" t="str">
            <v>Smart</v>
          </cell>
        </row>
        <row r="1034">
          <cell r="A1034" t="str">
            <v>SMRTAS10191</v>
          </cell>
          <cell r="B1034">
            <v>1033</v>
          </cell>
          <cell r="C1034"/>
          <cell r="D1034"/>
          <cell r="E1034"/>
          <cell r="F1034"/>
          <cell r="G1034" t="str">
            <v>C. Grocery</v>
          </cell>
          <cell r="H1034" t="str">
            <v>Grocery</v>
          </cell>
          <cell r="I1034" t="str">
            <v>Smart</v>
          </cell>
        </row>
        <row r="1035">
          <cell r="A1035" t="str">
            <v>SMRTRT10197</v>
          </cell>
          <cell r="B1035">
            <v>1034</v>
          </cell>
          <cell r="C1035"/>
          <cell r="D1035"/>
          <cell r="E1035"/>
          <cell r="F1035"/>
          <cell r="G1035" t="str">
            <v>C. Grocery</v>
          </cell>
          <cell r="H1035" t="str">
            <v>Grocery</v>
          </cell>
          <cell r="I1035" t="str">
            <v>Smart</v>
          </cell>
        </row>
        <row r="1036">
          <cell r="A1036" t="str">
            <v>SMRTRT10198</v>
          </cell>
          <cell r="B1036">
            <v>1035</v>
          </cell>
          <cell r="C1036"/>
          <cell r="D1036"/>
          <cell r="E1036"/>
          <cell r="F1036"/>
          <cell r="G1036" t="str">
            <v>C. Grocery</v>
          </cell>
          <cell r="H1036" t="str">
            <v>Grocery</v>
          </cell>
          <cell r="I1036" t="str">
            <v>Smart</v>
          </cell>
        </row>
        <row r="1037">
          <cell r="A1037" t="str">
            <v>SMRTRT10199</v>
          </cell>
          <cell r="B1037">
            <v>1036</v>
          </cell>
          <cell r="C1037"/>
          <cell r="D1037"/>
          <cell r="E1037"/>
          <cell r="F1037"/>
          <cell r="G1037" t="str">
            <v>C. Grocery</v>
          </cell>
          <cell r="H1037" t="str">
            <v>Grocery</v>
          </cell>
          <cell r="I1037" t="str">
            <v>Smart</v>
          </cell>
        </row>
        <row r="1038">
          <cell r="A1038" t="str">
            <v>SMRTRT10200</v>
          </cell>
          <cell r="B1038">
            <v>1037</v>
          </cell>
          <cell r="C1038"/>
          <cell r="D1038"/>
          <cell r="E1038"/>
          <cell r="F1038"/>
          <cell r="G1038" t="str">
            <v>C. Grocery</v>
          </cell>
          <cell r="H1038" t="str">
            <v>Grocery</v>
          </cell>
          <cell r="I1038" t="str">
            <v>Smart</v>
          </cell>
        </row>
        <row r="1039">
          <cell r="A1039" t="str">
            <v>SMRTRT10201</v>
          </cell>
          <cell r="B1039">
            <v>1038</v>
          </cell>
          <cell r="C1039"/>
          <cell r="D1039"/>
          <cell r="E1039"/>
          <cell r="F1039"/>
          <cell r="G1039" t="str">
            <v>C. Grocery</v>
          </cell>
          <cell r="H1039" t="str">
            <v>Grocery</v>
          </cell>
          <cell r="I1039" t="str">
            <v>Smart</v>
          </cell>
        </row>
        <row r="1040">
          <cell r="A1040" t="str">
            <v>SMRTRT10202</v>
          </cell>
          <cell r="B1040">
            <v>1039</v>
          </cell>
          <cell r="C1040"/>
          <cell r="D1040"/>
          <cell r="E1040"/>
          <cell r="F1040"/>
          <cell r="G1040" t="str">
            <v>C. Grocery</v>
          </cell>
          <cell r="H1040" t="str">
            <v>Grocery</v>
          </cell>
          <cell r="I1040" t="str">
            <v>Smart</v>
          </cell>
        </row>
        <row r="1041">
          <cell r="A1041" t="str">
            <v>SMRTRT10203</v>
          </cell>
          <cell r="B1041">
            <v>1040</v>
          </cell>
          <cell r="C1041"/>
          <cell r="D1041"/>
          <cell r="E1041"/>
          <cell r="F1041"/>
          <cell r="G1041" t="str">
            <v>C. Grocery</v>
          </cell>
          <cell r="H1041" t="str">
            <v>Grocery</v>
          </cell>
          <cell r="I1041" t="str">
            <v>Smart</v>
          </cell>
        </row>
        <row r="1042">
          <cell r="A1042" t="str">
            <v>SMRTRT10204</v>
          </cell>
          <cell r="B1042">
            <v>1041</v>
          </cell>
          <cell r="C1042"/>
          <cell r="D1042"/>
          <cell r="E1042"/>
          <cell r="F1042"/>
          <cell r="G1042" t="str">
            <v>C. Grocery</v>
          </cell>
          <cell r="H1042" t="str">
            <v>Grocery</v>
          </cell>
          <cell r="I1042" t="str">
            <v>Smart</v>
          </cell>
        </row>
        <row r="1043">
          <cell r="A1043" t="str">
            <v>SMRTRT10205</v>
          </cell>
          <cell r="B1043">
            <v>1042</v>
          </cell>
          <cell r="C1043"/>
          <cell r="D1043"/>
          <cell r="E1043"/>
          <cell r="F1043"/>
          <cell r="G1043" t="str">
            <v>C. Grocery</v>
          </cell>
          <cell r="H1043" t="str">
            <v>Grocery</v>
          </cell>
          <cell r="I1043" t="str">
            <v>Smart</v>
          </cell>
        </row>
        <row r="1044">
          <cell r="A1044" t="str">
            <v>SMRTRT10206</v>
          </cell>
          <cell r="B1044">
            <v>1043</v>
          </cell>
          <cell r="C1044"/>
          <cell r="D1044"/>
          <cell r="E1044"/>
          <cell r="F1044"/>
          <cell r="G1044" t="str">
            <v>C. Grocery</v>
          </cell>
          <cell r="H1044" t="str">
            <v>Grocery</v>
          </cell>
          <cell r="I1044" t="str">
            <v>Smart</v>
          </cell>
        </row>
        <row r="1045">
          <cell r="A1045" t="str">
            <v>SMRTAS10207</v>
          </cell>
          <cell r="B1045">
            <v>1044</v>
          </cell>
          <cell r="C1045"/>
          <cell r="D1045"/>
          <cell r="E1045"/>
          <cell r="F1045"/>
          <cell r="G1045" t="str">
            <v>C. Grocery</v>
          </cell>
          <cell r="H1045" t="str">
            <v>Grocery</v>
          </cell>
          <cell r="I1045" t="str">
            <v>Smart</v>
          </cell>
        </row>
        <row r="1046">
          <cell r="A1046" t="str">
            <v>SMRTBK10208</v>
          </cell>
          <cell r="B1046">
            <v>1045</v>
          </cell>
          <cell r="C1046"/>
          <cell r="D1046"/>
          <cell r="E1046"/>
          <cell r="F1046"/>
          <cell r="G1046" t="str">
            <v>C. Grocery</v>
          </cell>
          <cell r="H1046" t="str">
            <v>Grocery</v>
          </cell>
          <cell r="I1046" t="str">
            <v>Smart</v>
          </cell>
        </row>
        <row r="1047">
          <cell r="A1047" t="str">
            <v>SMRTBK10245</v>
          </cell>
          <cell r="B1047">
            <v>1046</v>
          </cell>
          <cell r="C1047"/>
          <cell r="D1047"/>
          <cell r="E1047"/>
          <cell r="F1047"/>
          <cell r="G1047" t="str">
            <v>C. Grocery</v>
          </cell>
          <cell r="H1047" t="str">
            <v>Grocery</v>
          </cell>
          <cell r="I1047" t="str">
            <v>Smart</v>
          </cell>
        </row>
        <row r="1048">
          <cell r="A1048" t="str">
            <v>SMRTRT10246</v>
          </cell>
          <cell r="B1048">
            <v>1047</v>
          </cell>
          <cell r="C1048"/>
          <cell r="D1048"/>
          <cell r="E1048"/>
          <cell r="F1048"/>
          <cell r="G1048" t="str">
            <v>C. Grocery</v>
          </cell>
          <cell r="H1048" t="str">
            <v>Grocery</v>
          </cell>
          <cell r="I1048" t="str">
            <v>Smart</v>
          </cell>
        </row>
        <row r="1049">
          <cell r="A1049" t="str">
            <v>SMRTSD10247</v>
          </cell>
          <cell r="B1049">
            <v>1048</v>
          </cell>
          <cell r="C1049"/>
          <cell r="D1049"/>
          <cell r="E1049"/>
          <cell r="F1049"/>
          <cell r="G1049" t="str">
            <v>C. Grocery</v>
          </cell>
          <cell r="H1049" t="str">
            <v>Grocery</v>
          </cell>
          <cell r="I1049" t="str">
            <v>Smart</v>
          </cell>
        </row>
        <row r="1050">
          <cell r="A1050" t="str">
            <v>SMRTRT10248</v>
          </cell>
          <cell r="B1050">
            <v>1049</v>
          </cell>
          <cell r="C1050"/>
          <cell r="D1050"/>
          <cell r="E1050"/>
          <cell r="F1050"/>
          <cell r="G1050" t="str">
            <v>C. Grocery</v>
          </cell>
          <cell r="H1050" t="str">
            <v>Grocery</v>
          </cell>
          <cell r="I1050" t="str">
            <v>Smart</v>
          </cell>
        </row>
        <row r="1051">
          <cell r="A1051" t="str">
            <v>SMRTSD10249</v>
          </cell>
          <cell r="B1051">
            <v>1050</v>
          </cell>
          <cell r="C1051"/>
          <cell r="D1051"/>
          <cell r="E1051"/>
          <cell r="F1051"/>
          <cell r="G1051" t="str">
            <v>C. Grocery</v>
          </cell>
          <cell r="H1051" t="str">
            <v>Grocery</v>
          </cell>
          <cell r="I1051" t="str">
            <v>Smart</v>
          </cell>
        </row>
        <row r="1052">
          <cell r="A1052" t="str">
            <v>SMRTSD10250</v>
          </cell>
          <cell r="B1052">
            <v>1051</v>
          </cell>
          <cell r="C1052"/>
          <cell r="D1052"/>
          <cell r="E1052"/>
          <cell r="F1052"/>
          <cell r="G1052" t="str">
            <v>C. Grocery</v>
          </cell>
          <cell r="H1052" t="str">
            <v>Grocery</v>
          </cell>
          <cell r="I1052" t="str">
            <v>Smart</v>
          </cell>
        </row>
        <row r="1053">
          <cell r="A1053" t="str">
            <v>SMRTSD10251</v>
          </cell>
          <cell r="B1053">
            <v>1052</v>
          </cell>
          <cell r="C1053"/>
          <cell r="D1053"/>
          <cell r="E1053"/>
          <cell r="F1053"/>
          <cell r="G1053" t="str">
            <v>C. Grocery</v>
          </cell>
          <cell r="H1053" t="str">
            <v>Grocery</v>
          </cell>
          <cell r="I1053" t="str">
            <v>Smart</v>
          </cell>
        </row>
        <row r="1054">
          <cell r="A1054" t="str">
            <v>SMRTAS10252</v>
          </cell>
          <cell r="B1054">
            <v>1053</v>
          </cell>
          <cell r="C1054"/>
          <cell r="D1054"/>
          <cell r="E1054"/>
          <cell r="F1054"/>
          <cell r="G1054" t="str">
            <v>C. Grocery</v>
          </cell>
          <cell r="H1054" t="str">
            <v>Grocery</v>
          </cell>
          <cell r="I1054" t="str">
            <v>Smart</v>
          </cell>
        </row>
        <row r="1055">
          <cell r="A1055" t="str">
            <v>SMRTSD10253</v>
          </cell>
          <cell r="B1055">
            <v>1054</v>
          </cell>
          <cell r="C1055"/>
          <cell r="D1055"/>
          <cell r="E1055"/>
          <cell r="F1055"/>
          <cell r="G1055" t="str">
            <v>C. Grocery</v>
          </cell>
          <cell r="H1055" t="str">
            <v>Grocery</v>
          </cell>
          <cell r="I1055" t="str">
            <v>Smart</v>
          </cell>
        </row>
        <row r="1056">
          <cell r="A1056" t="str">
            <v>SMRTSD10254</v>
          </cell>
          <cell r="B1056">
            <v>1055</v>
          </cell>
          <cell r="C1056"/>
          <cell r="D1056"/>
          <cell r="E1056"/>
          <cell r="F1056"/>
          <cell r="G1056" t="str">
            <v>C. Grocery</v>
          </cell>
          <cell r="H1056" t="str">
            <v>Grocery</v>
          </cell>
          <cell r="I1056" t="str">
            <v>Smart</v>
          </cell>
        </row>
        <row r="1057">
          <cell r="A1057" t="str">
            <v>SMRTRT10255</v>
          </cell>
          <cell r="B1057">
            <v>1056</v>
          </cell>
          <cell r="C1057"/>
          <cell r="D1057"/>
          <cell r="E1057"/>
          <cell r="F1057"/>
          <cell r="G1057" t="str">
            <v>C. Grocery</v>
          </cell>
          <cell r="H1057" t="str">
            <v>Grocery</v>
          </cell>
          <cell r="I1057" t="str">
            <v>Smart</v>
          </cell>
        </row>
        <row r="1058">
          <cell r="A1058" t="str">
            <v>SMRTSD10256</v>
          </cell>
          <cell r="B1058">
            <v>1057</v>
          </cell>
          <cell r="C1058"/>
          <cell r="D1058"/>
          <cell r="E1058"/>
          <cell r="F1058"/>
          <cell r="G1058" t="str">
            <v>C. Grocery</v>
          </cell>
          <cell r="H1058" t="str">
            <v>Grocery</v>
          </cell>
          <cell r="I1058" t="str">
            <v>Smart</v>
          </cell>
        </row>
        <row r="1059">
          <cell r="A1059" t="str">
            <v>SMRTBK10257</v>
          </cell>
          <cell r="B1059">
            <v>1058</v>
          </cell>
          <cell r="C1059"/>
          <cell r="D1059"/>
          <cell r="E1059"/>
          <cell r="F1059"/>
          <cell r="G1059" t="str">
            <v>C. Grocery</v>
          </cell>
          <cell r="H1059" t="str">
            <v>Grocery</v>
          </cell>
          <cell r="I1059" t="str">
            <v>Smart</v>
          </cell>
        </row>
        <row r="1060">
          <cell r="A1060" t="str">
            <v>SMRTSD10258</v>
          </cell>
          <cell r="B1060">
            <v>1059</v>
          </cell>
          <cell r="C1060"/>
          <cell r="D1060"/>
          <cell r="E1060"/>
          <cell r="F1060"/>
          <cell r="G1060" t="str">
            <v>C. Grocery</v>
          </cell>
          <cell r="H1060" t="str">
            <v>Grocery</v>
          </cell>
          <cell r="I1060" t="str">
            <v>Smart</v>
          </cell>
        </row>
        <row r="1061">
          <cell r="A1061" t="str">
            <v>SMRTAS10259</v>
          </cell>
          <cell r="B1061">
            <v>1060</v>
          </cell>
          <cell r="C1061"/>
          <cell r="D1061"/>
          <cell r="E1061"/>
          <cell r="F1061"/>
          <cell r="G1061" t="str">
            <v>C. Grocery</v>
          </cell>
          <cell r="H1061" t="str">
            <v>Grocery</v>
          </cell>
          <cell r="I1061" t="str">
            <v>Smart</v>
          </cell>
        </row>
        <row r="1062">
          <cell r="A1062" t="str">
            <v>SMRTAS10260</v>
          </cell>
          <cell r="B1062">
            <v>1061</v>
          </cell>
          <cell r="C1062"/>
          <cell r="D1062"/>
          <cell r="E1062"/>
          <cell r="F1062"/>
          <cell r="G1062" t="str">
            <v>C. Grocery</v>
          </cell>
          <cell r="H1062" t="str">
            <v>Grocery</v>
          </cell>
          <cell r="I1062" t="str">
            <v>Smart</v>
          </cell>
        </row>
        <row r="1063">
          <cell r="A1063" t="str">
            <v>SMRTAS10261</v>
          </cell>
          <cell r="B1063">
            <v>1062</v>
          </cell>
          <cell r="C1063"/>
          <cell r="D1063"/>
          <cell r="E1063"/>
          <cell r="F1063"/>
          <cell r="G1063" t="str">
            <v>C. Grocery</v>
          </cell>
          <cell r="H1063" t="str">
            <v>Grocery</v>
          </cell>
          <cell r="I1063" t="str">
            <v>Smart</v>
          </cell>
        </row>
        <row r="1064">
          <cell r="A1064" t="str">
            <v>SMRTAS10262</v>
          </cell>
          <cell r="B1064">
            <v>1063</v>
          </cell>
          <cell r="C1064"/>
          <cell r="D1064"/>
          <cell r="E1064"/>
          <cell r="F1064"/>
          <cell r="G1064" t="str">
            <v>C. Grocery</v>
          </cell>
          <cell r="H1064" t="str">
            <v>Grocery</v>
          </cell>
          <cell r="I1064" t="str">
            <v>Smart</v>
          </cell>
        </row>
        <row r="1065">
          <cell r="A1065" t="str">
            <v>SMRTAS10263</v>
          </cell>
          <cell r="B1065">
            <v>1064</v>
          </cell>
          <cell r="C1065"/>
          <cell r="D1065"/>
          <cell r="E1065"/>
          <cell r="F1065"/>
          <cell r="G1065" t="str">
            <v>C. Grocery</v>
          </cell>
          <cell r="H1065" t="str">
            <v>Grocery</v>
          </cell>
          <cell r="I1065" t="str">
            <v>Smart</v>
          </cell>
        </row>
        <row r="1066">
          <cell r="A1066" t="str">
            <v>SMRTAS10264</v>
          </cell>
          <cell r="B1066">
            <v>1065</v>
          </cell>
          <cell r="C1066"/>
          <cell r="D1066"/>
          <cell r="E1066"/>
          <cell r="F1066"/>
          <cell r="G1066" t="str">
            <v>C. Grocery</v>
          </cell>
          <cell r="H1066" t="str">
            <v>Grocery</v>
          </cell>
          <cell r="I1066" t="str">
            <v>Smart</v>
          </cell>
        </row>
        <row r="1067">
          <cell r="A1067" t="str">
            <v>SMRTAS10265</v>
          </cell>
          <cell r="B1067">
            <v>1066</v>
          </cell>
          <cell r="C1067"/>
          <cell r="D1067"/>
          <cell r="E1067"/>
          <cell r="F1067"/>
          <cell r="G1067" t="str">
            <v>C. Grocery</v>
          </cell>
          <cell r="H1067" t="str">
            <v>Grocery</v>
          </cell>
          <cell r="I1067" t="str">
            <v>Smart</v>
          </cell>
        </row>
        <row r="1068">
          <cell r="A1068" t="str">
            <v>SMRTAS10266</v>
          </cell>
          <cell r="B1068">
            <v>1067</v>
          </cell>
          <cell r="C1068"/>
          <cell r="D1068"/>
          <cell r="E1068"/>
          <cell r="F1068"/>
          <cell r="G1068" t="str">
            <v>C. Grocery</v>
          </cell>
          <cell r="H1068" t="str">
            <v>Grocery</v>
          </cell>
          <cell r="I1068" t="str">
            <v>Smart</v>
          </cell>
        </row>
        <row r="1069">
          <cell r="A1069" t="str">
            <v>SMRTRT10267</v>
          </cell>
          <cell r="B1069">
            <v>1068</v>
          </cell>
          <cell r="C1069"/>
          <cell r="D1069"/>
          <cell r="E1069"/>
          <cell r="F1069"/>
          <cell r="G1069" t="str">
            <v>C. Grocery</v>
          </cell>
          <cell r="H1069" t="str">
            <v>Grocery</v>
          </cell>
          <cell r="I1069" t="str">
            <v>Smart</v>
          </cell>
        </row>
        <row r="1070">
          <cell r="A1070" t="str">
            <v>SMRTSD10268</v>
          </cell>
          <cell r="B1070">
            <v>1069</v>
          </cell>
          <cell r="C1070"/>
          <cell r="D1070"/>
          <cell r="E1070"/>
          <cell r="F1070"/>
          <cell r="G1070" t="str">
            <v>C. Grocery</v>
          </cell>
          <cell r="H1070" t="str">
            <v>Grocery</v>
          </cell>
          <cell r="I1070" t="str">
            <v>Smart</v>
          </cell>
        </row>
        <row r="1071">
          <cell r="A1071" t="str">
            <v>SMRTRT10269</v>
          </cell>
          <cell r="B1071">
            <v>1070</v>
          </cell>
          <cell r="C1071"/>
          <cell r="D1071"/>
          <cell r="E1071"/>
          <cell r="F1071"/>
          <cell r="G1071" t="str">
            <v>C. Grocery</v>
          </cell>
          <cell r="H1071" t="str">
            <v>Grocery</v>
          </cell>
          <cell r="I1071" t="str">
            <v>Smart</v>
          </cell>
        </row>
        <row r="1072">
          <cell r="A1072" t="str">
            <v>SMRTAS10270</v>
          </cell>
          <cell r="B1072">
            <v>1071</v>
          </cell>
          <cell r="C1072"/>
          <cell r="D1072"/>
          <cell r="E1072"/>
          <cell r="F1072"/>
          <cell r="G1072" t="str">
            <v>C. Grocery</v>
          </cell>
          <cell r="H1072" t="str">
            <v>Grocery</v>
          </cell>
          <cell r="I1072" t="str">
            <v>Smart</v>
          </cell>
        </row>
        <row r="1073">
          <cell r="A1073" t="str">
            <v>SMRTBK10271</v>
          </cell>
          <cell r="B1073">
            <v>1072</v>
          </cell>
          <cell r="C1073"/>
          <cell r="D1073"/>
          <cell r="E1073"/>
          <cell r="F1073"/>
          <cell r="G1073" t="str">
            <v>C. Grocery</v>
          </cell>
          <cell r="H1073" t="str">
            <v>Grocery</v>
          </cell>
          <cell r="I1073" t="str">
            <v>Smart</v>
          </cell>
        </row>
        <row r="1074">
          <cell r="A1074" t="str">
            <v>SMRTRT10272</v>
          </cell>
          <cell r="B1074">
            <v>1073</v>
          </cell>
          <cell r="C1074"/>
          <cell r="D1074"/>
          <cell r="E1074"/>
          <cell r="F1074"/>
          <cell r="G1074" t="str">
            <v>C. Grocery</v>
          </cell>
          <cell r="H1074" t="str">
            <v>Grocery</v>
          </cell>
          <cell r="I1074" t="str">
            <v>Smart</v>
          </cell>
        </row>
        <row r="1075">
          <cell r="A1075" t="str">
            <v>SMRTAS10273</v>
          </cell>
          <cell r="B1075">
            <v>1074</v>
          </cell>
          <cell r="C1075"/>
          <cell r="D1075"/>
          <cell r="E1075"/>
          <cell r="F1075"/>
          <cell r="G1075" t="str">
            <v>C. Grocery</v>
          </cell>
          <cell r="H1075" t="str">
            <v>Grocery</v>
          </cell>
          <cell r="I1075" t="str">
            <v>Smart</v>
          </cell>
        </row>
        <row r="1076">
          <cell r="A1076" t="str">
            <v>SMRTAS10274</v>
          </cell>
          <cell r="B1076">
            <v>1075</v>
          </cell>
          <cell r="C1076"/>
          <cell r="D1076"/>
          <cell r="E1076"/>
          <cell r="F1076"/>
          <cell r="G1076" t="str">
            <v>C. Grocery</v>
          </cell>
          <cell r="H1076" t="str">
            <v>Grocery</v>
          </cell>
          <cell r="I1076" t="str">
            <v>Smart</v>
          </cell>
        </row>
        <row r="1077">
          <cell r="A1077" t="str">
            <v>SMRTAS10275</v>
          </cell>
          <cell r="B1077">
            <v>1076</v>
          </cell>
          <cell r="C1077"/>
          <cell r="D1077"/>
          <cell r="E1077"/>
          <cell r="F1077"/>
          <cell r="G1077" t="str">
            <v>C. Grocery</v>
          </cell>
          <cell r="H1077" t="str">
            <v>Grocery</v>
          </cell>
          <cell r="I1077" t="str">
            <v>Smart</v>
          </cell>
        </row>
        <row r="1078">
          <cell r="A1078" t="str">
            <v>SMRTAS10276</v>
          </cell>
          <cell r="B1078">
            <v>1077</v>
          </cell>
          <cell r="C1078"/>
          <cell r="D1078"/>
          <cell r="E1078"/>
          <cell r="F1078"/>
          <cell r="G1078" t="str">
            <v>C. Grocery</v>
          </cell>
          <cell r="H1078" t="str">
            <v>Grocery</v>
          </cell>
          <cell r="I1078" t="str">
            <v>Smart</v>
          </cell>
        </row>
        <row r="1079">
          <cell r="A1079" t="str">
            <v>SMRTSD10277</v>
          </cell>
          <cell r="B1079">
            <v>1078</v>
          </cell>
          <cell r="C1079"/>
          <cell r="D1079"/>
          <cell r="E1079"/>
          <cell r="F1079"/>
          <cell r="G1079" t="str">
            <v>C. Grocery</v>
          </cell>
          <cell r="H1079" t="str">
            <v>Grocery</v>
          </cell>
          <cell r="I1079" t="str">
            <v>Smart</v>
          </cell>
        </row>
        <row r="1080">
          <cell r="A1080" t="str">
            <v>SMRTAS10278</v>
          </cell>
          <cell r="B1080">
            <v>1079</v>
          </cell>
          <cell r="C1080"/>
          <cell r="D1080"/>
          <cell r="E1080"/>
          <cell r="F1080"/>
          <cell r="G1080" t="str">
            <v>C. Grocery</v>
          </cell>
          <cell r="H1080" t="str">
            <v>Grocery</v>
          </cell>
          <cell r="I1080" t="str">
            <v>Smart</v>
          </cell>
        </row>
        <row r="1081">
          <cell r="A1081" t="str">
            <v>SMRTAS10279</v>
          </cell>
          <cell r="B1081">
            <v>1080</v>
          </cell>
          <cell r="C1081"/>
          <cell r="D1081"/>
          <cell r="E1081"/>
          <cell r="F1081"/>
          <cell r="G1081" t="str">
            <v>C. Grocery</v>
          </cell>
          <cell r="H1081" t="str">
            <v>Grocery</v>
          </cell>
          <cell r="I1081" t="str">
            <v>Smart</v>
          </cell>
        </row>
        <row r="1082">
          <cell r="A1082" t="str">
            <v>SMRTAS10280</v>
          </cell>
          <cell r="B1082">
            <v>1081</v>
          </cell>
          <cell r="C1082"/>
          <cell r="D1082"/>
          <cell r="E1082"/>
          <cell r="F1082"/>
          <cell r="G1082" t="str">
            <v>C. Grocery</v>
          </cell>
          <cell r="H1082" t="str">
            <v>Grocery</v>
          </cell>
          <cell r="I1082" t="str">
            <v>Smart</v>
          </cell>
        </row>
        <row r="1083">
          <cell r="A1083" t="str">
            <v>SMRTAS10281</v>
          </cell>
          <cell r="B1083">
            <v>1082</v>
          </cell>
          <cell r="C1083"/>
          <cell r="D1083"/>
          <cell r="E1083"/>
          <cell r="F1083"/>
          <cell r="G1083" t="str">
            <v>C. Grocery</v>
          </cell>
          <cell r="H1083" t="str">
            <v>Grocery</v>
          </cell>
          <cell r="I1083" t="str">
            <v>Smart</v>
          </cell>
        </row>
        <row r="1084">
          <cell r="A1084" t="str">
            <v>SMRTAS10282</v>
          </cell>
          <cell r="B1084">
            <v>1083</v>
          </cell>
          <cell r="C1084"/>
          <cell r="D1084"/>
          <cell r="E1084"/>
          <cell r="F1084"/>
          <cell r="G1084" t="str">
            <v>C. Grocery</v>
          </cell>
          <cell r="H1084" t="str">
            <v>Grocery</v>
          </cell>
          <cell r="I1084" t="str">
            <v>Smart</v>
          </cell>
        </row>
        <row r="1085">
          <cell r="A1085" t="str">
            <v>SMRTBK10283</v>
          </cell>
          <cell r="B1085">
            <v>1084</v>
          </cell>
          <cell r="C1085"/>
          <cell r="D1085"/>
          <cell r="E1085"/>
          <cell r="F1085"/>
          <cell r="G1085" t="str">
            <v>C. Grocery</v>
          </cell>
          <cell r="H1085" t="str">
            <v>Grocery</v>
          </cell>
          <cell r="I1085" t="str">
            <v>Smart</v>
          </cell>
        </row>
        <row r="1086">
          <cell r="A1086" t="str">
            <v>SMRTAS10310</v>
          </cell>
          <cell r="B1086">
            <v>1085</v>
          </cell>
          <cell r="C1086"/>
          <cell r="D1086"/>
          <cell r="E1086"/>
          <cell r="F1086"/>
          <cell r="G1086" t="str">
            <v>C. Grocery</v>
          </cell>
          <cell r="H1086" t="str">
            <v>Grocery</v>
          </cell>
          <cell r="I1086" t="str">
            <v>Smart</v>
          </cell>
        </row>
        <row r="1087">
          <cell r="A1087" t="str">
            <v>SMRTAS10311</v>
          </cell>
          <cell r="B1087">
            <v>1086</v>
          </cell>
          <cell r="C1087"/>
          <cell r="D1087"/>
          <cell r="E1087"/>
          <cell r="F1087"/>
          <cell r="G1087" t="str">
            <v>C. Grocery</v>
          </cell>
          <cell r="H1087" t="str">
            <v>Grocery</v>
          </cell>
          <cell r="I1087" t="str">
            <v>Smart</v>
          </cell>
        </row>
        <row r="1088">
          <cell r="A1088" t="str">
            <v>SMRTSD10313</v>
          </cell>
          <cell r="B1088">
            <v>1087</v>
          </cell>
          <cell r="C1088"/>
          <cell r="D1088"/>
          <cell r="E1088"/>
          <cell r="F1088"/>
          <cell r="G1088" t="str">
            <v>C. Grocery</v>
          </cell>
          <cell r="H1088" t="str">
            <v>Grocery</v>
          </cell>
          <cell r="I1088" t="str">
            <v>Smart</v>
          </cell>
        </row>
        <row r="1089">
          <cell r="A1089" t="str">
            <v>SMRTSD10342</v>
          </cell>
          <cell r="B1089">
            <v>1088</v>
          </cell>
          <cell r="C1089"/>
          <cell r="D1089"/>
          <cell r="E1089"/>
          <cell r="F1089"/>
          <cell r="G1089" t="str">
            <v>C. Grocery</v>
          </cell>
          <cell r="H1089" t="str">
            <v>Grocery</v>
          </cell>
          <cell r="I1089" t="str">
            <v>Smart</v>
          </cell>
        </row>
        <row r="1090">
          <cell r="A1090" t="str">
            <v>SMRTSD10343</v>
          </cell>
          <cell r="B1090">
            <v>1089</v>
          </cell>
          <cell r="C1090"/>
          <cell r="D1090"/>
          <cell r="E1090"/>
          <cell r="F1090"/>
          <cell r="G1090" t="str">
            <v>C. Grocery</v>
          </cell>
          <cell r="H1090" t="str">
            <v>Grocery</v>
          </cell>
          <cell r="I1090" t="str">
            <v>Smart</v>
          </cell>
        </row>
        <row r="1091">
          <cell r="A1091" t="str">
            <v>SMRTBK10344</v>
          </cell>
          <cell r="B1091">
            <v>1090</v>
          </cell>
          <cell r="C1091"/>
          <cell r="D1091"/>
          <cell r="E1091"/>
          <cell r="F1091"/>
          <cell r="G1091" t="str">
            <v>C. Grocery</v>
          </cell>
          <cell r="H1091" t="str">
            <v>Grocery</v>
          </cell>
          <cell r="I1091" t="str">
            <v>Smart</v>
          </cell>
        </row>
        <row r="1092">
          <cell r="A1092" t="str">
            <v>SMRTAS10345</v>
          </cell>
          <cell r="B1092">
            <v>1091</v>
          </cell>
          <cell r="C1092"/>
          <cell r="D1092"/>
          <cell r="E1092"/>
          <cell r="F1092"/>
          <cell r="G1092" t="str">
            <v>C. Grocery</v>
          </cell>
          <cell r="H1092" t="str">
            <v>Grocery</v>
          </cell>
          <cell r="I1092" t="str">
            <v>Smart</v>
          </cell>
        </row>
        <row r="1093">
          <cell r="A1093" t="str">
            <v>SMRTAS10346</v>
          </cell>
          <cell r="B1093">
            <v>1092</v>
          </cell>
          <cell r="C1093"/>
          <cell r="D1093"/>
          <cell r="E1093"/>
          <cell r="F1093"/>
          <cell r="G1093" t="str">
            <v>C. Grocery</v>
          </cell>
          <cell r="H1093" t="str">
            <v>Grocery</v>
          </cell>
          <cell r="I1093" t="str">
            <v>Smart</v>
          </cell>
        </row>
        <row r="1094">
          <cell r="A1094" t="str">
            <v>SMRTBK10347</v>
          </cell>
          <cell r="B1094">
            <v>1093</v>
          </cell>
          <cell r="C1094"/>
          <cell r="D1094"/>
          <cell r="E1094"/>
          <cell r="F1094"/>
          <cell r="G1094" t="str">
            <v>C. Grocery</v>
          </cell>
          <cell r="H1094" t="str">
            <v>Grocery</v>
          </cell>
          <cell r="I1094" t="str">
            <v>Smart</v>
          </cell>
        </row>
        <row r="1095">
          <cell r="A1095" t="str">
            <v>SMRTBK10348</v>
          </cell>
          <cell r="B1095">
            <v>1094</v>
          </cell>
          <cell r="C1095"/>
          <cell r="D1095"/>
          <cell r="E1095"/>
          <cell r="F1095"/>
          <cell r="G1095" t="str">
            <v>C. Grocery</v>
          </cell>
          <cell r="H1095" t="str">
            <v>Grocery</v>
          </cell>
          <cell r="I1095" t="str">
            <v>Smart</v>
          </cell>
        </row>
        <row r="1096">
          <cell r="A1096" t="str">
            <v>SMRTBK10349</v>
          </cell>
          <cell r="B1096">
            <v>1095</v>
          </cell>
          <cell r="C1096"/>
          <cell r="D1096"/>
          <cell r="E1096"/>
          <cell r="F1096"/>
          <cell r="G1096" t="str">
            <v>C. Grocery</v>
          </cell>
          <cell r="H1096" t="str">
            <v>Grocery</v>
          </cell>
          <cell r="I1096" t="str">
            <v>Smart</v>
          </cell>
        </row>
        <row r="1097">
          <cell r="A1097" t="str">
            <v>SMRTAS10350</v>
          </cell>
          <cell r="B1097">
            <v>1096</v>
          </cell>
          <cell r="C1097"/>
          <cell r="D1097"/>
          <cell r="E1097"/>
          <cell r="F1097"/>
          <cell r="G1097" t="str">
            <v>C. Grocery</v>
          </cell>
          <cell r="H1097" t="str">
            <v>Grocery</v>
          </cell>
          <cell r="I1097" t="str">
            <v>Smart</v>
          </cell>
        </row>
        <row r="1098">
          <cell r="A1098" t="str">
            <v>SMRTAS10351</v>
          </cell>
          <cell r="B1098">
            <v>1097</v>
          </cell>
          <cell r="C1098"/>
          <cell r="D1098"/>
          <cell r="E1098"/>
          <cell r="F1098"/>
          <cell r="G1098" t="str">
            <v>C. Grocery</v>
          </cell>
          <cell r="H1098" t="str">
            <v>Grocery</v>
          </cell>
          <cell r="I1098" t="str">
            <v>Smart</v>
          </cell>
        </row>
        <row r="1099">
          <cell r="A1099" t="str">
            <v>SMRTAS10352</v>
          </cell>
          <cell r="B1099">
            <v>1098</v>
          </cell>
          <cell r="C1099"/>
          <cell r="D1099"/>
          <cell r="E1099"/>
          <cell r="F1099"/>
          <cell r="G1099" t="str">
            <v>C. Grocery</v>
          </cell>
          <cell r="H1099" t="str">
            <v>Grocery</v>
          </cell>
          <cell r="I1099" t="str">
            <v>Smart</v>
          </cell>
        </row>
        <row r="1100">
          <cell r="A1100" t="str">
            <v>SMRTAS10353</v>
          </cell>
          <cell r="B1100">
            <v>1099</v>
          </cell>
          <cell r="C1100"/>
          <cell r="D1100"/>
          <cell r="E1100"/>
          <cell r="F1100"/>
          <cell r="G1100" t="str">
            <v>C. Grocery</v>
          </cell>
          <cell r="H1100" t="str">
            <v>Grocery</v>
          </cell>
          <cell r="I1100" t="str">
            <v>Smart</v>
          </cell>
        </row>
        <row r="1101">
          <cell r="A1101" t="str">
            <v>SMRTAS10358</v>
          </cell>
          <cell r="B1101">
            <v>1100</v>
          </cell>
          <cell r="C1101"/>
          <cell r="D1101"/>
          <cell r="E1101"/>
          <cell r="F1101"/>
          <cell r="G1101" t="str">
            <v>C. Grocery</v>
          </cell>
          <cell r="H1101" t="str">
            <v>Grocery</v>
          </cell>
          <cell r="I1101" t="str">
            <v>Smart</v>
          </cell>
        </row>
        <row r="1102">
          <cell r="A1102" t="str">
            <v>SMRTRT10359</v>
          </cell>
          <cell r="B1102">
            <v>1101</v>
          </cell>
          <cell r="C1102"/>
          <cell r="D1102"/>
          <cell r="E1102"/>
          <cell r="F1102"/>
          <cell r="G1102" t="str">
            <v>C. Grocery</v>
          </cell>
          <cell r="H1102" t="str">
            <v>Grocery</v>
          </cell>
          <cell r="I1102" t="str">
            <v>Smart</v>
          </cell>
        </row>
        <row r="1103">
          <cell r="A1103" t="str">
            <v>SMRTAS10360</v>
          </cell>
          <cell r="B1103">
            <v>1102</v>
          </cell>
          <cell r="C1103"/>
          <cell r="D1103"/>
          <cell r="E1103"/>
          <cell r="F1103"/>
          <cell r="G1103" t="str">
            <v>C. Grocery</v>
          </cell>
          <cell r="H1103" t="str">
            <v>Grocery</v>
          </cell>
          <cell r="I1103" t="str">
            <v>Smart</v>
          </cell>
        </row>
        <row r="1104">
          <cell r="A1104" t="str">
            <v>SMRTAS10361</v>
          </cell>
          <cell r="B1104">
            <v>1103</v>
          </cell>
          <cell r="C1104"/>
          <cell r="D1104"/>
          <cell r="E1104"/>
          <cell r="F1104"/>
          <cell r="G1104" t="str">
            <v>C. Grocery</v>
          </cell>
          <cell r="H1104" t="str">
            <v>Grocery</v>
          </cell>
          <cell r="I1104" t="str">
            <v>Smart</v>
          </cell>
        </row>
        <row r="1105">
          <cell r="A1105" t="str">
            <v>SMRTSD10362</v>
          </cell>
          <cell r="B1105">
            <v>1104</v>
          </cell>
          <cell r="C1105"/>
          <cell r="D1105"/>
          <cell r="E1105"/>
          <cell r="F1105"/>
          <cell r="G1105" t="str">
            <v>C. Grocery</v>
          </cell>
          <cell r="H1105" t="str">
            <v>Grocery</v>
          </cell>
          <cell r="I1105" t="str">
            <v>Smart</v>
          </cell>
        </row>
        <row r="1106">
          <cell r="A1106" t="str">
            <v>SMRTBK10363</v>
          </cell>
          <cell r="B1106">
            <v>1105</v>
          </cell>
          <cell r="C1106"/>
          <cell r="D1106"/>
          <cell r="E1106"/>
          <cell r="F1106"/>
          <cell r="G1106" t="str">
            <v>C. Grocery</v>
          </cell>
          <cell r="H1106" t="str">
            <v>Grocery</v>
          </cell>
          <cell r="I1106" t="str">
            <v>Smart</v>
          </cell>
        </row>
        <row r="1107">
          <cell r="A1107" t="str">
            <v>SMRTBK10364</v>
          </cell>
          <cell r="B1107">
            <v>1106</v>
          </cell>
          <cell r="C1107"/>
          <cell r="D1107"/>
          <cell r="E1107"/>
          <cell r="F1107"/>
          <cell r="G1107" t="str">
            <v>C. Grocery</v>
          </cell>
          <cell r="H1107" t="str">
            <v>Grocery</v>
          </cell>
          <cell r="I1107" t="str">
            <v>Smart</v>
          </cell>
        </row>
        <row r="1108">
          <cell r="A1108" t="str">
            <v>SMRTBK10365</v>
          </cell>
          <cell r="B1108">
            <v>1107</v>
          </cell>
          <cell r="C1108"/>
          <cell r="D1108"/>
          <cell r="E1108"/>
          <cell r="F1108"/>
          <cell r="G1108" t="str">
            <v>C. Grocery</v>
          </cell>
          <cell r="H1108" t="str">
            <v>Grocery</v>
          </cell>
          <cell r="I1108" t="str">
            <v>Smart</v>
          </cell>
        </row>
        <row r="1109">
          <cell r="A1109" t="str">
            <v>SMRTAS10366</v>
          </cell>
          <cell r="B1109">
            <v>1108</v>
          </cell>
          <cell r="C1109"/>
          <cell r="D1109"/>
          <cell r="E1109"/>
          <cell r="F1109"/>
          <cell r="G1109" t="str">
            <v>C. Grocery</v>
          </cell>
          <cell r="H1109" t="str">
            <v>Grocery</v>
          </cell>
          <cell r="I1109" t="str">
            <v>Smart</v>
          </cell>
        </row>
        <row r="1110">
          <cell r="A1110" t="str">
            <v>SMRTAS10367</v>
          </cell>
          <cell r="B1110">
            <v>1109</v>
          </cell>
          <cell r="C1110"/>
          <cell r="D1110"/>
          <cell r="E1110"/>
          <cell r="F1110"/>
          <cell r="G1110" t="str">
            <v>C. Grocery</v>
          </cell>
          <cell r="H1110" t="str">
            <v>Grocery</v>
          </cell>
          <cell r="I1110" t="str">
            <v>Smart</v>
          </cell>
        </row>
        <row r="1111">
          <cell r="A1111" t="str">
            <v>SMRTRT10368</v>
          </cell>
          <cell r="B1111">
            <v>1110</v>
          </cell>
          <cell r="C1111"/>
          <cell r="D1111"/>
          <cell r="E1111"/>
          <cell r="F1111"/>
          <cell r="G1111" t="str">
            <v>C. Grocery</v>
          </cell>
          <cell r="H1111" t="str">
            <v>Grocery</v>
          </cell>
          <cell r="I1111" t="str">
            <v>Smart</v>
          </cell>
        </row>
        <row r="1112">
          <cell r="A1112" t="str">
            <v>SMRTSD10369</v>
          </cell>
          <cell r="B1112">
            <v>1111</v>
          </cell>
          <cell r="C1112"/>
          <cell r="D1112"/>
          <cell r="E1112"/>
          <cell r="F1112"/>
          <cell r="G1112" t="str">
            <v>C. Grocery</v>
          </cell>
          <cell r="H1112" t="str">
            <v>Grocery</v>
          </cell>
          <cell r="I1112" t="str">
            <v>Smart</v>
          </cell>
        </row>
        <row r="1113">
          <cell r="A1113" t="str">
            <v>SMRTSD10370</v>
          </cell>
          <cell r="B1113">
            <v>1112</v>
          </cell>
          <cell r="C1113"/>
          <cell r="D1113"/>
          <cell r="E1113"/>
          <cell r="F1113"/>
          <cell r="G1113" t="str">
            <v>C. Grocery</v>
          </cell>
          <cell r="H1113" t="str">
            <v>Grocery</v>
          </cell>
          <cell r="I1113" t="str">
            <v>Smart</v>
          </cell>
        </row>
        <row r="1114">
          <cell r="A1114" t="str">
            <v>SMRTSD10371</v>
          </cell>
          <cell r="B1114">
            <v>1113</v>
          </cell>
          <cell r="C1114"/>
          <cell r="D1114"/>
          <cell r="E1114"/>
          <cell r="F1114"/>
          <cell r="G1114" t="str">
            <v>C. Grocery</v>
          </cell>
          <cell r="H1114" t="str">
            <v>Grocery</v>
          </cell>
          <cell r="I1114" t="str">
            <v>Smart</v>
          </cell>
        </row>
        <row r="1115">
          <cell r="A1115" t="str">
            <v>SMRTSD10372</v>
          </cell>
          <cell r="B1115">
            <v>1114</v>
          </cell>
          <cell r="C1115"/>
          <cell r="D1115"/>
          <cell r="E1115"/>
          <cell r="F1115"/>
          <cell r="G1115" t="str">
            <v>C. Grocery</v>
          </cell>
          <cell r="H1115" t="str">
            <v>Grocery</v>
          </cell>
          <cell r="I1115" t="str">
            <v>Smart</v>
          </cell>
        </row>
        <row r="1116">
          <cell r="A1116" t="str">
            <v>SMRTSD10373</v>
          </cell>
          <cell r="B1116">
            <v>1115</v>
          </cell>
          <cell r="C1116"/>
          <cell r="D1116"/>
          <cell r="E1116"/>
          <cell r="F1116"/>
          <cell r="G1116" t="str">
            <v>C. Grocery</v>
          </cell>
          <cell r="H1116" t="str">
            <v>Grocery</v>
          </cell>
          <cell r="I1116" t="str">
            <v>Smart</v>
          </cell>
        </row>
        <row r="1117">
          <cell r="A1117" t="str">
            <v>SMRTRT10374</v>
          </cell>
          <cell r="B1117">
            <v>1116</v>
          </cell>
          <cell r="C1117"/>
          <cell r="D1117"/>
          <cell r="E1117"/>
          <cell r="F1117"/>
          <cell r="G1117" t="str">
            <v>C. Grocery</v>
          </cell>
          <cell r="H1117" t="str">
            <v>Grocery</v>
          </cell>
          <cell r="I1117" t="str">
            <v>Smart</v>
          </cell>
        </row>
        <row r="1118">
          <cell r="A1118" t="str">
            <v>SMRTBK10375</v>
          </cell>
          <cell r="B1118">
            <v>1117</v>
          </cell>
          <cell r="C1118"/>
          <cell r="D1118"/>
          <cell r="E1118"/>
          <cell r="F1118"/>
          <cell r="G1118" t="str">
            <v>C. Grocery</v>
          </cell>
          <cell r="H1118" t="str">
            <v>Grocery</v>
          </cell>
          <cell r="I1118" t="str">
            <v>Smart</v>
          </cell>
        </row>
        <row r="1119">
          <cell r="A1119" t="str">
            <v>SMRTAS10376</v>
          </cell>
          <cell r="B1119">
            <v>1118</v>
          </cell>
          <cell r="C1119"/>
          <cell r="D1119"/>
          <cell r="E1119"/>
          <cell r="F1119"/>
          <cell r="G1119" t="str">
            <v>C. Grocery</v>
          </cell>
          <cell r="H1119" t="str">
            <v>Grocery</v>
          </cell>
          <cell r="I1119" t="str">
            <v>Smart</v>
          </cell>
        </row>
        <row r="1120">
          <cell r="A1120" t="str">
            <v>SMRTAS10377</v>
          </cell>
          <cell r="B1120">
            <v>1119</v>
          </cell>
          <cell r="C1120"/>
          <cell r="D1120"/>
          <cell r="E1120"/>
          <cell r="F1120"/>
          <cell r="G1120" t="str">
            <v>C. Grocery</v>
          </cell>
          <cell r="H1120" t="str">
            <v>Grocery</v>
          </cell>
          <cell r="I1120" t="str">
            <v>Smart</v>
          </cell>
        </row>
        <row r="1121">
          <cell r="A1121" t="str">
            <v>SMRTSD10378</v>
          </cell>
          <cell r="B1121">
            <v>1120</v>
          </cell>
          <cell r="C1121"/>
          <cell r="D1121"/>
          <cell r="E1121"/>
          <cell r="F1121"/>
          <cell r="G1121" t="str">
            <v>C. Grocery</v>
          </cell>
          <cell r="H1121" t="str">
            <v>Grocery</v>
          </cell>
          <cell r="I1121" t="str">
            <v>Smart</v>
          </cell>
        </row>
        <row r="1122">
          <cell r="A1122" t="str">
            <v>SMRTSD10379</v>
          </cell>
          <cell r="B1122">
            <v>1121</v>
          </cell>
          <cell r="C1122"/>
          <cell r="D1122"/>
          <cell r="E1122"/>
          <cell r="F1122"/>
          <cell r="G1122" t="str">
            <v>C. Grocery</v>
          </cell>
          <cell r="H1122" t="str">
            <v>Grocery</v>
          </cell>
          <cell r="I1122" t="str">
            <v>Smart</v>
          </cell>
        </row>
        <row r="1123">
          <cell r="A1123" t="str">
            <v>SMRTRT10380</v>
          </cell>
          <cell r="B1123">
            <v>1122</v>
          </cell>
          <cell r="C1123"/>
          <cell r="D1123"/>
          <cell r="E1123"/>
          <cell r="F1123"/>
          <cell r="G1123" t="str">
            <v>C. Grocery</v>
          </cell>
          <cell r="H1123" t="str">
            <v>Grocery</v>
          </cell>
          <cell r="I1123" t="str">
            <v>Smart</v>
          </cell>
        </row>
        <row r="1124">
          <cell r="A1124" t="str">
            <v>SMRTBK10381</v>
          </cell>
          <cell r="B1124">
            <v>1123</v>
          </cell>
          <cell r="C1124"/>
          <cell r="D1124"/>
          <cell r="E1124"/>
          <cell r="F1124"/>
          <cell r="G1124" t="str">
            <v>C. Grocery</v>
          </cell>
          <cell r="H1124" t="str">
            <v>Grocery</v>
          </cell>
          <cell r="I1124" t="str">
            <v>Smart</v>
          </cell>
        </row>
        <row r="1125">
          <cell r="A1125" t="str">
            <v>SMRTSD10382</v>
          </cell>
          <cell r="B1125">
            <v>1124</v>
          </cell>
          <cell r="C1125"/>
          <cell r="D1125"/>
          <cell r="E1125"/>
          <cell r="F1125"/>
          <cell r="G1125" t="str">
            <v>C. Grocery</v>
          </cell>
          <cell r="H1125" t="str">
            <v>Grocery</v>
          </cell>
          <cell r="I1125" t="str">
            <v>Smart</v>
          </cell>
        </row>
        <row r="1126">
          <cell r="A1126" t="str">
            <v>SMRTAS10383</v>
          </cell>
          <cell r="B1126">
            <v>1125</v>
          </cell>
          <cell r="C1126"/>
          <cell r="D1126"/>
          <cell r="E1126"/>
          <cell r="F1126"/>
          <cell r="G1126" t="str">
            <v>C. Grocery</v>
          </cell>
          <cell r="H1126" t="str">
            <v>Grocery</v>
          </cell>
          <cell r="I1126" t="str">
            <v>Smart</v>
          </cell>
        </row>
        <row r="1127">
          <cell r="A1127" t="str">
            <v>SMRTAS10384</v>
          </cell>
          <cell r="B1127">
            <v>1126</v>
          </cell>
          <cell r="C1127"/>
          <cell r="D1127"/>
          <cell r="E1127"/>
          <cell r="F1127"/>
          <cell r="G1127" t="str">
            <v>C. Grocery</v>
          </cell>
          <cell r="H1127" t="str">
            <v>Grocery</v>
          </cell>
          <cell r="I1127" t="str">
            <v>Smart</v>
          </cell>
        </row>
        <row r="1128">
          <cell r="A1128" t="str">
            <v>SMRTAS10385</v>
          </cell>
          <cell r="B1128">
            <v>1127</v>
          </cell>
          <cell r="C1128"/>
          <cell r="D1128"/>
          <cell r="E1128"/>
          <cell r="F1128"/>
          <cell r="G1128" t="str">
            <v>C. Grocery</v>
          </cell>
          <cell r="H1128" t="str">
            <v>Grocery</v>
          </cell>
          <cell r="I1128" t="str">
            <v>Smart</v>
          </cell>
        </row>
        <row r="1129">
          <cell r="A1129" t="str">
            <v>SMRTSD10386</v>
          </cell>
          <cell r="B1129">
            <v>1128</v>
          </cell>
          <cell r="C1129"/>
          <cell r="D1129"/>
          <cell r="E1129"/>
          <cell r="F1129"/>
          <cell r="G1129" t="str">
            <v>C. Grocery</v>
          </cell>
          <cell r="H1129" t="str">
            <v>Grocery</v>
          </cell>
          <cell r="I1129" t="str">
            <v>Smart</v>
          </cell>
        </row>
        <row r="1130">
          <cell r="A1130" t="str">
            <v>SMRTBK10387</v>
          </cell>
          <cell r="B1130">
            <v>1129</v>
          </cell>
          <cell r="C1130"/>
          <cell r="D1130"/>
          <cell r="E1130"/>
          <cell r="F1130"/>
          <cell r="G1130" t="str">
            <v>C. Grocery</v>
          </cell>
          <cell r="H1130" t="str">
            <v>Grocery</v>
          </cell>
          <cell r="I1130" t="str">
            <v>Smart</v>
          </cell>
        </row>
        <row r="1131">
          <cell r="A1131" t="str">
            <v>SMRTBK10388</v>
          </cell>
          <cell r="B1131">
            <v>1130</v>
          </cell>
          <cell r="C1131"/>
          <cell r="D1131"/>
          <cell r="E1131"/>
          <cell r="F1131"/>
          <cell r="G1131" t="str">
            <v>C. Grocery</v>
          </cell>
          <cell r="H1131" t="str">
            <v>Grocery</v>
          </cell>
          <cell r="I1131" t="str">
            <v>Smart</v>
          </cell>
        </row>
        <row r="1132">
          <cell r="A1132" t="str">
            <v>SMRTBK10389</v>
          </cell>
          <cell r="B1132">
            <v>1131</v>
          </cell>
          <cell r="C1132"/>
          <cell r="D1132"/>
          <cell r="E1132"/>
          <cell r="F1132"/>
          <cell r="G1132" t="str">
            <v>C. Grocery</v>
          </cell>
          <cell r="H1132" t="str">
            <v>Grocery</v>
          </cell>
          <cell r="I1132" t="str">
            <v>Smart</v>
          </cell>
        </row>
        <row r="1133">
          <cell r="A1133" t="str">
            <v>SMRTRT10390</v>
          </cell>
          <cell r="B1133">
            <v>1132</v>
          </cell>
          <cell r="C1133"/>
          <cell r="D1133"/>
          <cell r="E1133"/>
          <cell r="F1133"/>
          <cell r="G1133" t="str">
            <v>C. Grocery</v>
          </cell>
          <cell r="H1133" t="str">
            <v>Grocery</v>
          </cell>
          <cell r="I1133" t="str">
            <v>Smart</v>
          </cell>
        </row>
        <row r="1134">
          <cell r="A1134" t="str">
            <v>SMRTSD10391</v>
          </cell>
          <cell r="B1134">
            <v>1133</v>
          </cell>
          <cell r="C1134"/>
          <cell r="D1134"/>
          <cell r="E1134"/>
          <cell r="F1134"/>
          <cell r="G1134" t="str">
            <v>C. Grocery</v>
          </cell>
          <cell r="H1134" t="str">
            <v>Grocery</v>
          </cell>
          <cell r="I1134" t="str">
            <v>Smart</v>
          </cell>
        </row>
        <row r="1135">
          <cell r="A1135" t="str">
            <v>SMRTAS10392</v>
          </cell>
          <cell r="B1135">
            <v>1134</v>
          </cell>
          <cell r="C1135"/>
          <cell r="D1135"/>
          <cell r="E1135"/>
          <cell r="F1135"/>
          <cell r="G1135" t="str">
            <v>C. Grocery</v>
          </cell>
          <cell r="H1135" t="str">
            <v>Grocery</v>
          </cell>
          <cell r="I1135" t="str">
            <v>Smart</v>
          </cell>
        </row>
        <row r="1136">
          <cell r="A1136" t="str">
            <v>SMRTSD10402</v>
          </cell>
          <cell r="B1136">
            <v>1135</v>
          </cell>
          <cell r="C1136"/>
          <cell r="D1136"/>
          <cell r="E1136"/>
          <cell r="F1136"/>
          <cell r="G1136" t="str">
            <v>C. Grocery</v>
          </cell>
          <cell r="H1136" t="str">
            <v>Grocery</v>
          </cell>
          <cell r="I1136" t="str">
            <v>Smart</v>
          </cell>
        </row>
        <row r="1137">
          <cell r="A1137" t="str">
            <v>SMRTAS10403</v>
          </cell>
          <cell r="B1137">
            <v>1136</v>
          </cell>
          <cell r="C1137"/>
          <cell r="D1137"/>
          <cell r="E1137"/>
          <cell r="F1137"/>
          <cell r="G1137" t="str">
            <v>C. Grocery</v>
          </cell>
          <cell r="H1137" t="str">
            <v>Grocery</v>
          </cell>
          <cell r="I1137" t="str">
            <v>Smart</v>
          </cell>
        </row>
        <row r="1138">
          <cell r="A1138" t="str">
            <v>SMRTSD10404</v>
          </cell>
          <cell r="B1138">
            <v>1137</v>
          </cell>
          <cell r="C1138"/>
          <cell r="D1138"/>
          <cell r="E1138"/>
          <cell r="F1138"/>
          <cell r="G1138" t="str">
            <v>C. Grocery</v>
          </cell>
          <cell r="H1138" t="str">
            <v>Grocery</v>
          </cell>
          <cell r="I1138" t="str">
            <v>Smart</v>
          </cell>
        </row>
        <row r="1139">
          <cell r="A1139" t="str">
            <v>SMRTBK11285</v>
          </cell>
          <cell r="B1139">
            <v>1138</v>
          </cell>
          <cell r="C1139"/>
          <cell r="D1139"/>
          <cell r="E1139" t="str">
            <v>Q1P6</v>
          </cell>
          <cell r="F1139" t="str">
            <v>SMRTMQ1P600</v>
          </cell>
          <cell r="G1139" t="str">
            <v>C. Grocery</v>
          </cell>
          <cell r="H1139" t="str">
            <v>Grocery</v>
          </cell>
          <cell r="I1139" t="str">
            <v>Smart</v>
          </cell>
        </row>
        <row r="1140">
          <cell r="A1140" t="str">
            <v>SBREAK4840</v>
          </cell>
          <cell r="B1140">
            <v>1139</v>
          </cell>
          <cell r="C1140"/>
          <cell r="D1140"/>
          <cell r="E1140" t="str">
            <v>Q4MS</v>
          </cell>
          <cell r="F1140" t="str">
            <v>RSBZKQ4MS02</v>
          </cell>
          <cell r="G1140" t="str">
            <v>C. Grocery</v>
          </cell>
          <cell r="H1140" t="str">
            <v>Grocery</v>
          </cell>
          <cell r="I1140" t="str">
            <v>Smart Bazar Refit</v>
          </cell>
        </row>
        <row r="1141">
          <cell r="A1141" t="str">
            <v>SBREAS4842</v>
          </cell>
          <cell r="B1141">
            <v>1140</v>
          </cell>
          <cell r="C1141"/>
          <cell r="D1141"/>
          <cell r="E1141" t="str">
            <v>Q4MP</v>
          </cell>
          <cell r="F1141" t="str">
            <v>RSBZKQ4MP04</v>
          </cell>
          <cell r="G1141" t="str">
            <v>C. Grocery</v>
          </cell>
          <cell r="H1141" t="str">
            <v>Grocery</v>
          </cell>
          <cell r="I1141" t="str">
            <v>Smart Bazar Refit</v>
          </cell>
        </row>
        <row r="1142">
          <cell r="A1142" t="str">
            <v>SBREAS4843</v>
          </cell>
          <cell r="B1142">
            <v>1141</v>
          </cell>
          <cell r="C1142"/>
          <cell r="D1142"/>
          <cell r="E1142" t="str">
            <v>Q4OB</v>
          </cell>
          <cell r="F1142" t="str">
            <v>RSBZKQ4OB05</v>
          </cell>
          <cell r="G1142" t="str">
            <v>C. Grocery</v>
          </cell>
          <cell r="H1142" t="str">
            <v>Grocery</v>
          </cell>
          <cell r="I1142" t="str">
            <v>Smart Bazar Refit</v>
          </cell>
        </row>
        <row r="1143">
          <cell r="A1143" t="str">
            <v>SBREAS4845</v>
          </cell>
          <cell r="B1143">
            <v>1142</v>
          </cell>
          <cell r="C1143"/>
          <cell r="D1143"/>
          <cell r="E1143" t="str">
            <v>Q4TH</v>
          </cell>
          <cell r="F1143" t="str">
            <v>RSBZVQ4TH04</v>
          </cell>
          <cell r="G1143" t="str">
            <v>C. Grocery</v>
          </cell>
          <cell r="H1143" t="str">
            <v>Grocery</v>
          </cell>
          <cell r="I1143" t="str">
            <v>Smart Bazar Refit</v>
          </cell>
        </row>
        <row r="1144">
          <cell r="A1144" t="str">
            <v>SBRESD4846</v>
          </cell>
          <cell r="B1144">
            <v>1143</v>
          </cell>
          <cell r="C1144"/>
          <cell r="D1144"/>
          <cell r="E1144" t="str">
            <v>Q4WD</v>
          </cell>
          <cell r="F1144" t="str">
            <v>RSBZNQ4WD02</v>
          </cell>
          <cell r="G1144" t="str">
            <v>C. Grocery</v>
          </cell>
          <cell r="H1144" t="str">
            <v>Grocery</v>
          </cell>
          <cell r="I1144" t="str">
            <v>Smart Bazar Refit</v>
          </cell>
        </row>
        <row r="1145">
          <cell r="A1145" t="str">
            <v>SBREBK5197</v>
          </cell>
          <cell r="B1145">
            <v>1144</v>
          </cell>
          <cell r="C1145"/>
          <cell r="D1145"/>
          <cell r="E1145" t="str">
            <v>Q4UO</v>
          </cell>
          <cell r="F1145" t="str">
            <v>RSBZMQ4UO01</v>
          </cell>
          <cell r="G1145" t="str">
            <v>C. Grocery</v>
          </cell>
          <cell r="H1145" t="str">
            <v>Grocery</v>
          </cell>
          <cell r="I1145" t="str">
            <v>Smart Bazar Refit</v>
          </cell>
        </row>
        <row r="1146">
          <cell r="A1146" t="str">
            <v>SBREBK5198</v>
          </cell>
          <cell r="B1146">
            <v>1145</v>
          </cell>
          <cell r="C1146"/>
          <cell r="D1146"/>
          <cell r="E1146" t="str">
            <v>Q4IA</v>
          </cell>
          <cell r="F1146" t="str">
            <v>RSBZMQ4IA03</v>
          </cell>
          <cell r="G1146" t="str">
            <v>C. Grocery</v>
          </cell>
          <cell r="H1146" t="str">
            <v>Grocery</v>
          </cell>
          <cell r="I1146" t="str">
            <v>Smart Bazar Refit</v>
          </cell>
        </row>
        <row r="1147">
          <cell r="A1147" t="str">
            <v>SBREBK5201</v>
          </cell>
          <cell r="B1147">
            <v>1146</v>
          </cell>
          <cell r="C1147"/>
          <cell r="D1147"/>
          <cell r="E1147" t="str">
            <v>Q3QV</v>
          </cell>
          <cell r="F1147" t="str">
            <v>RSBZMQ3QV02</v>
          </cell>
          <cell r="G1147" t="str">
            <v>C. Grocery</v>
          </cell>
          <cell r="H1147" t="str">
            <v>Grocery</v>
          </cell>
          <cell r="I1147" t="str">
            <v>Smart Bazar Refit</v>
          </cell>
        </row>
        <row r="1148">
          <cell r="A1148" t="str">
            <v>SBREAS10226</v>
          </cell>
          <cell r="B1148">
            <v>1147</v>
          </cell>
          <cell r="C1148"/>
          <cell r="D1148"/>
          <cell r="E1148"/>
          <cell r="F1148"/>
          <cell r="G1148" t="str">
            <v>C. Grocery</v>
          </cell>
          <cell r="H1148" t="str">
            <v>Grocery</v>
          </cell>
          <cell r="I1148" t="str">
            <v>Smart Bazar Refit</v>
          </cell>
        </row>
        <row r="1149">
          <cell r="A1149" t="str">
            <v>SBREAS10227</v>
          </cell>
          <cell r="B1149">
            <v>1148</v>
          </cell>
          <cell r="C1149"/>
          <cell r="D1149"/>
          <cell r="E1149"/>
          <cell r="F1149"/>
          <cell r="G1149" t="str">
            <v>C. Grocery</v>
          </cell>
          <cell r="H1149" t="str">
            <v>Grocery</v>
          </cell>
          <cell r="I1149" t="str">
            <v>Smart Bazar Refit</v>
          </cell>
        </row>
        <row r="1150">
          <cell r="A1150" t="str">
            <v>SBRESD10228</v>
          </cell>
          <cell r="B1150">
            <v>1149</v>
          </cell>
          <cell r="C1150"/>
          <cell r="D1150"/>
          <cell r="E1150"/>
          <cell r="F1150"/>
          <cell r="G1150" t="str">
            <v>C. Grocery</v>
          </cell>
          <cell r="H1150" t="str">
            <v>Grocery</v>
          </cell>
          <cell r="I1150" t="str">
            <v>Smart Bazar Refit</v>
          </cell>
        </row>
        <row r="1151">
          <cell r="A1151" t="str">
            <v>SBREBK10229</v>
          </cell>
          <cell r="B1151">
            <v>1150</v>
          </cell>
          <cell r="C1151"/>
          <cell r="D1151"/>
          <cell r="E1151"/>
          <cell r="F1151"/>
          <cell r="G1151" t="str">
            <v>C. Grocery</v>
          </cell>
          <cell r="H1151" t="str">
            <v>Grocery</v>
          </cell>
          <cell r="I1151" t="str">
            <v>Smart Bazar Refit</v>
          </cell>
        </row>
        <row r="1152">
          <cell r="A1152" t="str">
            <v>SBRESD10230</v>
          </cell>
          <cell r="B1152">
            <v>1151</v>
          </cell>
          <cell r="C1152"/>
          <cell r="D1152"/>
          <cell r="E1152"/>
          <cell r="F1152"/>
          <cell r="G1152" t="str">
            <v>C. Grocery</v>
          </cell>
          <cell r="H1152" t="str">
            <v>Grocery</v>
          </cell>
          <cell r="I1152" t="str">
            <v>Smart Bazar Refit</v>
          </cell>
        </row>
        <row r="1153">
          <cell r="A1153" t="str">
            <v>SBREAS10231</v>
          </cell>
          <cell r="B1153">
            <v>1152</v>
          </cell>
          <cell r="C1153"/>
          <cell r="D1153"/>
          <cell r="E1153"/>
          <cell r="F1153"/>
          <cell r="G1153" t="str">
            <v>C. Grocery</v>
          </cell>
          <cell r="H1153" t="str">
            <v>Grocery</v>
          </cell>
          <cell r="I1153" t="str">
            <v>Smart Bazar Refit</v>
          </cell>
        </row>
        <row r="1154">
          <cell r="A1154" t="str">
            <v>SMARTEAK384</v>
          </cell>
          <cell r="B1154">
            <v>1153</v>
          </cell>
          <cell r="C1154"/>
          <cell r="D1154" t="str">
            <v>U3EJ</v>
          </cell>
          <cell r="E1154" t="str">
            <v>QDAE</v>
          </cell>
          <cell r="F1154" t="str">
            <v>SMPTPQDAE00</v>
          </cell>
          <cell r="G1154" t="str">
            <v>C. Grocery</v>
          </cell>
          <cell r="H1154" t="str">
            <v>Grocery</v>
          </cell>
          <cell r="I1154" t="str">
            <v>Smart Point</v>
          </cell>
        </row>
        <row r="1155">
          <cell r="A1155" t="str">
            <v>SMARTSAS397</v>
          </cell>
          <cell r="B1155">
            <v>1154</v>
          </cell>
          <cell r="C1155"/>
          <cell r="D1155" t="str">
            <v>U3JZ</v>
          </cell>
          <cell r="E1155" t="str">
            <v>QDSM</v>
          </cell>
          <cell r="F1155" t="str">
            <v>SMPTTQDSM00</v>
          </cell>
          <cell r="G1155" t="str">
            <v>C. Grocery</v>
          </cell>
          <cell r="H1155" t="str">
            <v>Grocery</v>
          </cell>
          <cell r="I1155" t="str">
            <v>Smart Point</v>
          </cell>
        </row>
        <row r="1156">
          <cell r="A1156" t="str">
            <v>SMARTESD438</v>
          </cell>
          <cell r="B1156">
            <v>1155</v>
          </cell>
          <cell r="C1156"/>
          <cell r="D1156" t="str">
            <v>U3VP</v>
          </cell>
          <cell r="E1156" t="str">
            <v>QGMS</v>
          </cell>
          <cell r="F1156" t="str">
            <v>SMPTLQGMS00</v>
          </cell>
          <cell r="G1156" t="str">
            <v>C. Grocery</v>
          </cell>
          <cell r="H1156" t="str">
            <v>Grocery</v>
          </cell>
          <cell r="I1156" t="str">
            <v>Smart Point</v>
          </cell>
        </row>
        <row r="1157">
          <cell r="A1157" t="str">
            <v>SMARTNRT543</v>
          </cell>
          <cell r="B1157">
            <v>1156</v>
          </cell>
          <cell r="C1157"/>
          <cell r="D1157" t="str">
            <v>U3VT</v>
          </cell>
          <cell r="E1157" t="str">
            <v>QGOK</v>
          </cell>
          <cell r="F1157" t="str">
            <v>SMPTIQGOK00</v>
          </cell>
          <cell r="G1157" t="str">
            <v>C. Grocery</v>
          </cell>
          <cell r="H1157" t="str">
            <v>Grocery</v>
          </cell>
          <cell r="I1157" t="str">
            <v>Smart Point</v>
          </cell>
        </row>
        <row r="1158">
          <cell r="A1158" t="str">
            <v>SMARTESD802</v>
          </cell>
          <cell r="B1158">
            <v>1157</v>
          </cell>
          <cell r="C1158"/>
          <cell r="D1158" t="str">
            <v>U3VM</v>
          </cell>
          <cell r="E1158" t="str">
            <v>QGKZ</v>
          </cell>
          <cell r="F1158" t="str">
            <v>SMPTFQGKZ00</v>
          </cell>
          <cell r="G1158" t="str">
            <v>C. Grocery</v>
          </cell>
          <cell r="H1158" t="str">
            <v>Grocery</v>
          </cell>
          <cell r="I1158" t="str">
            <v>Smart Point</v>
          </cell>
        </row>
        <row r="1159">
          <cell r="A1159" t="str">
            <v>SMARTESD874</v>
          </cell>
          <cell r="B1159">
            <v>1158</v>
          </cell>
          <cell r="C1159" t="str">
            <v>BH-SM-SIT-3009</v>
          </cell>
          <cell r="D1159" t="str">
            <v>U2M4</v>
          </cell>
          <cell r="E1159" t="str">
            <v>QBBG</v>
          </cell>
          <cell r="F1159" t="str">
            <v>SMPTBQBBG00</v>
          </cell>
          <cell r="G1159" t="str">
            <v>C. Grocery</v>
          </cell>
          <cell r="H1159" t="str">
            <v>Grocery</v>
          </cell>
          <cell r="I1159" t="str">
            <v>Smart Point</v>
          </cell>
        </row>
        <row r="1160">
          <cell r="A1160" t="str">
            <v>SMARTESD882</v>
          </cell>
          <cell r="B1160">
            <v>1159</v>
          </cell>
          <cell r="C1160"/>
          <cell r="D1160" t="str">
            <v>U2ZO</v>
          </cell>
          <cell r="E1160" t="str">
            <v>QAWQ</v>
          </cell>
          <cell r="F1160" t="str">
            <v>SMPTFQAWQ00</v>
          </cell>
          <cell r="G1160" t="str">
            <v>C. Grocery</v>
          </cell>
          <cell r="H1160" t="str">
            <v>Grocery</v>
          </cell>
          <cell r="I1160" t="str">
            <v>Smart Point</v>
          </cell>
        </row>
        <row r="1161">
          <cell r="A1161" t="str">
            <v>SMPTSD3692</v>
          </cell>
          <cell r="B1161">
            <v>1160</v>
          </cell>
          <cell r="C1161" t="str">
            <v>WB-SM-DIB-3001</v>
          </cell>
          <cell r="D1161" t="str">
            <v>U1AA</v>
          </cell>
          <cell r="E1161" t="str">
            <v>Q8MD</v>
          </cell>
          <cell r="F1161" t="str">
            <v>SMPTFQ8MD01</v>
          </cell>
          <cell r="G1161" t="str">
            <v>C. Grocery</v>
          </cell>
          <cell r="H1161" t="str">
            <v>Grocery</v>
          </cell>
          <cell r="I1161" t="str">
            <v>Smart Point</v>
          </cell>
        </row>
        <row r="1162">
          <cell r="A1162" t="str">
            <v>SMPTSD3693</v>
          </cell>
          <cell r="B1162">
            <v>1161</v>
          </cell>
          <cell r="C1162" t="str">
            <v>BH-SM-SRS-3000</v>
          </cell>
          <cell r="D1162" t="str">
            <v>U18M</v>
          </cell>
          <cell r="E1162" t="str">
            <v>Q9IQ</v>
          </cell>
          <cell r="F1162" t="str">
            <v>SMPTBQ9IQ02</v>
          </cell>
          <cell r="G1162" t="str">
            <v>C. Grocery</v>
          </cell>
          <cell r="H1162" t="str">
            <v>Grocery</v>
          </cell>
          <cell r="I1162" t="str">
            <v>Smart Point</v>
          </cell>
        </row>
        <row r="1163">
          <cell r="A1163" t="str">
            <v>SMPTJD3698</v>
          </cell>
          <cell r="B1163">
            <v>1162</v>
          </cell>
          <cell r="C1163" t="str">
            <v>OR-SM-TGH-3000</v>
          </cell>
          <cell r="D1163" t="str">
            <v>U2LR</v>
          </cell>
          <cell r="E1163" t="str">
            <v>QAIM</v>
          </cell>
          <cell r="F1163" t="str">
            <v>SMPTOQAIM02</v>
          </cell>
          <cell r="G1163" t="str">
            <v>C. Grocery</v>
          </cell>
          <cell r="H1163" t="str">
            <v>Grocery</v>
          </cell>
          <cell r="I1163" t="str">
            <v>Smart Point</v>
          </cell>
        </row>
        <row r="1164">
          <cell r="A1164" t="str">
            <v>SMPTBK3700</v>
          </cell>
          <cell r="B1164">
            <v>1163</v>
          </cell>
          <cell r="C1164" t="str">
            <v>MH-SM-MSI-3000</v>
          </cell>
          <cell r="D1164" t="str">
            <v>U2QS</v>
          </cell>
          <cell r="E1164" t="str">
            <v>QANN</v>
          </cell>
          <cell r="F1164" t="str">
            <v>SMPTMQANN00</v>
          </cell>
          <cell r="G1164" t="str">
            <v>C. Grocery</v>
          </cell>
          <cell r="H1164" t="str">
            <v>Grocery</v>
          </cell>
          <cell r="I1164" t="str">
            <v>Smart Point</v>
          </cell>
        </row>
        <row r="1165">
          <cell r="A1165" t="str">
            <v>SMPTBK3701</v>
          </cell>
          <cell r="B1165">
            <v>1164</v>
          </cell>
          <cell r="C1165" t="str">
            <v>GJ-SM-UNA-3000</v>
          </cell>
          <cell r="D1165" t="str">
            <v>U2RY</v>
          </cell>
          <cell r="E1165" t="str">
            <v>QAOS</v>
          </cell>
          <cell r="F1165" t="str">
            <v>SMPTGQAOS01</v>
          </cell>
          <cell r="G1165" t="str">
            <v>C. Grocery</v>
          </cell>
          <cell r="H1165" t="str">
            <v>Grocery</v>
          </cell>
          <cell r="I1165" t="str">
            <v>Smart Point</v>
          </cell>
        </row>
        <row r="1166">
          <cell r="A1166" t="str">
            <v>SMPTJD3702</v>
          </cell>
          <cell r="B1166">
            <v>1165</v>
          </cell>
          <cell r="C1166" t="str">
            <v>OR-SM-ANU-3001</v>
          </cell>
          <cell r="D1166" t="str">
            <v>U2WJ</v>
          </cell>
          <cell r="E1166" t="str">
            <v>QATC</v>
          </cell>
          <cell r="F1166" t="str">
            <v>SMPTOQATC00</v>
          </cell>
          <cell r="G1166" t="str">
            <v>C. Grocery</v>
          </cell>
          <cell r="H1166" t="str">
            <v>Grocery</v>
          </cell>
          <cell r="I1166" t="str">
            <v>Smart Point</v>
          </cell>
        </row>
        <row r="1167">
          <cell r="A1167" t="str">
            <v>SMPTSD3703</v>
          </cell>
          <cell r="B1167">
            <v>1166</v>
          </cell>
          <cell r="C1167" t="str">
            <v>AP-SM-IHM-3001</v>
          </cell>
          <cell r="D1167" t="str">
            <v>U3TM</v>
          </cell>
          <cell r="E1167" t="str">
            <v>QFOZ</v>
          </cell>
          <cell r="F1167" t="str">
            <v>SMPTNQFOZ01</v>
          </cell>
          <cell r="G1167" t="str">
            <v>C. Grocery</v>
          </cell>
          <cell r="H1167" t="str">
            <v>Grocery</v>
          </cell>
          <cell r="I1167" t="str">
            <v>Smart Point</v>
          </cell>
        </row>
        <row r="1168">
          <cell r="A1168" t="str">
            <v>SMPTSD3707</v>
          </cell>
          <cell r="B1168">
            <v>1167</v>
          </cell>
          <cell r="C1168" t="str">
            <v>JH-SM-LER-3002</v>
          </cell>
          <cell r="D1168" t="str">
            <v>U3TH</v>
          </cell>
          <cell r="E1168" t="str">
            <v>QFOU</v>
          </cell>
          <cell r="F1168" t="str">
            <v>SMPTQQFOU01</v>
          </cell>
          <cell r="G1168" t="str">
            <v>C. Grocery</v>
          </cell>
          <cell r="H1168" t="str">
            <v>Grocery</v>
          </cell>
          <cell r="I1168" t="str">
            <v>Smart Point</v>
          </cell>
        </row>
        <row r="1169">
          <cell r="A1169" t="str">
            <v>SMPTBK3709</v>
          </cell>
          <cell r="B1169">
            <v>1168</v>
          </cell>
          <cell r="C1169" t="str">
            <v>MH-SM-MLB-3000</v>
          </cell>
          <cell r="D1169" t="str">
            <v>U2Q1</v>
          </cell>
          <cell r="E1169" t="str">
            <v>QBCN</v>
          </cell>
          <cell r="F1169" t="str">
            <v>SMPTMQBCN00</v>
          </cell>
          <cell r="G1169" t="str">
            <v>C. Grocery</v>
          </cell>
          <cell r="H1169" t="str">
            <v>Grocery</v>
          </cell>
          <cell r="I1169" t="str">
            <v>Smart Point</v>
          </cell>
        </row>
        <row r="1170">
          <cell r="A1170" t="str">
            <v>SMPTSD3712</v>
          </cell>
          <cell r="B1170">
            <v>1169</v>
          </cell>
          <cell r="C1170" t="str">
            <v>JH-SM-CKR-3001</v>
          </cell>
          <cell r="D1170" t="str">
            <v>U3WV</v>
          </cell>
          <cell r="E1170" t="str">
            <v>Q2Q3</v>
          </cell>
          <cell r="F1170" t="str">
            <v>SMPTQQ2Q301</v>
          </cell>
          <cell r="G1170" t="str">
            <v>C. Grocery</v>
          </cell>
          <cell r="H1170" t="str">
            <v>Grocery</v>
          </cell>
          <cell r="I1170" t="str">
            <v>Smart Point</v>
          </cell>
        </row>
        <row r="1171">
          <cell r="A1171" t="str">
            <v>SMPTSD3713</v>
          </cell>
          <cell r="B1171">
            <v>1170</v>
          </cell>
          <cell r="C1171" t="str">
            <v>TG-SM-NIR-3000</v>
          </cell>
          <cell r="D1171" t="str">
            <v>U3WO</v>
          </cell>
          <cell r="E1171" t="str">
            <v>QBIK</v>
          </cell>
          <cell r="F1171" t="str">
            <v>SMPTNQBIK01</v>
          </cell>
          <cell r="G1171" t="str">
            <v>C. Grocery</v>
          </cell>
          <cell r="H1171" t="str">
            <v>Grocery</v>
          </cell>
          <cell r="I1171" t="str">
            <v>Smart Point</v>
          </cell>
        </row>
        <row r="1172">
          <cell r="A1172" t="str">
            <v>SMPTBK3714</v>
          </cell>
          <cell r="B1172">
            <v>1171</v>
          </cell>
          <cell r="C1172" t="str">
            <v>GJ-SM-BAR-3000</v>
          </cell>
          <cell r="D1172" t="str">
            <v>T3HP</v>
          </cell>
          <cell r="E1172" t="str">
            <v>QJ2G</v>
          </cell>
          <cell r="F1172" t="str">
            <v>SMPTGQJ2G00</v>
          </cell>
          <cell r="G1172" t="str">
            <v>C. Grocery</v>
          </cell>
          <cell r="H1172" t="str">
            <v>Grocery</v>
          </cell>
          <cell r="I1172" t="str">
            <v>Smart Point</v>
          </cell>
        </row>
        <row r="1173">
          <cell r="A1173" t="str">
            <v>SMPTSD3722</v>
          </cell>
          <cell r="B1173">
            <v>1172</v>
          </cell>
          <cell r="C1173" t="str">
            <v>WB-SM-AAO-3000</v>
          </cell>
          <cell r="D1173" t="str">
            <v>U3NK</v>
          </cell>
          <cell r="E1173" t="str">
            <v>QD5K</v>
          </cell>
          <cell r="F1173" t="str">
            <v>SMPT6QD5K00</v>
          </cell>
          <cell r="G1173" t="str">
            <v>C. Grocery</v>
          </cell>
          <cell r="H1173" t="str">
            <v>Grocery</v>
          </cell>
          <cell r="I1173" t="str">
            <v>Smart Point</v>
          </cell>
        </row>
        <row r="1174">
          <cell r="A1174" t="str">
            <v>SPBSRT3744</v>
          </cell>
          <cell r="B1174">
            <v>1173</v>
          </cell>
          <cell r="C1174"/>
          <cell r="D1174" t="str">
            <v>U1GB</v>
          </cell>
          <cell r="E1174" t="str">
            <v>Q5H6</v>
          </cell>
          <cell r="F1174" t="str">
            <v>BISMJQ5H600</v>
          </cell>
          <cell r="G1174" t="str">
            <v>C. Grocery</v>
          </cell>
          <cell r="H1174" t="str">
            <v>Grocery</v>
          </cell>
          <cell r="I1174" t="str">
            <v>Smart Point</v>
          </cell>
        </row>
        <row r="1175">
          <cell r="A1175" t="str">
            <v>SMPTJD4283</v>
          </cell>
          <cell r="B1175">
            <v>1174</v>
          </cell>
          <cell r="C1175"/>
          <cell r="D1175" t="str">
            <v>U2B6</v>
          </cell>
          <cell r="E1175" t="str">
            <v>QAXP</v>
          </cell>
          <cell r="F1175"/>
          <cell r="G1175" t="str">
            <v>C. Grocery</v>
          </cell>
          <cell r="H1175" t="str">
            <v>Grocery</v>
          </cell>
          <cell r="I1175" t="str">
            <v>Smart Point</v>
          </cell>
        </row>
        <row r="1176">
          <cell r="A1176" t="str">
            <v>SMPTJD4292</v>
          </cell>
          <cell r="B1176">
            <v>1175</v>
          </cell>
          <cell r="C1176"/>
          <cell r="D1176" t="str">
            <v>U3HQ</v>
          </cell>
          <cell r="E1176" t="str">
            <v>QDJB</v>
          </cell>
          <cell r="F1176"/>
          <cell r="G1176" t="str">
            <v>C. Grocery</v>
          </cell>
          <cell r="H1176" t="str">
            <v>Grocery</v>
          </cell>
          <cell r="I1176" t="str">
            <v>Smart Point</v>
          </cell>
        </row>
        <row r="1177">
          <cell r="A1177" t="str">
            <v>SMPTJD4294</v>
          </cell>
          <cell r="B1177">
            <v>1176</v>
          </cell>
          <cell r="C1177"/>
          <cell r="D1177"/>
          <cell r="E1177" t="str">
            <v>QJ5S</v>
          </cell>
          <cell r="F1177" t="str">
            <v>SMPTAQJ5S00</v>
          </cell>
          <cell r="G1177" t="str">
            <v>C. Grocery</v>
          </cell>
          <cell r="H1177" t="str">
            <v>Grocery</v>
          </cell>
          <cell r="I1177" t="str">
            <v>Smart Point</v>
          </cell>
        </row>
        <row r="1178">
          <cell r="A1178" t="str">
            <v>SMRTJD4298</v>
          </cell>
          <cell r="B1178">
            <v>1177</v>
          </cell>
          <cell r="C1178"/>
          <cell r="D1178" t="str">
            <v>TH8A</v>
          </cell>
          <cell r="E1178" t="str">
            <v>QZIY</v>
          </cell>
          <cell r="F1178" t="str">
            <v>SMPTAQZIY00</v>
          </cell>
          <cell r="G1178" t="str">
            <v>C. Grocery</v>
          </cell>
          <cell r="H1178" t="str">
            <v>Grocery</v>
          </cell>
          <cell r="I1178" t="str">
            <v>Smart Point</v>
          </cell>
        </row>
        <row r="1179">
          <cell r="A1179" t="str">
            <v>SMRTJD4299</v>
          </cell>
          <cell r="B1179">
            <v>1178</v>
          </cell>
          <cell r="C1179"/>
          <cell r="D1179" t="str">
            <v>T9NW</v>
          </cell>
          <cell r="E1179" t="str">
            <v>QXEO</v>
          </cell>
          <cell r="F1179" t="str">
            <v>SMPTNQXEO00</v>
          </cell>
          <cell r="G1179" t="str">
            <v>C. Grocery</v>
          </cell>
          <cell r="H1179" t="str">
            <v>Grocery</v>
          </cell>
          <cell r="I1179" t="str">
            <v>Smart Point</v>
          </cell>
        </row>
        <row r="1180">
          <cell r="A1180" t="str">
            <v>SMRTJD4300</v>
          </cell>
          <cell r="B1180">
            <v>1179</v>
          </cell>
          <cell r="C1180"/>
          <cell r="D1180"/>
          <cell r="E1180" t="str">
            <v>QI3G</v>
          </cell>
          <cell r="F1180" t="str">
            <v>SMPTAQI3G00</v>
          </cell>
          <cell r="G1180" t="str">
            <v>C. Grocery</v>
          </cell>
          <cell r="H1180" t="str">
            <v>Grocery</v>
          </cell>
          <cell r="I1180" t="str">
            <v>Smart Point</v>
          </cell>
        </row>
        <row r="1181">
          <cell r="A1181" t="str">
            <v>SMPTAS10161</v>
          </cell>
          <cell r="B1181">
            <v>1180</v>
          </cell>
          <cell r="C1181"/>
          <cell r="D1181"/>
          <cell r="E1181"/>
          <cell r="F1181"/>
          <cell r="G1181" t="str">
            <v>C. Grocery</v>
          </cell>
          <cell r="H1181" t="str">
            <v>Grocery</v>
          </cell>
          <cell r="I1181" t="str">
            <v>Smart Point</v>
          </cell>
        </row>
        <row r="1182">
          <cell r="A1182" t="str">
            <v>SMPTSD10170</v>
          </cell>
          <cell r="B1182">
            <v>1181</v>
          </cell>
          <cell r="C1182"/>
          <cell r="D1182"/>
          <cell r="E1182"/>
          <cell r="F1182"/>
          <cell r="G1182" t="str">
            <v>C. Grocery</v>
          </cell>
          <cell r="H1182" t="str">
            <v>Grocery</v>
          </cell>
          <cell r="I1182" t="str">
            <v>Smart Point</v>
          </cell>
        </row>
        <row r="1183">
          <cell r="A1183" t="str">
            <v>SMPTSD10193</v>
          </cell>
          <cell r="B1183">
            <v>1182</v>
          </cell>
          <cell r="C1183"/>
          <cell r="D1183"/>
          <cell r="E1183"/>
          <cell r="F1183"/>
          <cell r="G1183" t="str">
            <v>C. Grocery</v>
          </cell>
          <cell r="H1183" t="str">
            <v>Grocery</v>
          </cell>
          <cell r="I1183" t="str">
            <v>Smart Point</v>
          </cell>
        </row>
        <row r="1184">
          <cell r="A1184" t="str">
            <v>SMPTSD10194</v>
          </cell>
          <cell r="B1184">
            <v>1183</v>
          </cell>
          <cell r="C1184"/>
          <cell r="D1184"/>
          <cell r="E1184"/>
          <cell r="F1184"/>
          <cell r="G1184" t="str">
            <v>C. Grocery</v>
          </cell>
          <cell r="H1184" t="str">
            <v>Grocery</v>
          </cell>
          <cell r="I1184" t="str">
            <v>Smart Point</v>
          </cell>
        </row>
        <row r="1185">
          <cell r="A1185" t="str">
            <v>SMPTAS10195</v>
          </cell>
          <cell r="B1185">
            <v>1184</v>
          </cell>
          <cell r="C1185"/>
          <cell r="D1185"/>
          <cell r="E1185"/>
          <cell r="F1185"/>
          <cell r="G1185" t="str">
            <v>C. Grocery</v>
          </cell>
          <cell r="H1185" t="str">
            <v>Grocery</v>
          </cell>
          <cell r="I1185" t="str">
            <v>Smart Point</v>
          </cell>
        </row>
        <row r="1186">
          <cell r="A1186" t="str">
            <v>SMPTAS10196</v>
          </cell>
          <cell r="B1186">
            <v>1185</v>
          </cell>
          <cell r="C1186"/>
          <cell r="D1186"/>
          <cell r="E1186"/>
          <cell r="F1186"/>
          <cell r="G1186" t="str">
            <v>C. Grocery</v>
          </cell>
          <cell r="H1186" t="str">
            <v>Grocery</v>
          </cell>
          <cell r="I1186" t="str">
            <v>Smart Point</v>
          </cell>
        </row>
        <row r="1187">
          <cell r="A1187" t="str">
            <v>SMPTRT10223</v>
          </cell>
          <cell r="B1187">
            <v>1186</v>
          </cell>
          <cell r="C1187"/>
          <cell r="D1187"/>
          <cell r="E1187"/>
          <cell r="F1187"/>
          <cell r="G1187" t="str">
            <v>C. Grocery</v>
          </cell>
          <cell r="H1187" t="str">
            <v>Grocery</v>
          </cell>
          <cell r="I1187" t="str">
            <v>Smart Point</v>
          </cell>
        </row>
        <row r="1188">
          <cell r="A1188" t="str">
            <v>SMPTRT10224</v>
          </cell>
          <cell r="B1188">
            <v>1187</v>
          </cell>
          <cell r="C1188"/>
          <cell r="D1188"/>
          <cell r="E1188"/>
          <cell r="F1188"/>
          <cell r="G1188" t="str">
            <v>C. Grocery</v>
          </cell>
          <cell r="H1188" t="str">
            <v>Grocery</v>
          </cell>
          <cell r="I1188" t="str">
            <v>Smart Point</v>
          </cell>
        </row>
        <row r="1189">
          <cell r="A1189" t="str">
            <v>SMPTRT10225</v>
          </cell>
          <cell r="B1189">
            <v>1188</v>
          </cell>
          <cell r="C1189"/>
          <cell r="D1189"/>
          <cell r="E1189"/>
          <cell r="F1189"/>
          <cell r="G1189" t="str">
            <v>C. Grocery</v>
          </cell>
          <cell r="H1189" t="str">
            <v>Grocery</v>
          </cell>
          <cell r="I1189" t="str">
            <v>Smart Point</v>
          </cell>
        </row>
        <row r="1190">
          <cell r="A1190" t="str">
            <v>SMPTAS10300</v>
          </cell>
          <cell r="B1190">
            <v>1189</v>
          </cell>
          <cell r="C1190"/>
          <cell r="D1190"/>
          <cell r="E1190"/>
          <cell r="F1190"/>
          <cell r="G1190" t="str">
            <v>C. Grocery</v>
          </cell>
          <cell r="H1190" t="str">
            <v>Grocery</v>
          </cell>
          <cell r="I1190" t="str">
            <v>Smart Point</v>
          </cell>
        </row>
        <row r="1191">
          <cell r="A1191" t="str">
            <v>SMPTAS10301</v>
          </cell>
          <cell r="B1191">
            <v>1190</v>
          </cell>
          <cell r="C1191"/>
          <cell r="D1191"/>
          <cell r="E1191"/>
          <cell r="F1191"/>
          <cell r="G1191" t="str">
            <v>C. Grocery</v>
          </cell>
          <cell r="H1191" t="str">
            <v>Grocery</v>
          </cell>
          <cell r="I1191" t="str">
            <v>Smart Point</v>
          </cell>
        </row>
        <row r="1192">
          <cell r="A1192" t="str">
            <v>SMPTAS10302</v>
          </cell>
          <cell r="B1192">
            <v>1191</v>
          </cell>
          <cell r="C1192"/>
          <cell r="D1192"/>
          <cell r="E1192"/>
          <cell r="F1192"/>
          <cell r="G1192" t="str">
            <v>C. Grocery</v>
          </cell>
          <cell r="H1192" t="str">
            <v>Grocery</v>
          </cell>
          <cell r="I1192" t="str">
            <v>Smart Point</v>
          </cell>
        </row>
        <row r="1193">
          <cell r="A1193" t="str">
            <v>SMPTAS10303</v>
          </cell>
          <cell r="B1193">
            <v>1192</v>
          </cell>
          <cell r="C1193"/>
          <cell r="D1193"/>
          <cell r="E1193"/>
          <cell r="F1193"/>
          <cell r="G1193" t="str">
            <v>C. Grocery</v>
          </cell>
          <cell r="H1193" t="str">
            <v>Grocery</v>
          </cell>
          <cell r="I1193" t="str">
            <v>Smart Point</v>
          </cell>
        </row>
        <row r="1194">
          <cell r="A1194" t="str">
            <v>SMPTAS10304</v>
          </cell>
          <cell r="B1194">
            <v>1193</v>
          </cell>
          <cell r="C1194"/>
          <cell r="D1194"/>
          <cell r="E1194"/>
          <cell r="F1194"/>
          <cell r="G1194" t="str">
            <v>C. Grocery</v>
          </cell>
          <cell r="H1194" t="str">
            <v>Grocery</v>
          </cell>
          <cell r="I1194" t="str">
            <v>Smart Point</v>
          </cell>
        </row>
        <row r="1195">
          <cell r="A1195" t="str">
            <v>SMPTAS10305</v>
          </cell>
          <cell r="B1195">
            <v>1194</v>
          </cell>
          <cell r="C1195"/>
          <cell r="D1195"/>
          <cell r="E1195"/>
          <cell r="F1195"/>
          <cell r="G1195" t="str">
            <v>C. Grocery</v>
          </cell>
          <cell r="H1195" t="str">
            <v>Grocery</v>
          </cell>
          <cell r="I1195" t="str">
            <v>Smart Point</v>
          </cell>
        </row>
        <row r="1196">
          <cell r="A1196" t="str">
            <v>SMPTAS10306</v>
          </cell>
          <cell r="B1196">
            <v>1195</v>
          </cell>
          <cell r="C1196"/>
          <cell r="D1196"/>
          <cell r="E1196"/>
          <cell r="F1196"/>
          <cell r="G1196" t="str">
            <v>C. Grocery</v>
          </cell>
          <cell r="H1196" t="str">
            <v>Grocery</v>
          </cell>
          <cell r="I1196" t="str">
            <v>Smart Point</v>
          </cell>
        </row>
        <row r="1197">
          <cell r="A1197" t="str">
            <v>SMPTSD10307</v>
          </cell>
          <cell r="B1197">
            <v>1196</v>
          </cell>
          <cell r="C1197"/>
          <cell r="D1197"/>
          <cell r="E1197"/>
          <cell r="F1197"/>
          <cell r="G1197" t="str">
            <v>C. Grocery</v>
          </cell>
          <cell r="H1197" t="str">
            <v>Grocery</v>
          </cell>
          <cell r="I1197" t="str">
            <v>Smart Point</v>
          </cell>
        </row>
        <row r="1198">
          <cell r="A1198" t="str">
            <v>SMPTAS10308</v>
          </cell>
          <cell r="B1198">
            <v>1197</v>
          </cell>
          <cell r="C1198"/>
          <cell r="D1198"/>
          <cell r="E1198"/>
          <cell r="F1198"/>
          <cell r="G1198" t="str">
            <v>C. Grocery</v>
          </cell>
          <cell r="H1198" t="str">
            <v>Grocery</v>
          </cell>
          <cell r="I1198" t="str">
            <v>Smart Point</v>
          </cell>
        </row>
        <row r="1199">
          <cell r="A1199" t="str">
            <v>SMPTAS10309</v>
          </cell>
          <cell r="B1199">
            <v>1198</v>
          </cell>
          <cell r="C1199"/>
          <cell r="D1199"/>
          <cell r="E1199"/>
          <cell r="F1199"/>
          <cell r="G1199" t="str">
            <v>C. Grocery</v>
          </cell>
          <cell r="H1199" t="str">
            <v>Grocery</v>
          </cell>
          <cell r="I1199" t="str">
            <v>Smart Point</v>
          </cell>
        </row>
        <row r="1200">
          <cell r="A1200" t="str">
            <v>SMPTAS10401</v>
          </cell>
          <cell r="B1200">
            <v>1199</v>
          </cell>
          <cell r="C1200"/>
          <cell r="D1200"/>
          <cell r="E1200"/>
          <cell r="F1200"/>
          <cell r="G1200" t="str">
            <v>C. Grocery</v>
          </cell>
          <cell r="H1200" t="str">
            <v>Grocery</v>
          </cell>
          <cell r="I1200" t="str">
            <v>Smart Point</v>
          </cell>
        </row>
        <row r="1201">
          <cell r="A1201" t="str">
            <v>WWSBAS3723</v>
          </cell>
          <cell r="B1201">
            <v>1200</v>
          </cell>
          <cell r="C1201"/>
          <cell r="D1201" t="str">
            <v>FR49</v>
          </cell>
          <cell r="E1201" t="str">
            <v>Q4MT</v>
          </cell>
          <cell r="F1201" t="str">
            <v>KALAKQ4MT03</v>
          </cell>
          <cell r="G1201" t="str">
            <v>C. Grocery</v>
          </cell>
          <cell r="H1201" t="str">
            <v>Grocery</v>
          </cell>
          <cell r="I1201" t="str">
            <v>Women's World @ SBZ</v>
          </cell>
        </row>
        <row r="1202">
          <cell r="A1202" t="str">
            <v>WWSBSD3724</v>
          </cell>
          <cell r="B1202">
            <v>1201</v>
          </cell>
          <cell r="C1202"/>
          <cell r="D1202" t="str">
            <v>FRBN</v>
          </cell>
          <cell r="E1202" t="str">
            <v>Q4WD</v>
          </cell>
          <cell r="F1202" t="str">
            <v>KALANQ4WD03</v>
          </cell>
          <cell r="G1202" t="str">
            <v>C. Grocery</v>
          </cell>
          <cell r="H1202" t="str">
            <v>Grocery</v>
          </cell>
          <cell r="I1202" t="str">
            <v>Women's World @ SBZ</v>
          </cell>
        </row>
        <row r="1203">
          <cell r="A1203" t="str">
            <v>WWSBAS3725</v>
          </cell>
          <cell r="B1203">
            <v>1202</v>
          </cell>
          <cell r="C1203"/>
          <cell r="D1203" t="str">
            <v>FR48</v>
          </cell>
          <cell r="E1203" t="str">
            <v>Q4MS</v>
          </cell>
          <cell r="F1203" t="str">
            <v>KALAKQ4MS04</v>
          </cell>
          <cell r="G1203" t="str">
            <v>C. Grocery</v>
          </cell>
          <cell r="H1203" t="str">
            <v>Grocery</v>
          </cell>
          <cell r="I1203" t="str">
            <v>Women's World @ SBZ</v>
          </cell>
        </row>
        <row r="1204">
          <cell r="A1204" t="str">
            <v>WWSBAK3726</v>
          </cell>
          <cell r="B1204">
            <v>1203</v>
          </cell>
          <cell r="C1204"/>
          <cell r="D1204" t="str">
            <v>FR45</v>
          </cell>
          <cell r="E1204" t="str">
            <v>Q4MP</v>
          </cell>
          <cell r="F1204" t="str">
            <v>KALAKQ4MP03</v>
          </cell>
          <cell r="G1204" t="str">
            <v>C. Grocery</v>
          </cell>
          <cell r="H1204" t="str">
            <v>Grocery</v>
          </cell>
          <cell r="I1204" t="str">
            <v>Women's World @ SBZ</v>
          </cell>
        </row>
        <row r="1205">
          <cell r="A1205" t="str">
            <v>WWSBAK3727</v>
          </cell>
          <cell r="B1205">
            <v>1204</v>
          </cell>
          <cell r="C1205"/>
          <cell r="D1205" t="str">
            <v>FR57</v>
          </cell>
          <cell r="E1205" t="str">
            <v>Q4OB</v>
          </cell>
          <cell r="F1205" t="str">
            <v>KALAKQ4OB02</v>
          </cell>
          <cell r="G1205" t="str">
            <v>C. Grocery</v>
          </cell>
          <cell r="H1205" t="str">
            <v>Grocery</v>
          </cell>
          <cell r="I1205" t="str">
            <v>Women's World @ SBZ</v>
          </cell>
        </row>
        <row r="1206">
          <cell r="A1206" t="str">
            <v>WWSBAK3729</v>
          </cell>
          <cell r="B1206">
            <v>1205</v>
          </cell>
          <cell r="C1206"/>
          <cell r="D1206" t="str">
            <v>FRBL</v>
          </cell>
          <cell r="E1206" t="str">
            <v>Q4WB</v>
          </cell>
          <cell r="F1206" t="str">
            <v>KALANQ4WB02</v>
          </cell>
          <cell r="G1206" t="str">
            <v>C. Grocery</v>
          </cell>
          <cell r="H1206" t="str">
            <v>Grocery</v>
          </cell>
          <cell r="I1206" t="str">
            <v>Women's World @ SBZ</v>
          </cell>
        </row>
        <row r="1207">
          <cell r="A1207" t="str">
            <v>WWSBSD3730</v>
          </cell>
          <cell r="B1207">
            <v>1206</v>
          </cell>
          <cell r="C1207"/>
          <cell r="D1207" t="str">
            <v>FRBJ</v>
          </cell>
          <cell r="E1207" t="str">
            <v>Q4VZ</v>
          </cell>
          <cell r="F1207" t="str">
            <v>KALANQ4VZ03</v>
          </cell>
          <cell r="G1207" t="str">
            <v>C. Grocery</v>
          </cell>
          <cell r="H1207" t="str">
            <v>Grocery</v>
          </cell>
          <cell r="I1207" t="str">
            <v>Women's World @ SBZ</v>
          </cell>
        </row>
        <row r="1208">
          <cell r="A1208" t="str">
            <v>NETMS80</v>
          </cell>
          <cell r="B1208">
            <v>1207</v>
          </cell>
          <cell r="C1208" t="str">
            <v>TN-SM-CHE-969</v>
          </cell>
          <cell r="D1208" t="str">
            <v>T28S</v>
          </cell>
          <cell r="E1208" t="str">
            <v>QW1G</v>
          </cell>
          <cell r="F1208" t="str">
            <v>NETMTQW1G00</v>
          </cell>
          <cell r="G1208" t="str">
            <v>D. Pharma Format</v>
          </cell>
          <cell r="H1208" t="str">
            <v>Pharma Format</v>
          </cell>
          <cell r="I1208" t="str">
            <v>Netmed</v>
          </cell>
        </row>
        <row r="1209">
          <cell r="A1209" t="str">
            <v>NETMS84</v>
          </cell>
          <cell r="B1209">
            <v>1208</v>
          </cell>
          <cell r="C1209" t="str">
            <v>TN-SM-CHE-972</v>
          </cell>
          <cell r="D1209" t="str">
            <v>T35R</v>
          </cell>
          <cell r="E1209" t="str">
            <v>QA8T</v>
          </cell>
          <cell r="F1209" t="str">
            <v>NETMTQA8T00</v>
          </cell>
          <cell r="G1209" t="str">
            <v>D. Pharma Format</v>
          </cell>
          <cell r="H1209" t="str">
            <v>Pharma Format</v>
          </cell>
          <cell r="I1209" t="str">
            <v>Netmed</v>
          </cell>
        </row>
        <row r="1210">
          <cell r="A1210" t="str">
            <v>NETMS92</v>
          </cell>
          <cell r="B1210">
            <v>1209</v>
          </cell>
          <cell r="C1210" t="str">
            <v>KR-SM-BAN-994</v>
          </cell>
          <cell r="D1210" t="str">
            <v>T1FA</v>
          </cell>
          <cell r="E1210" t="str">
            <v>Q1H8</v>
          </cell>
          <cell r="F1210" t="str">
            <v>NETMKQ1H800</v>
          </cell>
          <cell r="G1210" t="str">
            <v>D. Pharma Format</v>
          </cell>
          <cell r="H1210" t="str">
            <v>Pharma Format</v>
          </cell>
          <cell r="I1210" t="str">
            <v>Netmed</v>
          </cell>
        </row>
        <row r="1211">
          <cell r="A1211" t="str">
            <v>NETMS100</v>
          </cell>
          <cell r="B1211">
            <v>1210</v>
          </cell>
          <cell r="C1211" t="str">
            <v>KR-SM-BAN-995</v>
          </cell>
          <cell r="D1211" t="str">
            <v>T1GW</v>
          </cell>
          <cell r="E1211" t="str">
            <v>Q1M8</v>
          </cell>
          <cell r="F1211" t="str">
            <v>NETMKQ1M800</v>
          </cell>
          <cell r="G1211" t="str">
            <v>D. Pharma Format</v>
          </cell>
          <cell r="H1211" t="str">
            <v>Pharma Format</v>
          </cell>
          <cell r="I1211" t="str">
            <v>Netmed</v>
          </cell>
        </row>
        <row r="1212">
          <cell r="A1212" t="str">
            <v>NETMS103</v>
          </cell>
          <cell r="B1212">
            <v>1211</v>
          </cell>
          <cell r="C1212" t="str">
            <v>KR-SM-BAN-993</v>
          </cell>
          <cell r="D1212" t="str">
            <v>T1PR</v>
          </cell>
          <cell r="E1212" t="str">
            <v>Q2J2</v>
          </cell>
          <cell r="F1212" t="str">
            <v>NETMKQ2J200</v>
          </cell>
          <cell r="G1212" t="str">
            <v>D. Pharma Format</v>
          </cell>
          <cell r="H1212" t="str">
            <v>Pharma Format</v>
          </cell>
          <cell r="I1212" t="str">
            <v>Netmed</v>
          </cell>
        </row>
        <row r="1213">
          <cell r="A1213" t="str">
            <v>NETMS110</v>
          </cell>
          <cell r="B1213">
            <v>1212</v>
          </cell>
          <cell r="C1213" t="str">
            <v>KR-SM-HUB-908</v>
          </cell>
          <cell r="D1213" t="str">
            <v>T30X</v>
          </cell>
          <cell r="E1213" t="str">
            <v>QY1O</v>
          </cell>
          <cell r="F1213" t="str">
            <v>NETMKQY1O00</v>
          </cell>
          <cell r="G1213" t="str">
            <v>D. Pharma Format</v>
          </cell>
          <cell r="H1213" t="str">
            <v>Pharma Format</v>
          </cell>
          <cell r="I1213" t="str">
            <v>Netmed</v>
          </cell>
        </row>
        <row r="1214">
          <cell r="A1214" t="str">
            <v>NetW112</v>
          </cell>
          <cell r="B1214">
            <v>1213</v>
          </cell>
          <cell r="C1214"/>
          <cell r="D1214" t="str">
            <v>T41R</v>
          </cell>
          <cell r="E1214" t="str">
            <v>QIKK</v>
          </cell>
          <cell r="F1214" t="str">
            <v>NETMGQIKK00</v>
          </cell>
          <cell r="G1214" t="str">
            <v>D. Pharma Format</v>
          </cell>
          <cell r="H1214" t="str">
            <v>Pharma Format</v>
          </cell>
          <cell r="I1214" t="str">
            <v>Netmed</v>
          </cell>
        </row>
        <row r="1215">
          <cell r="A1215" t="str">
            <v>NETMS123</v>
          </cell>
          <cell r="B1215">
            <v>1214</v>
          </cell>
          <cell r="C1215" t="str">
            <v>KR-SM-BAN-1025</v>
          </cell>
          <cell r="D1215" t="str">
            <v>T30F</v>
          </cell>
          <cell r="E1215" t="str">
            <v>QX1W</v>
          </cell>
          <cell r="F1215" t="str">
            <v>NETMKQX1W00</v>
          </cell>
          <cell r="G1215" t="str">
            <v>D. Pharma Format</v>
          </cell>
          <cell r="H1215" t="str">
            <v>Pharma Format</v>
          </cell>
          <cell r="I1215" t="str">
            <v>Netmed</v>
          </cell>
        </row>
        <row r="1216">
          <cell r="A1216" t="str">
            <v>NETMAS10520</v>
          </cell>
          <cell r="B1216">
            <v>1215</v>
          </cell>
          <cell r="C1216"/>
          <cell r="D1216"/>
          <cell r="E1216"/>
          <cell r="F1216"/>
          <cell r="G1216" t="str">
            <v>D. Pharma Format</v>
          </cell>
          <cell r="H1216" t="str">
            <v>Pharma Format</v>
          </cell>
          <cell r="I1216" t="str">
            <v>Netmed</v>
          </cell>
        </row>
        <row r="1217">
          <cell r="A1217" t="str">
            <v>NETMBK10521</v>
          </cell>
          <cell r="B1217">
            <v>1216</v>
          </cell>
          <cell r="C1217"/>
          <cell r="D1217"/>
          <cell r="E1217"/>
          <cell r="F1217"/>
          <cell r="G1217" t="str">
            <v>D. Pharma Format</v>
          </cell>
          <cell r="H1217" t="str">
            <v>Pharma Format</v>
          </cell>
          <cell r="I1217" t="str">
            <v>Netmed</v>
          </cell>
        </row>
        <row r="1218">
          <cell r="A1218" t="str">
            <v>NETMAS10546</v>
          </cell>
          <cell r="B1218">
            <v>1217</v>
          </cell>
          <cell r="C1218"/>
          <cell r="D1218"/>
          <cell r="E1218"/>
          <cell r="F1218"/>
          <cell r="G1218" t="str">
            <v>D. Pharma Format</v>
          </cell>
          <cell r="H1218" t="str">
            <v>Pharma Format</v>
          </cell>
          <cell r="I1218" t="str">
            <v>Netmed</v>
          </cell>
        </row>
        <row r="1219">
          <cell r="A1219" t="str">
            <v>NETMAS10547</v>
          </cell>
          <cell r="B1219">
            <v>1218</v>
          </cell>
          <cell r="C1219"/>
          <cell r="D1219"/>
          <cell r="E1219"/>
          <cell r="F1219"/>
          <cell r="G1219" t="str">
            <v>D. Pharma Format</v>
          </cell>
          <cell r="H1219" t="str">
            <v>Pharma Format</v>
          </cell>
          <cell r="I1219" t="str">
            <v>Netmed</v>
          </cell>
        </row>
        <row r="1220">
          <cell r="A1220" t="str">
            <v>NETMAS10548</v>
          </cell>
          <cell r="B1220">
            <v>1219</v>
          </cell>
          <cell r="C1220"/>
          <cell r="D1220"/>
          <cell r="E1220"/>
          <cell r="F1220"/>
          <cell r="G1220" t="str">
            <v>D. Pharma Format</v>
          </cell>
          <cell r="H1220" t="str">
            <v>Pharma Format</v>
          </cell>
          <cell r="I1220" t="str">
            <v>Netmed</v>
          </cell>
        </row>
        <row r="1221">
          <cell r="A1221" t="str">
            <v>NETMBK10549</v>
          </cell>
          <cell r="B1221">
            <v>1220</v>
          </cell>
          <cell r="C1221"/>
          <cell r="D1221"/>
          <cell r="E1221"/>
          <cell r="F1221"/>
          <cell r="G1221" t="str">
            <v>D. Pharma Format</v>
          </cell>
          <cell r="H1221" t="str">
            <v>Pharma Format</v>
          </cell>
          <cell r="I1221" t="str">
            <v>Netmed</v>
          </cell>
        </row>
        <row r="1222">
          <cell r="A1222" t="str">
            <v>NETMBK10550</v>
          </cell>
          <cell r="B1222">
            <v>1221</v>
          </cell>
          <cell r="C1222"/>
          <cell r="D1222"/>
          <cell r="E1222"/>
          <cell r="F1222"/>
          <cell r="G1222" t="str">
            <v>D. Pharma Format</v>
          </cell>
          <cell r="H1222" t="str">
            <v>Pharma Format</v>
          </cell>
          <cell r="I1222" t="str">
            <v>Netmed</v>
          </cell>
        </row>
        <row r="1223">
          <cell r="A1223" t="str">
            <v>NETMBK10551</v>
          </cell>
          <cell r="B1223">
            <v>1222</v>
          </cell>
          <cell r="C1223"/>
          <cell r="D1223"/>
          <cell r="E1223"/>
          <cell r="F1223"/>
          <cell r="G1223" t="str">
            <v>D. Pharma Format</v>
          </cell>
          <cell r="H1223" t="str">
            <v>Pharma Format</v>
          </cell>
          <cell r="I1223" t="str">
            <v>Netmed</v>
          </cell>
        </row>
        <row r="1224">
          <cell r="A1224" t="str">
            <v>NETMSD10552</v>
          </cell>
          <cell r="B1224">
            <v>1223</v>
          </cell>
          <cell r="C1224"/>
          <cell r="D1224"/>
          <cell r="E1224"/>
          <cell r="F1224"/>
          <cell r="G1224" t="str">
            <v>D. Pharma Format</v>
          </cell>
          <cell r="H1224" t="str">
            <v>Pharma Format</v>
          </cell>
          <cell r="I1224" t="str">
            <v>Netmed</v>
          </cell>
        </row>
        <row r="1225">
          <cell r="A1225" t="str">
            <v>PHSmarW129</v>
          </cell>
          <cell r="B1225">
            <v>1224</v>
          </cell>
          <cell r="C1225" t="str">
            <v>MH-SM-RTK-3000</v>
          </cell>
          <cell r="D1225" t="str">
            <v>TXAT</v>
          </cell>
          <cell r="E1225" t="str">
            <v>Q8BH</v>
          </cell>
          <cell r="F1225" t="str">
            <v>NETMMQ8BH00</v>
          </cell>
          <cell r="G1225" t="str">
            <v>D. Pharma Format</v>
          </cell>
          <cell r="H1225" t="str">
            <v>Pharma Format</v>
          </cell>
          <cell r="I1225" t="str">
            <v>Pharma COCO Store (SP Fix Setup)</v>
          </cell>
        </row>
        <row r="1226">
          <cell r="A1226" t="str">
            <v>PHSmarS130</v>
          </cell>
          <cell r="B1226">
            <v>1225</v>
          </cell>
          <cell r="C1226" t="str">
            <v>KE-SM-TVW-3000</v>
          </cell>
          <cell r="D1226" t="str">
            <v>TWZ4</v>
          </cell>
          <cell r="E1226" t="str">
            <v>Q7ZY</v>
          </cell>
          <cell r="F1226" t="str">
            <v>NETMVQ7ZY00</v>
          </cell>
          <cell r="G1226" t="str">
            <v>D. Pharma Format</v>
          </cell>
          <cell r="H1226" t="str">
            <v>Pharma Format</v>
          </cell>
          <cell r="I1226" t="str">
            <v>Pharma COCO Store (SP Fix Setup)</v>
          </cell>
        </row>
        <row r="1227">
          <cell r="A1227" t="str">
            <v>PHSmarW131</v>
          </cell>
          <cell r="B1227">
            <v>1226</v>
          </cell>
          <cell r="C1227" t="str">
            <v>MH-SM-ITI-3000</v>
          </cell>
          <cell r="D1227" t="str">
            <v>TYYO</v>
          </cell>
          <cell r="E1227" t="str">
            <v>QB6S</v>
          </cell>
          <cell r="F1227" t="str">
            <v>NETMMQB6S00</v>
          </cell>
          <cell r="G1227" t="str">
            <v>D. Pharma Format</v>
          </cell>
          <cell r="H1227" t="str">
            <v>Pharma Format</v>
          </cell>
          <cell r="I1227" t="str">
            <v>Pharma COCO Store (SP Fix Setup)</v>
          </cell>
        </row>
        <row r="1228">
          <cell r="A1228" t="str">
            <v>PHSmarE132</v>
          </cell>
          <cell r="B1228">
            <v>1227</v>
          </cell>
          <cell r="C1228" t="str">
            <v>BH-SM-DUM-3000</v>
          </cell>
          <cell r="D1228" t="str">
            <v>TXGS</v>
          </cell>
          <cell r="E1228" t="str">
            <v>Q8NH</v>
          </cell>
          <cell r="F1228" t="str">
            <v>NETMBQ8NH00</v>
          </cell>
          <cell r="G1228" t="str">
            <v>D. Pharma Format</v>
          </cell>
          <cell r="H1228" t="str">
            <v>Pharma Format</v>
          </cell>
          <cell r="I1228" t="str">
            <v>Pharma COCO Store (SP Fix Setup)</v>
          </cell>
        </row>
        <row r="1229">
          <cell r="A1229" t="str">
            <v>PHSmarE133</v>
          </cell>
          <cell r="B1229">
            <v>1228</v>
          </cell>
          <cell r="C1229" t="str">
            <v>BH-SM-MOT-3000</v>
          </cell>
          <cell r="D1229" t="str">
            <v>TXGV</v>
          </cell>
          <cell r="E1229" t="str">
            <v>Q8NK</v>
          </cell>
          <cell r="F1229" t="str">
            <v>NETMBQ8NK00</v>
          </cell>
          <cell r="G1229" t="str">
            <v>D. Pharma Format</v>
          </cell>
          <cell r="H1229" t="str">
            <v>Pharma Format</v>
          </cell>
          <cell r="I1229" t="str">
            <v>Pharma COCO Store (SP Fix Setup)</v>
          </cell>
        </row>
        <row r="1230">
          <cell r="A1230" t="str">
            <v>PHSmarE134</v>
          </cell>
          <cell r="B1230">
            <v>1229</v>
          </cell>
          <cell r="C1230" t="str">
            <v>BH-SM-SIT-3005</v>
          </cell>
          <cell r="D1230" t="str">
            <v>TWE6</v>
          </cell>
          <cell r="E1230" t="str">
            <v>Q6IL</v>
          </cell>
          <cell r="F1230" t="str">
            <v>NETMBQ6IL00</v>
          </cell>
          <cell r="G1230" t="str">
            <v>D. Pharma Format</v>
          </cell>
          <cell r="H1230" t="str">
            <v>Pharma Format</v>
          </cell>
          <cell r="I1230" t="str">
            <v>Pharma COCO Store (SP Fix Setup)</v>
          </cell>
        </row>
        <row r="1231">
          <cell r="A1231" t="str">
            <v>PHSmarW135</v>
          </cell>
          <cell r="B1231">
            <v>1230</v>
          </cell>
          <cell r="C1231" t="str">
            <v>MP-SM-KDW-3001</v>
          </cell>
          <cell r="D1231" t="str">
            <v>TWNG</v>
          </cell>
          <cell r="E1231" t="str">
            <v>Q6ZF</v>
          </cell>
          <cell r="F1231" t="str">
            <v>NETMEQ6ZF00</v>
          </cell>
          <cell r="G1231" t="str">
            <v>D. Pharma Format</v>
          </cell>
          <cell r="H1231" t="str">
            <v>Pharma Format</v>
          </cell>
          <cell r="I1231" t="str">
            <v>Pharma COCO Store (SP Fix Setup)</v>
          </cell>
        </row>
        <row r="1232">
          <cell r="A1232" t="str">
            <v>PHSmarE136</v>
          </cell>
          <cell r="B1232">
            <v>1231</v>
          </cell>
          <cell r="C1232" t="str">
            <v>BH-SM-SHO-3000</v>
          </cell>
          <cell r="D1232" t="str">
            <v>TYHI</v>
          </cell>
          <cell r="E1232" t="str">
            <v>QBMY</v>
          </cell>
          <cell r="F1232" t="str">
            <v>NETMBQBMY00</v>
          </cell>
          <cell r="G1232" t="str">
            <v>D. Pharma Format</v>
          </cell>
          <cell r="H1232" t="str">
            <v>Pharma Format</v>
          </cell>
          <cell r="I1232" t="str">
            <v>Pharma COCO Store (SP Fix Setup)</v>
          </cell>
        </row>
        <row r="1233">
          <cell r="A1233" t="str">
            <v>PHSmarN137</v>
          </cell>
          <cell r="B1233">
            <v>1232</v>
          </cell>
          <cell r="C1233" t="str">
            <v>UP-SM-BNK-3002</v>
          </cell>
          <cell r="D1233" t="str">
            <v>TWH7</v>
          </cell>
          <cell r="E1233" t="str">
            <v>Q6JQ</v>
          </cell>
          <cell r="F1233" t="str">
            <v>NETMUQ6JQ00</v>
          </cell>
          <cell r="G1233" t="str">
            <v>D. Pharma Format</v>
          </cell>
          <cell r="H1233" t="str">
            <v>Pharma Format</v>
          </cell>
          <cell r="I1233" t="str">
            <v>Pharma COCO Store (SP Fix Setup)</v>
          </cell>
        </row>
        <row r="1234">
          <cell r="A1234" t="str">
            <v>PHSmarS138</v>
          </cell>
          <cell r="B1234">
            <v>1233</v>
          </cell>
          <cell r="C1234" t="str">
            <v>TN-SM-VEL-3001</v>
          </cell>
          <cell r="D1234" t="str">
            <v>TWOG</v>
          </cell>
          <cell r="E1234" t="str">
            <v>Q6A6</v>
          </cell>
          <cell r="F1234" t="str">
            <v>NETMTQ6A600</v>
          </cell>
          <cell r="G1234" t="str">
            <v>D. Pharma Format</v>
          </cell>
          <cell r="H1234" t="str">
            <v>Pharma Format</v>
          </cell>
          <cell r="I1234" t="str">
            <v>Pharma COCO Store (SP Fix Setup)</v>
          </cell>
        </row>
        <row r="1235">
          <cell r="A1235" t="str">
            <v>PHSmarS139</v>
          </cell>
          <cell r="B1235">
            <v>1234</v>
          </cell>
          <cell r="C1235" t="str">
            <v>AP-SM-NRR-3000</v>
          </cell>
          <cell r="D1235" t="str">
            <v>TYOU</v>
          </cell>
          <cell r="E1235" t="str">
            <v>QBVW</v>
          </cell>
          <cell r="F1235" t="str">
            <v>NETMAQBVW00</v>
          </cell>
          <cell r="G1235" t="str">
            <v>D. Pharma Format</v>
          </cell>
          <cell r="H1235" t="str">
            <v>Pharma Format</v>
          </cell>
          <cell r="I1235" t="str">
            <v>Pharma COCO Store (SP Fix Setup)</v>
          </cell>
        </row>
        <row r="1236">
          <cell r="A1236" t="str">
            <v>PHSmarE141</v>
          </cell>
          <cell r="B1236">
            <v>1235</v>
          </cell>
          <cell r="C1236" t="str">
            <v>BH-SM-LKY-3000</v>
          </cell>
          <cell r="D1236" t="str">
            <v>TYIM</v>
          </cell>
          <cell r="E1236" t="str">
            <v>QBOL</v>
          </cell>
          <cell r="F1236" t="str">
            <v>NETMBQBOL00</v>
          </cell>
          <cell r="G1236" t="str">
            <v>D. Pharma Format</v>
          </cell>
          <cell r="H1236" t="str">
            <v>Pharma Format</v>
          </cell>
          <cell r="I1236" t="str">
            <v>Pharma COCO Store (SP Fix Setup)</v>
          </cell>
        </row>
        <row r="1237">
          <cell r="A1237" t="str">
            <v>PHSmarE142</v>
          </cell>
          <cell r="B1237">
            <v>1236</v>
          </cell>
          <cell r="C1237" t="str">
            <v>BH-SM-CPA-3000</v>
          </cell>
          <cell r="D1237" t="str">
            <v>TYKI</v>
          </cell>
          <cell r="E1237" t="str">
            <v>QBQT</v>
          </cell>
          <cell r="F1237" t="str">
            <v>NETMBQBQT00</v>
          </cell>
          <cell r="G1237" t="str">
            <v>D. Pharma Format</v>
          </cell>
          <cell r="H1237" t="str">
            <v>Pharma Format</v>
          </cell>
          <cell r="I1237" t="str">
            <v>Pharma COCO Store (SP Fix Setup)</v>
          </cell>
        </row>
        <row r="1238">
          <cell r="A1238" t="str">
            <v>PHSmarE143</v>
          </cell>
          <cell r="B1238">
            <v>1237</v>
          </cell>
          <cell r="C1238" t="str">
            <v>BH-SM-PAT-3009</v>
          </cell>
          <cell r="D1238" t="str">
            <v>TZBA</v>
          </cell>
          <cell r="E1238" t="str">
            <v>QCSX</v>
          </cell>
          <cell r="F1238" t="str">
            <v>NETMBQCSX00</v>
          </cell>
          <cell r="G1238" t="str">
            <v>D. Pharma Format</v>
          </cell>
          <cell r="H1238" t="str">
            <v>Pharma Format</v>
          </cell>
          <cell r="I1238" t="str">
            <v>Pharma COCO Store (SP Fix Setup)</v>
          </cell>
        </row>
        <row r="1239">
          <cell r="A1239" t="str">
            <v>PHSmarE144</v>
          </cell>
          <cell r="B1239">
            <v>1238</v>
          </cell>
          <cell r="C1239" t="str">
            <v>BH-SM-NAA-3000</v>
          </cell>
          <cell r="D1239" t="str">
            <v>TYHK</v>
          </cell>
          <cell r="E1239" t="str">
            <v>QBNA</v>
          </cell>
          <cell r="F1239" t="str">
            <v>NETMBQBNA00</v>
          </cell>
          <cell r="G1239" t="str">
            <v>D. Pharma Format</v>
          </cell>
          <cell r="H1239" t="str">
            <v>Pharma Format</v>
          </cell>
          <cell r="I1239" t="str">
            <v>Pharma COCO Store (SP Fix Setup)</v>
          </cell>
        </row>
        <row r="1240">
          <cell r="A1240" t="str">
            <v>PHSmarE145</v>
          </cell>
          <cell r="B1240">
            <v>1239</v>
          </cell>
          <cell r="C1240" t="str">
            <v>BH-SM-RMG-3000</v>
          </cell>
          <cell r="D1240" t="str">
            <v>TZ2J</v>
          </cell>
          <cell r="E1240" t="str">
            <v>QEDC</v>
          </cell>
          <cell r="F1240" t="str">
            <v>NETMBQEDC00</v>
          </cell>
          <cell r="G1240" t="str">
            <v>D. Pharma Format</v>
          </cell>
          <cell r="H1240" t="str">
            <v>Pharma Format</v>
          </cell>
          <cell r="I1240" t="str">
            <v>Pharma COCO Store (SP Fix Setup)</v>
          </cell>
        </row>
        <row r="1241">
          <cell r="A1241" t="str">
            <v>PHSmarS146</v>
          </cell>
          <cell r="B1241">
            <v>1240</v>
          </cell>
          <cell r="C1241" t="str">
            <v>OR-SM-SAM-3002</v>
          </cell>
          <cell r="D1241" t="str">
            <v>TZMS</v>
          </cell>
          <cell r="E1241" t="str">
            <v>QC8N</v>
          </cell>
          <cell r="F1241" t="str">
            <v>NETMOQC8N00</v>
          </cell>
          <cell r="G1241" t="str">
            <v>D. Pharma Format</v>
          </cell>
          <cell r="H1241" t="str">
            <v>Pharma Format</v>
          </cell>
          <cell r="I1241" t="str">
            <v>Pharma COCO Store (SP Fix Setup)</v>
          </cell>
        </row>
        <row r="1242">
          <cell r="A1242" t="str">
            <v>PHSmarS147</v>
          </cell>
          <cell r="B1242">
            <v>1241</v>
          </cell>
          <cell r="C1242" t="str">
            <v>TN-SM-KAN-3001</v>
          </cell>
          <cell r="D1242" t="str">
            <v>TYTW</v>
          </cell>
          <cell r="E1242" t="str">
            <v>QB2A</v>
          </cell>
          <cell r="F1242" t="str">
            <v>NETMTQB2A00</v>
          </cell>
          <cell r="G1242" t="str">
            <v>D. Pharma Format</v>
          </cell>
          <cell r="H1242" t="str">
            <v>Pharma Format</v>
          </cell>
          <cell r="I1242" t="str">
            <v>Pharma COCO Store (SP Fix Setup)</v>
          </cell>
        </row>
        <row r="1243">
          <cell r="A1243" t="str">
            <v>PHSmarE148</v>
          </cell>
          <cell r="B1243">
            <v>1242</v>
          </cell>
          <cell r="C1243" t="str">
            <v>BH-SM-AND-3000</v>
          </cell>
          <cell r="D1243" t="str">
            <v>TZC6</v>
          </cell>
          <cell r="E1243" t="str">
            <v>QDUO</v>
          </cell>
          <cell r="F1243" t="str">
            <v>NETMBQDUO00</v>
          </cell>
          <cell r="G1243" t="str">
            <v>D. Pharma Format</v>
          </cell>
          <cell r="H1243" t="str">
            <v>Pharma Format</v>
          </cell>
          <cell r="I1243" t="str">
            <v>Pharma COCO Store (SP Fix Setup)</v>
          </cell>
        </row>
        <row r="1244">
          <cell r="A1244" t="str">
            <v>PHSmarE149</v>
          </cell>
          <cell r="B1244">
            <v>1243</v>
          </cell>
          <cell r="C1244" t="str">
            <v>BH-SM-BUX-3002</v>
          </cell>
          <cell r="D1244" t="str">
            <v>TZEY</v>
          </cell>
          <cell r="E1244" t="str">
            <v>QCYM</v>
          </cell>
          <cell r="F1244" t="str">
            <v>NETMBQCYM00</v>
          </cell>
          <cell r="G1244" t="str">
            <v>D. Pharma Format</v>
          </cell>
          <cell r="H1244" t="str">
            <v>Pharma Format</v>
          </cell>
          <cell r="I1244" t="str">
            <v>Pharma COCO Store (SP Fix Setup)</v>
          </cell>
        </row>
        <row r="1245">
          <cell r="A1245" t="str">
            <v>PHSmarE150</v>
          </cell>
          <cell r="B1245">
            <v>1244</v>
          </cell>
          <cell r="C1245" t="str">
            <v>BH-SM-RAF-3000</v>
          </cell>
          <cell r="D1245" t="str">
            <v>TY2P</v>
          </cell>
          <cell r="E1245" t="str">
            <v>QCFD</v>
          </cell>
          <cell r="F1245" t="str">
            <v>NETMBQCFD00</v>
          </cell>
          <cell r="G1245" t="str">
            <v>D. Pharma Format</v>
          </cell>
          <cell r="H1245" t="str">
            <v>Pharma Format</v>
          </cell>
          <cell r="I1245" t="str">
            <v>Pharma COCO Store (SP Fix Setup)</v>
          </cell>
        </row>
        <row r="1246">
          <cell r="A1246" t="str">
            <v>PHSmarE153</v>
          </cell>
          <cell r="B1246">
            <v>1245</v>
          </cell>
          <cell r="C1246" t="str">
            <v>BH-SM-DAR-3005</v>
          </cell>
          <cell r="D1246" t="str">
            <v>TYI2</v>
          </cell>
          <cell r="E1246" t="str">
            <v>QBNR</v>
          </cell>
          <cell r="F1246" t="str">
            <v>NETMBQBNR00</v>
          </cell>
          <cell r="G1246" t="str">
            <v>D. Pharma Format</v>
          </cell>
          <cell r="H1246" t="str">
            <v>Pharma Format</v>
          </cell>
          <cell r="I1246" t="str">
            <v>Pharma COCO Store (SP Fix Setup)</v>
          </cell>
        </row>
        <row r="1247">
          <cell r="A1247" t="str">
            <v>PHSmarE154</v>
          </cell>
          <cell r="B1247">
            <v>1246</v>
          </cell>
          <cell r="C1247" t="str">
            <v>BH-SM-PIR-3000</v>
          </cell>
          <cell r="D1247" t="str">
            <v>TYGD</v>
          </cell>
          <cell r="E1247" t="str">
            <v>QBMF</v>
          </cell>
          <cell r="F1247" t="str">
            <v>NETMBQBMF00</v>
          </cell>
          <cell r="G1247" t="str">
            <v>D. Pharma Format</v>
          </cell>
          <cell r="H1247" t="str">
            <v>Pharma Format</v>
          </cell>
          <cell r="I1247" t="str">
            <v>Pharma COCO Store (SP Fix Setup)</v>
          </cell>
        </row>
        <row r="1248">
          <cell r="A1248" t="str">
            <v>PHSmarE156</v>
          </cell>
          <cell r="B1248">
            <v>1247</v>
          </cell>
          <cell r="C1248" t="str">
            <v>BH-SM-SHE-3000</v>
          </cell>
          <cell r="D1248" t="str">
            <v>TWHP</v>
          </cell>
          <cell r="E1248" t="str">
            <v>Q6TT</v>
          </cell>
          <cell r="F1248" t="str">
            <v>NETMBQ6TT00</v>
          </cell>
          <cell r="G1248" t="str">
            <v>D. Pharma Format</v>
          </cell>
          <cell r="H1248" t="str">
            <v>Pharma Format</v>
          </cell>
          <cell r="I1248" t="str">
            <v>Pharma COCO Store (SP Fix Setup)</v>
          </cell>
        </row>
        <row r="1249">
          <cell r="A1249" t="str">
            <v>PHSmarE157</v>
          </cell>
          <cell r="B1249">
            <v>1248</v>
          </cell>
          <cell r="C1249" t="str">
            <v>BH-SM-MAD-3004</v>
          </cell>
          <cell r="D1249" t="str">
            <v>TYHN</v>
          </cell>
          <cell r="E1249" t="str">
            <v>QBND</v>
          </cell>
          <cell r="F1249" t="str">
            <v>NETMBQBND00</v>
          </cell>
          <cell r="G1249" t="str">
            <v>D. Pharma Format</v>
          </cell>
          <cell r="H1249" t="str">
            <v>Pharma Format</v>
          </cell>
          <cell r="I1249" t="str">
            <v>Pharma COCO Store (SP Fix Setup)</v>
          </cell>
        </row>
        <row r="1250">
          <cell r="A1250" t="str">
            <v>PHSmarS159</v>
          </cell>
          <cell r="B1250">
            <v>1249</v>
          </cell>
          <cell r="C1250" t="str">
            <v>TN-SM-KAR-3001</v>
          </cell>
          <cell r="D1250" t="str">
            <v>TZ4Z</v>
          </cell>
          <cell r="E1250" t="str">
            <v>QEGY</v>
          </cell>
          <cell r="F1250" t="str">
            <v>NETMTQEGY00</v>
          </cell>
          <cell r="G1250" t="str">
            <v>D. Pharma Format</v>
          </cell>
          <cell r="H1250" t="str">
            <v>Pharma Format</v>
          </cell>
          <cell r="I1250" t="str">
            <v>Pharma COCO Store (SP Fix Setup)</v>
          </cell>
        </row>
        <row r="1251">
          <cell r="A1251" t="str">
            <v>PHSmarS161</v>
          </cell>
          <cell r="B1251">
            <v>1250</v>
          </cell>
          <cell r="C1251" t="str">
            <v>AP-SM-PUA-3000</v>
          </cell>
          <cell r="D1251" t="str">
            <v>TZDV</v>
          </cell>
          <cell r="E1251" t="str">
            <v>QCXF</v>
          </cell>
          <cell r="F1251" t="str">
            <v>NETMAQCXF00</v>
          </cell>
          <cell r="G1251" t="str">
            <v>D. Pharma Format</v>
          </cell>
          <cell r="H1251" t="str">
            <v>Pharma Format</v>
          </cell>
          <cell r="I1251" t="str">
            <v>Pharma COCO Store (SP Fix Setup)</v>
          </cell>
        </row>
        <row r="1252">
          <cell r="A1252" t="str">
            <v>PHSmarS162</v>
          </cell>
          <cell r="B1252">
            <v>1251</v>
          </cell>
          <cell r="C1252" t="str">
            <v>OR-SM-SGR-3001</v>
          </cell>
          <cell r="D1252" t="str">
            <v>TYEW</v>
          </cell>
          <cell r="E1252" t="str">
            <v>QBKG</v>
          </cell>
          <cell r="F1252" t="str">
            <v>NETMOQBKG00</v>
          </cell>
          <cell r="G1252" t="str">
            <v>D. Pharma Format</v>
          </cell>
          <cell r="H1252" t="str">
            <v>Pharma Format</v>
          </cell>
          <cell r="I1252" t="str">
            <v>Pharma COCO Store (SP Fix Setup)</v>
          </cell>
        </row>
        <row r="1253">
          <cell r="A1253" t="str">
            <v>PHSmarE163</v>
          </cell>
          <cell r="B1253">
            <v>1252</v>
          </cell>
          <cell r="C1253" t="str">
            <v>BH-SM-TIK-3000</v>
          </cell>
          <cell r="D1253" t="str">
            <v>TZYA</v>
          </cell>
          <cell r="E1253" t="str">
            <v>QDPA</v>
          </cell>
          <cell r="F1253" t="str">
            <v>NETMBQDPA00</v>
          </cell>
          <cell r="G1253" t="str">
            <v>D. Pharma Format</v>
          </cell>
          <cell r="H1253" t="str">
            <v>Pharma Format</v>
          </cell>
          <cell r="I1253" t="str">
            <v>Pharma COCO Store (SP Fix Setup)</v>
          </cell>
        </row>
        <row r="1254">
          <cell r="A1254" t="str">
            <v>PHSmarE164</v>
          </cell>
          <cell r="B1254">
            <v>1253</v>
          </cell>
          <cell r="C1254" t="str">
            <v>BH-SM-MHA-3000</v>
          </cell>
          <cell r="D1254" t="str">
            <v>TZ3Z</v>
          </cell>
          <cell r="E1254" t="str">
            <v>QEES</v>
          </cell>
          <cell r="F1254" t="str">
            <v>NETMBQEES00</v>
          </cell>
          <cell r="G1254" t="str">
            <v>D. Pharma Format</v>
          </cell>
          <cell r="H1254" t="str">
            <v>Pharma Format</v>
          </cell>
          <cell r="I1254" t="str">
            <v>Pharma COCO Store (SP Fix Setup)</v>
          </cell>
        </row>
        <row r="1255">
          <cell r="A1255" t="str">
            <v>PHSmarS165</v>
          </cell>
          <cell r="B1255">
            <v>1254</v>
          </cell>
          <cell r="C1255" t="str">
            <v>OR-SM-SOO-3000</v>
          </cell>
          <cell r="D1255" t="str">
            <v>TYER</v>
          </cell>
          <cell r="E1255" t="str">
            <v>QBKB</v>
          </cell>
          <cell r="F1255" t="str">
            <v>NETMOQBKB00</v>
          </cell>
          <cell r="G1255" t="str">
            <v>D. Pharma Format</v>
          </cell>
          <cell r="H1255" t="str">
            <v>Pharma Format</v>
          </cell>
          <cell r="I1255" t="str">
            <v>Pharma COCO Store (SP Fix Setup)</v>
          </cell>
        </row>
        <row r="1256">
          <cell r="A1256" t="str">
            <v>PHSmarE166</v>
          </cell>
          <cell r="B1256">
            <v>1255</v>
          </cell>
          <cell r="C1256" t="str">
            <v>BH-SM-ROU-3000</v>
          </cell>
          <cell r="D1256" t="str">
            <v>TYHE</v>
          </cell>
          <cell r="E1256" t="str">
            <v>QBMU</v>
          </cell>
          <cell r="F1256" t="str">
            <v>NETMBQBMU00</v>
          </cell>
          <cell r="G1256" t="str">
            <v>D. Pharma Format</v>
          </cell>
          <cell r="H1256" t="str">
            <v>Pharma Format</v>
          </cell>
          <cell r="I1256" t="str">
            <v>Pharma COCO Store (SP Fix Setup)</v>
          </cell>
        </row>
        <row r="1257">
          <cell r="A1257" t="str">
            <v>PHSmarE167</v>
          </cell>
          <cell r="B1257">
            <v>1256</v>
          </cell>
          <cell r="C1257" t="str">
            <v>BH-SM-GPJ-3004</v>
          </cell>
          <cell r="D1257" t="str">
            <v>TZC9</v>
          </cell>
          <cell r="E1257" t="str">
            <v>QDUR</v>
          </cell>
          <cell r="F1257" t="str">
            <v>NETMBQDUR00</v>
          </cell>
          <cell r="G1257" t="str">
            <v>D. Pharma Format</v>
          </cell>
          <cell r="H1257" t="str">
            <v>Pharma Format</v>
          </cell>
          <cell r="I1257" t="str">
            <v>Pharma COCO Store (SP Fix Setup)</v>
          </cell>
        </row>
        <row r="1258">
          <cell r="A1258" t="str">
            <v>PHSmarS168</v>
          </cell>
          <cell r="B1258">
            <v>1257</v>
          </cell>
          <cell r="C1258" t="str">
            <v>KR-SM-MBI-3000</v>
          </cell>
          <cell r="D1258" t="str">
            <v>TYHP</v>
          </cell>
          <cell r="E1258" t="str">
            <v>QBNF</v>
          </cell>
          <cell r="F1258" t="str">
            <v>NETMKQBNF00</v>
          </cell>
          <cell r="G1258" t="str">
            <v>D. Pharma Format</v>
          </cell>
          <cell r="H1258" t="str">
            <v>Pharma Format</v>
          </cell>
          <cell r="I1258" t="str">
            <v>Pharma COCO Store (SP Fix Setup)</v>
          </cell>
        </row>
        <row r="1259">
          <cell r="A1259" t="str">
            <v>PHSmarW169</v>
          </cell>
          <cell r="B1259">
            <v>1258</v>
          </cell>
          <cell r="C1259" t="str">
            <v>MP-SM-MEH-3001</v>
          </cell>
          <cell r="D1259" t="str">
            <v>TAWN</v>
          </cell>
          <cell r="E1259" t="str">
            <v>QGEA</v>
          </cell>
          <cell r="F1259" t="str">
            <v>NETMCQGEA00</v>
          </cell>
          <cell r="G1259" t="str">
            <v>D. Pharma Format</v>
          </cell>
          <cell r="H1259" t="str">
            <v>Pharma Format</v>
          </cell>
          <cell r="I1259" t="str">
            <v>Pharma COCO Store (SP Fix Setup)</v>
          </cell>
        </row>
        <row r="1260">
          <cell r="A1260" t="str">
            <v>PHSmarS170</v>
          </cell>
          <cell r="B1260">
            <v>1259</v>
          </cell>
          <cell r="C1260" t="str">
            <v>KR-SM-BAN-3096</v>
          </cell>
          <cell r="D1260" t="str">
            <v>TZ5J</v>
          </cell>
          <cell r="E1260" t="str">
            <v>QEHI</v>
          </cell>
          <cell r="F1260" t="str">
            <v>NETMKQEHI00</v>
          </cell>
          <cell r="G1260" t="str">
            <v>D. Pharma Format</v>
          </cell>
          <cell r="H1260" t="str">
            <v>Pharma Format</v>
          </cell>
          <cell r="I1260" t="str">
            <v>Pharma COCO Store (SP Fix Setup)</v>
          </cell>
        </row>
        <row r="1261">
          <cell r="A1261" t="str">
            <v>PHSmarW173</v>
          </cell>
          <cell r="B1261">
            <v>1260</v>
          </cell>
          <cell r="C1261" t="str">
            <v>MH-SM-NAG-3025</v>
          </cell>
          <cell r="D1261" t="str">
            <v>TYLF</v>
          </cell>
          <cell r="E1261" t="str">
            <v>QBRQ</v>
          </cell>
          <cell r="F1261" t="str">
            <v>NETMMQBRQ00</v>
          </cell>
          <cell r="G1261" t="str">
            <v>D. Pharma Format</v>
          </cell>
          <cell r="H1261" t="str">
            <v>Pharma Format</v>
          </cell>
          <cell r="I1261" t="str">
            <v>Pharma COCO Store (SP Fix Setup)</v>
          </cell>
        </row>
        <row r="1262">
          <cell r="A1262" t="str">
            <v>PHSmarE174</v>
          </cell>
          <cell r="B1262">
            <v>1261</v>
          </cell>
          <cell r="C1262" t="str">
            <v>JH-SM-RAN-3019</v>
          </cell>
          <cell r="D1262" t="str">
            <v>TZQS</v>
          </cell>
          <cell r="E1262" t="str">
            <v>QDDX</v>
          </cell>
          <cell r="F1262" t="str">
            <v>NETMQQDDX00</v>
          </cell>
          <cell r="G1262" t="str">
            <v>D. Pharma Format</v>
          </cell>
          <cell r="H1262" t="str">
            <v>Pharma Format</v>
          </cell>
          <cell r="I1262" t="str">
            <v>Pharma COCO Store (SP Fix Setup)</v>
          </cell>
        </row>
        <row r="1263">
          <cell r="A1263" t="str">
            <v>PHSmarE175</v>
          </cell>
          <cell r="B1263">
            <v>1262</v>
          </cell>
          <cell r="C1263" t="str">
            <v>AP-SM-HYD-3062</v>
          </cell>
          <cell r="D1263" t="str">
            <v>TYDS</v>
          </cell>
          <cell r="E1263" t="str">
            <v>QBIT</v>
          </cell>
          <cell r="F1263" t="str">
            <v>NETMNQBIT00</v>
          </cell>
          <cell r="G1263" t="str">
            <v>D. Pharma Format</v>
          </cell>
          <cell r="H1263" t="str">
            <v>Pharma Format</v>
          </cell>
          <cell r="I1263" t="str">
            <v>Pharma COCO Store (SP Fix Setup)</v>
          </cell>
        </row>
        <row r="1264">
          <cell r="A1264" t="str">
            <v>PHSmarN177</v>
          </cell>
          <cell r="B1264">
            <v>1263</v>
          </cell>
          <cell r="C1264" t="str">
            <v>UP-SM-PKH-3000</v>
          </cell>
          <cell r="D1264" t="str">
            <v>TZYW</v>
          </cell>
          <cell r="E1264" t="str">
            <v>QDPW</v>
          </cell>
          <cell r="F1264" t="str">
            <v>NETMUQDPW00</v>
          </cell>
          <cell r="G1264" t="str">
            <v>D. Pharma Format</v>
          </cell>
          <cell r="H1264" t="str">
            <v>Pharma Format</v>
          </cell>
          <cell r="I1264" t="str">
            <v>Pharma COCO Store (SP Fix Setup)</v>
          </cell>
        </row>
        <row r="1265">
          <cell r="A1265" t="str">
            <v>PHSmarS178</v>
          </cell>
          <cell r="B1265">
            <v>1264</v>
          </cell>
          <cell r="C1265" t="str">
            <v>KE-SM-CTH-3000</v>
          </cell>
          <cell r="D1265" t="str">
            <v>TZN8</v>
          </cell>
          <cell r="E1265" t="str">
            <v>QDZM</v>
          </cell>
          <cell r="F1265" t="str">
            <v>NETMVQDZM00</v>
          </cell>
          <cell r="G1265" t="str">
            <v>D. Pharma Format</v>
          </cell>
          <cell r="H1265" t="str">
            <v>Pharma Format</v>
          </cell>
          <cell r="I1265" t="str">
            <v>Pharma COCO Store (SP Fix Setup)</v>
          </cell>
        </row>
        <row r="1266">
          <cell r="A1266" t="str">
            <v>PHSmarE179</v>
          </cell>
          <cell r="B1266">
            <v>1265</v>
          </cell>
          <cell r="C1266" t="str">
            <v>WB-SM-MHP-3001</v>
          </cell>
          <cell r="D1266" t="str">
            <v>TYDW</v>
          </cell>
          <cell r="E1266" t="str">
            <v>QBIX</v>
          </cell>
          <cell r="F1266" t="str">
            <v>NETMWQBIX00</v>
          </cell>
          <cell r="G1266" t="str">
            <v>D. Pharma Format</v>
          </cell>
          <cell r="H1266" t="str">
            <v>Pharma Format</v>
          </cell>
          <cell r="I1266" t="str">
            <v>Pharma COCO Store (SP Fix Setup)</v>
          </cell>
        </row>
        <row r="1267">
          <cell r="A1267" t="str">
            <v>PHSmarS181</v>
          </cell>
          <cell r="B1267">
            <v>1266</v>
          </cell>
          <cell r="C1267" t="str">
            <v>KR-SM-SHB-3000</v>
          </cell>
          <cell r="D1267" t="str">
            <v>TABG</v>
          </cell>
          <cell r="E1267" t="str">
            <v>QEZF</v>
          </cell>
          <cell r="F1267" t="str">
            <v>NETMKQEZF00</v>
          </cell>
          <cell r="G1267" t="str">
            <v>D. Pharma Format</v>
          </cell>
          <cell r="H1267" t="str">
            <v>Pharma Format</v>
          </cell>
          <cell r="I1267" t="str">
            <v>Pharma COCO Store (SP Fix Setup)</v>
          </cell>
        </row>
        <row r="1268">
          <cell r="A1268" t="str">
            <v>PHSmarN182</v>
          </cell>
          <cell r="B1268">
            <v>1267</v>
          </cell>
          <cell r="C1268" t="str">
            <v>HR-SM-NRW-3000</v>
          </cell>
          <cell r="D1268" t="str">
            <v>TYZE</v>
          </cell>
          <cell r="E1268" t="str">
            <v>QB7G</v>
          </cell>
          <cell r="F1268" t="str">
            <v>NETMHQB7G00</v>
          </cell>
          <cell r="G1268" t="str">
            <v>D. Pharma Format</v>
          </cell>
          <cell r="H1268" t="str">
            <v>Pharma Format</v>
          </cell>
          <cell r="I1268" t="str">
            <v>Pharma COCO Store (SP Fix Setup)</v>
          </cell>
        </row>
        <row r="1269">
          <cell r="A1269" t="str">
            <v>PHSmarS183</v>
          </cell>
          <cell r="B1269">
            <v>1268</v>
          </cell>
          <cell r="C1269" t="str">
            <v>KR-SM-HUB-3010</v>
          </cell>
          <cell r="D1269" t="str">
            <v>TZ2A</v>
          </cell>
          <cell r="E1269" t="str">
            <v>QECT</v>
          </cell>
          <cell r="F1269" t="str">
            <v>NETMKQECT00</v>
          </cell>
          <cell r="G1269" t="str">
            <v>D. Pharma Format</v>
          </cell>
          <cell r="H1269" t="str">
            <v>Pharma Format</v>
          </cell>
          <cell r="I1269" t="str">
            <v>Pharma COCO Store (SP Fix Setup)</v>
          </cell>
        </row>
        <row r="1270">
          <cell r="A1270" t="str">
            <v>PHSmarS184</v>
          </cell>
          <cell r="B1270">
            <v>1269</v>
          </cell>
          <cell r="C1270" t="str">
            <v>KR-SM-BID-3000</v>
          </cell>
          <cell r="D1270" t="str">
            <v>TYYC</v>
          </cell>
          <cell r="E1270" t="str">
            <v>QB6G</v>
          </cell>
          <cell r="F1270" t="str">
            <v>NETMKQB6G00</v>
          </cell>
          <cell r="G1270" t="str">
            <v>D. Pharma Format</v>
          </cell>
          <cell r="H1270" t="str">
            <v>Pharma Format</v>
          </cell>
          <cell r="I1270" t="str">
            <v>Pharma COCO Store (SP Fix Setup)</v>
          </cell>
        </row>
        <row r="1271">
          <cell r="A1271" t="str">
            <v>PHSmarS185</v>
          </cell>
          <cell r="B1271">
            <v>1270</v>
          </cell>
          <cell r="C1271" t="str">
            <v>KE-SM-KSR-3000</v>
          </cell>
          <cell r="D1271" t="str">
            <v>TZWN</v>
          </cell>
          <cell r="E1271" t="str">
            <v>QDNF</v>
          </cell>
          <cell r="F1271" t="str">
            <v>NETMVQDNF00</v>
          </cell>
          <cell r="G1271" t="str">
            <v>D. Pharma Format</v>
          </cell>
          <cell r="H1271" t="str">
            <v>Pharma Format</v>
          </cell>
          <cell r="I1271" t="str">
            <v>Pharma COCO Store (SP Fix Setup)</v>
          </cell>
        </row>
        <row r="1272">
          <cell r="A1272" t="str">
            <v>PHSmarE186</v>
          </cell>
          <cell r="B1272">
            <v>1271</v>
          </cell>
          <cell r="C1272" t="str">
            <v>AP-SM-KRT-3000</v>
          </cell>
          <cell r="D1272" t="str">
            <v>T59D</v>
          </cell>
          <cell r="E1272" t="str">
            <v>QVHH</v>
          </cell>
          <cell r="F1272" t="str">
            <v>NETMNQVHH00</v>
          </cell>
          <cell r="G1272" t="str">
            <v>D. Pharma Format</v>
          </cell>
          <cell r="H1272" t="str">
            <v>Pharma Format</v>
          </cell>
          <cell r="I1272" t="str">
            <v>Pharma COCO Store (SP Fix Setup)</v>
          </cell>
        </row>
        <row r="1273">
          <cell r="A1273" t="str">
            <v>PHSmarE187</v>
          </cell>
          <cell r="B1273">
            <v>1272</v>
          </cell>
          <cell r="C1273" t="str">
            <v>BH-SM-WAR-3000</v>
          </cell>
          <cell r="D1273" t="str">
            <v>TYIK</v>
          </cell>
          <cell r="E1273" t="str">
            <v>QBOJ</v>
          </cell>
          <cell r="F1273" t="str">
            <v>NETMBQBOJ00</v>
          </cell>
          <cell r="G1273" t="str">
            <v>D. Pharma Format</v>
          </cell>
          <cell r="H1273" t="str">
            <v>Pharma Format</v>
          </cell>
          <cell r="I1273" t="str">
            <v>Pharma COCO Store (SP Fix Setup)</v>
          </cell>
        </row>
        <row r="1274">
          <cell r="A1274" t="str">
            <v>PHSmarS188</v>
          </cell>
          <cell r="B1274">
            <v>1273</v>
          </cell>
          <cell r="C1274" t="str">
            <v>TN-SM-SAL-3004</v>
          </cell>
          <cell r="D1274" t="str">
            <v>T1WV</v>
          </cell>
          <cell r="E1274" t="str">
            <v>Q3I7</v>
          </cell>
          <cell r="F1274" t="str">
            <v>NETMTQ3I700</v>
          </cell>
          <cell r="G1274" t="str">
            <v>D. Pharma Format</v>
          </cell>
          <cell r="H1274" t="str">
            <v>Pharma Format</v>
          </cell>
          <cell r="I1274" t="str">
            <v>Pharma COCO Store (SP Fix Setup)</v>
          </cell>
        </row>
        <row r="1275">
          <cell r="A1275" t="str">
            <v>PHSmarS189</v>
          </cell>
          <cell r="B1275">
            <v>1274</v>
          </cell>
          <cell r="C1275" t="str">
            <v>AP-SM-AKT-3000</v>
          </cell>
          <cell r="D1275" t="str">
            <v>TYVS</v>
          </cell>
          <cell r="E1275" t="str">
            <v>QB3W</v>
          </cell>
          <cell r="F1275" t="str">
            <v>NETMAQB3W00</v>
          </cell>
          <cell r="G1275" t="str">
            <v>D. Pharma Format</v>
          </cell>
          <cell r="H1275" t="str">
            <v>Pharma Format</v>
          </cell>
          <cell r="I1275" t="str">
            <v>Pharma COCO Store (SP Fix Setup)</v>
          </cell>
        </row>
        <row r="1276">
          <cell r="A1276" t="str">
            <v>PHSmarS190</v>
          </cell>
          <cell r="B1276">
            <v>1275</v>
          </cell>
          <cell r="C1276" t="str">
            <v>KE-SM-WAY-3000</v>
          </cell>
          <cell r="D1276" t="str">
            <v>TZWZ</v>
          </cell>
          <cell r="E1276" t="str">
            <v>QDNZ</v>
          </cell>
          <cell r="F1276" t="str">
            <v>NETMVQDNZ00</v>
          </cell>
          <cell r="G1276" t="str">
            <v>D. Pharma Format</v>
          </cell>
          <cell r="H1276" t="str">
            <v>Pharma Format</v>
          </cell>
          <cell r="I1276" t="str">
            <v>Pharma COCO Store (SP Fix Setup)</v>
          </cell>
        </row>
        <row r="1277">
          <cell r="A1277" t="str">
            <v>PHSmarS191</v>
          </cell>
          <cell r="B1277">
            <v>1276</v>
          </cell>
          <cell r="C1277" t="str">
            <v>KR-SM-MYS-3011</v>
          </cell>
          <cell r="D1277" t="str">
            <v>TYYH</v>
          </cell>
          <cell r="E1277" t="str">
            <v>QB6L</v>
          </cell>
          <cell r="F1277" t="str">
            <v>NETMKQB6L00</v>
          </cell>
          <cell r="G1277" t="str">
            <v>D. Pharma Format</v>
          </cell>
          <cell r="H1277" t="str">
            <v>Pharma Format</v>
          </cell>
          <cell r="I1277" t="str">
            <v>Pharma COCO Store (SP Fix Setup)</v>
          </cell>
        </row>
        <row r="1278">
          <cell r="A1278" t="str">
            <v>PHSmarE192</v>
          </cell>
          <cell r="B1278">
            <v>1277</v>
          </cell>
          <cell r="C1278" t="str">
            <v>AP-SM-KOT-3000</v>
          </cell>
          <cell r="D1278" t="str">
            <v>TZ4B</v>
          </cell>
          <cell r="E1278" t="str">
            <v>QEEU</v>
          </cell>
          <cell r="F1278" t="str">
            <v>NETMNQEEU00</v>
          </cell>
          <cell r="G1278" t="str">
            <v>D. Pharma Format</v>
          </cell>
          <cell r="H1278" t="str">
            <v>Pharma Format</v>
          </cell>
          <cell r="I1278" t="str">
            <v>Pharma COCO Store (SP Fix Setup)</v>
          </cell>
        </row>
        <row r="1279">
          <cell r="A1279" t="str">
            <v>PHSmarN193</v>
          </cell>
          <cell r="B1279">
            <v>1278</v>
          </cell>
          <cell r="C1279" t="str">
            <v>UP-SM-HST-3000</v>
          </cell>
          <cell r="D1279" t="str">
            <v>TZP1</v>
          </cell>
          <cell r="E1279" t="str">
            <v>QDZX</v>
          </cell>
          <cell r="F1279" t="str">
            <v>NETMUQDZX00</v>
          </cell>
          <cell r="G1279" t="str">
            <v>D. Pharma Format</v>
          </cell>
          <cell r="H1279" t="str">
            <v>Pharma Format</v>
          </cell>
          <cell r="I1279" t="str">
            <v>Pharma COCO Store (SP Fix Setup)</v>
          </cell>
        </row>
        <row r="1280">
          <cell r="A1280" t="str">
            <v>PHSmarS195</v>
          </cell>
          <cell r="B1280">
            <v>1279</v>
          </cell>
          <cell r="C1280" t="str">
            <v>KR-SM-GAD-3000</v>
          </cell>
          <cell r="D1280" t="str">
            <v>TACE</v>
          </cell>
          <cell r="E1280" t="str">
            <v>QBUU</v>
          </cell>
          <cell r="F1280" t="str">
            <v>NETMKQBUU00</v>
          </cell>
          <cell r="G1280" t="str">
            <v>D. Pharma Format</v>
          </cell>
          <cell r="H1280" t="str">
            <v>Pharma Format</v>
          </cell>
          <cell r="I1280" t="str">
            <v>Pharma COCO Store (SP Fix Setup)</v>
          </cell>
        </row>
        <row r="1281">
          <cell r="A1281" t="str">
            <v>PHSmarS196</v>
          </cell>
          <cell r="B1281">
            <v>1280</v>
          </cell>
          <cell r="C1281" t="str">
            <v>KE-SM-KML-3000</v>
          </cell>
          <cell r="D1281" t="str">
            <v>TYGE</v>
          </cell>
          <cell r="E1281" t="str">
            <v>QBMG</v>
          </cell>
          <cell r="F1281" t="str">
            <v>NETMVQBMG00</v>
          </cell>
          <cell r="G1281" t="str">
            <v>D. Pharma Format</v>
          </cell>
          <cell r="H1281" t="str">
            <v>Pharma Format</v>
          </cell>
          <cell r="I1281" t="str">
            <v>Pharma COCO Store (SP Fix Setup)</v>
          </cell>
        </row>
        <row r="1282">
          <cell r="A1282" t="str">
            <v>PHSmarE197</v>
          </cell>
          <cell r="B1282">
            <v>1281</v>
          </cell>
          <cell r="C1282" t="str">
            <v>JH-SM-TNA-3000</v>
          </cell>
          <cell r="D1282" t="str">
            <v>TYXC</v>
          </cell>
          <cell r="E1282" t="str">
            <v>QB5G</v>
          </cell>
          <cell r="F1282" t="str">
            <v>NETMQQB5G00</v>
          </cell>
          <cell r="G1282" t="str">
            <v>D. Pharma Format</v>
          </cell>
          <cell r="H1282" t="str">
            <v>Pharma Format</v>
          </cell>
          <cell r="I1282" t="str">
            <v>Pharma COCO Store (SP Fix Setup)</v>
          </cell>
        </row>
        <row r="1283">
          <cell r="A1283" t="str">
            <v>PHSmarS199</v>
          </cell>
          <cell r="B1283">
            <v>1282</v>
          </cell>
          <cell r="C1283" t="str">
            <v>TN-SM-THJ-3001</v>
          </cell>
          <cell r="D1283" t="str">
            <v>T59G</v>
          </cell>
          <cell r="E1283" t="str">
            <v>QVKK</v>
          </cell>
          <cell r="F1283" t="str">
            <v>NETMTQVKK00</v>
          </cell>
          <cell r="G1283" t="str">
            <v>D. Pharma Format</v>
          </cell>
          <cell r="H1283" t="str">
            <v>Pharma Format</v>
          </cell>
          <cell r="I1283" t="str">
            <v>Pharma COCO Store (SP Fix Setup)</v>
          </cell>
        </row>
        <row r="1284">
          <cell r="A1284" t="str">
            <v>PHSmarN200</v>
          </cell>
          <cell r="B1284">
            <v>1283</v>
          </cell>
          <cell r="C1284" t="str">
            <v>RJ-SM-LST-3000</v>
          </cell>
          <cell r="D1284" t="str">
            <v>TYYF</v>
          </cell>
          <cell r="E1284" t="str">
            <v>QB6J</v>
          </cell>
          <cell r="F1284" t="str">
            <v>NETMRQB6J00</v>
          </cell>
          <cell r="G1284" t="str">
            <v>D. Pharma Format</v>
          </cell>
          <cell r="H1284" t="str">
            <v>Pharma Format</v>
          </cell>
          <cell r="I1284" t="str">
            <v>Pharma COCO Store (SP Fix Setup)</v>
          </cell>
        </row>
        <row r="1285">
          <cell r="A1285" t="str">
            <v>PHSmarN201</v>
          </cell>
          <cell r="B1285">
            <v>1284</v>
          </cell>
          <cell r="C1285" t="str">
            <v>RJ-SM-RGI-3000</v>
          </cell>
          <cell r="D1285" t="str">
            <v>TYRV</v>
          </cell>
          <cell r="E1285" t="str">
            <v>QBYZ</v>
          </cell>
          <cell r="F1285" t="str">
            <v>NETMRQBYZ00</v>
          </cell>
          <cell r="G1285" t="str">
            <v>D. Pharma Format</v>
          </cell>
          <cell r="H1285" t="str">
            <v>Pharma Format</v>
          </cell>
          <cell r="I1285" t="str">
            <v>Pharma COCO Store (SP Fix Setup)</v>
          </cell>
        </row>
        <row r="1286">
          <cell r="A1286" t="str">
            <v>PHSmarS202</v>
          </cell>
          <cell r="B1286">
            <v>1285</v>
          </cell>
          <cell r="C1286" t="str">
            <v>OR-SM-CUT-3005</v>
          </cell>
          <cell r="D1286" t="str">
            <v>TYGF</v>
          </cell>
          <cell r="E1286" t="str">
            <v>QBMH</v>
          </cell>
          <cell r="F1286" t="str">
            <v>NETMOQBMH00</v>
          </cell>
          <cell r="G1286" t="str">
            <v>D. Pharma Format</v>
          </cell>
          <cell r="H1286" t="str">
            <v>Pharma Format</v>
          </cell>
          <cell r="I1286" t="str">
            <v>Pharma COCO Store (SP Fix Setup)</v>
          </cell>
        </row>
        <row r="1287">
          <cell r="A1287" t="str">
            <v>PHSmarE203</v>
          </cell>
          <cell r="B1287">
            <v>1286</v>
          </cell>
          <cell r="C1287" t="str">
            <v>WB-SM-SLR-3000</v>
          </cell>
          <cell r="D1287" t="str">
            <v>TYLW</v>
          </cell>
          <cell r="E1287" t="str">
            <v>QBSH</v>
          </cell>
          <cell r="F1287" t="str">
            <v>NETMWQBSH00</v>
          </cell>
          <cell r="G1287" t="str">
            <v>D. Pharma Format</v>
          </cell>
          <cell r="H1287" t="str">
            <v>Pharma Format</v>
          </cell>
          <cell r="I1287" t="str">
            <v>Pharma COCO Store (SP Fix Setup)</v>
          </cell>
        </row>
        <row r="1288">
          <cell r="A1288" t="str">
            <v>PHSmarE206</v>
          </cell>
          <cell r="B1288">
            <v>1287</v>
          </cell>
          <cell r="C1288" t="str">
            <v>WB-SM-KLG-3000</v>
          </cell>
          <cell r="D1288" t="str">
            <v>TYST</v>
          </cell>
          <cell r="E1288" t="str">
            <v>QBZX</v>
          </cell>
          <cell r="F1288" t="str">
            <v>NETMWQBZX00</v>
          </cell>
          <cell r="G1288" t="str">
            <v>D. Pharma Format</v>
          </cell>
          <cell r="H1288" t="str">
            <v>Pharma Format</v>
          </cell>
          <cell r="I1288" t="str">
            <v>Pharma COCO Store (SP Fix Setup)</v>
          </cell>
        </row>
        <row r="1289">
          <cell r="A1289" t="str">
            <v>PHSmarE207</v>
          </cell>
          <cell r="B1289">
            <v>1288</v>
          </cell>
          <cell r="C1289" t="str">
            <v>BH-SM-MSH-3000</v>
          </cell>
          <cell r="D1289" t="str">
            <v>TYPZ</v>
          </cell>
          <cell r="E1289" t="str">
            <v>QBXB</v>
          </cell>
          <cell r="F1289" t="str">
            <v>NETMBQBXB00</v>
          </cell>
          <cell r="G1289" t="str">
            <v>D. Pharma Format</v>
          </cell>
          <cell r="H1289" t="str">
            <v>Pharma Format</v>
          </cell>
          <cell r="I1289" t="str">
            <v>Pharma COCO Store (SP Fix Setup)</v>
          </cell>
        </row>
        <row r="1290">
          <cell r="A1290" t="str">
            <v>PHSmarE208</v>
          </cell>
          <cell r="B1290">
            <v>1289</v>
          </cell>
          <cell r="C1290" t="str">
            <v>WB-SM-SAH-3000</v>
          </cell>
          <cell r="D1290" t="str">
            <v>TYTB</v>
          </cell>
          <cell r="E1290" t="str">
            <v>QB1F</v>
          </cell>
          <cell r="F1290" t="str">
            <v>NETMWQB1F00</v>
          </cell>
          <cell r="G1290" t="str">
            <v>D. Pharma Format</v>
          </cell>
          <cell r="H1290" t="str">
            <v>Pharma Format</v>
          </cell>
          <cell r="I1290" t="str">
            <v>Pharma COCO Store (SP Fix Setup)</v>
          </cell>
        </row>
        <row r="1291">
          <cell r="A1291" t="str">
            <v>PHSmarN210</v>
          </cell>
          <cell r="B1291">
            <v>1290</v>
          </cell>
          <cell r="C1291" t="str">
            <v>HR-SM-GHD-3000</v>
          </cell>
          <cell r="D1291" t="str">
            <v>TYKN</v>
          </cell>
          <cell r="E1291" t="str">
            <v>QBQY</v>
          </cell>
          <cell r="F1291" t="str">
            <v>NETMHQBQY00</v>
          </cell>
          <cell r="G1291" t="str">
            <v>D. Pharma Format</v>
          </cell>
          <cell r="H1291" t="str">
            <v>Pharma Format</v>
          </cell>
          <cell r="I1291" t="str">
            <v>Pharma COCO Store (SP Fix Setup)</v>
          </cell>
        </row>
        <row r="1292">
          <cell r="A1292" t="str">
            <v>PHSmarN211</v>
          </cell>
          <cell r="B1292">
            <v>1291</v>
          </cell>
          <cell r="C1292" t="str">
            <v>HP-SM-SHA-3000</v>
          </cell>
          <cell r="D1292" t="str">
            <v>T55X</v>
          </cell>
          <cell r="E1292" t="str">
            <v>QSEE</v>
          </cell>
          <cell r="F1292" t="str">
            <v>NETMIQSEE00</v>
          </cell>
          <cell r="G1292" t="str">
            <v>D. Pharma Format</v>
          </cell>
          <cell r="H1292" t="str">
            <v>Pharma Format</v>
          </cell>
          <cell r="I1292" t="str">
            <v>Pharma COCO Store (SP Fix Setup)</v>
          </cell>
        </row>
        <row r="1293">
          <cell r="A1293" t="str">
            <v>PHSmarN212</v>
          </cell>
          <cell r="B1293">
            <v>1292</v>
          </cell>
          <cell r="C1293" t="str">
            <v>UP-SM-BEH-3000</v>
          </cell>
          <cell r="D1293" t="str">
            <v>TYJY</v>
          </cell>
          <cell r="E1293" t="str">
            <v>QBQG</v>
          </cell>
          <cell r="F1293" t="str">
            <v>NETMUQBQG00</v>
          </cell>
          <cell r="G1293" t="str">
            <v>D. Pharma Format</v>
          </cell>
          <cell r="H1293" t="str">
            <v>Pharma Format</v>
          </cell>
          <cell r="I1293" t="str">
            <v>Pharma COCO Store (SP Fix Setup)</v>
          </cell>
        </row>
        <row r="1294">
          <cell r="A1294" t="str">
            <v>PHSmarE213</v>
          </cell>
          <cell r="B1294">
            <v>1293</v>
          </cell>
          <cell r="C1294" t="str">
            <v>WB-SM-TKR-3000</v>
          </cell>
          <cell r="D1294" t="str">
            <v>TYNQ</v>
          </cell>
          <cell r="E1294" t="str">
            <v>QBUA</v>
          </cell>
          <cell r="F1294" t="str">
            <v>NETMWQBUA00</v>
          </cell>
          <cell r="G1294" t="str">
            <v>D. Pharma Format</v>
          </cell>
          <cell r="H1294" t="str">
            <v>Pharma Format</v>
          </cell>
          <cell r="I1294" t="str">
            <v>Pharma COCO Store (SP Fix Setup)</v>
          </cell>
        </row>
        <row r="1295">
          <cell r="A1295" t="str">
            <v>PHSmarE214</v>
          </cell>
          <cell r="B1295">
            <v>1294</v>
          </cell>
          <cell r="C1295" t="str">
            <v>WB-SM-JAN-3001</v>
          </cell>
          <cell r="D1295" t="str">
            <v>TYVB</v>
          </cell>
          <cell r="E1295" t="str">
            <v>QB3F</v>
          </cell>
          <cell r="F1295" t="str">
            <v>NETMWQB3F00</v>
          </cell>
          <cell r="G1295" t="str">
            <v>D. Pharma Format</v>
          </cell>
          <cell r="H1295" t="str">
            <v>Pharma Format</v>
          </cell>
          <cell r="I1295" t="str">
            <v>Pharma COCO Store (SP Fix Setup)</v>
          </cell>
        </row>
        <row r="1296">
          <cell r="A1296" t="str">
            <v>PHSmarE215</v>
          </cell>
          <cell r="B1296">
            <v>1295</v>
          </cell>
          <cell r="C1296" t="str">
            <v>BH-SM-DRO-3000</v>
          </cell>
          <cell r="D1296" t="str">
            <v>TYRY</v>
          </cell>
          <cell r="E1296" t="str">
            <v>QBZC</v>
          </cell>
          <cell r="F1296" t="str">
            <v>NETMBQBZC00</v>
          </cell>
          <cell r="G1296" t="str">
            <v>D. Pharma Format</v>
          </cell>
          <cell r="H1296" t="str">
            <v>Pharma Format</v>
          </cell>
          <cell r="I1296" t="str">
            <v>Pharma COCO Store (SP Fix Setup)</v>
          </cell>
        </row>
        <row r="1297">
          <cell r="A1297" t="str">
            <v>PHSmarE216</v>
          </cell>
          <cell r="B1297">
            <v>1296</v>
          </cell>
          <cell r="C1297" t="str">
            <v>TG-SM-MAD-3000</v>
          </cell>
          <cell r="D1297" t="str">
            <v>TYXN</v>
          </cell>
          <cell r="E1297" t="str">
            <v>QB5R</v>
          </cell>
          <cell r="F1297" t="str">
            <v>NETMNQB5R00</v>
          </cell>
          <cell r="G1297" t="str">
            <v>D. Pharma Format</v>
          </cell>
          <cell r="H1297" t="str">
            <v>Pharma Format</v>
          </cell>
          <cell r="I1297" t="str">
            <v>Pharma COCO Store (SP Fix Setup)</v>
          </cell>
        </row>
        <row r="1298">
          <cell r="A1298" t="str">
            <v>PHSmarS217</v>
          </cell>
          <cell r="B1298">
            <v>1297</v>
          </cell>
          <cell r="C1298" t="str">
            <v>KE-SM-KDY-3001</v>
          </cell>
          <cell r="D1298" t="str">
            <v>TDC4</v>
          </cell>
          <cell r="E1298" t="str">
            <v>Q30S</v>
          </cell>
          <cell r="F1298" t="str">
            <v>NETMVQ30S00</v>
          </cell>
          <cell r="G1298" t="str">
            <v>D. Pharma Format</v>
          </cell>
          <cell r="H1298" t="str">
            <v>Pharma Format</v>
          </cell>
          <cell r="I1298" t="str">
            <v>Pharma COCO Store (SP Fix Setup)</v>
          </cell>
        </row>
        <row r="1299">
          <cell r="A1299" t="str">
            <v>PHSmarN218</v>
          </cell>
          <cell r="B1299">
            <v>1298</v>
          </cell>
          <cell r="C1299" t="str">
            <v>UT-SM-HAR-3005</v>
          </cell>
          <cell r="D1299" t="str">
            <v>TYQE</v>
          </cell>
          <cell r="E1299" t="str">
            <v>QBXG</v>
          </cell>
          <cell r="F1299" t="str">
            <v>NETM5QBXG00</v>
          </cell>
          <cell r="G1299" t="str">
            <v>D. Pharma Format</v>
          </cell>
          <cell r="H1299" t="str">
            <v>Pharma Format</v>
          </cell>
          <cell r="I1299" t="str">
            <v>Pharma COCO Store (SP Fix Setup)</v>
          </cell>
        </row>
        <row r="1300">
          <cell r="A1300" t="str">
            <v>PHSmarE219</v>
          </cell>
          <cell r="B1300">
            <v>1299</v>
          </cell>
          <cell r="C1300" t="str">
            <v>WB-SM-GOB-3000</v>
          </cell>
          <cell r="D1300" t="str">
            <v>TYVU</v>
          </cell>
          <cell r="E1300" t="str">
            <v>QB3Y</v>
          </cell>
          <cell r="F1300" t="str">
            <v>NETMWQB3Y00</v>
          </cell>
          <cell r="G1300" t="str">
            <v>D. Pharma Format</v>
          </cell>
          <cell r="H1300" t="str">
            <v>Pharma Format</v>
          </cell>
          <cell r="I1300" t="str">
            <v>Pharma COCO Store (SP Fix Setup)</v>
          </cell>
        </row>
        <row r="1301">
          <cell r="A1301" t="str">
            <v>PHSmarS220</v>
          </cell>
          <cell r="B1301">
            <v>1300</v>
          </cell>
          <cell r="C1301" t="str">
            <v>TN-SM-ERO-3002</v>
          </cell>
          <cell r="D1301" t="str">
            <v>TYZA</v>
          </cell>
          <cell r="E1301" t="str">
            <v>QB7C</v>
          </cell>
          <cell r="F1301" t="str">
            <v>NETMTQB7C00</v>
          </cell>
          <cell r="G1301" t="str">
            <v>D. Pharma Format</v>
          </cell>
          <cell r="H1301" t="str">
            <v>Pharma Format</v>
          </cell>
          <cell r="I1301" t="str">
            <v>Pharma COCO Store (SP Fix Setup)</v>
          </cell>
        </row>
        <row r="1302">
          <cell r="A1302" t="str">
            <v>PHSmarE221</v>
          </cell>
          <cell r="B1302">
            <v>1301</v>
          </cell>
          <cell r="C1302" t="str">
            <v>WB-SM-BKU-3000</v>
          </cell>
          <cell r="D1302" t="str">
            <v>TYOZ</v>
          </cell>
          <cell r="E1302" t="str">
            <v>QBWB</v>
          </cell>
          <cell r="F1302" t="str">
            <v>NETMWQBWB00</v>
          </cell>
          <cell r="G1302" t="str">
            <v>D. Pharma Format</v>
          </cell>
          <cell r="H1302" t="str">
            <v>Pharma Format</v>
          </cell>
          <cell r="I1302" t="str">
            <v>Pharma COCO Store (SP Fix Setup)</v>
          </cell>
        </row>
        <row r="1303">
          <cell r="A1303" t="str">
            <v>PHSmarS222</v>
          </cell>
          <cell r="B1303">
            <v>1302</v>
          </cell>
          <cell r="C1303" t="str">
            <v>KR-SM-KGA-3000</v>
          </cell>
          <cell r="D1303" t="str">
            <v>TYVV</v>
          </cell>
          <cell r="E1303" t="str">
            <v>QB3Z</v>
          </cell>
          <cell r="F1303" t="str">
            <v>NETMKQB3Z00</v>
          </cell>
          <cell r="G1303" t="str">
            <v>D. Pharma Format</v>
          </cell>
          <cell r="H1303" t="str">
            <v>Pharma Format</v>
          </cell>
          <cell r="I1303" t="str">
            <v>Pharma COCO Store (SP Fix Setup)</v>
          </cell>
        </row>
        <row r="1304">
          <cell r="A1304" t="str">
            <v>PHSmarS223</v>
          </cell>
          <cell r="B1304">
            <v>1303</v>
          </cell>
          <cell r="C1304" t="str">
            <v>KR-SM-GAD-3001</v>
          </cell>
          <cell r="D1304" t="str">
            <v>TYVT</v>
          </cell>
          <cell r="E1304" t="str">
            <v>QB3X</v>
          </cell>
          <cell r="F1304" t="str">
            <v>NETMKQB3X00</v>
          </cell>
          <cell r="G1304" t="str">
            <v>D. Pharma Format</v>
          </cell>
          <cell r="H1304" t="str">
            <v>Pharma Format</v>
          </cell>
          <cell r="I1304" t="str">
            <v>Pharma COCO Store (SP Fix Setup)</v>
          </cell>
        </row>
        <row r="1305">
          <cell r="A1305" t="str">
            <v>PHSmarS224</v>
          </cell>
          <cell r="B1305">
            <v>1304</v>
          </cell>
          <cell r="C1305" t="str">
            <v>TN-SM-AYR-3000</v>
          </cell>
          <cell r="D1305" t="str">
            <v>TYQO</v>
          </cell>
          <cell r="E1305" t="str">
            <v>QBXS</v>
          </cell>
          <cell r="F1305" t="str">
            <v>NETMTQBXS00</v>
          </cell>
          <cell r="G1305" t="str">
            <v>D. Pharma Format</v>
          </cell>
          <cell r="H1305" t="str">
            <v>Pharma Format</v>
          </cell>
          <cell r="I1305" t="str">
            <v>Pharma COCO Store (SP Fix Setup)</v>
          </cell>
        </row>
        <row r="1306">
          <cell r="A1306" t="str">
            <v>PHSmarS225</v>
          </cell>
          <cell r="B1306">
            <v>1305</v>
          </cell>
          <cell r="C1306" t="str">
            <v>TN-SM-CHO-3000</v>
          </cell>
          <cell r="D1306" t="str">
            <v>TYWK</v>
          </cell>
          <cell r="E1306" t="str">
            <v>QB4O</v>
          </cell>
          <cell r="F1306" t="str">
            <v>NETMTQB4O00</v>
          </cell>
          <cell r="G1306" t="str">
            <v>D. Pharma Format</v>
          </cell>
          <cell r="H1306" t="str">
            <v>Pharma Format</v>
          </cell>
          <cell r="I1306" t="str">
            <v>Pharma COCO Store (SP Fix Setup)</v>
          </cell>
        </row>
        <row r="1307">
          <cell r="A1307" t="str">
            <v>PHSmarE226</v>
          </cell>
          <cell r="B1307">
            <v>1306</v>
          </cell>
          <cell r="C1307" t="str">
            <v>WB-SM-FAR-3001</v>
          </cell>
          <cell r="D1307" t="str">
            <v>TYQA</v>
          </cell>
          <cell r="E1307" t="str">
            <v>QBXC</v>
          </cell>
          <cell r="F1307" t="str">
            <v>NETMWQBXC00</v>
          </cell>
          <cell r="G1307" t="str">
            <v>D. Pharma Format</v>
          </cell>
          <cell r="H1307" t="str">
            <v>Pharma Format</v>
          </cell>
          <cell r="I1307" t="str">
            <v>Pharma COCO Store (SP Fix Setup)</v>
          </cell>
        </row>
        <row r="1308">
          <cell r="A1308" t="str">
            <v>PHSmarE227</v>
          </cell>
          <cell r="B1308">
            <v>1307</v>
          </cell>
          <cell r="C1308" t="str">
            <v>BH-SM-PAT-3017</v>
          </cell>
          <cell r="D1308" t="str">
            <v>T1WO</v>
          </cell>
          <cell r="E1308" t="str">
            <v>Q3H9</v>
          </cell>
          <cell r="F1308" t="str">
            <v>NETMBQ3H900</v>
          </cell>
          <cell r="G1308" t="str">
            <v>D. Pharma Format</v>
          </cell>
          <cell r="H1308" t="str">
            <v>Pharma Format</v>
          </cell>
          <cell r="I1308" t="str">
            <v>Pharma COCO Store (SP Fix Setup)</v>
          </cell>
        </row>
        <row r="1309">
          <cell r="A1309" t="str">
            <v>PHSmarS228</v>
          </cell>
          <cell r="B1309">
            <v>1308</v>
          </cell>
          <cell r="C1309" t="str">
            <v>TN-SM-UDU-3001</v>
          </cell>
          <cell r="D1309" t="str">
            <v>TYZM</v>
          </cell>
          <cell r="E1309" t="str">
            <v>QB7O</v>
          </cell>
          <cell r="F1309" t="str">
            <v>NETMTQB7O00</v>
          </cell>
          <cell r="G1309" t="str">
            <v>D. Pharma Format</v>
          </cell>
          <cell r="H1309" t="str">
            <v>Pharma Format</v>
          </cell>
          <cell r="I1309" t="str">
            <v>Pharma COCO Store (SP Fix Setup)</v>
          </cell>
        </row>
        <row r="1310">
          <cell r="A1310" t="str">
            <v>PHSmarS229</v>
          </cell>
          <cell r="B1310">
            <v>1309</v>
          </cell>
          <cell r="C1310" t="str">
            <v>AP-SM-NAI-3000</v>
          </cell>
          <cell r="D1310" t="str">
            <v>TYOX</v>
          </cell>
          <cell r="E1310" t="str">
            <v>QBVZ</v>
          </cell>
          <cell r="F1310" t="str">
            <v>NETMAQBVZ00</v>
          </cell>
          <cell r="G1310" t="str">
            <v>D. Pharma Format</v>
          </cell>
          <cell r="H1310" t="str">
            <v>Pharma Format</v>
          </cell>
          <cell r="I1310" t="str">
            <v>Pharma COCO Store (SP Fix Setup)</v>
          </cell>
        </row>
        <row r="1311">
          <cell r="A1311" t="str">
            <v>PHSmarS230</v>
          </cell>
          <cell r="B1311">
            <v>1310</v>
          </cell>
          <cell r="C1311" t="str">
            <v>TN-SM-MII-3000</v>
          </cell>
          <cell r="D1311" t="str">
            <v>TYUL</v>
          </cell>
          <cell r="E1311" t="str">
            <v>QB2P</v>
          </cell>
          <cell r="F1311" t="str">
            <v>NETMTQB2P00</v>
          </cell>
          <cell r="G1311" t="str">
            <v>D. Pharma Format</v>
          </cell>
          <cell r="H1311" t="str">
            <v>Pharma Format</v>
          </cell>
          <cell r="I1311" t="str">
            <v>Pharma COCO Store (SP Fix Setup)</v>
          </cell>
        </row>
        <row r="1312">
          <cell r="A1312" t="str">
            <v>PHSmarE234</v>
          </cell>
          <cell r="B1312">
            <v>1311</v>
          </cell>
          <cell r="C1312" t="str">
            <v>WB-SM-KSN-3000</v>
          </cell>
          <cell r="D1312" t="str">
            <v>TAXT</v>
          </cell>
          <cell r="E1312" t="str">
            <v>QGGX</v>
          </cell>
          <cell r="F1312" t="str">
            <v>NETMWQGGX00</v>
          </cell>
          <cell r="G1312" t="str">
            <v>D. Pharma Format</v>
          </cell>
          <cell r="H1312" t="str">
            <v>Pharma Format</v>
          </cell>
          <cell r="I1312" t="str">
            <v>Pharma COCO Store (SP Fix Setup)</v>
          </cell>
        </row>
        <row r="1313">
          <cell r="A1313" t="str">
            <v>PHSmarN235</v>
          </cell>
          <cell r="B1313">
            <v>1312</v>
          </cell>
          <cell r="C1313" t="str">
            <v>UP-SM-LUK-3050</v>
          </cell>
          <cell r="D1313" t="str">
            <v>TYQM</v>
          </cell>
          <cell r="E1313" t="str">
            <v>QBXQ</v>
          </cell>
          <cell r="F1313" t="str">
            <v>NETMUQBXQ00</v>
          </cell>
          <cell r="G1313" t="str">
            <v>D. Pharma Format</v>
          </cell>
          <cell r="H1313" t="str">
            <v>Pharma Format</v>
          </cell>
          <cell r="I1313" t="str">
            <v>Pharma COCO Store (SP Fix Setup)</v>
          </cell>
        </row>
        <row r="1314">
          <cell r="A1314" t="str">
            <v>PHSmarE236</v>
          </cell>
          <cell r="B1314">
            <v>1313</v>
          </cell>
          <cell r="C1314" t="str">
            <v>WB-SM-BNC-3000</v>
          </cell>
          <cell r="D1314" t="str">
            <v>TYUW</v>
          </cell>
          <cell r="E1314" t="str">
            <v>QB3A</v>
          </cell>
          <cell r="F1314" t="str">
            <v>NETMWQB3A00</v>
          </cell>
          <cell r="G1314" t="str">
            <v>D. Pharma Format</v>
          </cell>
          <cell r="H1314" t="str">
            <v>Pharma Format</v>
          </cell>
          <cell r="I1314" t="str">
            <v>Pharma COCO Store (SP Fix Setup)</v>
          </cell>
        </row>
        <row r="1315">
          <cell r="A1315" t="str">
            <v>PHSmarW238</v>
          </cell>
          <cell r="B1315">
            <v>1314</v>
          </cell>
          <cell r="C1315" t="str">
            <v>MP-SM-CRM-3000</v>
          </cell>
          <cell r="D1315" t="str">
            <v>TYYL</v>
          </cell>
          <cell r="E1315" t="str">
            <v>QB6P</v>
          </cell>
          <cell r="F1315" t="str">
            <v>NETMCQB6P00</v>
          </cell>
          <cell r="G1315" t="str">
            <v>D. Pharma Format</v>
          </cell>
          <cell r="H1315" t="str">
            <v>Pharma Format</v>
          </cell>
          <cell r="I1315" t="str">
            <v>Pharma COCO Store (SP Fix Setup)</v>
          </cell>
        </row>
        <row r="1316">
          <cell r="A1316" t="str">
            <v>PHSmarW239</v>
          </cell>
          <cell r="B1316">
            <v>1315</v>
          </cell>
          <cell r="C1316" t="str">
            <v>MP-SM-JHR-3000</v>
          </cell>
          <cell r="D1316" t="str">
            <v>TYSA</v>
          </cell>
          <cell r="E1316" t="str">
            <v>QBZE</v>
          </cell>
          <cell r="F1316" t="str">
            <v>NETMCQBZE00</v>
          </cell>
          <cell r="G1316" t="str">
            <v>D. Pharma Format</v>
          </cell>
          <cell r="H1316" t="str">
            <v>Pharma Format</v>
          </cell>
          <cell r="I1316" t="str">
            <v>Pharma COCO Store (SP Fix Setup)</v>
          </cell>
        </row>
        <row r="1317">
          <cell r="A1317" t="str">
            <v>PHSmarN240</v>
          </cell>
          <cell r="B1317">
            <v>1316</v>
          </cell>
          <cell r="C1317" t="str">
            <v>RJ-SM-CRA-3001</v>
          </cell>
          <cell r="D1317" t="str">
            <v>TAWO</v>
          </cell>
          <cell r="E1317" t="str">
            <v>QGEB</v>
          </cell>
          <cell r="F1317" t="str">
            <v>NETMRQGEB00</v>
          </cell>
          <cell r="G1317" t="str">
            <v>D. Pharma Format</v>
          </cell>
          <cell r="H1317" t="str">
            <v>Pharma Format</v>
          </cell>
          <cell r="I1317" t="str">
            <v>Pharma COCO Store (SP Fix Setup)</v>
          </cell>
        </row>
        <row r="1318">
          <cell r="A1318" t="str">
            <v>PHSmarN243</v>
          </cell>
          <cell r="B1318">
            <v>1317</v>
          </cell>
          <cell r="C1318" t="str">
            <v>PB-SM-PAH-3003</v>
          </cell>
          <cell r="D1318" t="str">
            <v>TYWB</v>
          </cell>
          <cell r="E1318" t="str">
            <v>QB4F</v>
          </cell>
          <cell r="F1318" t="str">
            <v>NETM9QB4F00</v>
          </cell>
          <cell r="G1318" t="str">
            <v>D. Pharma Format</v>
          </cell>
          <cell r="H1318" t="str">
            <v>Pharma Format</v>
          </cell>
          <cell r="I1318" t="str">
            <v>Pharma COCO Store (SP Fix Setup)</v>
          </cell>
        </row>
        <row r="1319">
          <cell r="A1319" t="str">
            <v>PHSmarS244</v>
          </cell>
          <cell r="B1319">
            <v>1318</v>
          </cell>
          <cell r="C1319" t="str">
            <v>KR-SM-CPN-3000</v>
          </cell>
          <cell r="D1319" t="str">
            <v>TAOK</v>
          </cell>
          <cell r="E1319" t="str">
            <v>QF4N</v>
          </cell>
          <cell r="F1319" t="str">
            <v>NETMKQF4N00</v>
          </cell>
          <cell r="G1319" t="str">
            <v>D. Pharma Format</v>
          </cell>
          <cell r="H1319" t="str">
            <v>Pharma Format</v>
          </cell>
          <cell r="I1319" t="str">
            <v>Pharma COCO Store (SP Fix Setup)</v>
          </cell>
        </row>
        <row r="1320">
          <cell r="A1320" t="str">
            <v>PHSmarS247</v>
          </cell>
          <cell r="B1320">
            <v>1319</v>
          </cell>
          <cell r="C1320" t="str">
            <v>KR-SM-RAI-3000</v>
          </cell>
          <cell r="D1320" t="str">
            <v>TAOM</v>
          </cell>
          <cell r="E1320" t="str">
            <v>QF4P</v>
          </cell>
          <cell r="F1320" t="str">
            <v>NETMKQF4P00</v>
          </cell>
          <cell r="G1320" t="str">
            <v>D. Pharma Format</v>
          </cell>
          <cell r="H1320" t="str">
            <v>Pharma Format</v>
          </cell>
          <cell r="I1320" t="str">
            <v>Pharma COCO Store (SP Fix Setup)</v>
          </cell>
        </row>
        <row r="1321">
          <cell r="A1321" t="str">
            <v>PHSmarE248</v>
          </cell>
          <cell r="B1321">
            <v>1320</v>
          </cell>
          <cell r="C1321" t="str">
            <v>BH-SM-PAT-3019</v>
          </cell>
          <cell r="D1321" t="str">
            <v>TYV4</v>
          </cell>
          <cell r="E1321" t="str">
            <v>QLCC</v>
          </cell>
          <cell r="F1321" t="str">
            <v>NETMBQLCC00</v>
          </cell>
          <cell r="G1321" t="str">
            <v>D. Pharma Format</v>
          </cell>
          <cell r="H1321" t="str">
            <v>Pharma Format</v>
          </cell>
          <cell r="I1321" t="str">
            <v>Pharma COCO Store (SP Fix Setup)</v>
          </cell>
        </row>
        <row r="1322">
          <cell r="A1322" t="str">
            <v>PHSmarN249</v>
          </cell>
          <cell r="B1322">
            <v>1321</v>
          </cell>
          <cell r="C1322" t="str">
            <v>PB-SM-MLK-3002</v>
          </cell>
          <cell r="D1322" t="str">
            <v>TAP9</v>
          </cell>
          <cell r="E1322" t="str">
            <v>QGQE</v>
          </cell>
          <cell r="F1322" t="str">
            <v>NETM9QGQE00</v>
          </cell>
          <cell r="G1322" t="str">
            <v>D. Pharma Format</v>
          </cell>
          <cell r="H1322" t="str">
            <v>Pharma Format</v>
          </cell>
          <cell r="I1322" t="str">
            <v>Pharma COCO Store (SP Fix Setup)</v>
          </cell>
        </row>
        <row r="1323">
          <cell r="A1323" t="str">
            <v>PHSmarN250</v>
          </cell>
          <cell r="B1323">
            <v>1322</v>
          </cell>
          <cell r="C1323" t="str">
            <v>UP-SM-JAN-3002</v>
          </cell>
          <cell r="D1323" t="str">
            <v>TAJM</v>
          </cell>
          <cell r="E1323" t="str">
            <v>QFYP</v>
          </cell>
          <cell r="F1323" t="str">
            <v>NETMUQFYP00</v>
          </cell>
          <cell r="G1323" t="str">
            <v>D. Pharma Format</v>
          </cell>
          <cell r="H1323" t="str">
            <v>Pharma Format</v>
          </cell>
          <cell r="I1323" t="str">
            <v>Pharma COCO Store (SP Fix Setup)</v>
          </cell>
        </row>
        <row r="1324">
          <cell r="A1324" t="str">
            <v>PHSmarE251</v>
          </cell>
          <cell r="B1324">
            <v>1323</v>
          </cell>
          <cell r="C1324" t="str">
            <v>WB-SM-NLB-3002</v>
          </cell>
          <cell r="D1324" t="str">
            <v>TAJW</v>
          </cell>
          <cell r="E1324" t="str">
            <v>QFXE</v>
          </cell>
          <cell r="F1324" t="str">
            <v>NETMFQFXE00</v>
          </cell>
          <cell r="G1324" t="str">
            <v>D. Pharma Format</v>
          </cell>
          <cell r="H1324" t="str">
            <v>Pharma Format</v>
          </cell>
          <cell r="I1324" t="str">
            <v>Pharma COCO Store (SP Fix Setup)</v>
          </cell>
        </row>
        <row r="1325">
          <cell r="A1325" t="str">
            <v>PHSmarE252</v>
          </cell>
          <cell r="B1325">
            <v>1324</v>
          </cell>
          <cell r="C1325" t="str">
            <v>WB-SM-BED-3001</v>
          </cell>
          <cell r="D1325" t="str">
            <v>TAZF</v>
          </cell>
          <cell r="E1325" t="str">
            <v>QGIJ</v>
          </cell>
          <cell r="F1325" t="str">
            <v>NETMWQGIJ00</v>
          </cell>
          <cell r="G1325" t="str">
            <v>D. Pharma Format</v>
          </cell>
          <cell r="H1325" t="str">
            <v>Pharma Format</v>
          </cell>
          <cell r="I1325" t="str">
            <v>Pharma COCO Store (SP Fix Setup)</v>
          </cell>
        </row>
        <row r="1326">
          <cell r="A1326" t="str">
            <v>PHSmarE254</v>
          </cell>
          <cell r="B1326">
            <v>1325</v>
          </cell>
          <cell r="C1326" t="str">
            <v>NE-SM-KAT-3001</v>
          </cell>
          <cell r="D1326" t="str">
            <v>TAKQ</v>
          </cell>
          <cell r="E1326" t="str">
            <v>QFYJ</v>
          </cell>
          <cell r="F1326" t="str">
            <v>NETMWQFYJ00</v>
          </cell>
          <cell r="G1326" t="str">
            <v>D. Pharma Format</v>
          </cell>
          <cell r="H1326" t="str">
            <v>Pharma Format</v>
          </cell>
          <cell r="I1326" t="str">
            <v>Pharma COCO Store (SP Fix Setup)</v>
          </cell>
        </row>
        <row r="1327">
          <cell r="A1327" t="str">
            <v>PHSmarE258</v>
          </cell>
          <cell r="B1327">
            <v>1326</v>
          </cell>
          <cell r="C1327" t="str">
            <v>JH-SM-KND-3000</v>
          </cell>
          <cell r="D1327" t="str">
            <v>TAYY</v>
          </cell>
          <cell r="E1327" t="str">
            <v>QGIC</v>
          </cell>
          <cell r="F1327" t="str">
            <v>NETMQQGIC00</v>
          </cell>
          <cell r="G1327" t="str">
            <v>D. Pharma Format</v>
          </cell>
          <cell r="H1327" t="str">
            <v>Pharma Format</v>
          </cell>
          <cell r="I1327" t="str">
            <v>Pharma COCO Store (SP Fix Setup)</v>
          </cell>
        </row>
        <row r="1328">
          <cell r="A1328" t="str">
            <v>PHSmarE260</v>
          </cell>
          <cell r="B1328">
            <v>1327</v>
          </cell>
          <cell r="C1328" t="str">
            <v>JH-SM-KHT-3002</v>
          </cell>
          <cell r="D1328" t="str">
            <v>TYUK</v>
          </cell>
          <cell r="E1328" t="str">
            <v>QB2O</v>
          </cell>
          <cell r="F1328" t="str">
            <v>NETMQQB2O00</v>
          </cell>
          <cell r="G1328" t="str">
            <v>D. Pharma Format</v>
          </cell>
          <cell r="H1328" t="str">
            <v>Pharma Format</v>
          </cell>
          <cell r="I1328" t="str">
            <v>Pharma COCO Store (SP Fix Setup)</v>
          </cell>
        </row>
        <row r="1329">
          <cell r="A1329" t="str">
            <v>PHSmarN261</v>
          </cell>
          <cell r="B1329">
            <v>1328</v>
          </cell>
          <cell r="C1329" t="str">
            <v>HP-SM-IOA-3000</v>
          </cell>
          <cell r="D1329" t="str">
            <v>TYT3</v>
          </cell>
          <cell r="E1329" t="str">
            <v>Q3M5</v>
          </cell>
          <cell r="F1329" t="str">
            <v>NETMIQ3M500</v>
          </cell>
          <cell r="G1329" t="str">
            <v>D. Pharma Format</v>
          </cell>
          <cell r="H1329" t="str">
            <v>Pharma Format</v>
          </cell>
          <cell r="I1329" t="str">
            <v>Pharma COCO Store (SP Fix Setup)</v>
          </cell>
        </row>
        <row r="1330">
          <cell r="A1330" t="str">
            <v>PHSmarN262</v>
          </cell>
          <cell r="B1330">
            <v>1329</v>
          </cell>
          <cell r="C1330" t="str">
            <v>RJ-SM-BDI-3001</v>
          </cell>
          <cell r="D1330" t="str">
            <v>TAQ4</v>
          </cell>
          <cell r="E1330" t="str">
            <v>QGQI</v>
          </cell>
          <cell r="F1330" t="str">
            <v>NETMRQGQI00</v>
          </cell>
          <cell r="G1330" t="str">
            <v>D. Pharma Format</v>
          </cell>
          <cell r="H1330" t="str">
            <v>Pharma Format</v>
          </cell>
          <cell r="I1330" t="str">
            <v>Pharma COCO Store (SP Fix Setup)</v>
          </cell>
        </row>
        <row r="1331">
          <cell r="A1331" t="str">
            <v>PHSmarS265</v>
          </cell>
          <cell r="B1331">
            <v>1330</v>
          </cell>
          <cell r="C1331" t="str">
            <v>KR-SM-BAN-3101</v>
          </cell>
          <cell r="D1331" t="str">
            <v>T1WN</v>
          </cell>
          <cell r="E1331" t="str">
            <v>Q3H8</v>
          </cell>
          <cell r="F1331" t="str">
            <v>NETMKQ3H800</v>
          </cell>
          <cell r="G1331" t="str">
            <v>D. Pharma Format</v>
          </cell>
          <cell r="H1331" t="str">
            <v>Pharma Format</v>
          </cell>
          <cell r="I1331" t="str">
            <v>Pharma COCO Store (SP Fix Setup)</v>
          </cell>
        </row>
        <row r="1332">
          <cell r="A1332" t="str">
            <v>PHSmarE266</v>
          </cell>
          <cell r="B1332">
            <v>1331</v>
          </cell>
          <cell r="C1332" t="str">
            <v>BH-SM-PAT-3018</v>
          </cell>
          <cell r="D1332" t="str">
            <v>TYT2</v>
          </cell>
          <cell r="E1332" t="str">
            <v>Q3M4</v>
          </cell>
          <cell r="F1332" t="str">
            <v>NETMBQ3M400</v>
          </cell>
          <cell r="G1332" t="str">
            <v>D. Pharma Format</v>
          </cell>
          <cell r="H1332" t="str">
            <v>Pharma Format</v>
          </cell>
          <cell r="I1332" t="str">
            <v>Pharma COCO Store (SP Fix Setup)</v>
          </cell>
        </row>
        <row r="1333">
          <cell r="A1333" t="str">
            <v>PHSmarS272</v>
          </cell>
          <cell r="B1333">
            <v>1332</v>
          </cell>
          <cell r="C1333" t="str">
            <v>AP-SM-NTD-3000</v>
          </cell>
          <cell r="D1333" t="str">
            <v>TXBX</v>
          </cell>
          <cell r="E1333" t="str">
            <v>Q8FT</v>
          </cell>
          <cell r="F1333" t="str">
            <v>NETMAQ8FT00</v>
          </cell>
          <cell r="G1333" t="str">
            <v>D. Pharma Format</v>
          </cell>
          <cell r="H1333" t="str">
            <v>Pharma Format</v>
          </cell>
          <cell r="I1333" t="str">
            <v>Pharma COCO Store (SP Fix Setup)</v>
          </cell>
        </row>
        <row r="1334">
          <cell r="A1334" t="str">
            <v>PHSmarW277</v>
          </cell>
          <cell r="B1334">
            <v>1333</v>
          </cell>
          <cell r="C1334" t="str">
            <v>MH-SM-CHO-3000</v>
          </cell>
          <cell r="D1334" t="str">
            <v>TXZ2</v>
          </cell>
          <cell r="E1334" t="str">
            <v>Q9Q1</v>
          </cell>
          <cell r="F1334" t="str">
            <v>NETMMQ9Q100</v>
          </cell>
          <cell r="G1334" t="str">
            <v>D. Pharma Format</v>
          </cell>
          <cell r="H1334" t="str">
            <v>Pharma Format</v>
          </cell>
          <cell r="I1334" t="str">
            <v>Pharma COCO Store (SP Fix Setup)</v>
          </cell>
        </row>
        <row r="1335">
          <cell r="A1335" t="str">
            <v>PHSmarE278</v>
          </cell>
          <cell r="B1335">
            <v>1334</v>
          </cell>
          <cell r="C1335" t="str">
            <v>WB-SM-DIB-3000</v>
          </cell>
          <cell r="D1335" t="str">
            <v>TW8X</v>
          </cell>
          <cell r="E1335" t="str">
            <v>Q7Y6</v>
          </cell>
          <cell r="F1335" t="str">
            <v>NETMFQ7Y600</v>
          </cell>
          <cell r="G1335" t="str">
            <v>D. Pharma Format</v>
          </cell>
          <cell r="H1335" t="str">
            <v>Pharma Format</v>
          </cell>
          <cell r="I1335" t="str">
            <v>Pharma COCO Store (SP Fix Setup)</v>
          </cell>
        </row>
        <row r="1336">
          <cell r="A1336" t="str">
            <v>PHSmarE280</v>
          </cell>
          <cell r="B1336">
            <v>1335</v>
          </cell>
          <cell r="C1336" t="str">
            <v>BH-SM-SIT-3001</v>
          </cell>
          <cell r="D1336" t="str">
            <v>TXU5</v>
          </cell>
          <cell r="E1336" t="str">
            <v>Q9I4</v>
          </cell>
          <cell r="F1336" t="str">
            <v>NETMBQ9I400</v>
          </cell>
          <cell r="G1336" t="str">
            <v>D. Pharma Format</v>
          </cell>
          <cell r="H1336" t="str">
            <v>Pharma Format</v>
          </cell>
          <cell r="I1336" t="str">
            <v>Pharma COCO Store (SP Fix Setup)</v>
          </cell>
        </row>
        <row r="1337">
          <cell r="A1337" t="str">
            <v>PHSmarS281</v>
          </cell>
          <cell r="B1337">
            <v>1336</v>
          </cell>
          <cell r="C1337" t="str">
            <v>AP-SM-PED-3000</v>
          </cell>
          <cell r="D1337" t="str">
            <v>U1B3</v>
          </cell>
          <cell r="E1337" t="str">
            <v>Q7Z3</v>
          </cell>
          <cell r="F1337" t="str">
            <v>NETMAQ7Z300</v>
          </cell>
          <cell r="G1337" t="str">
            <v>D. Pharma Format</v>
          </cell>
          <cell r="H1337" t="str">
            <v>Pharma Format</v>
          </cell>
          <cell r="I1337" t="str">
            <v>Pharma COCO Store (SP Fix Setup)</v>
          </cell>
        </row>
        <row r="1338">
          <cell r="A1338" t="str">
            <v>PHSmarS282</v>
          </cell>
          <cell r="B1338">
            <v>1337</v>
          </cell>
          <cell r="C1338" t="str">
            <v>KE-SM-MUV-3004</v>
          </cell>
          <cell r="D1338" t="str">
            <v>TXNQ</v>
          </cell>
          <cell r="E1338" t="str">
            <v>Q8XD</v>
          </cell>
          <cell r="F1338" t="str">
            <v>NETMVQ8XD00</v>
          </cell>
          <cell r="G1338" t="str">
            <v>D. Pharma Format</v>
          </cell>
          <cell r="H1338" t="str">
            <v>Pharma Format</v>
          </cell>
          <cell r="I1338" t="str">
            <v>Pharma COCO Store (SP Fix Setup)</v>
          </cell>
        </row>
        <row r="1339">
          <cell r="A1339" t="str">
            <v>PHSmarE283</v>
          </cell>
          <cell r="B1339">
            <v>1338</v>
          </cell>
          <cell r="C1339" t="str">
            <v>BH-SM-ARR-3000</v>
          </cell>
          <cell r="D1339" t="str">
            <v>TZ4R</v>
          </cell>
          <cell r="E1339" t="str">
            <v>QEFK</v>
          </cell>
          <cell r="F1339" t="str">
            <v>NETMBQEFK00</v>
          </cell>
          <cell r="G1339" t="str">
            <v>D. Pharma Format</v>
          </cell>
          <cell r="H1339" t="str">
            <v>Pharma Format</v>
          </cell>
          <cell r="I1339" t="str">
            <v>Pharma COCO Store (SP Fix Setup)</v>
          </cell>
        </row>
        <row r="1340">
          <cell r="A1340" t="str">
            <v>PHSmarW284</v>
          </cell>
          <cell r="B1340">
            <v>1339</v>
          </cell>
          <cell r="C1340" t="str">
            <v>MP-SM-BRH-3000</v>
          </cell>
          <cell r="D1340" t="str">
            <v>TYIW</v>
          </cell>
          <cell r="E1340" t="str">
            <v>QBOV</v>
          </cell>
          <cell r="F1340" t="str">
            <v>NETMEQBOV00</v>
          </cell>
          <cell r="G1340" t="str">
            <v>D. Pharma Format</v>
          </cell>
          <cell r="H1340" t="str">
            <v>Pharma Format</v>
          </cell>
          <cell r="I1340" t="str">
            <v>Pharma COCO Store (SP Fix Setup)</v>
          </cell>
        </row>
        <row r="1341">
          <cell r="A1341" t="str">
            <v>PHSmarE285</v>
          </cell>
          <cell r="B1341">
            <v>1340</v>
          </cell>
          <cell r="C1341" t="str">
            <v>BH-SM-MIR-3000</v>
          </cell>
          <cell r="D1341" t="str">
            <v>TZBE</v>
          </cell>
          <cell r="E1341" t="str">
            <v>QCTB</v>
          </cell>
          <cell r="F1341" t="str">
            <v>NETMBQCTB00</v>
          </cell>
          <cell r="G1341" t="str">
            <v>D. Pharma Format</v>
          </cell>
          <cell r="H1341" t="str">
            <v>Pharma Format</v>
          </cell>
          <cell r="I1341" t="str">
            <v>Pharma COCO Store (SP Fix Setup)</v>
          </cell>
        </row>
        <row r="1342">
          <cell r="A1342" t="str">
            <v>PHSmarS286</v>
          </cell>
          <cell r="B1342">
            <v>1341</v>
          </cell>
          <cell r="C1342" t="str">
            <v>AP-SM-VIS-3007</v>
          </cell>
          <cell r="D1342" t="str">
            <v>TYKQ</v>
          </cell>
          <cell r="E1342" t="str">
            <v>QBRB</v>
          </cell>
          <cell r="F1342" t="str">
            <v>NETMAQBRB00</v>
          </cell>
          <cell r="G1342" t="str">
            <v>D. Pharma Format</v>
          </cell>
          <cell r="H1342" t="str">
            <v>Pharma Format</v>
          </cell>
          <cell r="I1342" t="str">
            <v>Pharma COCO Store (SP Fix Setup)</v>
          </cell>
        </row>
        <row r="1343">
          <cell r="A1343" t="str">
            <v>PHSmarE287</v>
          </cell>
          <cell r="B1343">
            <v>1342</v>
          </cell>
          <cell r="C1343" t="str">
            <v>BH-SM-BPR-3000</v>
          </cell>
          <cell r="D1343" t="str">
            <v>TYHZ</v>
          </cell>
          <cell r="E1343" t="str">
            <v>QBNP</v>
          </cell>
          <cell r="F1343" t="str">
            <v>NETMBQBNP00</v>
          </cell>
          <cell r="G1343" t="str">
            <v>D. Pharma Format</v>
          </cell>
          <cell r="H1343" t="str">
            <v>Pharma Format</v>
          </cell>
          <cell r="I1343" t="str">
            <v>Pharma COCO Store (SP Fix Setup)</v>
          </cell>
        </row>
        <row r="1344">
          <cell r="A1344" t="str">
            <v>PHSmarS288</v>
          </cell>
          <cell r="B1344">
            <v>1343</v>
          </cell>
          <cell r="C1344" t="str">
            <v>AP-SM-DSI-3000</v>
          </cell>
          <cell r="D1344" t="str">
            <v>TWFB</v>
          </cell>
          <cell r="E1344" t="str">
            <v>Q6RF</v>
          </cell>
          <cell r="F1344" t="str">
            <v>NETMAQ6RF00</v>
          </cell>
          <cell r="G1344" t="str">
            <v>D. Pharma Format</v>
          </cell>
          <cell r="H1344" t="str">
            <v>Pharma Format</v>
          </cell>
          <cell r="I1344" t="str">
            <v>Pharma COCO Store (SP Fix Setup)</v>
          </cell>
        </row>
        <row r="1345">
          <cell r="A1345" t="str">
            <v>PHSmarS289</v>
          </cell>
          <cell r="B1345">
            <v>1344</v>
          </cell>
          <cell r="C1345" t="str">
            <v>AP-SM-VAM-3000</v>
          </cell>
          <cell r="D1345" t="str">
            <v>TWFF</v>
          </cell>
          <cell r="E1345" t="str">
            <v>Q6RJ</v>
          </cell>
          <cell r="F1345" t="str">
            <v>NETMAQ6RJ00</v>
          </cell>
          <cell r="G1345" t="str">
            <v>D. Pharma Format</v>
          </cell>
          <cell r="H1345" t="str">
            <v>Pharma Format</v>
          </cell>
          <cell r="I1345" t="str">
            <v>Pharma COCO Store (SP Fix Setup)</v>
          </cell>
        </row>
        <row r="1346">
          <cell r="A1346" t="str">
            <v>PHSmarS290</v>
          </cell>
          <cell r="B1346">
            <v>1345</v>
          </cell>
          <cell r="C1346" t="str">
            <v>AP-SM-CDM-3000</v>
          </cell>
          <cell r="D1346" t="str">
            <v>TWFA</v>
          </cell>
          <cell r="E1346" t="str">
            <v>Q6RE</v>
          </cell>
          <cell r="F1346" t="str">
            <v>NETMAQ6RE00</v>
          </cell>
          <cell r="G1346" t="str">
            <v>D. Pharma Format</v>
          </cell>
          <cell r="H1346" t="str">
            <v>Pharma Format</v>
          </cell>
          <cell r="I1346" t="str">
            <v>Pharma COCO Store (SP Fix Setup)</v>
          </cell>
        </row>
        <row r="1347">
          <cell r="A1347" t="str">
            <v>PHSmarE291</v>
          </cell>
          <cell r="B1347">
            <v>1346</v>
          </cell>
          <cell r="C1347" t="str">
            <v>BH-SM-KHL-3000</v>
          </cell>
          <cell r="D1347" t="str">
            <v>TZOO</v>
          </cell>
          <cell r="E1347" t="str">
            <v>QDBT</v>
          </cell>
          <cell r="F1347" t="str">
            <v>NETMBQDBT00</v>
          </cell>
          <cell r="G1347" t="str">
            <v>D. Pharma Format</v>
          </cell>
          <cell r="H1347" t="str">
            <v>Pharma Format</v>
          </cell>
          <cell r="I1347" t="str">
            <v>Pharma COCO Store (SP Fix Setup)</v>
          </cell>
        </row>
        <row r="1348">
          <cell r="A1348" t="str">
            <v>PHSmarS292</v>
          </cell>
          <cell r="B1348">
            <v>1347</v>
          </cell>
          <cell r="C1348" t="str">
            <v>AP-SM-JGM-3000</v>
          </cell>
          <cell r="D1348" t="str">
            <v>TYXI</v>
          </cell>
          <cell r="E1348" t="str">
            <v>QB5M</v>
          </cell>
          <cell r="F1348" t="str">
            <v>NETMAQB5M00</v>
          </cell>
          <cell r="G1348" t="str">
            <v>D. Pharma Format</v>
          </cell>
          <cell r="H1348" t="str">
            <v>Pharma Format</v>
          </cell>
          <cell r="I1348" t="str">
            <v>Pharma COCO Store (SP Fix Setup)</v>
          </cell>
        </row>
        <row r="1349">
          <cell r="A1349" t="str">
            <v>PHSmarS293</v>
          </cell>
          <cell r="B1349">
            <v>1348</v>
          </cell>
          <cell r="C1349" t="str">
            <v>OR-SM-MAI-3000</v>
          </cell>
          <cell r="D1349" t="str">
            <v>TZMW</v>
          </cell>
          <cell r="E1349" t="str">
            <v>QC8R</v>
          </cell>
          <cell r="F1349" t="str">
            <v>NETMOQC8R00</v>
          </cell>
          <cell r="G1349" t="str">
            <v>D. Pharma Format</v>
          </cell>
          <cell r="H1349" t="str">
            <v>Pharma Format</v>
          </cell>
          <cell r="I1349" t="str">
            <v>Pharma COCO Store (SP Fix Setup)</v>
          </cell>
        </row>
        <row r="1350">
          <cell r="A1350" t="str">
            <v>PHSmarS294</v>
          </cell>
          <cell r="B1350">
            <v>1349</v>
          </cell>
          <cell r="C1350" t="str">
            <v>AP-SM-KTH-3000</v>
          </cell>
          <cell r="D1350" t="str">
            <v>TWJ1</v>
          </cell>
          <cell r="E1350" t="str">
            <v>Q6KE</v>
          </cell>
          <cell r="F1350" t="str">
            <v>NETMAQ6KE00</v>
          </cell>
          <cell r="G1350" t="str">
            <v>D. Pharma Format</v>
          </cell>
          <cell r="H1350" t="str">
            <v>Pharma Format</v>
          </cell>
          <cell r="I1350" t="str">
            <v>Pharma COCO Store (SP Fix Setup)</v>
          </cell>
        </row>
        <row r="1351">
          <cell r="A1351" t="str">
            <v>PHSmarS295</v>
          </cell>
          <cell r="B1351">
            <v>1350</v>
          </cell>
          <cell r="C1351" t="str">
            <v>OR-SM-BLK-3000</v>
          </cell>
          <cell r="D1351" t="str">
            <v>T0C8</v>
          </cell>
          <cell r="E1351" t="str">
            <v>Q2MC</v>
          </cell>
          <cell r="F1351" t="str">
            <v>NETMOQ2MC00</v>
          </cell>
          <cell r="G1351" t="str">
            <v>D. Pharma Format</v>
          </cell>
          <cell r="H1351" t="str">
            <v>Pharma Format</v>
          </cell>
          <cell r="I1351" t="str">
            <v>Pharma COCO Store (SP Fix Setup)</v>
          </cell>
        </row>
        <row r="1352">
          <cell r="A1352" t="str">
            <v>PHSmarE297</v>
          </cell>
          <cell r="B1352">
            <v>1351</v>
          </cell>
          <cell r="C1352" t="str">
            <v>BH-SM-SRN-3000</v>
          </cell>
          <cell r="D1352" t="str">
            <v>TZ3R</v>
          </cell>
          <cell r="E1352" t="str">
            <v>QEEK</v>
          </cell>
          <cell r="F1352" t="str">
            <v>NETMBQEEK00</v>
          </cell>
          <cell r="G1352" t="str">
            <v>D. Pharma Format</v>
          </cell>
          <cell r="H1352" t="str">
            <v>Pharma Format</v>
          </cell>
          <cell r="I1352" t="str">
            <v>Pharma COCO Store (SP Fix Setup)</v>
          </cell>
        </row>
        <row r="1353">
          <cell r="A1353" t="str">
            <v>PHSmarW298</v>
          </cell>
          <cell r="B1353">
            <v>1352</v>
          </cell>
          <cell r="C1353" t="str">
            <v>MH-SM-NDB-3000</v>
          </cell>
          <cell r="D1353" t="str">
            <v>TANE</v>
          </cell>
          <cell r="E1353" t="str">
            <v>QF3H</v>
          </cell>
          <cell r="F1353" t="str">
            <v>NETMMQF3H00</v>
          </cell>
          <cell r="G1353" t="str">
            <v>D. Pharma Format</v>
          </cell>
          <cell r="H1353" t="str">
            <v>Pharma Format</v>
          </cell>
          <cell r="I1353" t="str">
            <v>Pharma COCO Store (SP Fix Setup)</v>
          </cell>
        </row>
        <row r="1354">
          <cell r="A1354" t="str">
            <v>PHSmarS299</v>
          </cell>
          <cell r="B1354">
            <v>1353</v>
          </cell>
          <cell r="C1354" t="str">
            <v>KE-SM-ERU-3000</v>
          </cell>
          <cell r="D1354" t="str">
            <v>TZJW</v>
          </cell>
          <cell r="E1354" t="str">
            <v>QC6C</v>
          </cell>
          <cell r="F1354" t="str">
            <v>NETMVQC6C00</v>
          </cell>
          <cell r="G1354" t="str">
            <v>D. Pharma Format</v>
          </cell>
          <cell r="H1354" t="str">
            <v>Pharma Format</v>
          </cell>
          <cell r="I1354" t="str">
            <v>Pharma COCO Store (SP Fix Setup)</v>
          </cell>
        </row>
        <row r="1355">
          <cell r="A1355" t="str">
            <v>PHSmarS300</v>
          </cell>
          <cell r="B1355">
            <v>1354</v>
          </cell>
          <cell r="C1355" t="str">
            <v>KE-SM-PUP-3000</v>
          </cell>
          <cell r="D1355" t="str">
            <v>TZKA</v>
          </cell>
          <cell r="E1355" t="str">
            <v>QC6G</v>
          </cell>
          <cell r="F1355" t="str">
            <v>NETMVQC6G00</v>
          </cell>
          <cell r="G1355" t="str">
            <v>D. Pharma Format</v>
          </cell>
          <cell r="H1355" t="str">
            <v>Pharma Format</v>
          </cell>
          <cell r="I1355" t="str">
            <v>Pharma COCO Store (SP Fix Setup)</v>
          </cell>
        </row>
        <row r="1356">
          <cell r="A1356" t="str">
            <v>PHSmarW301</v>
          </cell>
          <cell r="B1356">
            <v>1355</v>
          </cell>
          <cell r="C1356" t="str">
            <v>MH-SM-KPR-3000</v>
          </cell>
          <cell r="D1356" t="str">
            <v>TYKK</v>
          </cell>
          <cell r="E1356" t="str">
            <v>QBQV</v>
          </cell>
          <cell r="F1356" t="str">
            <v>NETMMQBQV00</v>
          </cell>
          <cell r="G1356" t="str">
            <v>D. Pharma Format</v>
          </cell>
          <cell r="H1356" t="str">
            <v>Pharma Format</v>
          </cell>
          <cell r="I1356" t="str">
            <v>Pharma COCO Store (SP Fix Setup)</v>
          </cell>
        </row>
        <row r="1357">
          <cell r="A1357" t="str">
            <v>PHSmarS302</v>
          </cell>
          <cell r="B1357">
            <v>1356</v>
          </cell>
          <cell r="C1357" t="str">
            <v>TN-SM-PON-3001</v>
          </cell>
          <cell r="D1357" t="str">
            <v>TACN</v>
          </cell>
          <cell r="E1357" t="str">
            <v>QBVD</v>
          </cell>
          <cell r="F1357" t="str">
            <v>NETM8QBVD00</v>
          </cell>
          <cell r="G1357" t="str">
            <v>D. Pharma Format</v>
          </cell>
          <cell r="H1357" t="str">
            <v>Pharma Format</v>
          </cell>
          <cell r="I1357" t="str">
            <v>Pharma COCO Store (SP Fix Setup)</v>
          </cell>
        </row>
        <row r="1358">
          <cell r="A1358" t="str">
            <v>PHSmarS303</v>
          </cell>
          <cell r="B1358">
            <v>1357</v>
          </cell>
          <cell r="C1358" t="str">
            <v>AP-SM-KVL-3000</v>
          </cell>
          <cell r="D1358" t="str">
            <v>U2JW</v>
          </cell>
          <cell r="E1358" t="str">
            <v>QBOA</v>
          </cell>
          <cell r="F1358" t="str">
            <v>NETMAQBOA00</v>
          </cell>
          <cell r="G1358" t="str">
            <v>D. Pharma Format</v>
          </cell>
          <cell r="H1358" t="str">
            <v>Pharma Format</v>
          </cell>
          <cell r="I1358" t="str">
            <v>Pharma COCO Store (SP Fix Setup)</v>
          </cell>
        </row>
        <row r="1359">
          <cell r="A1359" t="str">
            <v>PHSmarS304</v>
          </cell>
          <cell r="B1359">
            <v>1358</v>
          </cell>
          <cell r="C1359" t="str">
            <v>AP-SM-MOG-3000</v>
          </cell>
          <cell r="D1359" t="str">
            <v>TYGK</v>
          </cell>
          <cell r="E1359" t="str">
            <v>QBMM</v>
          </cell>
          <cell r="F1359" t="str">
            <v>NETMAQBMM00</v>
          </cell>
          <cell r="G1359" t="str">
            <v>D. Pharma Format</v>
          </cell>
          <cell r="H1359" t="str">
            <v>Pharma Format</v>
          </cell>
          <cell r="I1359" t="str">
            <v>Pharma COCO Store (SP Fix Setup)</v>
          </cell>
        </row>
        <row r="1360">
          <cell r="A1360" t="str">
            <v>PHSmarS305</v>
          </cell>
          <cell r="B1360">
            <v>1359</v>
          </cell>
          <cell r="C1360" t="str">
            <v>AP-SM-GAN-3000</v>
          </cell>
          <cell r="D1360" t="str">
            <v>TZ2F</v>
          </cell>
          <cell r="E1360" t="str">
            <v>QECY</v>
          </cell>
          <cell r="F1360" t="str">
            <v>NETMAQECY00</v>
          </cell>
          <cell r="G1360" t="str">
            <v>D. Pharma Format</v>
          </cell>
          <cell r="H1360" t="str">
            <v>Pharma Format</v>
          </cell>
          <cell r="I1360" t="str">
            <v>Pharma COCO Store (SP Fix Setup)</v>
          </cell>
        </row>
        <row r="1361">
          <cell r="A1361" t="str">
            <v>PHSmarS306</v>
          </cell>
          <cell r="B1361">
            <v>1360</v>
          </cell>
          <cell r="C1361" t="str">
            <v>OR-SM-BKI-3000</v>
          </cell>
          <cell r="D1361" t="str">
            <v>TZPQ</v>
          </cell>
          <cell r="E1361" t="str">
            <v>QDCV</v>
          </cell>
          <cell r="F1361" t="str">
            <v>NETMOQDCV00</v>
          </cell>
          <cell r="G1361" t="str">
            <v>D. Pharma Format</v>
          </cell>
          <cell r="H1361" t="str">
            <v>Pharma Format</v>
          </cell>
          <cell r="I1361" t="str">
            <v>Pharma COCO Store (SP Fix Setup)</v>
          </cell>
        </row>
        <row r="1362">
          <cell r="A1362" t="str">
            <v>PHSmarE307</v>
          </cell>
          <cell r="B1362">
            <v>1361</v>
          </cell>
          <cell r="C1362" t="str">
            <v>BH-SM-PAT-3016</v>
          </cell>
          <cell r="D1362" t="str">
            <v>T0K9</v>
          </cell>
          <cell r="E1362" t="str">
            <v>Q4EV</v>
          </cell>
          <cell r="F1362" t="str">
            <v>NETMBQ4EV00</v>
          </cell>
          <cell r="G1362" t="str">
            <v>D. Pharma Format</v>
          </cell>
          <cell r="H1362" t="str">
            <v>Pharma Format</v>
          </cell>
          <cell r="I1362" t="str">
            <v>Pharma COCO Store (SP Fix Setup)</v>
          </cell>
        </row>
        <row r="1363">
          <cell r="A1363" t="str">
            <v>PHSmarE308</v>
          </cell>
          <cell r="B1363">
            <v>1362</v>
          </cell>
          <cell r="C1363" t="str">
            <v>WB-SM-MIA-3000</v>
          </cell>
          <cell r="D1363" t="str">
            <v>TYMJ</v>
          </cell>
          <cell r="E1363" t="str">
            <v>QBSU</v>
          </cell>
          <cell r="F1363" t="str">
            <v>NETMWQBSU00</v>
          </cell>
          <cell r="G1363" t="str">
            <v>D. Pharma Format</v>
          </cell>
          <cell r="H1363" t="str">
            <v>Pharma Format</v>
          </cell>
          <cell r="I1363" t="str">
            <v>Pharma COCO Store (SP Fix Setup)</v>
          </cell>
        </row>
        <row r="1364">
          <cell r="A1364" t="str">
            <v>PHSmarS309</v>
          </cell>
          <cell r="B1364">
            <v>1363</v>
          </cell>
          <cell r="C1364" t="str">
            <v>TN-SM-MPL-3000</v>
          </cell>
          <cell r="D1364" t="str">
            <v>TZ1Z</v>
          </cell>
          <cell r="E1364" t="str">
            <v>QECS</v>
          </cell>
          <cell r="F1364" t="str">
            <v>NETMTQECS00</v>
          </cell>
          <cell r="G1364" t="str">
            <v>D. Pharma Format</v>
          </cell>
          <cell r="H1364" t="str">
            <v>Pharma Format</v>
          </cell>
          <cell r="I1364" t="str">
            <v>Pharma COCO Store (SP Fix Setup)</v>
          </cell>
        </row>
        <row r="1365">
          <cell r="A1365" t="str">
            <v>PHSmarW310</v>
          </cell>
          <cell r="B1365">
            <v>1364</v>
          </cell>
          <cell r="C1365" t="str">
            <v>MP-SM-ITS-3000</v>
          </cell>
          <cell r="D1365" t="str">
            <v>TYIE</v>
          </cell>
          <cell r="E1365" t="str">
            <v>QBOD</v>
          </cell>
          <cell r="F1365" t="str">
            <v>NETMEQBOD00</v>
          </cell>
          <cell r="G1365" t="str">
            <v>D. Pharma Format</v>
          </cell>
          <cell r="H1365" t="str">
            <v>Pharma Format</v>
          </cell>
          <cell r="I1365" t="str">
            <v>Pharma COCO Store (SP Fix Setup)</v>
          </cell>
        </row>
        <row r="1366">
          <cell r="A1366" t="str">
            <v>PHSmarN311</v>
          </cell>
          <cell r="B1366">
            <v>1365</v>
          </cell>
          <cell r="C1366" t="str">
            <v>RJ-SM-SMD-3000</v>
          </cell>
          <cell r="D1366" t="str">
            <v>TZQ1</v>
          </cell>
          <cell r="E1366" t="str">
            <v>QD1H</v>
          </cell>
          <cell r="F1366" t="str">
            <v>NETMRQD1H00</v>
          </cell>
          <cell r="G1366" t="str">
            <v>D. Pharma Format</v>
          </cell>
          <cell r="H1366" t="str">
            <v>Pharma Format</v>
          </cell>
          <cell r="I1366" t="str">
            <v>Pharma COCO Store (SP Fix Setup)</v>
          </cell>
        </row>
        <row r="1367">
          <cell r="A1367" t="str">
            <v>PHSmarE313</v>
          </cell>
          <cell r="B1367">
            <v>1366</v>
          </cell>
          <cell r="C1367" t="str">
            <v>AP-SM-WAR-3004</v>
          </cell>
          <cell r="D1367" t="str">
            <v>TAS6</v>
          </cell>
          <cell r="E1367" t="str">
            <v>QGRB</v>
          </cell>
          <cell r="F1367" t="str">
            <v>NETMNQGRB00</v>
          </cell>
          <cell r="G1367" t="str">
            <v>D. Pharma Format</v>
          </cell>
          <cell r="H1367" t="str">
            <v>Pharma Format</v>
          </cell>
          <cell r="I1367" t="str">
            <v>Pharma COCO Store (SP Fix Setup)</v>
          </cell>
        </row>
        <row r="1368">
          <cell r="A1368" t="str">
            <v>PHSmarS315</v>
          </cell>
          <cell r="B1368">
            <v>1367</v>
          </cell>
          <cell r="C1368" t="str">
            <v>TN-SM-GDT-3000</v>
          </cell>
          <cell r="D1368" t="str">
            <v>TYRP</v>
          </cell>
          <cell r="E1368" t="str">
            <v>QBYT</v>
          </cell>
          <cell r="F1368" t="str">
            <v>NETMTQBYT00</v>
          </cell>
          <cell r="G1368" t="str">
            <v>D. Pharma Format</v>
          </cell>
          <cell r="H1368" t="str">
            <v>Pharma Format</v>
          </cell>
          <cell r="I1368" t="str">
            <v>Pharma COCO Store (SP Fix Setup)</v>
          </cell>
        </row>
        <row r="1369">
          <cell r="A1369" t="str">
            <v>PHSmarS316</v>
          </cell>
          <cell r="B1369">
            <v>1368</v>
          </cell>
          <cell r="C1369" t="str">
            <v>AP-SM-TPT-3000</v>
          </cell>
          <cell r="D1369" t="str">
            <v>T90K</v>
          </cell>
          <cell r="E1369" t="str">
            <v>QOWH</v>
          </cell>
          <cell r="F1369" t="str">
            <v>NETMAQOWH00</v>
          </cell>
          <cell r="G1369" t="str">
            <v>D. Pharma Format</v>
          </cell>
          <cell r="H1369" t="str">
            <v>Pharma Format</v>
          </cell>
          <cell r="I1369" t="str">
            <v>Pharma COCO Store (SP Fix Setup)</v>
          </cell>
        </row>
        <row r="1370">
          <cell r="A1370" t="str">
            <v>PHSmarN317</v>
          </cell>
          <cell r="B1370">
            <v>1369</v>
          </cell>
          <cell r="C1370" t="str">
            <v>RJ-SM-SWA-3000</v>
          </cell>
          <cell r="D1370" t="str">
            <v>TG9H</v>
          </cell>
          <cell r="E1370" t="str">
            <v>QZBM</v>
          </cell>
          <cell r="F1370" t="str">
            <v>NETMRQZBM00</v>
          </cell>
          <cell r="G1370" t="str">
            <v>D. Pharma Format</v>
          </cell>
          <cell r="H1370" t="str">
            <v>Pharma Format</v>
          </cell>
          <cell r="I1370" t="str">
            <v>Pharma COCO Store (SP Fix Setup)</v>
          </cell>
        </row>
        <row r="1371">
          <cell r="A1371" t="str">
            <v>PHSmarS318</v>
          </cell>
          <cell r="B1371">
            <v>1370</v>
          </cell>
          <cell r="C1371" t="str">
            <v>KE-SM-EAR-3008</v>
          </cell>
          <cell r="D1371" t="str">
            <v>TZYQ</v>
          </cell>
          <cell r="E1371" t="str">
            <v>QDPQ</v>
          </cell>
          <cell r="F1371" t="str">
            <v>NETMVQDPQ00</v>
          </cell>
          <cell r="G1371" t="str">
            <v>D. Pharma Format</v>
          </cell>
          <cell r="H1371" t="str">
            <v>Pharma Format</v>
          </cell>
          <cell r="I1371" t="str">
            <v>Pharma COCO Store (SP Fix Setup)</v>
          </cell>
        </row>
        <row r="1372">
          <cell r="A1372" t="str">
            <v>PHSmarE319</v>
          </cell>
          <cell r="B1372">
            <v>1371</v>
          </cell>
          <cell r="C1372" t="str">
            <v>BH-SM-MUZ-3007</v>
          </cell>
          <cell r="D1372" t="str">
            <v>T89Z</v>
          </cell>
          <cell r="E1372" t="str">
            <v>QOWF</v>
          </cell>
          <cell r="F1372" t="str">
            <v>NETMBQOWF00</v>
          </cell>
          <cell r="G1372" t="str">
            <v>D. Pharma Format</v>
          </cell>
          <cell r="H1372" t="str">
            <v>Pharma Format</v>
          </cell>
          <cell r="I1372" t="str">
            <v>Pharma COCO Store (SP Fix Setup)</v>
          </cell>
        </row>
        <row r="1373">
          <cell r="A1373" t="str">
            <v>PHSmarE320</v>
          </cell>
          <cell r="B1373">
            <v>1372</v>
          </cell>
          <cell r="C1373" t="str">
            <v>WB-SM-PAL-3000</v>
          </cell>
          <cell r="D1373" t="str">
            <v>TZ5G</v>
          </cell>
          <cell r="E1373" t="str">
            <v>QEHF</v>
          </cell>
          <cell r="F1373" t="str">
            <v>NETMFQEHF00</v>
          </cell>
          <cell r="G1373" t="str">
            <v>D. Pharma Format</v>
          </cell>
          <cell r="H1373" t="str">
            <v>Pharma Format</v>
          </cell>
          <cell r="I1373" t="str">
            <v>Pharma COCO Store (SP Fix Setup)</v>
          </cell>
        </row>
        <row r="1374">
          <cell r="A1374" t="str">
            <v>PHSmarS321</v>
          </cell>
          <cell r="B1374">
            <v>1373</v>
          </cell>
          <cell r="C1374" t="str">
            <v>KR-SM-KPL-3000</v>
          </cell>
          <cell r="D1374" t="str">
            <v>TYVK</v>
          </cell>
          <cell r="E1374" t="str">
            <v>QB3O</v>
          </cell>
          <cell r="F1374" t="str">
            <v>NETMKQB3O00</v>
          </cell>
          <cell r="G1374" t="str">
            <v>D. Pharma Format</v>
          </cell>
          <cell r="H1374" t="str">
            <v>Pharma Format</v>
          </cell>
          <cell r="I1374" t="str">
            <v>Pharma COCO Store (SP Fix Setup)</v>
          </cell>
        </row>
        <row r="1375">
          <cell r="A1375" t="str">
            <v>PHSmarS322</v>
          </cell>
          <cell r="B1375">
            <v>1374</v>
          </cell>
          <cell r="C1375" t="str">
            <v>AP-SM-DWA-3000</v>
          </cell>
          <cell r="D1375" t="str">
            <v>TYPE</v>
          </cell>
          <cell r="E1375" t="str">
            <v>QBWG</v>
          </cell>
          <cell r="F1375" t="str">
            <v>NETMAQBWG00</v>
          </cell>
          <cell r="G1375" t="str">
            <v>D. Pharma Format</v>
          </cell>
          <cell r="H1375" t="str">
            <v>Pharma Format</v>
          </cell>
          <cell r="I1375" t="str">
            <v>Pharma COCO Store (SP Fix Setup)</v>
          </cell>
        </row>
        <row r="1376">
          <cell r="A1376" t="str">
            <v>PHSmarE323</v>
          </cell>
          <cell r="B1376">
            <v>1375</v>
          </cell>
          <cell r="C1376" t="str">
            <v>BH-SM-BNT-3000</v>
          </cell>
          <cell r="D1376" t="str">
            <v>TYNL</v>
          </cell>
          <cell r="E1376" t="str">
            <v>QBTV</v>
          </cell>
          <cell r="F1376" t="str">
            <v>NETMBQBTV00</v>
          </cell>
          <cell r="G1376" t="str">
            <v>D. Pharma Format</v>
          </cell>
          <cell r="H1376" t="str">
            <v>Pharma Format</v>
          </cell>
          <cell r="I1376" t="str">
            <v>Pharma COCO Store (SP Fix Setup)</v>
          </cell>
        </row>
        <row r="1377">
          <cell r="A1377" t="str">
            <v>PHSmarS326</v>
          </cell>
          <cell r="B1377">
            <v>1376</v>
          </cell>
          <cell r="C1377" t="str">
            <v>KR-SM-BGL-3000</v>
          </cell>
          <cell r="D1377" t="str">
            <v>TYOR</v>
          </cell>
          <cell r="E1377" t="str">
            <v>QBVT</v>
          </cell>
          <cell r="F1377" t="str">
            <v>NETMKQBVT00</v>
          </cell>
          <cell r="G1377" t="str">
            <v>D. Pharma Format</v>
          </cell>
          <cell r="H1377" t="str">
            <v>Pharma Format</v>
          </cell>
          <cell r="I1377" t="str">
            <v>Pharma COCO Store (SP Fix Setup)</v>
          </cell>
        </row>
        <row r="1378">
          <cell r="A1378" t="str">
            <v>PHSmarS327</v>
          </cell>
          <cell r="B1378">
            <v>1377</v>
          </cell>
          <cell r="C1378" t="str">
            <v>TN-SM-TIU-3004</v>
          </cell>
          <cell r="D1378" t="str">
            <v>TYK4</v>
          </cell>
          <cell r="E1378" t="str">
            <v>QB8C</v>
          </cell>
          <cell r="F1378" t="str">
            <v>NETMTQB8C00</v>
          </cell>
          <cell r="G1378" t="str">
            <v>D. Pharma Format</v>
          </cell>
          <cell r="H1378" t="str">
            <v>Pharma Format</v>
          </cell>
          <cell r="I1378" t="str">
            <v>Pharma COCO Store (SP Fix Setup)</v>
          </cell>
        </row>
        <row r="1379">
          <cell r="A1379" t="str">
            <v>PHSmarS328</v>
          </cell>
          <cell r="B1379">
            <v>1378</v>
          </cell>
          <cell r="C1379" t="str">
            <v>TN-SM-ERO-3002</v>
          </cell>
          <cell r="D1379" t="str">
            <v>TYK6</v>
          </cell>
          <cell r="E1379" t="str">
            <v>QB8E</v>
          </cell>
          <cell r="F1379" t="str">
            <v>NETMTQB8E00</v>
          </cell>
          <cell r="G1379" t="str">
            <v>D. Pharma Format</v>
          </cell>
          <cell r="H1379" t="str">
            <v>Pharma Format</v>
          </cell>
          <cell r="I1379" t="str">
            <v>Pharma COCO Store (SP Fix Setup)</v>
          </cell>
        </row>
        <row r="1380">
          <cell r="A1380" t="str">
            <v>PHSmarS329</v>
          </cell>
          <cell r="B1380">
            <v>1379</v>
          </cell>
          <cell r="C1380" t="str">
            <v>TN-SM-SIV-3000</v>
          </cell>
          <cell r="D1380" t="str">
            <v>TYSG</v>
          </cell>
          <cell r="E1380" t="str">
            <v>QBZK</v>
          </cell>
          <cell r="F1380" t="str">
            <v>NETMTQBZK00</v>
          </cell>
          <cell r="G1380" t="str">
            <v>D. Pharma Format</v>
          </cell>
          <cell r="H1380" t="str">
            <v>Pharma Format</v>
          </cell>
          <cell r="I1380" t="str">
            <v>Pharma COCO Store (SP Fix Setup)</v>
          </cell>
        </row>
        <row r="1381">
          <cell r="A1381" t="str">
            <v>PHSmarS330</v>
          </cell>
          <cell r="B1381">
            <v>1380</v>
          </cell>
          <cell r="C1381" t="str">
            <v>TN-SM-PUD-3000</v>
          </cell>
          <cell r="D1381" t="str">
            <v>TAKW</v>
          </cell>
          <cell r="E1381" t="str">
            <v>QFYM</v>
          </cell>
          <cell r="F1381" t="str">
            <v>NETMTQFYM00</v>
          </cell>
          <cell r="G1381" t="str">
            <v>D. Pharma Format</v>
          </cell>
          <cell r="H1381" t="str">
            <v>Pharma Format</v>
          </cell>
          <cell r="I1381" t="str">
            <v>Pharma COCO Store (SP Fix Setup)</v>
          </cell>
        </row>
        <row r="1382">
          <cell r="A1382" t="str">
            <v>PHSmarE331</v>
          </cell>
          <cell r="B1382">
            <v>1381</v>
          </cell>
          <cell r="C1382" t="str">
            <v>WB-SM-DIM-3006</v>
          </cell>
          <cell r="D1382" t="str">
            <v>TYHU</v>
          </cell>
          <cell r="E1382" t="str">
            <v>QBNK</v>
          </cell>
          <cell r="F1382" t="str">
            <v>NETMLQBNK00</v>
          </cell>
          <cell r="G1382" t="str">
            <v>D. Pharma Format</v>
          </cell>
          <cell r="H1382" t="str">
            <v>Pharma Format</v>
          </cell>
          <cell r="I1382" t="str">
            <v>Pharma COCO Store (SP Fix Setup)</v>
          </cell>
        </row>
        <row r="1383">
          <cell r="A1383" t="str">
            <v>PHSmarS332</v>
          </cell>
          <cell r="B1383">
            <v>1382</v>
          </cell>
          <cell r="C1383" t="str">
            <v>TN-SM-KVL-3001</v>
          </cell>
          <cell r="D1383" t="str">
            <v>T1ZY</v>
          </cell>
          <cell r="E1383" t="str">
            <v>Q3M1</v>
          </cell>
          <cell r="F1383" t="str">
            <v>NETMTQ3M100</v>
          </cell>
          <cell r="G1383" t="str">
            <v>D. Pharma Format</v>
          </cell>
          <cell r="H1383" t="str">
            <v>Pharma Format</v>
          </cell>
          <cell r="I1383" t="str">
            <v>Pharma COCO Store (SP Fix Setup)</v>
          </cell>
        </row>
        <row r="1384">
          <cell r="A1384" t="str">
            <v>PHSmarS334</v>
          </cell>
          <cell r="B1384">
            <v>1383</v>
          </cell>
          <cell r="C1384" t="str">
            <v>TN-SM-SKI-3000</v>
          </cell>
          <cell r="D1384" t="str">
            <v>TYRH</v>
          </cell>
          <cell r="E1384" t="str">
            <v>QBYL</v>
          </cell>
          <cell r="F1384" t="str">
            <v>NETMTQBYL00</v>
          </cell>
          <cell r="G1384" t="str">
            <v>D. Pharma Format</v>
          </cell>
          <cell r="H1384" t="str">
            <v>Pharma Format</v>
          </cell>
          <cell r="I1384" t="str">
            <v>Pharma COCO Store (SP Fix Setup)</v>
          </cell>
        </row>
        <row r="1385">
          <cell r="A1385" t="str">
            <v>PHSmarS335</v>
          </cell>
          <cell r="B1385">
            <v>1384</v>
          </cell>
          <cell r="C1385" t="str">
            <v>TN-SM-HOS-3003</v>
          </cell>
          <cell r="D1385" t="str">
            <v>TYQP</v>
          </cell>
          <cell r="E1385" t="str">
            <v>QBXT</v>
          </cell>
          <cell r="F1385" t="str">
            <v>NETMTQBXT00</v>
          </cell>
          <cell r="G1385" t="str">
            <v>D. Pharma Format</v>
          </cell>
          <cell r="H1385" t="str">
            <v>Pharma Format</v>
          </cell>
          <cell r="I1385" t="str">
            <v>Pharma COCO Store (SP Fix Setup)</v>
          </cell>
        </row>
        <row r="1386">
          <cell r="A1386" t="str">
            <v>PHSmarE336</v>
          </cell>
          <cell r="B1386">
            <v>1385</v>
          </cell>
          <cell r="C1386" t="str">
            <v>NE-SM-MAJ-3000</v>
          </cell>
          <cell r="D1386" t="str">
            <v>TYRQ</v>
          </cell>
          <cell r="E1386" t="str">
            <v>QBYU</v>
          </cell>
          <cell r="F1386" t="str">
            <v>NETMSQBYU00</v>
          </cell>
          <cell r="G1386" t="str">
            <v>D. Pharma Format</v>
          </cell>
          <cell r="H1386" t="str">
            <v>Pharma Format</v>
          </cell>
          <cell r="I1386" t="str">
            <v>Pharma COCO Store (SP Fix Setup)</v>
          </cell>
        </row>
        <row r="1387">
          <cell r="A1387" t="str">
            <v>PHSmarN337</v>
          </cell>
          <cell r="B1387">
            <v>1386</v>
          </cell>
          <cell r="C1387" t="str">
            <v>UP-SM-DYR-3000</v>
          </cell>
          <cell r="D1387" t="str">
            <v>TJ6D</v>
          </cell>
          <cell r="E1387" t="str">
            <v>QZYW</v>
          </cell>
          <cell r="F1387" t="str">
            <v>NETMUQZYW00</v>
          </cell>
          <cell r="G1387" t="str">
            <v>D. Pharma Format</v>
          </cell>
          <cell r="H1387" t="str">
            <v>Pharma Format</v>
          </cell>
          <cell r="I1387" t="str">
            <v>Pharma COCO Store (SP Fix Setup)</v>
          </cell>
        </row>
        <row r="1388">
          <cell r="A1388" t="str">
            <v>PHSmarS339</v>
          </cell>
          <cell r="B1388">
            <v>1387</v>
          </cell>
          <cell r="C1388" t="str">
            <v>TN-SM-KOD-3000</v>
          </cell>
          <cell r="D1388" t="str">
            <v>TYSC</v>
          </cell>
          <cell r="E1388" t="str">
            <v>QBZG</v>
          </cell>
          <cell r="F1388" t="str">
            <v>NETMTQBZG00</v>
          </cell>
          <cell r="G1388" t="str">
            <v>D. Pharma Format</v>
          </cell>
          <cell r="H1388" t="str">
            <v>Pharma Format</v>
          </cell>
          <cell r="I1388" t="str">
            <v>Pharma COCO Store (SP Fix Setup)</v>
          </cell>
        </row>
        <row r="1389">
          <cell r="A1389" t="str">
            <v>PHSmarS340</v>
          </cell>
          <cell r="B1389">
            <v>1388</v>
          </cell>
          <cell r="C1389" t="str">
            <v>KR-SM-SHR-3000</v>
          </cell>
          <cell r="D1389" t="str">
            <v>TYWS</v>
          </cell>
          <cell r="E1389" t="str">
            <v>QB4W</v>
          </cell>
          <cell r="F1389" t="str">
            <v>NETMKQB4W00</v>
          </cell>
          <cell r="G1389" t="str">
            <v>D. Pharma Format</v>
          </cell>
          <cell r="H1389" t="str">
            <v>Pharma Format</v>
          </cell>
          <cell r="I1389" t="str">
            <v>Pharma COCO Store (SP Fix Setup)</v>
          </cell>
        </row>
        <row r="1390">
          <cell r="A1390" t="str">
            <v>PHSmarN341</v>
          </cell>
          <cell r="B1390">
            <v>1389</v>
          </cell>
          <cell r="C1390" t="str">
            <v>UT-SM-VAR-3001</v>
          </cell>
          <cell r="D1390" t="str">
            <v>TYYN</v>
          </cell>
          <cell r="E1390" t="str">
            <v>QB6R</v>
          </cell>
          <cell r="F1390" t="str">
            <v>NETM5QB6R00</v>
          </cell>
          <cell r="G1390" t="str">
            <v>D. Pharma Format</v>
          </cell>
          <cell r="H1390" t="str">
            <v>Pharma Format</v>
          </cell>
          <cell r="I1390" t="str">
            <v>Pharma COCO Store (SP Fix Setup)</v>
          </cell>
        </row>
        <row r="1391">
          <cell r="A1391" t="str">
            <v>PHSmarS342</v>
          </cell>
          <cell r="B1391">
            <v>1390</v>
          </cell>
          <cell r="C1391" t="str">
            <v>TN-SM-MAY-3000</v>
          </cell>
          <cell r="D1391" t="str">
            <v>TYPU</v>
          </cell>
          <cell r="E1391" t="str">
            <v>QBWW</v>
          </cell>
          <cell r="F1391" t="str">
            <v>NETMTQBWW00</v>
          </cell>
          <cell r="G1391" t="str">
            <v>D. Pharma Format</v>
          </cell>
          <cell r="H1391" t="str">
            <v>Pharma Format</v>
          </cell>
          <cell r="I1391" t="str">
            <v>Pharma COCO Store (SP Fix Setup)</v>
          </cell>
        </row>
        <row r="1392">
          <cell r="A1392" t="str">
            <v>PHSmarE343</v>
          </cell>
          <cell r="B1392">
            <v>1391</v>
          </cell>
          <cell r="C1392" t="str">
            <v>WB-SM-SVI-3002</v>
          </cell>
          <cell r="D1392" t="str">
            <v>TAQ9</v>
          </cell>
          <cell r="E1392" t="str">
            <v>QGQN</v>
          </cell>
          <cell r="F1392" t="str">
            <v>NETMFQGQN00</v>
          </cell>
          <cell r="G1392" t="str">
            <v>D. Pharma Format</v>
          </cell>
          <cell r="H1392" t="str">
            <v>Pharma Format</v>
          </cell>
          <cell r="I1392" t="str">
            <v>Pharma COCO Store (SP Fix Setup)</v>
          </cell>
        </row>
        <row r="1393">
          <cell r="A1393" t="str">
            <v>PHSmarE344</v>
          </cell>
          <cell r="B1393">
            <v>1392</v>
          </cell>
          <cell r="C1393" t="str">
            <v>WB-SM-MRT-3000</v>
          </cell>
          <cell r="D1393" t="str">
            <v>TYRE</v>
          </cell>
          <cell r="E1393" t="str">
            <v>QBYI</v>
          </cell>
          <cell r="F1393" t="str">
            <v>NETMWQBYI00</v>
          </cell>
          <cell r="G1393" t="str">
            <v>D. Pharma Format</v>
          </cell>
          <cell r="H1393" t="str">
            <v>Pharma Format</v>
          </cell>
          <cell r="I1393" t="str">
            <v>Pharma COCO Store (SP Fix Setup)</v>
          </cell>
        </row>
        <row r="1394">
          <cell r="A1394" t="str">
            <v>PHSmarE346</v>
          </cell>
          <cell r="B1394">
            <v>1393</v>
          </cell>
          <cell r="C1394" t="str">
            <v>TG-SM-KAR-3003</v>
          </cell>
          <cell r="D1394" t="str">
            <v>TYL9</v>
          </cell>
          <cell r="E1394" t="str">
            <v>QB8R</v>
          </cell>
          <cell r="F1394" t="str">
            <v>NETMNQB8R00</v>
          </cell>
          <cell r="G1394" t="str">
            <v>D. Pharma Format</v>
          </cell>
          <cell r="H1394" t="str">
            <v>Pharma Format</v>
          </cell>
          <cell r="I1394" t="str">
            <v>Pharma COCO Store (SP Fix Setup)</v>
          </cell>
        </row>
        <row r="1395">
          <cell r="A1395" t="str">
            <v>PHSmarS347</v>
          </cell>
          <cell r="B1395">
            <v>1394</v>
          </cell>
          <cell r="C1395" t="str">
            <v>AP-SM-RAE-3000</v>
          </cell>
          <cell r="D1395" t="str">
            <v>TYXR</v>
          </cell>
          <cell r="E1395" t="str">
            <v>QB5V</v>
          </cell>
          <cell r="F1395" t="str">
            <v>NETMAQB5V00</v>
          </cell>
          <cell r="G1395" t="str">
            <v>D. Pharma Format</v>
          </cell>
          <cell r="H1395" t="str">
            <v>Pharma Format</v>
          </cell>
          <cell r="I1395" t="str">
            <v>Pharma COCO Store (SP Fix Setup)</v>
          </cell>
        </row>
        <row r="1396">
          <cell r="A1396" t="str">
            <v>PHSmarN348</v>
          </cell>
          <cell r="B1396">
            <v>1395</v>
          </cell>
          <cell r="C1396" t="str">
            <v>RJ-SM-NMB-3000</v>
          </cell>
          <cell r="D1396" t="str">
            <v>TYXT</v>
          </cell>
          <cell r="E1396" t="str">
            <v>QB5X</v>
          </cell>
          <cell r="F1396" t="str">
            <v>NETMRQB5X00</v>
          </cell>
          <cell r="G1396" t="str">
            <v>D. Pharma Format</v>
          </cell>
          <cell r="H1396" t="str">
            <v>Pharma Format</v>
          </cell>
          <cell r="I1396" t="str">
            <v>Pharma COCO Store (SP Fix Setup)</v>
          </cell>
        </row>
        <row r="1397">
          <cell r="A1397" t="str">
            <v>PHSmarE349</v>
          </cell>
          <cell r="B1397">
            <v>1396</v>
          </cell>
          <cell r="C1397" t="str">
            <v>WB-SM-KKP-3001</v>
          </cell>
          <cell r="D1397" t="str">
            <v>TAPE</v>
          </cell>
          <cell r="E1397" t="str">
            <v>QF5H</v>
          </cell>
          <cell r="F1397" t="str">
            <v>NETMWQF5H00</v>
          </cell>
          <cell r="G1397" t="str">
            <v>D. Pharma Format</v>
          </cell>
          <cell r="H1397" t="str">
            <v>Pharma Format</v>
          </cell>
          <cell r="I1397" t="str">
            <v>Pharma COCO Store (SP Fix Setup)</v>
          </cell>
        </row>
        <row r="1398">
          <cell r="A1398" t="str">
            <v>PHSmarN351</v>
          </cell>
          <cell r="B1398">
            <v>1397</v>
          </cell>
          <cell r="C1398" t="str">
            <v>PB-SM-SAR-3000</v>
          </cell>
          <cell r="D1398" t="str">
            <v>TYU4</v>
          </cell>
          <cell r="E1398" t="str">
            <v>QCCO</v>
          </cell>
          <cell r="F1398" t="str">
            <v>NETM9QCCO00</v>
          </cell>
          <cell r="G1398" t="str">
            <v>D. Pharma Format</v>
          </cell>
          <cell r="H1398" t="str">
            <v>Pharma Format</v>
          </cell>
          <cell r="I1398" t="str">
            <v>Pharma COCO Store (SP Fix Setup)</v>
          </cell>
        </row>
        <row r="1399">
          <cell r="A1399" t="str">
            <v>PHSmarN352</v>
          </cell>
          <cell r="B1399">
            <v>1398</v>
          </cell>
          <cell r="C1399" t="str">
            <v>RJ-SM-KIS-3000</v>
          </cell>
          <cell r="D1399" t="str">
            <v>TYO7</v>
          </cell>
          <cell r="E1399" t="str">
            <v>QB9Q</v>
          </cell>
          <cell r="F1399" t="str">
            <v>NETMRQB9Q00</v>
          </cell>
          <cell r="G1399" t="str">
            <v>D. Pharma Format</v>
          </cell>
          <cell r="H1399" t="str">
            <v>Pharma Format</v>
          </cell>
          <cell r="I1399" t="str">
            <v>Pharma COCO Store (SP Fix Setup)</v>
          </cell>
        </row>
        <row r="1400">
          <cell r="A1400" t="str">
            <v>PHSmarE353</v>
          </cell>
          <cell r="B1400">
            <v>1399</v>
          </cell>
          <cell r="C1400" t="str">
            <v>WB-SM-CKR-3000</v>
          </cell>
          <cell r="D1400" t="str">
            <v>TALI</v>
          </cell>
          <cell r="E1400" t="str">
            <v>QFZN</v>
          </cell>
          <cell r="F1400" t="str">
            <v>NETMWQFZN00</v>
          </cell>
          <cell r="G1400" t="str">
            <v>D. Pharma Format</v>
          </cell>
          <cell r="H1400" t="str">
            <v>Pharma Format</v>
          </cell>
          <cell r="I1400" t="str">
            <v>Pharma COCO Store (SP Fix Setup)</v>
          </cell>
        </row>
        <row r="1401">
          <cell r="A1401" t="str">
            <v>PHSmarS357</v>
          </cell>
          <cell r="B1401">
            <v>1400</v>
          </cell>
          <cell r="C1401" t="str">
            <v>TN-SM-KII-3000</v>
          </cell>
          <cell r="D1401" t="str">
            <v>T85T</v>
          </cell>
          <cell r="E1401" t="str">
            <v>QOQL</v>
          </cell>
          <cell r="F1401" t="str">
            <v>NETMTQOQL00</v>
          </cell>
          <cell r="G1401" t="str">
            <v>D. Pharma Format</v>
          </cell>
          <cell r="H1401" t="str">
            <v>Pharma Format</v>
          </cell>
          <cell r="I1401" t="str">
            <v>Pharma COCO Store (SP Fix Setup)</v>
          </cell>
        </row>
        <row r="1402">
          <cell r="A1402" t="str">
            <v>PHSmarE358</v>
          </cell>
          <cell r="B1402">
            <v>1401</v>
          </cell>
          <cell r="C1402" t="str">
            <v>WB-SM-GOG-3001</v>
          </cell>
          <cell r="D1402" t="str">
            <v>TYYM</v>
          </cell>
          <cell r="E1402" t="str">
            <v>QB6Q</v>
          </cell>
          <cell r="F1402" t="str">
            <v>NETMFQB6Q00</v>
          </cell>
          <cell r="G1402" t="str">
            <v>D. Pharma Format</v>
          </cell>
          <cell r="H1402" t="str">
            <v>Pharma Format</v>
          </cell>
          <cell r="I1402" t="str">
            <v>Pharma COCO Store (SP Fix Setup)</v>
          </cell>
        </row>
        <row r="1403">
          <cell r="A1403" t="str">
            <v>PHSmarN359</v>
          </cell>
          <cell r="B1403">
            <v>1402</v>
          </cell>
          <cell r="C1403" t="str">
            <v>DE-SM-GUR-3005</v>
          </cell>
          <cell r="D1403" t="str">
            <v>TYV1</v>
          </cell>
          <cell r="E1403" t="str">
            <v>QKZZ</v>
          </cell>
          <cell r="F1403" t="str">
            <v>NETMHQKZZ00</v>
          </cell>
          <cell r="G1403" t="str">
            <v>D. Pharma Format</v>
          </cell>
          <cell r="H1403" t="str">
            <v>Pharma Format</v>
          </cell>
          <cell r="I1403" t="str">
            <v>Pharma COCO Store (SP Fix Setup)</v>
          </cell>
        </row>
        <row r="1404">
          <cell r="A1404" t="str">
            <v>PHSmarE360</v>
          </cell>
          <cell r="B1404">
            <v>1403</v>
          </cell>
          <cell r="C1404" t="str">
            <v>JH-SM-SIS-3000</v>
          </cell>
          <cell r="D1404" t="str">
            <v>TAKG</v>
          </cell>
          <cell r="E1404" t="str">
            <v>QFXZ</v>
          </cell>
          <cell r="F1404" t="str">
            <v>NETMQQFXZ00</v>
          </cell>
          <cell r="G1404" t="str">
            <v>D. Pharma Format</v>
          </cell>
          <cell r="H1404" t="str">
            <v>Pharma Format</v>
          </cell>
          <cell r="I1404" t="str">
            <v>Pharma COCO Store (SP Fix Setup)</v>
          </cell>
        </row>
        <row r="1405">
          <cell r="A1405" t="str">
            <v>PHSmarS361</v>
          </cell>
          <cell r="B1405">
            <v>1404</v>
          </cell>
          <cell r="C1405" t="str">
            <v>KE-SM-KKD-3000</v>
          </cell>
          <cell r="D1405" t="str">
            <v>TYWM</v>
          </cell>
          <cell r="E1405" t="str">
            <v>QB4Q</v>
          </cell>
          <cell r="F1405" t="str">
            <v>NETMVQB4Q00</v>
          </cell>
          <cell r="G1405" t="str">
            <v>D. Pharma Format</v>
          </cell>
          <cell r="H1405" t="str">
            <v>Pharma Format</v>
          </cell>
          <cell r="I1405" t="str">
            <v>Pharma COCO Store (SP Fix Setup)</v>
          </cell>
        </row>
        <row r="1406">
          <cell r="A1406" t="str">
            <v>PHSmarS362</v>
          </cell>
          <cell r="B1406">
            <v>1405</v>
          </cell>
          <cell r="C1406" t="str">
            <v>TN-SM-AHR-3000</v>
          </cell>
          <cell r="D1406" t="str">
            <v>T91E</v>
          </cell>
          <cell r="E1406" t="str">
            <v>QOXI</v>
          </cell>
          <cell r="F1406" t="str">
            <v>NETMTQOXI00</v>
          </cell>
          <cell r="G1406" t="str">
            <v>D. Pharma Format</v>
          </cell>
          <cell r="H1406" t="str">
            <v>Pharma Format</v>
          </cell>
          <cell r="I1406" t="str">
            <v>Pharma COCO Store (SP Fix Setup)</v>
          </cell>
        </row>
        <row r="1407">
          <cell r="A1407" t="str">
            <v>PHSmarE363</v>
          </cell>
          <cell r="B1407">
            <v>1406</v>
          </cell>
          <cell r="C1407" t="str">
            <v>JH-SM-BHW-3000</v>
          </cell>
          <cell r="D1407" t="str">
            <v>TAYQ</v>
          </cell>
          <cell r="E1407" t="str">
            <v>QGHU</v>
          </cell>
          <cell r="F1407" t="str">
            <v>NETMQQGHU00</v>
          </cell>
          <cell r="G1407" t="str">
            <v>D. Pharma Format</v>
          </cell>
          <cell r="H1407" t="str">
            <v>Pharma Format</v>
          </cell>
          <cell r="I1407" t="str">
            <v>Pharma COCO Store (SP Fix Setup)</v>
          </cell>
        </row>
        <row r="1408">
          <cell r="A1408" t="str">
            <v>PHSmarE364</v>
          </cell>
          <cell r="B1408">
            <v>1407</v>
          </cell>
          <cell r="C1408" t="str">
            <v>JH-SM-DRI-3000</v>
          </cell>
          <cell r="D1408" t="str">
            <v>TAYS</v>
          </cell>
          <cell r="E1408" t="str">
            <v>QGHW</v>
          </cell>
          <cell r="F1408" t="str">
            <v>NETMQQGHW00</v>
          </cell>
          <cell r="G1408" t="str">
            <v>D. Pharma Format</v>
          </cell>
          <cell r="H1408" t="str">
            <v>Pharma Format</v>
          </cell>
          <cell r="I1408" t="str">
            <v>Pharma COCO Store (SP Fix Setup)</v>
          </cell>
        </row>
        <row r="1409">
          <cell r="A1409" t="str">
            <v>PHSmarE365</v>
          </cell>
          <cell r="B1409">
            <v>1408</v>
          </cell>
          <cell r="C1409" t="str">
            <v>JH-SM-BSC-3004</v>
          </cell>
          <cell r="D1409" t="str">
            <v>TJ6G</v>
          </cell>
          <cell r="E1409" t="str">
            <v>QAA0</v>
          </cell>
          <cell r="F1409" t="str">
            <v>NETMQQAA000</v>
          </cell>
          <cell r="G1409" t="str">
            <v>D. Pharma Format</v>
          </cell>
          <cell r="H1409" t="str">
            <v>Pharma Format</v>
          </cell>
          <cell r="I1409" t="str">
            <v>Pharma COCO Store (SP Fix Setup)</v>
          </cell>
        </row>
        <row r="1410">
          <cell r="A1410" t="str">
            <v>PHSmarE366</v>
          </cell>
          <cell r="B1410">
            <v>1409</v>
          </cell>
          <cell r="C1410" t="str">
            <v>NE-SM-AGT-3008</v>
          </cell>
          <cell r="D1410" t="str">
            <v>TYP2</v>
          </cell>
          <cell r="E1410" t="str">
            <v>QB9U</v>
          </cell>
          <cell r="F1410" t="str">
            <v>NETM4QB9U00</v>
          </cell>
          <cell r="G1410" t="str">
            <v>D. Pharma Format</v>
          </cell>
          <cell r="H1410" t="str">
            <v>Pharma Format</v>
          </cell>
          <cell r="I1410" t="str">
            <v>Pharma COCO Store (SP Fix Setup)</v>
          </cell>
        </row>
        <row r="1411">
          <cell r="A1411" t="str">
            <v>PHSmarS367</v>
          </cell>
          <cell r="B1411">
            <v>1410</v>
          </cell>
          <cell r="C1411" t="str">
            <v>AP-SM-TIR-3009</v>
          </cell>
          <cell r="D1411" t="str">
            <v>T1WI</v>
          </cell>
          <cell r="E1411" t="str">
            <v>Q3H3</v>
          </cell>
          <cell r="F1411" t="str">
            <v>NETMAQ3H300</v>
          </cell>
          <cell r="G1411" t="str">
            <v>D. Pharma Format</v>
          </cell>
          <cell r="H1411" t="str">
            <v>Pharma Format</v>
          </cell>
          <cell r="I1411" t="str">
            <v>Pharma COCO Store (SP Fix Setup)</v>
          </cell>
        </row>
        <row r="1412">
          <cell r="A1412" t="str">
            <v>PHSmarS370</v>
          </cell>
          <cell r="B1412">
            <v>1411</v>
          </cell>
          <cell r="C1412" t="str">
            <v>AP-SM-TIR-3008</v>
          </cell>
          <cell r="D1412" t="str">
            <v>T1WR</v>
          </cell>
          <cell r="E1412" t="str">
            <v>Q3I3</v>
          </cell>
          <cell r="F1412" t="str">
            <v>NETMAQ3I300</v>
          </cell>
          <cell r="G1412" t="str">
            <v>D. Pharma Format</v>
          </cell>
          <cell r="H1412" t="str">
            <v>Pharma Format</v>
          </cell>
          <cell r="I1412" t="str">
            <v>Pharma COCO Store (SP Fix Setup)</v>
          </cell>
        </row>
        <row r="1413">
          <cell r="A1413" t="str">
            <v>PHSmarS374</v>
          </cell>
          <cell r="B1413">
            <v>1412</v>
          </cell>
          <cell r="C1413" t="str">
            <v>KE-SM-TNR-3000</v>
          </cell>
          <cell r="D1413" t="str">
            <v>TZKN</v>
          </cell>
          <cell r="E1413" t="str">
            <v>QC7C</v>
          </cell>
          <cell r="F1413" t="str">
            <v>NETMVQC7C00</v>
          </cell>
          <cell r="G1413" t="str">
            <v>D. Pharma Format</v>
          </cell>
          <cell r="H1413" t="str">
            <v>Pharma Format</v>
          </cell>
          <cell r="I1413" t="str">
            <v>Pharma COCO Store (SP Fix Setup)</v>
          </cell>
        </row>
        <row r="1414">
          <cell r="A1414" t="str">
            <v>PHSmarE375</v>
          </cell>
          <cell r="B1414">
            <v>1413</v>
          </cell>
          <cell r="C1414" t="str">
            <v>AP-SM-CHE-3000</v>
          </cell>
          <cell r="D1414" t="str">
            <v>TWE1</v>
          </cell>
          <cell r="E1414" t="str">
            <v>Q6IG</v>
          </cell>
          <cell r="F1414" t="str">
            <v>NETMNQ6IG00</v>
          </cell>
          <cell r="G1414" t="str">
            <v>D. Pharma Format</v>
          </cell>
          <cell r="H1414" t="str">
            <v>Pharma Format</v>
          </cell>
          <cell r="I1414" t="str">
            <v>Pharma COCO Store (SP Fix Setup)</v>
          </cell>
        </row>
        <row r="1415">
          <cell r="A1415" t="str">
            <v>PHSmarE377</v>
          </cell>
          <cell r="B1415">
            <v>1414</v>
          </cell>
          <cell r="C1415" t="str">
            <v>BH-SM-GPJ-3003</v>
          </cell>
          <cell r="D1415" t="str">
            <v>TZC3</v>
          </cell>
          <cell r="E1415" t="str">
            <v>QDUL</v>
          </cell>
          <cell r="F1415" t="str">
            <v>NETMBQDUL00</v>
          </cell>
          <cell r="G1415" t="str">
            <v>D. Pharma Format</v>
          </cell>
          <cell r="H1415" t="str">
            <v>Pharma Format</v>
          </cell>
          <cell r="I1415" t="str">
            <v>Pharma COCO Store (SP Fix Setup)</v>
          </cell>
        </row>
        <row r="1416">
          <cell r="A1416" t="str">
            <v>PHSmarE379</v>
          </cell>
          <cell r="B1416">
            <v>1415</v>
          </cell>
          <cell r="C1416" t="str">
            <v>BH-SM-MAA-3000</v>
          </cell>
          <cell r="D1416" t="str">
            <v>TZ2O</v>
          </cell>
          <cell r="E1416" t="str">
            <v>QEDH</v>
          </cell>
          <cell r="F1416" t="str">
            <v>NETMBQEDH00</v>
          </cell>
          <cell r="G1416" t="str">
            <v>D. Pharma Format</v>
          </cell>
          <cell r="H1416" t="str">
            <v>Pharma Format</v>
          </cell>
          <cell r="I1416" t="str">
            <v>Pharma COCO Store (SP Fix Setup)</v>
          </cell>
        </row>
        <row r="1417">
          <cell r="A1417" t="str">
            <v>PHSmarS382</v>
          </cell>
          <cell r="B1417">
            <v>1416</v>
          </cell>
          <cell r="C1417" t="str">
            <v>OR-SM-PAR-3000</v>
          </cell>
          <cell r="D1417" t="str">
            <v>TYJX</v>
          </cell>
          <cell r="E1417" t="str">
            <v>QBQF</v>
          </cell>
          <cell r="F1417" t="str">
            <v>NETMOQBQF00</v>
          </cell>
          <cell r="G1417" t="str">
            <v>D. Pharma Format</v>
          </cell>
          <cell r="H1417" t="str">
            <v>Pharma Format</v>
          </cell>
          <cell r="I1417" t="str">
            <v>Pharma COCO Store (SP Fix Setup)</v>
          </cell>
        </row>
        <row r="1418">
          <cell r="A1418" t="str">
            <v>PHSmarS383</v>
          </cell>
          <cell r="B1418">
            <v>1417</v>
          </cell>
          <cell r="C1418" t="str">
            <v>TN-SM-AUN-3000</v>
          </cell>
          <cell r="D1418" t="str">
            <v>TYWG</v>
          </cell>
          <cell r="E1418" t="str">
            <v>QB4K</v>
          </cell>
          <cell r="F1418" t="str">
            <v>NETMTQB4K00</v>
          </cell>
          <cell r="G1418" t="str">
            <v>D. Pharma Format</v>
          </cell>
          <cell r="H1418" t="str">
            <v>Pharma Format</v>
          </cell>
          <cell r="I1418" t="str">
            <v>Pharma COCO Store (SP Fix Setup)</v>
          </cell>
        </row>
        <row r="1419">
          <cell r="A1419" t="str">
            <v>PHSmarE384</v>
          </cell>
          <cell r="B1419">
            <v>1418</v>
          </cell>
          <cell r="C1419" t="str">
            <v>BH-SM-MOT-3006</v>
          </cell>
          <cell r="D1419" t="str">
            <v>TAC2</v>
          </cell>
          <cell r="E1419" t="str">
            <v>QGGQ</v>
          </cell>
          <cell r="F1419" t="str">
            <v>NETMBQGGQ00</v>
          </cell>
          <cell r="G1419" t="str">
            <v>D. Pharma Format</v>
          </cell>
          <cell r="H1419" t="str">
            <v>Pharma Format</v>
          </cell>
          <cell r="I1419" t="str">
            <v>Pharma COCO Store (SP Fix Setup)</v>
          </cell>
        </row>
        <row r="1420">
          <cell r="A1420" t="str">
            <v>PHSmarW386</v>
          </cell>
          <cell r="B1420">
            <v>1419</v>
          </cell>
          <cell r="C1420" t="str">
            <v>MP-SM-MUK-3001</v>
          </cell>
          <cell r="D1420" t="str">
            <v>TAXY</v>
          </cell>
          <cell r="E1420" t="str">
            <v>QGHC</v>
          </cell>
          <cell r="F1420" t="str">
            <v>NETMEQGHC00</v>
          </cell>
          <cell r="G1420" t="str">
            <v>D. Pharma Format</v>
          </cell>
          <cell r="H1420" t="str">
            <v>Pharma Format</v>
          </cell>
          <cell r="I1420" t="str">
            <v>Pharma COCO Store (SP Fix Setup)</v>
          </cell>
        </row>
        <row r="1421">
          <cell r="A1421" t="str">
            <v>PHSmarS387</v>
          </cell>
          <cell r="B1421">
            <v>1420</v>
          </cell>
          <cell r="C1421" t="str">
            <v>AP-SM-GNL-3000</v>
          </cell>
          <cell r="D1421" t="str">
            <v>TYOT</v>
          </cell>
          <cell r="E1421" t="str">
            <v>QBVV</v>
          </cell>
          <cell r="F1421" t="str">
            <v>NETMAQBVV00</v>
          </cell>
          <cell r="G1421" t="str">
            <v>D. Pharma Format</v>
          </cell>
          <cell r="H1421" t="str">
            <v>Pharma Format</v>
          </cell>
          <cell r="I1421" t="str">
            <v>Pharma COCO Store (SP Fix Setup)</v>
          </cell>
        </row>
        <row r="1422">
          <cell r="A1422" t="str">
            <v>PHSmarS388</v>
          </cell>
          <cell r="B1422">
            <v>1421</v>
          </cell>
          <cell r="C1422" t="str">
            <v>KE-SM-KIY-3000</v>
          </cell>
          <cell r="D1422" t="str">
            <v>TYLB</v>
          </cell>
          <cell r="E1422" t="str">
            <v>QBRM</v>
          </cell>
          <cell r="F1422" t="str">
            <v>NETMVQBRM00</v>
          </cell>
          <cell r="G1422" t="str">
            <v>D. Pharma Format</v>
          </cell>
          <cell r="H1422" t="str">
            <v>Pharma Format</v>
          </cell>
          <cell r="I1422" t="str">
            <v>Pharma COCO Store (SP Fix Setup)</v>
          </cell>
        </row>
        <row r="1423">
          <cell r="A1423" t="str">
            <v>PHSmarN389</v>
          </cell>
          <cell r="B1423">
            <v>1422</v>
          </cell>
          <cell r="C1423" t="str">
            <v>RJ-SM-BLA-3000</v>
          </cell>
          <cell r="D1423" t="str">
            <v>TYQQ</v>
          </cell>
          <cell r="E1423" t="str">
            <v>QBXU</v>
          </cell>
          <cell r="F1423" t="str">
            <v>NETMRQBXU00</v>
          </cell>
          <cell r="G1423" t="str">
            <v>D. Pharma Format</v>
          </cell>
          <cell r="H1423" t="str">
            <v>Pharma Format</v>
          </cell>
          <cell r="I1423" t="str">
            <v>Pharma COCO Store (SP Fix Setup)</v>
          </cell>
        </row>
        <row r="1424">
          <cell r="A1424" t="str">
            <v>PHSmarE390</v>
          </cell>
          <cell r="B1424">
            <v>1423</v>
          </cell>
          <cell r="C1424" t="str">
            <v>BH-SM-JAD-3001</v>
          </cell>
          <cell r="D1424" t="str">
            <v>TYSJ</v>
          </cell>
          <cell r="E1424" t="str">
            <v>QBZN</v>
          </cell>
          <cell r="F1424" t="str">
            <v>NETMBQBZN00</v>
          </cell>
          <cell r="G1424" t="str">
            <v>D. Pharma Format</v>
          </cell>
          <cell r="H1424" t="str">
            <v>Pharma Format</v>
          </cell>
          <cell r="I1424" t="str">
            <v>Pharma COCO Store (SP Fix Setup)</v>
          </cell>
        </row>
        <row r="1425">
          <cell r="A1425" t="str">
            <v>PHSmarE391</v>
          </cell>
          <cell r="B1425">
            <v>1424</v>
          </cell>
          <cell r="C1425" t="str">
            <v>NE-SM-RPH-3000</v>
          </cell>
          <cell r="D1425" t="str">
            <v>TAKR</v>
          </cell>
          <cell r="E1425" t="str">
            <v>QFWM</v>
          </cell>
          <cell r="F1425" t="str">
            <v>NETMFQFWM00</v>
          </cell>
          <cell r="G1425" t="str">
            <v>D. Pharma Format</v>
          </cell>
          <cell r="H1425" t="str">
            <v>Pharma Format</v>
          </cell>
          <cell r="I1425" t="str">
            <v>Pharma COCO Store (SP Fix Setup)</v>
          </cell>
        </row>
        <row r="1426">
          <cell r="A1426" t="str">
            <v>PHSmarE392</v>
          </cell>
          <cell r="B1426">
            <v>1425</v>
          </cell>
          <cell r="C1426" t="str">
            <v>BH-SM-NRA-3000</v>
          </cell>
          <cell r="D1426" t="str">
            <v>TH7U</v>
          </cell>
          <cell r="E1426" t="str">
            <v>QZIT</v>
          </cell>
          <cell r="F1426" t="str">
            <v>NETMBQZIT00</v>
          </cell>
          <cell r="G1426" t="str">
            <v>D. Pharma Format</v>
          </cell>
          <cell r="H1426" t="str">
            <v>Pharma Format</v>
          </cell>
          <cell r="I1426" t="str">
            <v>Pharma COCO Store (SP Fix Setup)</v>
          </cell>
        </row>
        <row r="1427">
          <cell r="A1427" t="str">
            <v>PHSmarE393</v>
          </cell>
          <cell r="B1427">
            <v>1426</v>
          </cell>
          <cell r="C1427" t="str">
            <v>JH-SM-KHA-3000</v>
          </cell>
          <cell r="D1427" t="str">
            <v>TYT5</v>
          </cell>
          <cell r="E1427" t="str">
            <v>Q4Q6</v>
          </cell>
          <cell r="F1427" t="str">
            <v>NETMQQ4Q600</v>
          </cell>
          <cell r="G1427" t="str">
            <v>D. Pharma Format</v>
          </cell>
          <cell r="H1427" t="str">
            <v>Pharma Format</v>
          </cell>
          <cell r="I1427" t="str">
            <v>Pharma COCO Store (SP Fix Setup)</v>
          </cell>
        </row>
        <row r="1428">
          <cell r="A1428" t="str">
            <v>PHSmarE394</v>
          </cell>
          <cell r="B1428">
            <v>1427</v>
          </cell>
          <cell r="C1428" t="str">
            <v>BJ-SM-AMR-3000</v>
          </cell>
          <cell r="D1428" t="str">
            <v>TAXW</v>
          </cell>
          <cell r="E1428" t="str">
            <v>QGHA</v>
          </cell>
          <cell r="F1428" t="str">
            <v>NETMBQGHA00</v>
          </cell>
          <cell r="G1428" t="str">
            <v>D. Pharma Format</v>
          </cell>
          <cell r="H1428" t="str">
            <v>Pharma Format</v>
          </cell>
          <cell r="I1428" t="str">
            <v>Pharma COCO Store (SP Fix Setup)</v>
          </cell>
        </row>
        <row r="1429">
          <cell r="A1429" t="str">
            <v>PHSmarN395</v>
          </cell>
          <cell r="B1429">
            <v>1428</v>
          </cell>
          <cell r="C1429" t="str">
            <v>HP-SM-BDI-3001</v>
          </cell>
          <cell r="D1429" t="str">
            <v>TAR2</v>
          </cell>
          <cell r="E1429" t="str">
            <v>QGQP</v>
          </cell>
          <cell r="F1429" t="str">
            <v>NETMIQGQP00</v>
          </cell>
          <cell r="G1429" t="str">
            <v>D. Pharma Format</v>
          </cell>
          <cell r="H1429" t="str">
            <v>Pharma Format</v>
          </cell>
          <cell r="I1429" t="str">
            <v>Pharma COCO Store (SP Fix Setup)</v>
          </cell>
        </row>
        <row r="1430">
          <cell r="A1430" t="str">
            <v>PHSmarE397</v>
          </cell>
          <cell r="B1430">
            <v>1429</v>
          </cell>
          <cell r="C1430" t="str">
            <v>WB-SM-NZI-3001</v>
          </cell>
          <cell r="D1430" t="str">
            <v>TAQ8</v>
          </cell>
          <cell r="E1430" t="str">
            <v>QGQM</v>
          </cell>
          <cell r="F1430" t="str">
            <v>NETMFQGQM00</v>
          </cell>
          <cell r="G1430" t="str">
            <v>D. Pharma Format</v>
          </cell>
          <cell r="H1430" t="str">
            <v>Pharma Format</v>
          </cell>
          <cell r="I1430" t="str">
            <v>Pharma COCO Store (SP Fix Setup)</v>
          </cell>
        </row>
        <row r="1431">
          <cell r="A1431" t="str">
            <v>PHSmarE398</v>
          </cell>
          <cell r="B1431">
            <v>1430</v>
          </cell>
          <cell r="C1431" t="str">
            <v>JH-SM-SRT-3000</v>
          </cell>
          <cell r="D1431" t="str">
            <v>TAOJ</v>
          </cell>
          <cell r="E1431" t="str">
            <v>QF4M</v>
          </cell>
          <cell r="F1431" t="str">
            <v>NETMQQF4M00</v>
          </cell>
          <cell r="G1431" t="str">
            <v>D. Pharma Format</v>
          </cell>
          <cell r="H1431" t="str">
            <v>Pharma Format</v>
          </cell>
          <cell r="I1431" t="str">
            <v>Pharma COCO Store (SP Fix Setup)</v>
          </cell>
        </row>
        <row r="1432">
          <cell r="A1432" t="str">
            <v>PHSmarS401</v>
          </cell>
          <cell r="B1432">
            <v>1431</v>
          </cell>
          <cell r="C1432" t="str">
            <v>OR-SM-BHU-3006</v>
          </cell>
          <cell r="D1432" t="str">
            <v>T1WK</v>
          </cell>
          <cell r="E1432" t="str">
            <v>Q3H5</v>
          </cell>
          <cell r="F1432" t="str">
            <v>NETMOQ3H500</v>
          </cell>
          <cell r="G1432" t="str">
            <v>D. Pharma Format</v>
          </cell>
          <cell r="H1432" t="str">
            <v>Pharma Format</v>
          </cell>
          <cell r="I1432" t="str">
            <v>Pharma COCO Store (SP Fix Setup)</v>
          </cell>
        </row>
        <row r="1433">
          <cell r="A1433" t="str">
            <v>PHSmarE418</v>
          </cell>
          <cell r="B1433">
            <v>1432</v>
          </cell>
          <cell r="C1433" t="str">
            <v>NE-SM-CMA-3002</v>
          </cell>
          <cell r="D1433" t="str">
            <v>TZGH</v>
          </cell>
          <cell r="E1433" t="str">
            <v>QCZV</v>
          </cell>
          <cell r="F1433" t="str">
            <v>NETMLQCZV00</v>
          </cell>
          <cell r="G1433" t="str">
            <v>D. Pharma Format</v>
          </cell>
          <cell r="H1433" t="str">
            <v>Pharma Format</v>
          </cell>
          <cell r="I1433" t="str">
            <v>Pharma COCO Store (SP Fix Setup)</v>
          </cell>
        </row>
        <row r="1434">
          <cell r="A1434" t="str">
            <v>PHCORT419</v>
          </cell>
          <cell r="B1434">
            <v>1433</v>
          </cell>
          <cell r="C1434" t="str">
            <v>PB-SM-MKS-3001</v>
          </cell>
          <cell r="D1434" t="str">
            <v>TWGG</v>
          </cell>
          <cell r="E1434" t="str">
            <v>Q6SK</v>
          </cell>
          <cell r="F1434" t="str">
            <v>NETM9Q6SK00</v>
          </cell>
          <cell r="G1434" t="str">
            <v>D. Pharma Format</v>
          </cell>
          <cell r="H1434" t="str">
            <v>Pharma Format</v>
          </cell>
          <cell r="I1434" t="str">
            <v>Pharma COCO Store (SP Fix Setup)</v>
          </cell>
        </row>
        <row r="1435">
          <cell r="A1435" t="str">
            <v>PHCORT420</v>
          </cell>
          <cell r="B1435">
            <v>1434</v>
          </cell>
          <cell r="C1435" t="str">
            <v>PB-SM-FZL-3000</v>
          </cell>
          <cell r="D1435" t="str">
            <v>TYIP</v>
          </cell>
          <cell r="E1435" t="str">
            <v>QBOO</v>
          </cell>
          <cell r="F1435" t="str">
            <v>NETM9QBOO00</v>
          </cell>
          <cell r="G1435" t="str">
            <v>D. Pharma Format</v>
          </cell>
          <cell r="H1435" t="str">
            <v>Pharma Format</v>
          </cell>
          <cell r="I1435" t="str">
            <v>Pharma COCO Store (SP Fix Setup)</v>
          </cell>
        </row>
        <row r="1436">
          <cell r="A1436" t="str">
            <v>PHCOAS421</v>
          </cell>
          <cell r="B1436">
            <v>1435</v>
          </cell>
          <cell r="C1436" t="str">
            <v>KE-SM-PAT-3000</v>
          </cell>
          <cell r="D1436" t="str">
            <v>TX2R</v>
          </cell>
          <cell r="E1436" t="str">
            <v>Q9X5</v>
          </cell>
          <cell r="F1436" t="str">
            <v>NETMVQ9X500</v>
          </cell>
          <cell r="G1436" t="str">
            <v>D. Pharma Format</v>
          </cell>
          <cell r="H1436" t="str">
            <v>Pharma Format</v>
          </cell>
          <cell r="I1436" t="str">
            <v>Pharma COCO Store (SP Fix Setup)</v>
          </cell>
        </row>
        <row r="1437">
          <cell r="A1437" t="str">
            <v>PHCOBK423</v>
          </cell>
          <cell r="B1437">
            <v>1436</v>
          </cell>
          <cell r="C1437" t="str">
            <v>MH-SM-DYA-3000</v>
          </cell>
          <cell r="D1437" t="str">
            <v>TXCC</v>
          </cell>
          <cell r="E1437" t="str">
            <v>Q8FY</v>
          </cell>
          <cell r="F1437" t="str">
            <v>NETMMQ8FY00</v>
          </cell>
          <cell r="G1437" t="str">
            <v>D. Pharma Format</v>
          </cell>
          <cell r="H1437" t="str">
            <v>Pharma Format</v>
          </cell>
          <cell r="I1437" t="str">
            <v>Pharma COCO Store (SP Fix Setup)</v>
          </cell>
        </row>
        <row r="1438">
          <cell r="A1438" t="str">
            <v>PHCOSD425</v>
          </cell>
          <cell r="B1438">
            <v>1437</v>
          </cell>
          <cell r="C1438" t="str">
            <v>BH-SM-HAJ-3003</v>
          </cell>
          <cell r="D1438" t="str">
            <v>TZBT</v>
          </cell>
          <cell r="E1438" t="str">
            <v>QCTX</v>
          </cell>
          <cell r="F1438" t="str">
            <v>NETMBQCTX00</v>
          </cell>
          <cell r="G1438" t="str">
            <v>D. Pharma Format</v>
          </cell>
          <cell r="H1438" t="str">
            <v>Pharma Format</v>
          </cell>
          <cell r="I1438" t="str">
            <v>Pharma COCO Store (SP Fix Setup)</v>
          </cell>
        </row>
        <row r="1439">
          <cell r="A1439" t="str">
            <v>PHSmarE428</v>
          </cell>
          <cell r="B1439">
            <v>1438</v>
          </cell>
          <cell r="C1439" t="str">
            <v>WB-SM-HSH-3002</v>
          </cell>
          <cell r="D1439" t="str">
            <v>TAYC</v>
          </cell>
          <cell r="E1439" t="str">
            <v>QGHG</v>
          </cell>
          <cell r="F1439" t="str">
            <v>NETMWQGHG00</v>
          </cell>
          <cell r="G1439" t="str">
            <v>D. Pharma Format</v>
          </cell>
          <cell r="H1439" t="str">
            <v>Pharma Format</v>
          </cell>
          <cell r="I1439" t="str">
            <v>Pharma COCO Store (SP Fix Setup)</v>
          </cell>
        </row>
        <row r="1440">
          <cell r="A1440" t="str">
            <v>PHSmarE430</v>
          </cell>
          <cell r="B1440">
            <v>1439</v>
          </cell>
          <cell r="C1440" t="str">
            <v>WB-SM-DLJ-3000</v>
          </cell>
          <cell r="D1440" t="str">
            <v>TZXM</v>
          </cell>
          <cell r="E1440" t="str">
            <v>QDOM</v>
          </cell>
          <cell r="F1440" t="str">
            <v>NETMFQDOM00</v>
          </cell>
          <cell r="G1440" t="str">
            <v>D. Pharma Format</v>
          </cell>
          <cell r="H1440" t="str">
            <v>Pharma Format</v>
          </cell>
          <cell r="I1440" t="str">
            <v>Pharma COCO Store (SP Fix Setup)</v>
          </cell>
        </row>
        <row r="1441">
          <cell r="A1441" t="str">
            <v>PHSmarE432</v>
          </cell>
          <cell r="B1441">
            <v>1440</v>
          </cell>
          <cell r="C1441" t="str">
            <v>WB-SM-AMA-3000</v>
          </cell>
          <cell r="D1441" t="str">
            <v>TYIX</v>
          </cell>
          <cell r="E1441" t="str">
            <v>QBOW</v>
          </cell>
          <cell r="F1441" t="str">
            <v>NETMWQBOW00</v>
          </cell>
          <cell r="G1441" t="str">
            <v>D. Pharma Format</v>
          </cell>
          <cell r="H1441" t="str">
            <v>Pharma Format</v>
          </cell>
          <cell r="I1441" t="str">
            <v>Pharma COCO Store (SP Fix Setup)</v>
          </cell>
        </row>
        <row r="1442">
          <cell r="A1442" t="str">
            <v>PHCORT433</v>
          </cell>
          <cell r="B1442">
            <v>1441</v>
          </cell>
          <cell r="C1442" t="str">
            <v>RJ-SM-PIL-3000</v>
          </cell>
          <cell r="D1442" t="str">
            <v>TYO1</v>
          </cell>
          <cell r="E1442" t="str">
            <v>QB9K</v>
          </cell>
          <cell r="F1442" t="str">
            <v>NETMRQB9K00</v>
          </cell>
          <cell r="G1442" t="str">
            <v>D. Pharma Format</v>
          </cell>
          <cell r="H1442" t="str">
            <v>Pharma Format</v>
          </cell>
          <cell r="I1442" t="str">
            <v>Pharma COCO Store (SP Fix Setup)</v>
          </cell>
        </row>
        <row r="1443">
          <cell r="A1443" t="str">
            <v>PHSmarN433</v>
          </cell>
          <cell r="B1443">
            <v>1442</v>
          </cell>
          <cell r="C1443" t="str">
            <v>UP-SM-HRO-3002</v>
          </cell>
          <cell r="D1443" t="str">
            <v>TZ3J</v>
          </cell>
          <cell r="E1443" t="str">
            <v>QEEC</v>
          </cell>
          <cell r="F1443" t="str">
            <v>NETMUQEEC00</v>
          </cell>
          <cell r="G1443" t="str">
            <v>D. Pharma Format</v>
          </cell>
          <cell r="H1443" t="str">
            <v>Pharma Format</v>
          </cell>
          <cell r="I1443" t="str">
            <v>Pharma COCO Store (SP Fix Setup)</v>
          </cell>
        </row>
        <row r="1444">
          <cell r="A1444" t="str">
            <v>PHCOSD434</v>
          </cell>
          <cell r="B1444">
            <v>1443</v>
          </cell>
          <cell r="C1444" t="str">
            <v>BH-SM-IMJ-3000</v>
          </cell>
          <cell r="D1444" t="str">
            <v>TWFM</v>
          </cell>
          <cell r="E1444" t="str">
            <v>Q6RQ</v>
          </cell>
          <cell r="F1444" t="str">
            <v>NETMBQ6RQ00</v>
          </cell>
          <cell r="G1444" t="str">
            <v>D. Pharma Format</v>
          </cell>
          <cell r="H1444" t="str">
            <v>Pharma Format</v>
          </cell>
          <cell r="I1444" t="str">
            <v>Pharma COCO Store (SP Fix Setup)</v>
          </cell>
        </row>
        <row r="1445">
          <cell r="A1445" t="str">
            <v>PHSmarW436</v>
          </cell>
          <cell r="B1445">
            <v>1444</v>
          </cell>
          <cell r="C1445" t="str">
            <v>MH-SM-DRS-3000</v>
          </cell>
          <cell r="D1445" t="str">
            <v>TYMB</v>
          </cell>
          <cell r="E1445" t="str">
            <v>QBSM</v>
          </cell>
          <cell r="F1445" t="str">
            <v>NETMMQBSM00</v>
          </cell>
          <cell r="G1445" t="str">
            <v>D. Pharma Format</v>
          </cell>
          <cell r="H1445" t="str">
            <v>Pharma Format</v>
          </cell>
          <cell r="I1445" t="str">
            <v>Pharma COCO Store (SP Fix Setup)</v>
          </cell>
        </row>
        <row r="1446">
          <cell r="A1446" t="str">
            <v>PHSmarW437</v>
          </cell>
          <cell r="B1446">
            <v>1445</v>
          </cell>
          <cell r="C1446" t="str">
            <v>MH-SM-CNY-3000</v>
          </cell>
          <cell r="D1446" t="str">
            <v>TYPR</v>
          </cell>
          <cell r="E1446" t="str">
            <v>QBWT</v>
          </cell>
          <cell r="F1446" t="str">
            <v>NETMMQBWT00</v>
          </cell>
          <cell r="G1446" t="str">
            <v>D. Pharma Format</v>
          </cell>
          <cell r="H1446" t="str">
            <v>Pharma Format</v>
          </cell>
          <cell r="I1446" t="str">
            <v>Pharma COCO Store (SP Fix Setup)</v>
          </cell>
        </row>
        <row r="1447">
          <cell r="A1447" t="str">
            <v>PHCOSD439</v>
          </cell>
          <cell r="B1447">
            <v>1446</v>
          </cell>
          <cell r="C1447" t="str">
            <v>BH-SM-SIT-3004</v>
          </cell>
          <cell r="D1447" t="str">
            <v>TZBI</v>
          </cell>
          <cell r="E1447" t="str">
            <v>QCTM</v>
          </cell>
          <cell r="F1447" t="str">
            <v>NETMBQCTM00</v>
          </cell>
          <cell r="G1447" t="str">
            <v>D. Pharma Format</v>
          </cell>
          <cell r="H1447" t="str">
            <v>Pharma Format</v>
          </cell>
          <cell r="I1447" t="str">
            <v>Pharma COCO Store (SP Fix Setup)</v>
          </cell>
        </row>
        <row r="1448">
          <cell r="A1448" t="str">
            <v>PHSmarW439</v>
          </cell>
          <cell r="B1448">
            <v>1447</v>
          </cell>
          <cell r="C1448" t="str">
            <v>MH-SM-DIG-3000</v>
          </cell>
          <cell r="D1448" t="str">
            <v>TYPD</v>
          </cell>
          <cell r="E1448" t="str">
            <v>QBWF</v>
          </cell>
          <cell r="F1448" t="str">
            <v>NETMMQBWF00</v>
          </cell>
          <cell r="G1448" t="str">
            <v>D. Pharma Format</v>
          </cell>
          <cell r="H1448" t="str">
            <v>Pharma Format</v>
          </cell>
          <cell r="I1448" t="str">
            <v>Pharma COCO Store (SP Fix Setup)</v>
          </cell>
        </row>
        <row r="1449">
          <cell r="A1449" t="str">
            <v>PHSmarE441</v>
          </cell>
          <cell r="B1449">
            <v>1448</v>
          </cell>
          <cell r="C1449" t="str">
            <v>WB-SM-PAN-3000</v>
          </cell>
          <cell r="D1449" t="str">
            <v>TYIG</v>
          </cell>
          <cell r="E1449" t="str">
            <v>QBOF</v>
          </cell>
          <cell r="F1449" t="str">
            <v>NETMWQBOF00</v>
          </cell>
          <cell r="G1449" t="str">
            <v>D. Pharma Format</v>
          </cell>
          <cell r="H1449" t="str">
            <v>Pharma Format</v>
          </cell>
          <cell r="I1449" t="str">
            <v>Pharma COCO Store (SP Fix Setup)</v>
          </cell>
        </row>
        <row r="1450">
          <cell r="A1450" t="str">
            <v>PHSmarE444</v>
          </cell>
          <cell r="B1450">
            <v>1449</v>
          </cell>
          <cell r="C1450" t="str">
            <v>WB-SM-SMK-3001</v>
          </cell>
          <cell r="D1450" t="str">
            <v>TYNG</v>
          </cell>
          <cell r="E1450" t="str">
            <v>QBTQ</v>
          </cell>
          <cell r="F1450" t="str">
            <v>NETMWQBTQ00</v>
          </cell>
          <cell r="G1450" t="str">
            <v>D. Pharma Format</v>
          </cell>
          <cell r="H1450" t="str">
            <v>Pharma Format</v>
          </cell>
          <cell r="I1450" t="str">
            <v>Pharma COCO Store (SP Fix Setup)</v>
          </cell>
        </row>
        <row r="1451">
          <cell r="A1451" t="str">
            <v>PHSmarE445</v>
          </cell>
          <cell r="B1451">
            <v>1450</v>
          </cell>
          <cell r="C1451" t="str">
            <v>WB-SM-TEJ-3004</v>
          </cell>
          <cell r="D1451" t="str">
            <v>TYXS</v>
          </cell>
          <cell r="E1451" t="str">
            <v>QB5W</v>
          </cell>
          <cell r="F1451" t="str">
            <v>NETMFQB5W00</v>
          </cell>
          <cell r="G1451" t="str">
            <v>D. Pharma Format</v>
          </cell>
          <cell r="H1451" t="str">
            <v>Pharma Format</v>
          </cell>
          <cell r="I1451" t="str">
            <v>Pharma COCO Store (SP Fix Setup)</v>
          </cell>
        </row>
        <row r="1452">
          <cell r="A1452" t="str">
            <v>PHSmarE446</v>
          </cell>
          <cell r="B1452">
            <v>1451</v>
          </cell>
          <cell r="C1452" t="str">
            <v>BH-SM-CUO-3000</v>
          </cell>
          <cell r="D1452" t="str">
            <v>TYTD</v>
          </cell>
          <cell r="E1452" t="str">
            <v>QB1H</v>
          </cell>
          <cell r="F1452" t="str">
            <v>NETMBQB1H00</v>
          </cell>
          <cell r="G1452" t="str">
            <v>D. Pharma Format</v>
          </cell>
          <cell r="H1452" t="str">
            <v>Pharma Format</v>
          </cell>
          <cell r="I1452" t="str">
            <v>Pharma COCO Store (SP Fix Setup)</v>
          </cell>
        </row>
        <row r="1453">
          <cell r="A1453" t="str">
            <v>PHSmarS447</v>
          </cell>
          <cell r="B1453">
            <v>1452</v>
          </cell>
          <cell r="C1453" t="str">
            <v>OR-SM-JOD-3000</v>
          </cell>
          <cell r="D1453" t="str">
            <v>TYTM</v>
          </cell>
          <cell r="E1453" t="str">
            <v>QB1Q</v>
          </cell>
          <cell r="F1453" t="str">
            <v>NETMOQB1Q00</v>
          </cell>
          <cell r="G1453" t="str">
            <v>D. Pharma Format</v>
          </cell>
          <cell r="H1453" t="str">
            <v>Pharma Format</v>
          </cell>
          <cell r="I1453" t="str">
            <v>Pharma COCO Store (SP Fix Setup)</v>
          </cell>
        </row>
        <row r="1454">
          <cell r="A1454" t="str">
            <v>PHCOSD448</v>
          </cell>
          <cell r="B1454">
            <v>1453</v>
          </cell>
          <cell r="C1454" t="str">
            <v>WB-SM-BSR-3001</v>
          </cell>
          <cell r="D1454" t="str">
            <v>TZO4</v>
          </cell>
          <cell r="E1454" t="str">
            <v>QDZR</v>
          </cell>
          <cell r="F1454" t="str">
            <v>NETMWQDZR00</v>
          </cell>
          <cell r="G1454" t="str">
            <v>D. Pharma Format</v>
          </cell>
          <cell r="H1454" t="str">
            <v>Pharma Format</v>
          </cell>
          <cell r="I1454" t="str">
            <v>Pharma COCO Store (SP Fix Setup)</v>
          </cell>
        </row>
        <row r="1455">
          <cell r="A1455" t="str">
            <v>PHSmarE448</v>
          </cell>
          <cell r="B1455">
            <v>1454</v>
          </cell>
          <cell r="C1455" t="str">
            <v>WB-SM-KOH-3002</v>
          </cell>
          <cell r="D1455" t="str">
            <v>TYMA</v>
          </cell>
          <cell r="E1455" t="str">
            <v>QBSL</v>
          </cell>
          <cell r="F1455" t="str">
            <v>NETMLQBSL00</v>
          </cell>
          <cell r="G1455" t="str">
            <v>D. Pharma Format</v>
          </cell>
          <cell r="H1455" t="str">
            <v>Pharma Format</v>
          </cell>
          <cell r="I1455" t="str">
            <v>Pharma COCO Store (SP Fix Setup)</v>
          </cell>
        </row>
        <row r="1456">
          <cell r="A1456" t="str">
            <v>PHSmarS449</v>
          </cell>
          <cell r="B1456">
            <v>1455</v>
          </cell>
          <cell r="C1456" t="str">
            <v>TN-SM-PTU-3000</v>
          </cell>
          <cell r="D1456" t="str">
            <v>TYRB</v>
          </cell>
          <cell r="E1456" t="str">
            <v>QBYF</v>
          </cell>
          <cell r="F1456" t="str">
            <v>NETMTQBYF00</v>
          </cell>
          <cell r="G1456" t="str">
            <v>D. Pharma Format</v>
          </cell>
          <cell r="H1456" t="str">
            <v>Pharma Format</v>
          </cell>
          <cell r="I1456" t="str">
            <v>Pharma COCO Store (SP Fix Setup)</v>
          </cell>
        </row>
        <row r="1457">
          <cell r="A1457" t="str">
            <v>PHCOSD450</v>
          </cell>
          <cell r="B1457">
            <v>1456</v>
          </cell>
          <cell r="C1457" t="str">
            <v>BH-SM-SIT-3006</v>
          </cell>
          <cell r="D1457" t="str">
            <v>TZYZ</v>
          </cell>
          <cell r="E1457" t="str">
            <v>QDPZ</v>
          </cell>
          <cell r="F1457" t="str">
            <v>NETMBQDPZ00</v>
          </cell>
          <cell r="G1457" t="str">
            <v>D. Pharma Format</v>
          </cell>
          <cell r="H1457" t="str">
            <v>Pharma Format</v>
          </cell>
          <cell r="I1457" t="str">
            <v>Pharma COCO Store (SP Fix Setup)</v>
          </cell>
        </row>
        <row r="1458">
          <cell r="A1458" t="str">
            <v>PHSmarE450</v>
          </cell>
          <cell r="B1458">
            <v>1457</v>
          </cell>
          <cell r="C1458" t="str">
            <v>WB-SM-BUR-3003</v>
          </cell>
          <cell r="D1458" t="str">
            <v>TYJU</v>
          </cell>
          <cell r="E1458" t="str">
            <v>QBQC</v>
          </cell>
          <cell r="F1458" t="str">
            <v>NETMWQBQC00</v>
          </cell>
          <cell r="G1458" t="str">
            <v>D. Pharma Format</v>
          </cell>
          <cell r="H1458" t="str">
            <v>Pharma Format</v>
          </cell>
          <cell r="I1458" t="str">
            <v>Pharma COCO Store (SP Fix Setup)</v>
          </cell>
        </row>
        <row r="1459">
          <cell r="A1459" t="str">
            <v>PHCOSD455</v>
          </cell>
          <cell r="B1459">
            <v>1458</v>
          </cell>
          <cell r="C1459" t="str">
            <v>WB-SM-ANA-3000</v>
          </cell>
          <cell r="D1459" t="str">
            <v>TYTI</v>
          </cell>
          <cell r="E1459" t="str">
            <v>QB1M</v>
          </cell>
          <cell r="F1459" t="str">
            <v>NETMWQB1M00</v>
          </cell>
          <cell r="G1459" t="str">
            <v>D. Pharma Format</v>
          </cell>
          <cell r="H1459" t="str">
            <v>Pharma Format</v>
          </cell>
          <cell r="I1459" t="str">
            <v>Pharma COCO Store (SP Fix Setup)</v>
          </cell>
        </row>
        <row r="1460">
          <cell r="A1460" t="str">
            <v>PHCOBK456</v>
          </cell>
          <cell r="B1460">
            <v>1459</v>
          </cell>
          <cell r="C1460" t="str">
            <v>MH-SM-LAT-3001</v>
          </cell>
          <cell r="D1460" t="str">
            <v>TZ5I</v>
          </cell>
          <cell r="E1460" t="str">
            <v>QEHH</v>
          </cell>
          <cell r="F1460" t="str">
            <v>NETMMQEHH00</v>
          </cell>
          <cell r="G1460" t="str">
            <v>D. Pharma Format</v>
          </cell>
          <cell r="H1460" t="str">
            <v>Pharma Format</v>
          </cell>
          <cell r="I1460" t="str">
            <v>Pharma COCO Store (SP Fix Setup)</v>
          </cell>
        </row>
        <row r="1461">
          <cell r="A1461" t="str">
            <v>PHSmarS456</v>
          </cell>
          <cell r="B1461">
            <v>1460</v>
          </cell>
          <cell r="C1461" t="str">
            <v>TN-SM-KLI-3000</v>
          </cell>
          <cell r="D1461" t="str">
            <v>TYZK</v>
          </cell>
          <cell r="E1461" t="str">
            <v>QB7M</v>
          </cell>
          <cell r="F1461" t="str">
            <v>NETMTQB7M00</v>
          </cell>
          <cell r="G1461" t="str">
            <v>D. Pharma Format</v>
          </cell>
          <cell r="H1461" t="str">
            <v>Pharma Format</v>
          </cell>
          <cell r="I1461" t="str">
            <v>Pharma COCO Store (SP Fix Setup)</v>
          </cell>
        </row>
        <row r="1462">
          <cell r="A1462" t="str">
            <v>PHCOAS459</v>
          </cell>
          <cell r="B1462">
            <v>1461</v>
          </cell>
          <cell r="C1462" t="str">
            <v>TN-SM-DAI-3000</v>
          </cell>
          <cell r="D1462" t="str">
            <v>U25X</v>
          </cell>
          <cell r="E1462" t="str">
            <v>QC9I</v>
          </cell>
          <cell r="F1462" t="str">
            <v>NETMTQC9I00</v>
          </cell>
          <cell r="G1462" t="str">
            <v>D. Pharma Format</v>
          </cell>
          <cell r="H1462" t="str">
            <v>Pharma Format</v>
          </cell>
          <cell r="I1462" t="str">
            <v>Pharma COCO Store (SP Fix Setup)</v>
          </cell>
        </row>
        <row r="1463">
          <cell r="A1463" t="str">
            <v>PHCOSD460</v>
          </cell>
          <cell r="B1463">
            <v>1462</v>
          </cell>
          <cell r="C1463" t="str">
            <v>WB-SM-KDI-3002</v>
          </cell>
          <cell r="D1463" t="str">
            <v>TYJR</v>
          </cell>
          <cell r="E1463" t="str">
            <v>QBPZ</v>
          </cell>
          <cell r="F1463" t="str">
            <v>NETMWQBPZ00</v>
          </cell>
          <cell r="G1463" t="str">
            <v>D. Pharma Format</v>
          </cell>
          <cell r="H1463" t="str">
            <v>Pharma Format</v>
          </cell>
          <cell r="I1463" t="str">
            <v>Pharma COCO Store (SP Fix Setup)</v>
          </cell>
        </row>
        <row r="1464">
          <cell r="A1464" t="str">
            <v>PHSmarE460</v>
          </cell>
          <cell r="B1464">
            <v>1463</v>
          </cell>
          <cell r="C1464" t="str">
            <v>WB-SM-BBS-3000</v>
          </cell>
          <cell r="D1464" t="str">
            <v>TAJQ</v>
          </cell>
          <cell r="E1464" t="str">
            <v>QFYT</v>
          </cell>
          <cell r="F1464" t="str">
            <v>NETMWQFYT00</v>
          </cell>
          <cell r="G1464" t="str">
            <v>D. Pharma Format</v>
          </cell>
          <cell r="H1464" t="str">
            <v>Pharma Format</v>
          </cell>
          <cell r="I1464" t="str">
            <v>Pharma COCO Store (SP Fix Setup)</v>
          </cell>
        </row>
        <row r="1465">
          <cell r="A1465" t="str">
            <v>PHSmarE461</v>
          </cell>
          <cell r="B1465">
            <v>1464</v>
          </cell>
          <cell r="C1465" t="str">
            <v>TG-SM-HRR-3000</v>
          </cell>
          <cell r="D1465" t="str">
            <v>TYT1</v>
          </cell>
          <cell r="E1465" t="str">
            <v>Q3M3</v>
          </cell>
          <cell r="F1465" t="str">
            <v>NETMNQ3M300</v>
          </cell>
          <cell r="G1465" t="str">
            <v>D. Pharma Format</v>
          </cell>
          <cell r="H1465" t="str">
            <v>Pharma Format</v>
          </cell>
          <cell r="I1465" t="str">
            <v>Pharma COCO Store (SP Fix Setup)</v>
          </cell>
        </row>
        <row r="1466">
          <cell r="A1466" t="str">
            <v>PHSmarW462</v>
          </cell>
          <cell r="B1466">
            <v>1465</v>
          </cell>
          <cell r="C1466" t="str">
            <v>MH-SM-SHI-3000</v>
          </cell>
          <cell r="D1466" t="str">
            <v>TAOO</v>
          </cell>
          <cell r="E1466" t="str">
            <v>QF4R</v>
          </cell>
          <cell r="F1466" t="str">
            <v>NETMMQF4R00</v>
          </cell>
          <cell r="G1466" t="str">
            <v>D. Pharma Format</v>
          </cell>
          <cell r="H1466" t="str">
            <v>Pharma Format</v>
          </cell>
          <cell r="I1466" t="str">
            <v>Pharma COCO Store (SP Fix Setup)</v>
          </cell>
        </row>
        <row r="1467">
          <cell r="A1467" t="str">
            <v>PHSmarE464</v>
          </cell>
          <cell r="B1467">
            <v>1466</v>
          </cell>
          <cell r="C1467" t="str">
            <v>NE-SM-AGT-3006</v>
          </cell>
          <cell r="D1467" t="str">
            <v>TYLJ</v>
          </cell>
          <cell r="E1467" t="str">
            <v>QBRU</v>
          </cell>
          <cell r="F1467" t="str">
            <v>NETM4QBRU00</v>
          </cell>
          <cell r="G1467" t="str">
            <v>D. Pharma Format</v>
          </cell>
          <cell r="H1467" t="str">
            <v>Pharma Format</v>
          </cell>
          <cell r="I1467" t="str">
            <v>Pharma COCO Store (SP Fix Setup)</v>
          </cell>
        </row>
        <row r="1468">
          <cell r="A1468" t="str">
            <v>PHCORT466</v>
          </cell>
          <cell r="B1468">
            <v>1467</v>
          </cell>
          <cell r="C1468" t="str">
            <v>HR-SM-HIS-3001</v>
          </cell>
          <cell r="D1468" t="str">
            <v>TZYI</v>
          </cell>
          <cell r="E1468" t="str">
            <v>QDPI</v>
          </cell>
          <cell r="F1468" t="str">
            <v>NETMHQDPI00</v>
          </cell>
          <cell r="G1468" t="str">
            <v>D. Pharma Format</v>
          </cell>
          <cell r="H1468" t="str">
            <v>Pharma Format</v>
          </cell>
          <cell r="I1468" t="str">
            <v>Pharma COCO Store (SP Fix Setup)</v>
          </cell>
        </row>
        <row r="1469">
          <cell r="A1469" t="str">
            <v>PHCOBK467</v>
          </cell>
          <cell r="B1469">
            <v>1468</v>
          </cell>
          <cell r="C1469" t="str">
            <v>MH-SM-NAS-3015</v>
          </cell>
          <cell r="D1469" t="str">
            <v>U3DD</v>
          </cell>
          <cell r="E1469" t="str">
            <v>QD1I</v>
          </cell>
          <cell r="F1469" t="str">
            <v>NETMMQD1I00</v>
          </cell>
          <cell r="G1469" t="str">
            <v>D. Pharma Format</v>
          </cell>
          <cell r="H1469" t="str">
            <v>Pharma Format</v>
          </cell>
          <cell r="I1469" t="str">
            <v>Pharma COCO Store (SP Fix Setup)</v>
          </cell>
        </row>
        <row r="1470">
          <cell r="A1470" t="str">
            <v>PHCOSD469</v>
          </cell>
          <cell r="B1470">
            <v>1469</v>
          </cell>
          <cell r="C1470" t="str">
            <v>WB-SM-GUW-3015</v>
          </cell>
          <cell r="D1470" t="str">
            <v>TYGS</v>
          </cell>
          <cell r="E1470" t="str">
            <v>QEMR</v>
          </cell>
          <cell r="F1470" t="str">
            <v>NETMFQEMR00</v>
          </cell>
          <cell r="G1470" t="str">
            <v>D. Pharma Format</v>
          </cell>
          <cell r="H1470" t="str">
            <v>Pharma Format</v>
          </cell>
          <cell r="I1470" t="str">
            <v>Pharma COCO Store (SP Fix Setup)</v>
          </cell>
        </row>
        <row r="1471">
          <cell r="A1471" t="str">
            <v>PHCOBK471</v>
          </cell>
          <cell r="B1471">
            <v>1470</v>
          </cell>
          <cell r="C1471" t="str">
            <v>MH-SM-NAS-3016</v>
          </cell>
          <cell r="D1471" t="str">
            <v>TYDQ</v>
          </cell>
          <cell r="E1471" t="str">
            <v>QBIR</v>
          </cell>
          <cell r="F1471" t="str">
            <v>NETMMQBIR00</v>
          </cell>
          <cell r="G1471" t="str">
            <v>D. Pharma Format</v>
          </cell>
          <cell r="H1471" t="str">
            <v>Pharma Format</v>
          </cell>
          <cell r="I1471" t="str">
            <v>Pharma COCO Store (SP Fix Setup)</v>
          </cell>
        </row>
        <row r="1472">
          <cell r="A1472" t="str">
            <v>PHSmarS472</v>
          </cell>
          <cell r="B1472">
            <v>1471</v>
          </cell>
          <cell r="C1472" t="str">
            <v>AP-SM-KOU-3000</v>
          </cell>
          <cell r="D1472" t="str">
            <v>TYE4</v>
          </cell>
          <cell r="E1472" t="str">
            <v>QBJE</v>
          </cell>
          <cell r="F1472" t="str">
            <v>NETMAQBJE00</v>
          </cell>
          <cell r="G1472" t="str">
            <v>D. Pharma Format</v>
          </cell>
          <cell r="H1472" t="str">
            <v>Pharma Format</v>
          </cell>
          <cell r="I1472" t="str">
            <v>Pharma COCO Store (SP Fix Setup)</v>
          </cell>
        </row>
        <row r="1473">
          <cell r="A1473" t="str">
            <v>PHCORT473</v>
          </cell>
          <cell r="B1473">
            <v>1472</v>
          </cell>
          <cell r="C1473" t="str">
            <v>UP-SM-LKH-3003</v>
          </cell>
          <cell r="D1473" t="str">
            <v>TZ5A</v>
          </cell>
          <cell r="E1473" t="str">
            <v>QEGZ</v>
          </cell>
          <cell r="F1473" t="str">
            <v>NETMUQEGZ00</v>
          </cell>
          <cell r="G1473" t="str">
            <v>D. Pharma Format</v>
          </cell>
          <cell r="H1473" t="str">
            <v>Pharma Format</v>
          </cell>
          <cell r="I1473" t="str">
            <v>Pharma COCO Store (SP Fix Setup)</v>
          </cell>
        </row>
        <row r="1474">
          <cell r="A1474" t="str">
            <v>PHSmarS473</v>
          </cell>
          <cell r="B1474">
            <v>1473</v>
          </cell>
          <cell r="C1474" t="str">
            <v>AP-SM-NAR-3000</v>
          </cell>
          <cell r="D1474" t="str">
            <v>TAS1</v>
          </cell>
          <cell r="E1474" t="str">
            <v>QGQW</v>
          </cell>
          <cell r="F1474" t="str">
            <v>NETMAQGQW00</v>
          </cell>
          <cell r="G1474" t="str">
            <v>D. Pharma Format</v>
          </cell>
          <cell r="H1474" t="str">
            <v>Pharma Format</v>
          </cell>
          <cell r="I1474" t="str">
            <v>Pharma COCO Store (SP Fix Setup)</v>
          </cell>
        </row>
        <row r="1475">
          <cell r="A1475" t="str">
            <v>PHCOSD474</v>
          </cell>
          <cell r="B1475">
            <v>1474</v>
          </cell>
          <cell r="C1475" t="str">
            <v>WB-SM-SON-3000</v>
          </cell>
          <cell r="D1475" t="str">
            <v>TZP9</v>
          </cell>
          <cell r="E1475" t="str">
            <v>QD1G</v>
          </cell>
          <cell r="F1475" t="str">
            <v>NETMFQD1G00</v>
          </cell>
          <cell r="G1475" t="str">
            <v>D. Pharma Format</v>
          </cell>
          <cell r="H1475" t="str">
            <v>Pharma Format</v>
          </cell>
          <cell r="I1475" t="str">
            <v>Pharma COCO Store (SP Fix Setup)</v>
          </cell>
        </row>
        <row r="1476">
          <cell r="A1476" t="str">
            <v>PHSmarS474</v>
          </cell>
          <cell r="B1476">
            <v>1475</v>
          </cell>
          <cell r="C1476" t="str">
            <v>KE-SM-PAT-3004</v>
          </cell>
          <cell r="D1476" t="str">
            <v>TX2S</v>
          </cell>
          <cell r="E1476" t="str">
            <v>Q9X6</v>
          </cell>
          <cell r="F1476" t="str">
            <v>NETMVQ9X600</v>
          </cell>
          <cell r="G1476" t="str">
            <v>D. Pharma Format</v>
          </cell>
          <cell r="H1476" t="str">
            <v>Pharma Format</v>
          </cell>
          <cell r="I1476" t="str">
            <v>Pharma COCO Store (SP Fix Setup)</v>
          </cell>
        </row>
        <row r="1477">
          <cell r="A1477" t="str">
            <v>PHCOKC475</v>
          </cell>
          <cell r="B1477">
            <v>1476</v>
          </cell>
          <cell r="C1477" t="str">
            <v>RJ-SM-BLT-3001</v>
          </cell>
          <cell r="D1477" t="str">
            <v>TYU5</v>
          </cell>
          <cell r="E1477" t="str">
            <v>QCCP</v>
          </cell>
          <cell r="F1477" t="str">
            <v>NETMRQCCP00</v>
          </cell>
          <cell r="G1477" t="str">
            <v>D. Pharma Format</v>
          </cell>
          <cell r="H1477" t="str">
            <v>Pharma Format</v>
          </cell>
          <cell r="I1477" t="str">
            <v>Pharma COCO Store (SP Fix Setup)</v>
          </cell>
        </row>
        <row r="1478">
          <cell r="A1478" t="str">
            <v>PHCOSD477</v>
          </cell>
          <cell r="B1478">
            <v>1477</v>
          </cell>
          <cell r="C1478" t="str">
            <v>WB-SM-LKA-3000</v>
          </cell>
          <cell r="D1478" t="str">
            <v>TYE6</v>
          </cell>
          <cell r="E1478" t="str">
            <v>QBJG</v>
          </cell>
          <cell r="F1478" t="str">
            <v>NETMFQBJG00</v>
          </cell>
          <cell r="G1478" t="str">
            <v>D. Pharma Format</v>
          </cell>
          <cell r="H1478" t="str">
            <v>Pharma Format</v>
          </cell>
          <cell r="I1478" t="str">
            <v>Pharma COCO Store (SP Fix Setup)</v>
          </cell>
        </row>
        <row r="1479">
          <cell r="A1479" t="str">
            <v>PHCOSD479</v>
          </cell>
          <cell r="B1479">
            <v>1478</v>
          </cell>
          <cell r="C1479" t="str">
            <v>AP-SM-BEL-3000</v>
          </cell>
          <cell r="D1479" t="str">
            <v>TYMQ</v>
          </cell>
          <cell r="E1479" t="str">
            <v>QBTB</v>
          </cell>
          <cell r="F1479" t="str">
            <v>NETMNQBTB00</v>
          </cell>
          <cell r="G1479" t="str">
            <v>D. Pharma Format</v>
          </cell>
          <cell r="H1479" t="str">
            <v>Pharma Format</v>
          </cell>
          <cell r="I1479" t="str">
            <v>Pharma COCO Store (SP Fix Setup)</v>
          </cell>
        </row>
        <row r="1480">
          <cell r="A1480" t="str">
            <v>PHCOKC480</v>
          </cell>
          <cell r="B1480">
            <v>1479</v>
          </cell>
          <cell r="C1480" t="str">
            <v>RJ-SM-BUD-3001</v>
          </cell>
          <cell r="D1480" t="str">
            <v>TAQ5</v>
          </cell>
          <cell r="E1480" t="str">
            <v>QGQJ</v>
          </cell>
          <cell r="F1480" t="str">
            <v>NETMRQGQJ00</v>
          </cell>
          <cell r="G1480" t="str">
            <v>D. Pharma Format</v>
          </cell>
          <cell r="H1480" t="str">
            <v>Pharma Format</v>
          </cell>
          <cell r="I1480" t="str">
            <v>Pharma COCO Store (SP Fix Setup)</v>
          </cell>
        </row>
        <row r="1481">
          <cell r="A1481" t="str">
            <v>PHCORT483</v>
          </cell>
          <cell r="B1481">
            <v>1480</v>
          </cell>
          <cell r="C1481" t="str">
            <v>RJ-SM-NHA-3000</v>
          </cell>
          <cell r="D1481" t="str">
            <v>U2OV</v>
          </cell>
          <cell r="E1481" t="str">
            <v>QBPA</v>
          </cell>
          <cell r="F1481" t="str">
            <v>NETMRQBPA00</v>
          </cell>
          <cell r="G1481" t="str">
            <v>D. Pharma Format</v>
          </cell>
          <cell r="H1481" t="str">
            <v>Pharma Format</v>
          </cell>
          <cell r="I1481" t="str">
            <v>Pharma COCO Store (SP Fix Setup)</v>
          </cell>
        </row>
        <row r="1482">
          <cell r="A1482" t="str">
            <v>PHSmarS483</v>
          </cell>
          <cell r="B1482">
            <v>1481</v>
          </cell>
          <cell r="C1482" t="str">
            <v>TN-SM-TKK-3000</v>
          </cell>
          <cell r="D1482" t="str">
            <v>TAWW</v>
          </cell>
          <cell r="E1482" t="str">
            <v>QGFN</v>
          </cell>
          <cell r="F1482" t="str">
            <v>NETMTQGFN00</v>
          </cell>
          <cell r="G1482" t="str">
            <v>D. Pharma Format</v>
          </cell>
          <cell r="H1482" t="str">
            <v>Pharma Format</v>
          </cell>
          <cell r="I1482" t="str">
            <v>Pharma COCO Store (SP Fix Setup)</v>
          </cell>
        </row>
        <row r="1483">
          <cell r="A1483" t="str">
            <v>PHCOSD486</v>
          </cell>
          <cell r="B1483">
            <v>1482</v>
          </cell>
          <cell r="C1483" t="str">
            <v>WB-SM-GOG-3000</v>
          </cell>
          <cell r="D1483" t="str">
            <v>TYVI</v>
          </cell>
          <cell r="E1483" t="str">
            <v>QB3M</v>
          </cell>
          <cell r="F1483" t="str">
            <v>NETMFQB3M00</v>
          </cell>
          <cell r="G1483" t="str">
            <v>D. Pharma Format</v>
          </cell>
          <cell r="H1483" t="str">
            <v>Pharma Format</v>
          </cell>
          <cell r="I1483" t="str">
            <v>Pharma COCO Store (SP Fix Setup)</v>
          </cell>
        </row>
        <row r="1484">
          <cell r="A1484" t="str">
            <v>PHCOSD487</v>
          </cell>
          <cell r="B1484">
            <v>1483</v>
          </cell>
          <cell r="C1484" t="str">
            <v>WB-SM-NAW-3001</v>
          </cell>
          <cell r="D1484" t="str">
            <v>TAXI</v>
          </cell>
          <cell r="E1484" t="str">
            <v>QGFZ</v>
          </cell>
          <cell r="F1484" t="str">
            <v>NETMWQGFZ00</v>
          </cell>
          <cell r="G1484" t="str">
            <v>D. Pharma Format</v>
          </cell>
          <cell r="H1484" t="str">
            <v>Pharma Format</v>
          </cell>
          <cell r="I1484" t="str">
            <v>Pharma COCO Store (SP Fix Setup)</v>
          </cell>
        </row>
        <row r="1485">
          <cell r="A1485" t="str">
            <v>PHSmarE487</v>
          </cell>
          <cell r="B1485">
            <v>1484</v>
          </cell>
          <cell r="C1485" t="str">
            <v>WB-SM-MEK-3000</v>
          </cell>
          <cell r="D1485" t="str">
            <v>TYNH</v>
          </cell>
          <cell r="E1485" t="str">
            <v>QBTR</v>
          </cell>
          <cell r="F1485" t="str">
            <v>NETMWQBTR00</v>
          </cell>
          <cell r="G1485" t="str">
            <v>D. Pharma Format</v>
          </cell>
          <cell r="H1485" t="str">
            <v>Pharma Format</v>
          </cell>
          <cell r="I1485" t="str">
            <v>Pharma COCO Store (SP Fix Setup)</v>
          </cell>
        </row>
        <row r="1486">
          <cell r="A1486" t="str">
            <v>PHCOBK488</v>
          </cell>
          <cell r="B1486">
            <v>1485</v>
          </cell>
          <cell r="C1486" t="str">
            <v>MH-SM-BDN-3000</v>
          </cell>
          <cell r="D1486" t="str">
            <v>TYLL</v>
          </cell>
          <cell r="E1486" t="str">
            <v>QBRW</v>
          </cell>
          <cell r="F1486" t="str">
            <v>NETMMQBRW00</v>
          </cell>
          <cell r="G1486" t="str">
            <v>D. Pharma Format</v>
          </cell>
          <cell r="H1486" t="str">
            <v>Pharma Format</v>
          </cell>
          <cell r="I1486" t="str">
            <v>Pharma COCO Store (SP Fix Setup)</v>
          </cell>
        </row>
        <row r="1487">
          <cell r="A1487" t="str">
            <v>PHSmarS489</v>
          </cell>
          <cell r="B1487">
            <v>1486</v>
          </cell>
          <cell r="C1487" t="str">
            <v>TN-SM-VAR-3000</v>
          </cell>
          <cell r="D1487" t="str">
            <v>TYLC</v>
          </cell>
          <cell r="E1487" t="str">
            <v>QBRN</v>
          </cell>
          <cell r="F1487" t="str">
            <v>NETMTQBRN00</v>
          </cell>
          <cell r="G1487" t="str">
            <v>D. Pharma Format</v>
          </cell>
          <cell r="H1487" t="str">
            <v>Pharma Format</v>
          </cell>
          <cell r="I1487" t="str">
            <v>Pharma COCO Store (SP Fix Setup)</v>
          </cell>
        </row>
        <row r="1488">
          <cell r="A1488" t="str">
            <v>PHCOSD491</v>
          </cell>
          <cell r="B1488">
            <v>1487</v>
          </cell>
          <cell r="C1488" t="str">
            <v>WB-SM-MAD-3000</v>
          </cell>
          <cell r="D1488" t="str">
            <v>TAWY</v>
          </cell>
          <cell r="E1488" t="str">
            <v>QGFP</v>
          </cell>
          <cell r="F1488" t="str">
            <v>NETMWQGFP00</v>
          </cell>
          <cell r="G1488" t="str">
            <v>D. Pharma Format</v>
          </cell>
          <cell r="H1488" t="str">
            <v>Pharma Format</v>
          </cell>
          <cell r="I1488" t="str">
            <v>Pharma COCO Store (SP Fix Setup)</v>
          </cell>
        </row>
        <row r="1489">
          <cell r="A1489" t="str">
            <v>PHSmarS491</v>
          </cell>
          <cell r="B1489">
            <v>1488</v>
          </cell>
          <cell r="C1489" t="str">
            <v>TN-SM-RIM-3000</v>
          </cell>
          <cell r="D1489" t="str">
            <v>TYJC</v>
          </cell>
          <cell r="E1489" t="str">
            <v>QBPK</v>
          </cell>
          <cell r="F1489" t="str">
            <v>NETMTQBPK00</v>
          </cell>
          <cell r="G1489" t="str">
            <v>D. Pharma Format</v>
          </cell>
          <cell r="H1489" t="str">
            <v>Pharma Format</v>
          </cell>
          <cell r="I1489" t="str">
            <v>Pharma COCO Store (SP Fix Setup)</v>
          </cell>
        </row>
        <row r="1490">
          <cell r="A1490" t="str">
            <v>PHCORT493</v>
          </cell>
          <cell r="B1490">
            <v>1489</v>
          </cell>
          <cell r="C1490" t="str">
            <v>PB-SM-SFG-3001</v>
          </cell>
          <cell r="D1490" t="str">
            <v>TYZH</v>
          </cell>
          <cell r="E1490" t="str">
            <v>QB7J</v>
          </cell>
          <cell r="F1490" t="str">
            <v>NETM9QB7J00</v>
          </cell>
          <cell r="G1490" t="str">
            <v>D. Pharma Format</v>
          </cell>
          <cell r="H1490" t="str">
            <v>Pharma Format</v>
          </cell>
          <cell r="I1490" t="str">
            <v>Pharma COCO Store (SP Fix Setup)</v>
          </cell>
        </row>
        <row r="1491">
          <cell r="A1491" t="str">
            <v>PHCORT495</v>
          </cell>
          <cell r="B1491">
            <v>1490</v>
          </cell>
          <cell r="C1491" t="str">
            <v>RJ-SM-PRL-3000</v>
          </cell>
          <cell r="D1491" t="str">
            <v>TABP</v>
          </cell>
          <cell r="E1491" t="str">
            <v>QEZO</v>
          </cell>
          <cell r="F1491" t="str">
            <v>NETMRQEZO00</v>
          </cell>
          <cell r="G1491" t="str">
            <v>D. Pharma Format</v>
          </cell>
          <cell r="H1491" t="str">
            <v>Pharma Format</v>
          </cell>
          <cell r="I1491" t="str">
            <v>Pharma COCO Store (SP Fix Setup)</v>
          </cell>
        </row>
        <row r="1492">
          <cell r="A1492" t="str">
            <v>PHCOAS496</v>
          </cell>
          <cell r="B1492">
            <v>1491</v>
          </cell>
          <cell r="C1492" t="str">
            <v>OR-SM-JEY-3000</v>
          </cell>
          <cell r="D1492" t="str">
            <v>TYPW</v>
          </cell>
          <cell r="E1492" t="str">
            <v>QBWY</v>
          </cell>
          <cell r="F1492" t="str">
            <v>NETMOQBWY00</v>
          </cell>
          <cell r="G1492" t="str">
            <v>D. Pharma Format</v>
          </cell>
          <cell r="H1492" t="str">
            <v>Pharma Format</v>
          </cell>
          <cell r="I1492" t="str">
            <v>Pharma COCO Store (SP Fix Setup)</v>
          </cell>
        </row>
        <row r="1493">
          <cell r="A1493" t="str">
            <v>PHCORT498</v>
          </cell>
          <cell r="B1493">
            <v>1492</v>
          </cell>
          <cell r="C1493" t="str">
            <v>PB-SM-LGL-3000</v>
          </cell>
          <cell r="D1493" t="str">
            <v>U2J6</v>
          </cell>
          <cell r="E1493" t="str">
            <v>QGIE</v>
          </cell>
          <cell r="F1493" t="str">
            <v>NETM9QGIE00</v>
          </cell>
          <cell r="G1493" t="str">
            <v>D. Pharma Format</v>
          </cell>
          <cell r="H1493" t="str">
            <v>Pharma Format</v>
          </cell>
          <cell r="I1493" t="str">
            <v>Pharma COCO Store (SP Fix Setup)</v>
          </cell>
        </row>
        <row r="1494">
          <cell r="A1494" t="str">
            <v>PHCORT499</v>
          </cell>
          <cell r="B1494">
            <v>1493</v>
          </cell>
          <cell r="C1494" t="str">
            <v>GJ-SM-JDN-3000</v>
          </cell>
          <cell r="D1494" t="str">
            <v>T0Q1</v>
          </cell>
          <cell r="E1494" t="str">
            <v>Q4GL</v>
          </cell>
          <cell r="F1494" t="str">
            <v>NETMGQ4GL00</v>
          </cell>
          <cell r="G1494" t="str">
            <v>D. Pharma Format</v>
          </cell>
          <cell r="H1494" t="str">
            <v>Pharma Format</v>
          </cell>
          <cell r="I1494" t="str">
            <v>Pharma COCO Store (SP Fix Setup)</v>
          </cell>
        </row>
        <row r="1495">
          <cell r="A1495" t="str">
            <v>PHCOSD501</v>
          </cell>
          <cell r="B1495">
            <v>1494</v>
          </cell>
          <cell r="C1495" t="str">
            <v>WB-SM-NHY-3000</v>
          </cell>
          <cell r="D1495" t="str">
            <v>T1WQ</v>
          </cell>
          <cell r="E1495" t="str">
            <v>Q3I2</v>
          </cell>
          <cell r="F1495" t="str">
            <v>NETMFQ3I200</v>
          </cell>
          <cell r="G1495" t="str">
            <v>D. Pharma Format</v>
          </cell>
          <cell r="H1495" t="str">
            <v>Pharma Format</v>
          </cell>
          <cell r="I1495" t="str">
            <v>Pharma COCO Store (SP Fix Setup)</v>
          </cell>
        </row>
        <row r="1496">
          <cell r="A1496" t="str">
            <v>PHCOKC502</v>
          </cell>
          <cell r="B1496">
            <v>1495</v>
          </cell>
          <cell r="C1496" t="str">
            <v>PB-SM-CAI-3000</v>
          </cell>
          <cell r="D1496" t="str">
            <v>TYVP</v>
          </cell>
          <cell r="E1496" t="str">
            <v>QB3T</v>
          </cell>
          <cell r="F1496" t="str">
            <v>NETM9QB3T00</v>
          </cell>
          <cell r="G1496" t="str">
            <v>D. Pharma Format</v>
          </cell>
          <cell r="H1496" t="str">
            <v>Pharma Format</v>
          </cell>
          <cell r="I1496" t="str">
            <v>Pharma COCO Store (SP Fix Setup)</v>
          </cell>
        </row>
        <row r="1497">
          <cell r="A1497" t="str">
            <v>PHCORT503</v>
          </cell>
          <cell r="B1497">
            <v>1496</v>
          </cell>
          <cell r="C1497" t="str">
            <v>RJ-SM-SRG-3000</v>
          </cell>
          <cell r="D1497" t="str">
            <v>TYN9</v>
          </cell>
          <cell r="E1497" t="str">
            <v>QB9J</v>
          </cell>
          <cell r="F1497" t="str">
            <v>NETMRQB9J00</v>
          </cell>
          <cell r="G1497" t="str">
            <v>D. Pharma Format</v>
          </cell>
          <cell r="H1497" t="str">
            <v>Pharma Format</v>
          </cell>
          <cell r="I1497" t="str">
            <v>Pharma COCO Store (SP Fix Setup)</v>
          </cell>
        </row>
        <row r="1498">
          <cell r="A1498" t="str">
            <v>PHSmarS503</v>
          </cell>
          <cell r="B1498">
            <v>1497</v>
          </cell>
          <cell r="C1498" t="str">
            <v>AP-SM-TLL-3000</v>
          </cell>
          <cell r="D1498" t="str">
            <v>TWJ2</v>
          </cell>
          <cell r="E1498" t="str">
            <v>Q6KF</v>
          </cell>
          <cell r="F1498" t="str">
            <v>NETMAQ6KF00</v>
          </cell>
          <cell r="G1498" t="str">
            <v>D. Pharma Format</v>
          </cell>
          <cell r="H1498" t="str">
            <v>Pharma Format</v>
          </cell>
          <cell r="I1498" t="str">
            <v>Pharma COCO Store (SP Fix Setup)</v>
          </cell>
        </row>
        <row r="1499">
          <cell r="A1499" t="str">
            <v>PHCORT506</v>
          </cell>
          <cell r="B1499">
            <v>1498</v>
          </cell>
          <cell r="C1499" t="str">
            <v>PB-SM-RAJ-3001</v>
          </cell>
          <cell r="D1499" t="str">
            <v>U3TA</v>
          </cell>
          <cell r="E1499" t="str">
            <v>QB2F</v>
          </cell>
          <cell r="F1499" t="str">
            <v>NETM9QB2F00</v>
          </cell>
          <cell r="G1499" t="str">
            <v>D. Pharma Format</v>
          </cell>
          <cell r="H1499" t="str">
            <v>Pharma Format</v>
          </cell>
          <cell r="I1499" t="str">
            <v>Pharma COCO Store (SP Fix Setup)</v>
          </cell>
        </row>
        <row r="1500">
          <cell r="A1500" t="str">
            <v>PHSmarN506</v>
          </cell>
          <cell r="B1500">
            <v>1499</v>
          </cell>
          <cell r="C1500" t="str">
            <v>UP-SM-TLH-3001</v>
          </cell>
          <cell r="D1500" t="str">
            <v>TAJP</v>
          </cell>
          <cell r="E1500" t="str">
            <v>QFYS</v>
          </cell>
          <cell r="F1500" t="str">
            <v>NETMUQFYS00</v>
          </cell>
          <cell r="G1500" t="str">
            <v>D. Pharma Format</v>
          </cell>
          <cell r="H1500" t="str">
            <v>Pharma Format</v>
          </cell>
          <cell r="I1500" t="str">
            <v>Pharma COCO Store (SP Fix Setup)</v>
          </cell>
        </row>
        <row r="1501">
          <cell r="A1501" t="str">
            <v>PHCORT507</v>
          </cell>
          <cell r="B1501">
            <v>1500</v>
          </cell>
          <cell r="C1501" t="str">
            <v>RJ-SM-BYN-3000</v>
          </cell>
          <cell r="D1501" t="str">
            <v>TYYE</v>
          </cell>
          <cell r="E1501" t="str">
            <v>QB6I</v>
          </cell>
          <cell r="F1501" t="str">
            <v>NETMRQB6I00</v>
          </cell>
          <cell r="G1501" t="str">
            <v>D. Pharma Format</v>
          </cell>
          <cell r="H1501" t="str">
            <v>Pharma Format</v>
          </cell>
          <cell r="I1501" t="str">
            <v>Pharma COCO Store (SP Fix Setup)</v>
          </cell>
        </row>
        <row r="1502">
          <cell r="A1502" t="str">
            <v>PHSmarS507</v>
          </cell>
          <cell r="B1502">
            <v>1501</v>
          </cell>
          <cell r="C1502" t="str">
            <v>AP-SM-VND-3000</v>
          </cell>
          <cell r="D1502" t="str">
            <v>TYZN</v>
          </cell>
          <cell r="E1502" t="str">
            <v>QB7P</v>
          </cell>
          <cell r="F1502" t="str">
            <v>NETMAQB7P00</v>
          </cell>
          <cell r="G1502" t="str">
            <v>D. Pharma Format</v>
          </cell>
          <cell r="H1502" t="str">
            <v>Pharma Format</v>
          </cell>
          <cell r="I1502" t="str">
            <v>Pharma COCO Store (SP Fix Setup)</v>
          </cell>
        </row>
        <row r="1503">
          <cell r="A1503" t="str">
            <v>PHCOSD508</v>
          </cell>
          <cell r="B1503">
            <v>1502</v>
          </cell>
          <cell r="C1503" t="str">
            <v>WB-SM-BBI-3000</v>
          </cell>
          <cell r="D1503" t="str">
            <v>TYWY</v>
          </cell>
          <cell r="E1503" t="str">
            <v>QB5C</v>
          </cell>
          <cell r="F1503" t="str">
            <v>NETMWQB5C00</v>
          </cell>
          <cell r="G1503" t="str">
            <v>D. Pharma Format</v>
          </cell>
          <cell r="H1503" t="str">
            <v>Pharma Format</v>
          </cell>
          <cell r="I1503" t="str">
            <v>Pharma COCO Store (SP Fix Setup)</v>
          </cell>
        </row>
        <row r="1504">
          <cell r="A1504" t="str">
            <v>PHCOKC512</v>
          </cell>
          <cell r="B1504">
            <v>1503</v>
          </cell>
          <cell r="C1504" t="str">
            <v>GJ-SM-DHO-3000</v>
          </cell>
          <cell r="D1504" t="str">
            <v>U2QL</v>
          </cell>
          <cell r="E1504" t="str">
            <v>QBTC</v>
          </cell>
          <cell r="F1504" t="str">
            <v>NETMGQBTC00</v>
          </cell>
          <cell r="G1504" t="str">
            <v>D. Pharma Format</v>
          </cell>
          <cell r="H1504" t="str">
            <v>Pharma Format</v>
          </cell>
          <cell r="I1504" t="str">
            <v>Pharma COCO Store (SP Fix Setup)</v>
          </cell>
        </row>
        <row r="1505">
          <cell r="A1505" t="str">
            <v>PHSmarS512</v>
          </cell>
          <cell r="B1505">
            <v>1504</v>
          </cell>
          <cell r="C1505" t="str">
            <v>AP-SM-KHU-3000</v>
          </cell>
          <cell r="D1505" t="str">
            <v>TYLZ</v>
          </cell>
          <cell r="E1505" t="str">
            <v>QBSK</v>
          </cell>
          <cell r="F1505" t="str">
            <v>NETMAQBSK00</v>
          </cell>
          <cell r="G1505" t="str">
            <v>D. Pharma Format</v>
          </cell>
          <cell r="H1505" t="str">
            <v>Pharma Format</v>
          </cell>
          <cell r="I1505" t="str">
            <v>Pharma COCO Store (SP Fix Setup)</v>
          </cell>
        </row>
        <row r="1506">
          <cell r="A1506" t="str">
            <v>PHCOKC514</v>
          </cell>
          <cell r="B1506">
            <v>1505</v>
          </cell>
          <cell r="C1506" t="str">
            <v>GJ-SM-MOD-3000</v>
          </cell>
          <cell r="D1506" t="str">
            <v>U3WD</v>
          </cell>
          <cell r="E1506" t="str">
            <v>Q1U7</v>
          </cell>
          <cell r="F1506" t="str">
            <v>NETMGQ1U700</v>
          </cell>
          <cell r="G1506" t="str">
            <v>D. Pharma Format</v>
          </cell>
          <cell r="H1506" t="str">
            <v>Pharma Format</v>
          </cell>
          <cell r="I1506" t="str">
            <v>Pharma COCO Store (SP Fix Setup)</v>
          </cell>
        </row>
        <row r="1507">
          <cell r="A1507" t="str">
            <v>PHCORT515</v>
          </cell>
          <cell r="B1507">
            <v>1506</v>
          </cell>
          <cell r="C1507" t="str">
            <v>RJ-SM-LKR-3000</v>
          </cell>
          <cell r="D1507" t="str">
            <v>TAOV</v>
          </cell>
          <cell r="E1507" t="str">
            <v>QF4Y</v>
          </cell>
          <cell r="F1507" t="str">
            <v>NETMRQF4Y00</v>
          </cell>
          <cell r="G1507" t="str">
            <v>D. Pharma Format</v>
          </cell>
          <cell r="H1507" t="str">
            <v>Pharma Format</v>
          </cell>
          <cell r="I1507" t="str">
            <v>Pharma COCO Store (SP Fix Setup)</v>
          </cell>
        </row>
        <row r="1508">
          <cell r="A1508" t="str">
            <v>PHSmarE516</v>
          </cell>
          <cell r="B1508">
            <v>1507</v>
          </cell>
          <cell r="C1508" t="str">
            <v>WB-SM-HOA-3000</v>
          </cell>
          <cell r="D1508" t="str">
            <v>TZXU</v>
          </cell>
          <cell r="E1508" t="str">
            <v>QDOU</v>
          </cell>
          <cell r="F1508" t="str">
            <v>NETMWQDOU00</v>
          </cell>
          <cell r="G1508" t="str">
            <v>D. Pharma Format</v>
          </cell>
          <cell r="H1508" t="str">
            <v>Pharma Format</v>
          </cell>
          <cell r="I1508" t="str">
            <v>Pharma COCO Store (SP Fix Setup)</v>
          </cell>
        </row>
        <row r="1509">
          <cell r="A1509" t="str">
            <v>PHCOSD517</v>
          </cell>
          <cell r="B1509">
            <v>1508</v>
          </cell>
          <cell r="C1509" t="str">
            <v>WB-SM-DUR-3006</v>
          </cell>
          <cell r="D1509" t="str">
            <v>TAJS</v>
          </cell>
          <cell r="E1509" t="str">
            <v>QFYV</v>
          </cell>
          <cell r="F1509" t="str">
            <v>NETMWQFYV00</v>
          </cell>
          <cell r="G1509" t="str">
            <v>D. Pharma Format</v>
          </cell>
          <cell r="H1509" t="str">
            <v>Pharma Format</v>
          </cell>
          <cell r="I1509" t="str">
            <v>Pharma COCO Store (SP Fix Setup)</v>
          </cell>
        </row>
        <row r="1510">
          <cell r="A1510" t="str">
            <v>PHSmarS517</v>
          </cell>
          <cell r="B1510">
            <v>1509</v>
          </cell>
          <cell r="C1510" t="str">
            <v>KE-SM-PYD-3002</v>
          </cell>
          <cell r="D1510" t="str">
            <v>TZPH</v>
          </cell>
          <cell r="E1510" t="str">
            <v>QDCM</v>
          </cell>
          <cell r="F1510" t="str">
            <v>NETMVQDCM00</v>
          </cell>
          <cell r="G1510" t="str">
            <v>D. Pharma Format</v>
          </cell>
          <cell r="H1510" t="str">
            <v>Pharma Format</v>
          </cell>
          <cell r="I1510" t="str">
            <v>Pharma COCO Store (SP Fix Setup)</v>
          </cell>
        </row>
        <row r="1511">
          <cell r="A1511" t="str">
            <v>PHCORT518</v>
          </cell>
          <cell r="B1511">
            <v>1510</v>
          </cell>
          <cell r="C1511" t="str">
            <v>PB-SM-DNA-3000</v>
          </cell>
          <cell r="D1511" t="str">
            <v>TAC4</v>
          </cell>
          <cell r="E1511" t="str">
            <v>QGGS</v>
          </cell>
          <cell r="F1511" t="str">
            <v>NETM9QGGS00</v>
          </cell>
          <cell r="G1511" t="str">
            <v>D. Pharma Format</v>
          </cell>
          <cell r="H1511" t="str">
            <v>Pharma Format</v>
          </cell>
          <cell r="I1511" t="str">
            <v>Pharma COCO Store (SP Fix Setup)</v>
          </cell>
        </row>
        <row r="1512">
          <cell r="A1512" t="str">
            <v>PHCOAS519</v>
          </cell>
          <cell r="B1512">
            <v>1511</v>
          </cell>
          <cell r="C1512" t="str">
            <v>KR-SM-MAI-3000</v>
          </cell>
          <cell r="D1512" t="str">
            <v>TAOL</v>
          </cell>
          <cell r="E1512" t="str">
            <v>QF4O</v>
          </cell>
          <cell r="F1512" t="str">
            <v>NETMKQF4O00</v>
          </cell>
          <cell r="G1512" t="str">
            <v>D. Pharma Format</v>
          </cell>
          <cell r="H1512" t="str">
            <v>Pharma Format</v>
          </cell>
          <cell r="I1512" t="str">
            <v>Pharma COCO Store (SP Fix Setup)</v>
          </cell>
        </row>
        <row r="1513">
          <cell r="A1513" t="str">
            <v>PHCORT520</v>
          </cell>
          <cell r="B1513">
            <v>1512</v>
          </cell>
          <cell r="C1513" t="str">
            <v>PB-SM-RAJ-3002</v>
          </cell>
          <cell r="D1513" t="str">
            <v>U2V2</v>
          </cell>
          <cell r="E1513" t="str">
            <v>QFZJ</v>
          </cell>
          <cell r="F1513" t="str">
            <v>NETM9QFZJ00</v>
          </cell>
          <cell r="G1513" t="str">
            <v>D. Pharma Format</v>
          </cell>
          <cell r="H1513" t="str">
            <v>Pharma Format</v>
          </cell>
          <cell r="I1513" t="str">
            <v>Pharma COCO Store (SP Fix Setup)</v>
          </cell>
        </row>
        <row r="1514">
          <cell r="A1514" t="str">
            <v>PHCOSD521</v>
          </cell>
          <cell r="B1514">
            <v>1513</v>
          </cell>
          <cell r="C1514" t="str">
            <v>WB-SM-SIL-3011</v>
          </cell>
          <cell r="D1514" t="str">
            <v>TAZG</v>
          </cell>
          <cell r="E1514" t="str">
            <v>QGIK</v>
          </cell>
          <cell r="F1514" t="str">
            <v>NETMWQGIK00</v>
          </cell>
          <cell r="G1514" t="str">
            <v>D. Pharma Format</v>
          </cell>
          <cell r="H1514" t="str">
            <v>Pharma Format</v>
          </cell>
          <cell r="I1514" t="str">
            <v>Pharma COCO Store (SP Fix Setup)</v>
          </cell>
        </row>
        <row r="1515">
          <cell r="A1515" t="str">
            <v>PHCOAS524</v>
          </cell>
          <cell r="B1515">
            <v>1514</v>
          </cell>
          <cell r="C1515" t="str">
            <v>TN-SM-RAJ-3000</v>
          </cell>
          <cell r="D1515" t="str">
            <v>TYUQ</v>
          </cell>
          <cell r="E1515" t="str">
            <v>QB2U</v>
          </cell>
          <cell r="F1515" t="str">
            <v>NETMTQB2U00</v>
          </cell>
          <cell r="G1515" t="str">
            <v>D. Pharma Format</v>
          </cell>
          <cell r="H1515" t="str">
            <v>Pharma Format</v>
          </cell>
          <cell r="I1515" t="str">
            <v>Pharma COCO Store (SP Fix Setup)</v>
          </cell>
        </row>
        <row r="1516">
          <cell r="A1516" t="str">
            <v>PHCORT525</v>
          </cell>
          <cell r="B1516">
            <v>1515</v>
          </cell>
          <cell r="C1516" t="str">
            <v>PB-SM-PAH-3005</v>
          </cell>
          <cell r="D1516" t="str">
            <v>TYV2</v>
          </cell>
          <cell r="E1516" t="str">
            <v>QLAA</v>
          </cell>
          <cell r="F1516" t="str">
            <v>NETM9QLAA00</v>
          </cell>
          <cell r="G1516" t="str">
            <v>D. Pharma Format</v>
          </cell>
          <cell r="H1516" t="str">
            <v>Pharma Format</v>
          </cell>
          <cell r="I1516" t="str">
            <v>Pharma COCO Store (SP Fix Setup)</v>
          </cell>
        </row>
        <row r="1517">
          <cell r="A1517" t="str">
            <v>PHCORT527</v>
          </cell>
          <cell r="B1517">
            <v>1516</v>
          </cell>
          <cell r="C1517" t="str">
            <v>PB-SM-SDH-3000</v>
          </cell>
          <cell r="D1517" t="str">
            <v>TYT7</v>
          </cell>
          <cell r="E1517" t="str">
            <v>QI1Q</v>
          </cell>
          <cell r="F1517" t="str">
            <v>NETM9QI1Q00</v>
          </cell>
          <cell r="G1517" t="str">
            <v>D. Pharma Format</v>
          </cell>
          <cell r="H1517" t="str">
            <v>Pharma Format</v>
          </cell>
          <cell r="I1517" t="str">
            <v>Pharma COCO Store (SP Fix Setup)</v>
          </cell>
        </row>
        <row r="1518">
          <cell r="A1518" t="str">
            <v>PHSmarN527</v>
          </cell>
          <cell r="B1518">
            <v>1517</v>
          </cell>
          <cell r="C1518" t="str">
            <v>RJ-SM-BWI-3000</v>
          </cell>
          <cell r="D1518" t="str">
            <v>T55R</v>
          </cell>
          <cell r="E1518" t="str">
            <v>QRYY</v>
          </cell>
          <cell r="F1518" t="str">
            <v>NETMRQRYY00</v>
          </cell>
          <cell r="G1518" t="str">
            <v>D. Pharma Format</v>
          </cell>
          <cell r="H1518" t="str">
            <v>Pharma Format</v>
          </cell>
          <cell r="I1518" t="str">
            <v>Pharma COCO Store (SP Fix Setup)</v>
          </cell>
        </row>
        <row r="1519">
          <cell r="A1519" t="str">
            <v>PHCORT529</v>
          </cell>
          <cell r="B1519">
            <v>1518</v>
          </cell>
          <cell r="C1519" t="str">
            <v>UP-SM-KLN-3001</v>
          </cell>
          <cell r="D1519" t="str">
            <v>TYV3</v>
          </cell>
          <cell r="E1519" t="str">
            <v>QLBB</v>
          </cell>
          <cell r="F1519" t="str">
            <v>NETMUQLBB00</v>
          </cell>
          <cell r="G1519" t="str">
            <v>D. Pharma Format</v>
          </cell>
          <cell r="H1519" t="str">
            <v>Pharma Format</v>
          </cell>
          <cell r="I1519" t="str">
            <v>Pharma COCO Store (SP Fix Setup)</v>
          </cell>
        </row>
        <row r="1520">
          <cell r="A1520" t="str">
            <v>PHCORT530</v>
          </cell>
          <cell r="B1520">
            <v>1519</v>
          </cell>
          <cell r="C1520" t="str">
            <v>PB-SM-SNR-3002</v>
          </cell>
          <cell r="D1520" t="str">
            <v>TAQ3</v>
          </cell>
          <cell r="E1520" t="str">
            <v>QGQH</v>
          </cell>
          <cell r="F1520" t="str">
            <v>NETM9QGQH00</v>
          </cell>
          <cell r="G1520" t="str">
            <v>D. Pharma Format</v>
          </cell>
          <cell r="H1520" t="str">
            <v>Pharma Format</v>
          </cell>
          <cell r="I1520" t="str">
            <v>Pharma COCO Store (SP Fix Setup)</v>
          </cell>
        </row>
        <row r="1521">
          <cell r="A1521" t="str">
            <v>PHCOKC532</v>
          </cell>
          <cell r="B1521">
            <v>1520</v>
          </cell>
          <cell r="C1521" t="str">
            <v>GJ-SM-SNA-3000</v>
          </cell>
          <cell r="D1521" t="str">
            <v>TYR9</v>
          </cell>
          <cell r="E1521" t="str">
            <v>Q1U8</v>
          </cell>
          <cell r="F1521" t="str">
            <v>NETMGQ1U800</v>
          </cell>
          <cell r="G1521" t="str">
            <v>D. Pharma Format</v>
          </cell>
          <cell r="H1521" t="str">
            <v>Pharma Format</v>
          </cell>
          <cell r="I1521" t="str">
            <v>Pharma COCO Store (SP Fix Setup)</v>
          </cell>
        </row>
        <row r="1522">
          <cell r="A1522" t="str">
            <v>PHSmarE540</v>
          </cell>
          <cell r="B1522">
            <v>1521</v>
          </cell>
          <cell r="C1522" t="str">
            <v>WB-SM-BPR-3000</v>
          </cell>
          <cell r="D1522" t="str">
            <v>TYJ7</v>
          </cell>
          <cell r="E1522" t="str">
            <v>QBPF</v>
          </cell>
          <cell r="F1522" t="str">
            <v>NETMWQBPF00</v>
          </cell>
          <cell r="G1522" t="str">
            <v>D. Pharma Format</v>
          </cell>
          <cell r="H1522" t="str">
            <v>Pharma Format</v>
          </cell>
          <cell r="I1522" t="str">
            <v>Pharma COCO Store (SP Fix Setup)</v>
          </cell>
        </row>
        <row r="1523">
          <cell r="A1523" t="str">
            <v>PHCOSD1226</v>
          </cell>
          <cell r="B1523">
            <v>1522</v>
          </cell>
          <cell r="C1523"/>
          <cell r="D1523" t="str">
            <v>TAXD</v>
          </cell>
          <cell r="E1523" t="str">
            <v>QGFU</v>
          </cell>
          <cell r="F1523" t="str">
            <v>NETMWQGFU00</v>
          </cell>
          <cell r="G1523" t="str">
            <v>D. Pharma Format</v>
          </cell>
          <cell r="H1523" t="str">
            <v>Pharma Format</v>
          </cell>
          <cell r="I1523" t="str">
            <v>Pharma COCO Store (SP Fix Setup)</v>
          </cell>
        </row>
        <row r="1524">
          <cell r="A1524" t="str">
            <v>PHSSKC3372</v>
          </cell>
          <cell r="B1524">
            <v>1523</v>
          </cell>
          <cell r="C1524"/>
          <cell r="D1524" t="str">
            <v>FRZZ</v>
          </cell>
          <cell r="E1524" t="str">
            <v>QFKR</v>
          </cell>
          <cell r="F1524" t="str">
            <v>SMPTIQFKR00</v>
          </cell>
          <cell r="G1524" t="str">
            <v>D. Pharma Format</v>
          </cell>
          <cell r="H1524" t="str">
            <v>Pharma Format</v>
          </cell>
          <cell r="I1524" t="str">
            <v>Pharma COCO Store (SP Fix Setup)</v>
          </cell>
        </row>
        <row r="1525">
          <cell r="A1525" t="str">
            <v>PHSSKC3385</v>
          </cell>
          <cell r="B1525">
            <v>1524</v>
          </cell>
          <cell r="C1525"/>
          <cell r="D1525" t="str">
            <v>TY7I</v>
          </cell>
          <cell r="E1525" t="str">
            <v>QCOI</v>
          </cell>
          <cell r="F1525" t="str">
            <v>SMRTMQCOI00</v>
          </cell>
          <cell r="G1525" t="str">
            <v>D. Pharma Format</v>
          </cell>
          <cell r="H1525" t="str">
            <v>Pharma Format</v>
          </cell>
          <cell r="I1525" t="str">
            <v>Pharma COCO Store (SP Fix Setup)</v>
          </cell>
        </row>
        <row r="1526">
          <cell r="A1526" t="str">
            <v>PHCOAS10497</v>
          </cell>
          <cell r="B1526">
            <v>1525</v>
          </cell>
          <cell r="C1526"/>
          <cell r="D1526"/>
          <cell r="E1526"/>
          <cell r="F1526"/>
          <cell r="G1526" t="str">
            <v>D. Pharma Format</v>
          </cell>
          <cell r="H1526" t="str">
            <v>Pharma Format</v>
          </cell>
          <cell r="I1526" t="str">
            <v>Pharma COCO Store (SP Fix Setup)</v>
          </cell>
        </row>
        <row r="1527">
          <cell r="A1527" t="str">
            <v>PHCOSD10498</v>
          </cell>
          <cell r="B1527">
            <v>1526</v>
          </cell>
          <cell r="C1527"/>
          <cell r="D1527"/>
          <cell r="E1527"/>
          <cell r="F1527"/>
          <cell r="G1527" t="str">
            <v>D. Pharma Format</v>
          </cell>
          <cell r="H1527" t="str">
            <v>Pharma Format</v>
          </cell>
          <cell r="I1527" t="str">
            <v>Pharma COCO Store (SP Fix Setup)</v>
          </cell>
        </row>
        <row r="1528">
          <cell r="A1528" t="str">
            <v>PHCOAS10499</v>
          </cell>
          <cell r="B1528">
            <v>1527</v>
          </cell>
          <cell r="C1528"/>
          <cell r="D1528"/>
          <cell r="E1528"/>
          <cell r="F1528"/>
          <cell r="G1528" t="str">
            <v>D. Pharma Format</v>
          </cell>
          <cell r="H1528" t="str">
            <v>Pharma Format</v>
          </cell>
          <cell r="I1528" t="str">
            <v>Pharma COCO Store (SP Fix Setup)</v>
          </cell>
        </row>
        <row r="1529">
          <cell r="A1529" t="str">
            <v>PHCOSD10500</v>
          </cell>
          <cell r="B1529">
            <v>1528</v>
          </cell>
          <cell r="C1529"/>
          <cell r="D1529"/>
          <cell r="E1529"/>
          <cell r="F1529"/>
          <cell r="G1529" t="str">
            <v>D. Pharma Format</v>
          </cell>
          <cell r="H1529" t="str">
            <v>Pharma Format</v>
          </cell>
          <cell r="I1529" t="str">
            <v>Pharma COCO Store (SP Fix Setup)</v>
          </cell>
        </row>
        <row r="1530">
          <cell r="A1530" t="str">
            <v>PHCOSD10501</v>
          </cell>
          <cell r="B1530">
            <v>1529</v>
          </cell>
          <cell r="C1530"/>
          <cell r="D1530"/>
          <cell r="E1530"/>
          <cell r="F1530"/>
          <cell r="G1530" t="str">
            <v>D. Pharma Format</v>
          </cell>
          <cell r="H1530" t="str">
            <v>Pharma Format</v>
          </cell>
          <cell r="I1530" t="str">
            <v>Pharma COCO Store (SP Fix Setup)</v>
          </cell>
        </row>
        <row r="1531">
          <cell r="A1531" t="str">
            <v>PHCOAS10502</v>
          </cell>
          <cell r="B1531">
            <v>1530</v>
          </cell>
          <cell r="C1531"/>
          <cell r="D1531"/>
          <cell r="E1531"/>
          <cell r="F1531"/>
          <cell r="G1531" t="str">
            <v>D. Pharma Format</v>
          </cell>
          <cell r="H1531" t="str">
            <v>Pharma Format</v>
          </cell>
          <cell r="I1531" t="str">
            <v>Pharma COCO Store (SP Fix Setup)</v>
          </cell>
        </row>
        <row r="1532">
          <cell r="A1532" t="str">
            <v>PHCOSD10503</v>
          </cell>
          <cell r="B1532">
            <v>1531</v>
          </cell>
          <cell r="C1532"/>
          <cell r="D1532"/>
          <cell r="E1532"/>
          <cell r="F1532"/>
          <cell r="G1532" t="str">
            <v>D. Pharma Format</v>
          </cell>
          <cell r="H1532" t="str">
            <v>Pharma Format</v>
          </cell>
          <cell r="I1532" t="str">
            <v>Pharma COCO Store (SP Fix Setup)</v>
          </cell>
        </row>
        <row r="1533">
          <cell r="A1533" t="str">
            <v>PHCOSD10504</v>
          </cell>
          <cell r="B1533">
            <v>1532</v>
          </cell>
          <cell r="C1533"/>
          <cell r="D1533"/>
          <cell r="E1533"/>
          <cell r="F1533"/>
          <cell r="G1533" t="str">
            <v>D. Pharma Format</v>
          </cell>
          <cell r="H1533" t="str">
            <v>Pharma Format</v>
          </cell>
          <cell r="I1533" t="str">
            <v>Pharma COCO Store (SP Fix Setup)</v>
          </cell>
        </row>
        <row r="1534">
          <cell r="A1534" t="str">
            <v>PHCOSD10505</v>
          </cell>
          <cell r="B1534">
            <v>1533</v>
          </cell>
          <cell r="C1534"/>
          <cell r="D1534"/>
          <cell r="E1534"/>
          <cell r="F1534"/>
          <cell r="G1534" t="str">
            <v>D. Pharma Format</v>
          </cell>
          <cell r="H1534" t="str">
            <v>Pharma Format</v>
          </cell>
          <cell r="I1534" t="str">
            <v>Pharma COCO Store (SP Fix Setup)</v>
          </cell>
        </row>
        <row r="1535">
          <cell r="A1535" t="str">
            <v>PHCOSD10506</v>
          </cell>
          <cell r="B1535">
            <v>1534</v>
          </cell>
          <cell r="C1535"/>
          <cell r="D1535"/>
          <cell r="E1535"/>
          <cell r="F1535"/>
          <cell r="G1535" t="str">
            <v>D. Pharma Format</v>
          </cell>
          <cell r="H1535" t="str">
            <v>Pharma Format</v>
          </cell>
          <cell r="I1535" t="str">
            <v>Pharma COCO Store (SP Fix Setup)</v>
          </cell>
        </row>
        <row r="1536">
          <cell r="A1536" t="str">
            <v>PHCOAS10507</v>
          </cell>
          <cell r="B1536">
            <v>1535</v>
          </cell>
          <cell r="C1536"/>
          <cell r="D1536"/>
          <cell r="E1536"/>
          <cell r="F1536"/>
          <cell r="G1536" t="str">
            <v>D. Pharma Format</v>
          </cell>
          <cell r="H1536" t="str">
            <v>Pharma Format</v>
          </cell>
          <cell r="I1536" t="str">
            <v>Pharma COCO Store (SP Fix Setup)</v>
          </cell>
        </row>
        <row r="1537">
          <cell r="A1537" t="str">
            <v>PHCOAS10508</v>
          </cell>
          <cell r="B1537">
            <v>1536</v>
          </cell>
          <cell r="C1537"/>
          <cell r="D1537"/>
          <cell r="E1537"/>
          <cell r="F1537"/>
          <cell r="G1537" t="str">
            <v>D. Pharma Format</v>
          </cell>
          <cell r="H1537" t="str">
            <v>Pharma Format</v>
          </cell>
          <cell r="I1537" t="str">
            <v>Pharma COCO Store (SP Fix Setup)</v>
          </cell>
        </row>
        <row r="1538">
          <cell r="A1538" t="str">
            <v>PHCOBK10509</v>
          </cell>
          <cell r="B1538">
            <v>1537</v>
          </cell>
          <cell r="C1538"/>
          <cell r="D1538"/>
          <cell r="E1538"/>
          <cell r="F1538"/>
          <cell r="G1538" t="str">
            <v>D. Pharma Format</v>
          </cell>
          <cell r="H1538" t="str">
            <v>Pharma Format</v>
          </cell>
          <cell r="I1538" t="str">
            <v>Pharma COCO Store (SP Fix Setup)</v>
          </cell>
        </row>
        <row r="1539">
          <cell r="A1539" t="str">
            <v>PHCOAS10510</v>
          </cell>
          <cell r="B1539">
            <v>1538</v>
          </cell>
          <cell r="C1539"/>
          <cell r="D1539"/>
          <cell r="E1539"/>
          <cell r="F1539"/>
          <cell r="G1539" t="str">
            <v>D. Pharma Format</v>
          </cell>
          <cell r="H1539" t="str">
            <v>Pharma Format</v>
          </cell>
          <cell r="I1539" t="str">
            <v>Pharma COCO Store (SP Fix Setup)</v>
          </cell>
        </row>
        <row r="1540">
          <cell r="A1540" t="str">
            <v>PHCOAS10511</v>
          </cell>
          <cell r="B1540">
            <v>1539</v>
          </cell>
          <cell r="C1540"/>
          <cell r="D1540"/>
          <cell r="E1540"/>
          <cell r="F1540"/>
          <cell r="G1540" t="str">
            <v>D. Pharma Format</v>
          </cell>
          <cell r="H1540" t="str">
            <v>Pharma Format</v>
          </cell>
          <cell r="I1540" t="str">
            <v>Pharma COCO Store (SP Fix Setup)</v>
          </cell>
        </row>
        <row r="1541">
          <cell r="A1541" t="str">
            <v>PHCOAS10512</v>
          </cell>
          <cell r="B1541">
            <v>1540</v>
          </cell>
          <cell r="C1541"/>
          <cell r="D1541"/>
          <cell r="E1541"/>
          <cell r="F1541"/>
          <cell r="G1541" t="str">
            <v>D. Pharma Format</v>
          </cell>
          <cell r="H1541" t="str">
            <v>Pharma Format</v>
          </cell>
          <cell r="I1541" t="str">
            <v>Pharma COCO Store (SP Fix Setup)</v>
          </cell>
        </row>
        <row r="1542">
          <cell r="A1542" t="str">
            <v>PHCOAS10513</v>
          </cell>
          <cell r="B1542">
            <v>1541</v>
          </cell>
          <cell r="C1542"/>
          <cell r="D1542"/>
          <cell r="E1542"/>
          <cell r="F1542"/>
          <cell r="G1542" t="str">
            <v>D. Pharma Format</v>
          </cell>
          <cell r="H1542" t="str">
            <v>Pharma Format</v>
          </cell>
          <cell r="I1542" t="str">
            <v>Pharma COCO Store (SP Fix Setup)</v>
          </cell>
        </row>
        <row r="1543">
          <cell r="A1543" t="str">
            <v>PHCOAS10514</v>
          </cell>
          <cell r="B1543">
            <v>1542</v>
          </cell>
          <cell r="C1543"/>
          <cell r="D1543"/>
          <cell r="E1543"/>
          <cell r="F1543"/>
          <cell r="G1543" t="str">
            <v>D. Pharma Format</v>
          </cell>
          <cell r="H1543" t="str">
            <v>Pharma Format</v>
          </cell>
          <cell r="I1543" t="str">
            <v>Pharma COCO Store (SP Fix Setup)</v>
          </cell>
        </row>
        <row r="1544">
          <cell r="A1544" t="str">
            <v>PHCOBK10515</v>
          </cell>
          <cell r="B1544">
            <v>1543</v>
          </cell>
          <cell r="C1544"/>
          <cell r="D1544"/>
          <cell r="E1544"/>
          <cell r="F1544"/>
          <cell r="G1544" t="str">
            <v>D. Pharma Format</v>
          </cell>
          <cell r="H1544" t="str">
            <v>Pharma Format</v>
          </cell>
          <cell r="I1544" t="str">
            <v>Pharma COCO Store (SP Fix Setup)</v>
          </cell>
        </row>
        <row r="1545">
          <cell r="A1545" t="str">
            <v>PHCOAS10516</v>
          </cell>
          <cell r="B1545">
            <v>1544</v>
          </cell>
          <cell r="C1545"/>
          <cell r="D1545"/>
          <cell r="E1545"/>
          <cell r="F1545"/>
          <cell r="G1545" t="str">
            <v>D. Pharma Format</v>
          </cell>
          <cell r="H1545" t="str">
            <v>Pharma Format</v>
          </cell>
          <cell r="I1545" t="str">
            <v>Pharma COCO Store (SP Fix Setup)</v>
          </cell>
        </row>
        <row r="1546">
          <cell r="A1546" t="str">
            <v>PHCOAS10517</v>
          </cell>
          <cell r="B1546">
            <v>1545</v>
          </cell>
          <cell r="C1546"/>
          <cell r="D1546"/>
          <cell r="E1546"/>
          <cell r="F1546"/>
          <cell r="G1546" t="str">
            <v>D. Pharma Format</v>
          </cell>
          <cell r="H1546" t="str">
            <v>Pharma Format</v>
          </cell>
          <cell r="I1546" t="str">
            <v>Pharma COCO Store (SP Fix Setup)</v>
          </cell>
        </row>
        <row r="1547">
          <cell r="A1547" t="str">
            <v>SESBBK10620</v>
          </cell>
          <cell r="B1547">
            <v>1546</v>
          </cell>
          <cell r="C1547"/>
          <cell r="D1547"/>
          <cell r="E1547"/>
          <cell r="F1547"/>
          <cell r="G1547" t="str">
            <v>E. Other Business</v>
          </cell>
          <cell r="H1547" t="str">
            <v>Other Business</v>
          </cell>
          <cell r="I1547" t="str">
            <v>7 Eleven in Smart Bazar</v>
          </cell>
        </row>
        <row r="1548">
          <cell r="A1548" t="str">
            <v>SEVEBK44</v>
          </cell>
          <cell r="B1548">
            <v>1547</v>
          </cell>
          <cell r="C1548"/>
          <cell r="D1548"/>
          <cell r="E1548" t="str">
            <v>QH8W</v>
          </cell>
          <cell r="F1548" t="str">
            <v>7ICRMQH8W00</v>
          </cell>
          <cell r="G1548" t="str">
            <v>E. Other Business</v>
          </cell>
          <cell r="H1548" t="str">
            <v>Other Business</v>
          </cell>
          <cell r="I1548" t="str">
            <v>7-Eleven</v>
          </cell>
        </row>
        <row r="1549">
          <cell r="A1549" t="str">
            <v>SEVEBK4604</v>
          </cell>
          <cell r="B1549">
            <v>1548</v>
          </cell>
          <cell r="C1549"/>
          <cell r="D1549" t="str">
            <v>T3CN</v>
          </cell>
          <cell r="E1549" t="str">
            <v>QI8I</v>
          </cell>
          <cell r="F1549" t="str">
            <v>7ICRMQI8I00</v>
          </cell>
          <cell r="G1549" t="str">
            <v>E. Other Business</v>
          </cell>
          <cell r="H1549" t="str">
            <v>Other Business</v>
          </cell>
          <cell r="I1549" t="str">
            <v>7-Eleven</v>
          </cell>
        </row>
        <row r="1550">
          <cell r="A1550" t="str">
            <v>SEVEBK4608</v>
          </cell>
          <cell r="B1550">
            <v>1549</v>
          </cell>
          <cell r="C1550"/>
          <cell r="D1550"/>
          <cell r="E1550" t="str">
            <v>QJ8H</v>
          </cell>
          <cell r="F1550" t="str">
            <v>7ICRMQJ8H00</v>
          </cell>
          <cell r="G1550" t="str">
            <v>E. Other Business</v>
          </cell>
          <cell r="H1550" t="str">
            <v>Other Business</v>
          </cell>
          <cell r="I1550" t="str">
            <v>7-Eleven</v>
          </cell>
        </row>
        <row r="1551">
          <cell r="A1551" t="str">
            <v>SEVEBK10523</v>
          </cell>
          <cell r="B1551">
            <v>1550</v>
          </cell>
          <cell r="C1551"/>
          <cell r="D1551"/>
          <cell r="E1551"/>
          <cell r="F1551"/>
          <cell r="G1551" t="str">
            <v>E. Other Business</v>
          </cell>
          <cell r="H1551" t="str">
            <v>Other Business</v>
          </cell>
          <cell r="I1551" t="str">
            <v>7-Eleven</v>
          </cell>
        </row>
        <row r="1552">
          <cell r="A1552" t="str">
            <v>SEVEBK10524</v>
          </cell>
          <cell r="B1552">
            <v>1551</v>
          </cell>
          <cell r="C1552"/>
          <cell r="D1552"/>
          <cell r="E1552"/>
          <cell r="F1552"/>
          <cell r="G1552" t="str">
            <v>E. Other Business</v>
          </cell>
          <cell r="H1552" t="str">
            <v>Other Business</v>
          </cell>
          <cell r="I1552" t="str">
            <v>7-Eleven</v>
          </cell>
        </row>
        <row r="1553">
          <cell r="A1553" t="str">
            <v>SEVEBK10525</v>
          </cell>
          <cell r="B1553">
            <v>1552</v>
          </cell>
          <cell r="C1553"/>
          <cell r="D1553"/>
          <cell r="E1553"/>
          <cell r="F1553"/>
          <cell r="G1553" t="str">
            <v>E. Other Business</v>
          </cell>
          <cell r="H1553" t="str">
            <v>Other Business</v>
          </cell>
          <cell r="I1553" t="str">
            <v>7-Eleven</v>
          </cell>
        </row>
        <row r="1554">
          <cell r="A1554" t="str">
            <v>SEVEBK10526</v>
          </cell>
          <cell r="B1554">
            <v>1553</v>
          </cell>
          <cell r="C1554"/>
          <cell r="D1554"/>
          <cell r="E1554"/>
          <cell r="F1554"/>
          <cell r="G1554" t="str">
            <v>E. Other Business</v>
          </cell>
          <cell r="H1554" t="str">
            <v>Other Business</v>
          </cell>
          <cell r="I1554" t="str">
            <v>7-Eleven</v>
          </cell>
        </row>
        <row r="1555">
          <cell r="A1555" t="str">
            <v>SEVEBK10527</v>
          </cell>
          <cell r="B1555">
            <v>1554</v>
          </cell>
          <cell r="C1555"/>
          <cell r="D1555"/>
          <cell r="E1555"/>
          <cell r="F1555"/>
          <cell r="G1555" t="str">
            <v>E. Other Business</v>
          </cell>
          <cell r="H1555" t="str">
            <v>Other Business</v>
          </cell>
          <cell r="I1555" t="str">
            <v>7-Eleven</v>
          </cell>
        </row>
        <row r="1556">
          <cell r="A1556" t="str">
            <v>SEVEBK10528</v>
          </cell>
          <cell r="B1556">
            <v>1555</v>
          </cell>
          <cell r="C1556"/>
          <cell r="D1556"/>
          <cell r="E1556"/>
          <cell r="F1556"/>
          <cell r="G1556" t="str">
            <v>E. Other Business</v>
          </cell>
          <cell r="H1556" t="str">
            <v>Other Business</v>
          </cell>
          <cell r="I1556" t="str">
            <v>7-Eleven</v>
          </cell>
        </row>
        <row r="1557">
          <cell r="A1557" t="str">
            <v>SEVEBK10529</v>
          </cell>
          <cell r="B1557">
            <v>1556</v>
          </cell>
          <cell r="C1557"/>
          <cell r="D1557"/>
          <cell r="E1557"/>
          <cell r="F1557"/>
          <cell r="G1557" t="str">
            <v>E. Other Business</v>
          </cell>
          <cell r="H1557" t="str">
            <v>Other Business</v>
          </cell>
          <cell r="I1557" t="str">
            <v>7-Eleven</v>
          </cell>
        </row>
        <row r="1558">
          <cell r="A1558" t="str">
            <v>SEVEBK10530</v>
          </cell>
          <cell r="B1558">
            <v>1557</v>
          </cell>
          <cell r="C1558"/>
          <cell r="D1558"/>
          <cell r="E1558"/>
          <cell r="F1558"/>
          <cell r="G1558" t="str">
            <v>E. Other Business</v>
          </cell>
          <cell r="H1558" t="str">
            <v>Other Business</v>
          </cell>
          <cell r="I1558" t="str">
            <v>7-Eleven</v>
          </cell>
        </row>
        <row r="1559">
          <cell r="A1559" t="str">
            <v>SEVEBK10531</v>
          </cell>
          <cell r="B1559">
            <v>1558</v>
          </cell>
          <cell r="C1559"/>
          <cell r="D1559"/>
          <cell r="E1559"/>
          <cell r="F1559"/>
          <cell r="G1559" t="str">
            <v>E. Other Business</v>
          </cell>
          <cell r="H1559" t="str">
            <v>Other Business</v>
          </cell>
          <cell r="I1559" t="str">
            <v>7-Eleven</v>
          </cell>
        </row>
        <row r="1560">
          <cell r="A1560" t="str">
            <v>SEVEBK10532</v>
          </cell>
          <cell r="B1560">
            <v>1559</v>
          </cell>
          <cell r="C1560"/>
          <cell r="D1560"/>
          <cell r="E1560"/>
          <cell r="F1560"/>
          <cell r="G1560" t="str">
            <v>E. Other Business</v>
          </cell>
          <cell r="H1560" t="str">
            <v>Other Business</v>
          </cell>
          <cell r="I1560" t="str">
            <v>7-Eleven</v>
          </cell>
        </row>
        <row r="1561">
          <cell r="A1561" t="str">
            <v>SEVEBK10553</v>
          </cell>
          <cell r="B1561">
            <v>1560</v>
          </cell>
          <cell r="C1561"/>
          <cell r="D1561"/>
          <cell r="E1561"/>
          <cell r="F1561"/>
          <cell r="G1561" t="str">
            <v>E. Other Business</v>
          </cell>
          <cell r="H1561" t="str">
            <v>Other Business</v>
          </cell>
          <cell r="I1561" t="str">
            <v>7-Eleven</v>
          </cell>
        </row>
        <row r="1562">
          <cell r="A1562" t="str">
            <v>SEVEBK10554</v>
          </cell>
          <cell r="B1562">
            <v>1561</v>
          </cell>
          <cell r="C1562"/>
          <cell r="D1562"/>
          <cell r="E1562"/>
          <cell r="F1562"/>
          <cell r="G1562" t="str">
            <v>E. Other Business</v>
          </cell>
          <cell r="H1562" t="str">
            <v>Other Business</v>
          </cell>
          <cell r="I1562" t="str">
            <v>7-Eleven</v>
          </cell>
        </row>
        <row r="1563">
          <cell r="A1563" t="str">
            <v>SEVEBK10555</v>
          </cell>
          <cell r="B1563">
            <v>1562</v>
          </cell>
          <cell r="C1563"/>
          <cell r="D1563"/>
          <cell r="E1563"/>
          <cell r="F1563"/>
          <cell r="G1563" t="str">
            <v>E. Other Business</v>
          </cell>
          <cell r="H1563" t="str">
            <v>Other Business</v>
          </cell>
          <cell r="I1563" t="str">
            <v>7-Eleven</v>
          </cell>
        </row>
        <row r="1564">
          <cell r="A1564" t="str">
            <v>SEVEBK10556</v>
          </cell>
          <cell r="B1564">
            <v>1563</v>
          </cell>
          <cell r="C1564"/>
          <cell r="D1564"/>
          <cell r="E1564"/>
          <cell r="F1564"/>
          <cell r="G1564" t="str">
            <v>E. Other Business</v>
          </cell>
          <cell r="H1564" t="str">
            <v>Other Business</v>
          </cell>
          <cell r="I1564" t="str">
            <v>7-Eleven</v>
          </cell>
        </row>
        <row r="1565">
          <cell r="A1565" t="str">
            <v>SEVEBK10557</v>
          </cell>
          <cell r="B1565">
            <v>1564</v>
          </cell>
          <cell r="C1565"/>
          <cell r="D1565"/>
          <cell r="E1565"/>
          <cell r="F1565"/>
          <cell r="G1565" t="str">
            <v>E. Other Business</v>
          </cell>
          <cell r="H1565" t="str">
            <v>Other Business</v>
          </cell>
          <cell r="I1565" t="str">
            <v>7-Eleven</v>
          </cell>
        </row>
        <row r="1566">
          <cell r="A1566" t="str">
            <v>SEVEBK10558</v>
          </cell>
          <cell r="B1566">
            <v>1565</v>
          </cell>
          <cell r="C1566"/>
          <cell r="D1566"/>
          <cell r="E1566"/>
          <cell r="F1566"/>
          <cell r="G1566" t="str">
            <v>E. Other Business</v>
          </cell>
          <cell r="H1566" t="str">
            <v>Other Business</v>
          </cell>
          <cell r="I1566" t="str">
            <v>7-Eleven</v>
          </cell>
        </row>
        <row r="1567">
          <cell r="A1567" t="str">
            <v>SEVEBK10559</v>
          </cell>
          <cell r="B1567">
            <v>1566</v>
          </cell>
          <cell r="C1567"/>
          <cell r="D1567"/>
          <cell r="E1567"/>
          <cell r="F1567"/>
          <cell r="G1567" t="str">
            <v>E. Other Business</v>
          </cell>
          <cell r="H1567" t="str">
            <v>Other Business</v>
          </cell>
          <cell r="I1567" t="str">
            <v>7-Eleven</v>
          </cell>
        </row>
        <row r="1568">
          <cell r="A1568" t="str">
            <v>SEVEBK10560</v>
          </cell>
          <cell r="B1568">
            <v>1567</v>
          </cell>
          <cell r="C1568"/>
          <cell r="D1568"/>
          <cell r="E1568"/>
          <cell r="F1568"/>
          <cell r="G1568" t="str">
            <v>E. Other Business</v>
          </cell>
          <cell r="H1568" t="str">
            <v>Other Business</v>
          </cell>
          <cell r="I1568" t="str">
            <v>7-Eleven</v>
          </cell>
        </row>
        <row r="1569">
          <cell r="A1569" t="str">
            <v>SEVEBK10561</v>
          </cell>
          <cell r="B1569">
            <v>1568</v>
          </cell>
          <cell r="C1569"/>
          <cell r="D1569"/>
          <cell r="E1569"/>
          <cell r="F1569"/>
          <cell r="G1569" t="str">
            <v>E. Other Business</v>
          </cell>
          <cell r="H1569" t="str">
            <v>Other Business</v>
          </cell>
          <cell r="I1569" t="str">
            <v>7-Eleven</v>
          </cell>
        </row>
        <row r="1570">
          <cell r="A1570" t="str">
            <v>SEVEBK10571</v>
          </cell>
          <cell r="B1570">
            <v>1569</v>
          </cell>
          <cell r="C1570"/>
          <cell r="D1570"/>
          <cell r="E1570"/>
          <cell r="F1570"/>
          <cell r="G1570" t="str">
            <v>E. Other Business</v>
          </cell>
          <cell r="H1570" t="str">
            <v>Other Business</v>
          </cell>
          <cell r="I1570" t="str">
            <v>7-Eleven</v>
          </cell>
        </row>
        <row r="1571">
          <cell r="A1571" t="str">
            <v>SEVEBK10609</v>
          </cell>
          <cell r="B1571">
            <v>1570</v>
          </cell>
          <cell r="C1571"/>
          <cell r="D1571"/>
          <cell r="E1571"/>
          <cell r="F1571"/>
          <cell r="G1571" t="str">
            <v>E. Other Business</v>
          </cell>
          <cell r="H1571" t="str">
            <v>Other Business</v>
          </cell>
          <cell r="I1571" t="str">
            <v>7-Eleven</v>
          </cell>
        </row>
        <row r="1572">
          <cell r="A1572" t="str">
            <v>SEVEBK10610</v>
          </cell>
          <cell r="B1572">
            <v>1571</v>
          </cell>
          <cell r="C1572"/>
          <cell r="D1572"/>
          <cell r="E1572"/>
          <cell r="F1572"/>
          <cell r="G1572" t="str">
            <v>E. Other Business</v>
          </cell>
          <cell r="H1572" t="str">
            <v>Other Business</v>
          </cell>
          <cell r="I1572" t="str">
            <v>7-Eleven</v>
          </cell>
        </row>
        <row r="1573">
          <cell r="A1573" t="str">
            <v>SEVEBK10611</v>
          </cell>
          <cell r="B1573">
            <v>1572</v>
          </cell>
          <cell r="C1573"/>
          <cell r="D1573"/>
          <cell r="E1573"/>
          <cell r="F1573"/>
          <cell r="G1573" t="str">
            <v>E. Other Business</v>
          </cell>
          <cell r="H1573" t="str">
            <v>Other Business</v>
          </cell>
          <cell r="I1573" t="str">
            <v>7-Eleven</v>
          </cell>
        </row>
        <row r="1574">
          <cell r="A1574" t="str">
            <v>SEVEBK10612</v>
          </cell>
          <cell r="B1574">
            <v>1573</v>
          </cell>
          <cell r="C1574"/>
          <cell r="D1574"/>
          <cell r="E1574"/>
          <cell r="F1574"/>
          <cell r="G1574" t="str">
            <v>E. Other Business</v>
          </cell>
          <cell r="H1574" t="str">
            <v>Other Business</v>
          </cell>
          <cell r="I1574" t="str">
            <v>7-Eleven</v>
          </cell>
        </row>
        <row r="1575">
          <cell r="A1575" t="str">
            <v>SEVEBK10613</v>
          </cell>
          <cell r="B1575">
            <v>1574</v>
          </cell>
          <cell r="C1575"/>
          <cell r="D1575"/>
          <cell r="E1575"/>
          <cell r="F1575"/>
          <cell r="G1575" t="str">
            <v>E. Other Business</v>
          </cell>
          <cell r="H1575" t="str">
            <v>Other Business</v>
          </cell>
          <cell r="I1575" t="str">
            <v>7-Eleven</v>
          </cell>
        </row>
        <row r="1576">
          <cell r="A1576" t="str">
            <v>SEVEBK10614</v>
          </cell>
          <cell r="B1576">
            <v>1575</v>
          </cell>
          <cell r="C1576"/>
          <cell r="D1576"/>
          <cell r="E1576"/>
          <cell r="F1576"/>
          <cell r="G1576" t="str">
            <v>E. Other Business</v>
          </cell>
          <cell r="H1576" t="str">
            <v>Other Business</v>
          </cell>
          <cell r="I1576" t="str">
            <v>7-Eleven</v>
          </cell>
        </row>
        <row r="1577">
          <cell r="A1577" t="str">
            <v>SEVEBK10615</v>
          </cell>
          <cell r="B1577">
            <v>1576</v>
          </cell>
          <cell r="C1577"/>
          <cell r="D1577"/>
          <cell r="E1577"/>
          <cell r="F1577"/>
          <cell r="G1577" t="str">
            <v>E. Other Business</v>
          </cell>
          <cell r="H1577" t="str">
            <v>Other Business</v>
          </cell>
          <cell r="I1577" t="str">
            <v>7-Eleven</v>
          </cell>
        </row>
        <row r="1578">
          <cell r="A1578" t="str">
            <v>SEVEBK10616</v>
          </cell>
          <cell r="B1578">
            <v>1577</v>
          </cell>
          <cell r="C1578"/>
          <cell r="D1578"/>
          <cell r="E1578"/>
          <cell r="F1578"/>
          <cell r="G1578" t="str">
            <v>E. Other Business</v>
          </cell>
          <cell r="H1578" t="str">
            <v>Other Business</v>
          </cell>
          <cell r="I1578" t="str">
            <v>7-Eleven</v>
          </cell>
        </row>
        <row r="1579">
          <cell r="A1579" t="str">
            <v>SEVEBK10617</v>
          </cell>
          <cell r="B1579">
            <v>1578</v>
          </cell>
          <cell r="C1579"/>
          <cell r="D1579"/>
          <cell r="E1579"/>
          <cell r="F1579"/>
          <cell r="G1579" t="str">
            <v>E. Other Business</v>
          </cell>
          <cell r="H1579" t="str">
            <v>Other Business</v>
          </cell>
          <cell r="I1579" t="str">
            <v>7-Eleven</v>
          </cell>
        </row>
        <row r="1580">
          <cell r="A1580" t="str">
            <v>SEVEBK10618</v>
          </cell>
          <cell r="B1580">
            <v>1579</v>
          </cell>
          <cell r="C1580"/>
          <cell r="D1580"/>
          <cell r="E1580"/>
          <cell r="F1580"/>
          <cell r="G1580" t="str">
            <v>E. Other Business</v>
          </cell>
          <cell r="H1580" t="str">
            <v>Other Business</v>
          </cell>
          <cell r="I1580" t="str">
            <v>7-Eleven</v>
          </cell>
        </row>
        <row r="1581">
          <cell r="A1581" t="str">
            <v>SEVEBK10619</v>
          </cell>
          <cell r="B1581">
            <v>1580</v>
          </cell>
          <cell r="C1581"/>
          <cell r="D1581"/>
          <cell r="E1581"/>
          <cell r="F1581"/>
          <cell r="G1581" t="str">
            <v>E. Other Business</v>
          </cell>
          <cell r="H1581" t="str">
            <v>Other Business</v>
          </cell>
          <cell r="I1581" t="str">
            <v>7-Eleven</v>
          </cell>
        </row>
        <row r="1582">
          <cell r="A1582" t="str">
            <v>SEVEBK10621</v>
          </cell>
          <cell r="B1582">
            <v>1581</v>
          </cell>
          <cell r="C1582"/>
          <cell r="D1582"/>
          <cell r="E1582"/>
          <cell r="F1582"/>
          <cell r="G1582" t="str">
            <v>E. Other Business</v>
          </cell>
          <cell r="H1582" t="str">
            <v>Other Business</v>
          </cell>
          <cell r="I1582" t="str">
            <v>7-Eleven</v>
          </cell>
        </row>
        <row r="1583">
          <cell r="A1583" t="str">
            <v>SEVEBK10622</v>
          </cell>
          <cell r="B1583">
            <v>1582</v>
          </cell>
          <cell r="C1583"/>
          <cell r="D1583"/>
          <cell r="E1583"/>
          <cell r="F1583"/>
          <cell r="G1583" t="str">
            <v>E. Other Business</v>
          </cell>
          <cell r="H1583" t="str">
            <v>Other Business</v>
          </cell>
          <cell r="I1583" t="str">
            <v>7-Eleven</v>
          </cell>
        </row>
        <row r="1584">
          <cell r="A1584" t="str">
            <v>SEVEBK10623</v>
          </cell>
          <cell r="B1584">
            <v>1583</v>
          </cell>
          <cell r="C1584"/>
          <cell r="D1584"/>
          <cell r="E1584"/>
          <cell r="F1584"/>
          <cell r="G1584" t="str">
            <v>E. Other Business</v>
          </cell>
          <cell r="H1584" t="str">
            <v>Other Business</v>
          </cell>
          <cell r="I1584" t="str">
            <v>7-Eleven</v>
          </cell>
        </row>
        <row r="1585">
          <cell r="A1585" t="str">
            <v>SEVEBK10624</v>
          </cell>
          <cell r="B1585">
            <v>1584</v>
          </cell>
          <cell r="C1585"/>
          <cell r="D1585"/>
          <cell r="E1585"/>
          <cell r="F1585"/>
          <cell r="G1585" t="str">
            <v>E. Other Business</v>
          </cell>
          <cell r="H1585" t="str">
            <v>Other Business</v>
          </cell>
          <cell r="I1585" t="str">
            <v>7-Eleven</v>
          </cell>
        </row>
        <row r="1586">
          <cell r="A1586" t="str">
            <v>SEVEBK10625</v>
          </cell>
          <cell r="B1586">
            <v>1585</v>
          </cell>
          <cell r="C1586"/>
          <cell r="D1586"/>
          <cell r="E1586"/>
          <cell r="F1586"/>
          <cell r="G1586" t="str">
            <v>E. Other Business</v>
          </cell>
          <cell r="H1586" t="str">
            <v>Other Business</v>
          </cell>
          <cell r="I1586" t="str">
            <v>7-Eleven</v>
          </cell>
        </row>
        <row r="1587">
          <cell r="A1587" t="str">
            <v>SEVEBK10626</v>
          </cell>
          <cell r="B1587">
            <v>1586</v>
          </cell>
          <cell r="C1587"/>
          <cell r="D1587"/>
          <cell r="E1587"/>
          <cell r="F1587"/>
          <cell r="G1587" t="str">
            <v>E. Other Business</v>
          </cell>
          <cell r="H1587" t="str">
            <v>Other Business</v>
          </cell>
          <cell r="I1587" t="str">
            <v>7-Eleven</v>
          </cell>
        </row>
        <row r="1588">
          <cell r="A1588" t="str">
            <v>SEVEBK10627</v>
          </cell>
          <cell r="B1588">
            <v>1587</v>
          </cell>
          <cell r="C1588"/>
          <cell r="D1588"/>
          <cell r="E1588"/>
          <cell r="F1588"/>
          <cell r="G1588" t="str">
            <v>E. Other Business</v>
          </cell>
          <cell r="H1588" t="str">
            <v>Other Business</v>
          </cell>
          <cell r="I1588" t="str">
            <v>7-Eleven</v>
          </cell>
        </row>
        <row r="1589">
          <cell r="A1589" t="str">
            <v>SEVEBK10628</v>
          </cell>
          <cell r="B1589">
            <v>1588</v>
          </cell>
          <cell r="C1589"/>
          <cell r="D1589"/>
          <cell r="E1589"/>
          <cell r="F1589"/>
          <cell r="G1589" t="str">
            <v>E. Other Business</v>
          </cell>
          <cell r="H1589" t="str">
            <v>Other Business</v>
          </cell>
          <cell r="I1589" t="str">
            <v>7-Eleven</v>
          </cell>
        </row>
        <row r="1590">
          <cell r="A1590" t="str">
            <v>SEVEBK10629</v>
          </cell>
          <cell r="B1590">
            <v>1589</v>
          </cell>
          <cell r="C1590"/>
          <cell r="D1590"/>
          <cell r="E1590"/>
          <cell r="F1590"/>
          <cell r="G1590" t="str">
            <v>E. Other Business</v>
          </cell>
          <cell r="H1590" t="str">
            <v>Other Business</v>
          </cell>
          <cell r="I1590" t="str">
            <v>7-Eleven</v>
          </cell>
        </row>
        <row r="1591">
          <cell r="A1591" t="str">
            <v>SEVEBK10630</v>
          </cell>
          <cell r="B1591">
            <v>1590</v>
          </cell>
          <cell r="C1591"/>
          <cell r="D1591"/>
          <cell r="E1591"/>
          <cell r="F1591"/>
          <cell r="G1591" t="str">
            <v>E. Other Business</v>
          </cell>
          <cell r="H1591" t="str">
            <v>Other Business</v>
          </cell>
          <cell r="I1591" t="str">
            <v>7-Eleven</v>
          </cell>
        </row>
        <row r="1592">
          <cell r="A1592" t="str">
            <v>POSMSD10152</v>
          </cell>
          <cell r="B1592">
            <v>1591</v>
          </cell>
          <cell r="C1592"/>
          <cell r="D1592"/>
          <cell r="E1592" t="str">
            <v>QECK</v>
          </cell>
          <cell r="F1592" t="str">
            <v>AMNTFQECK00</v>
          </cell>
          <cell r="G1592" t="str">
            <v>E. Other Business</v>
          </cell>
          <cell r="H1592" t="str">
            <v>Other Business</v>
          </cell>
          <cell r="I1592" t="str">
            <v>POS Migration</v>
          </cell>
        </row>
        <row r="1593">
          <cell r="A1593" t="str">
            <v>POSMRT10533</v>
          </cell>
          <cell r="B1593">
            <v>1592</v>
          </cell>
          <cell r="C1593"/>
          <cell r="D1593"/>
          <cell r="E1593"/>
          <cell r="F1593"/>
          <cell r="G1593" t="str">
            <v>E. Other Business</v>
          </cell>
          <cell r="H1593" t="str">
            <v>Other Business</v>
          </cell>
          <cell r="I1593" t="str">
            <v>POS Migration</v>
          </cell>
        </row>
        <row r="1594">
          <cell r="A1594" t="str">
            <v>POSMSD10534</v>
          </cell>
          <cell r="B1594">
            <v>1593</v>
          </cell>
          <cell r="C1594"/>
          <cell r="D1594"/>
          <cell r="E1594"/>
          <cell r="F1594"/>
          <cell r="G1594" t="str">
            <v>E. Other Business</v>
          </cell>
          <cell r="H1594" t="str">
            <v>Other Business</v>
          </cell>
          <cell r="I1594" t="str">
            <v>POS Migration</v>
          </cell>
        </row>
        <row r="1595">
          <cell r="A1595" t="str">
            <v>POSMRT10535</v>
          </cell>
          <cell r="B1595">
            <v>1594</v>
          </cell>
          <cell r="C1595"/>
          <cell r="D1595"/>
          <cell r="E1595"/>
          <cell r="F1595"/>
          <cell r="G1595" t="str">
            <v>E. Other Business</v>
          </cell>
          <cell r="H1595" t="str">
            <v>Other Business</v>
          </cell>
          <cell r="I1595" t="str">
            <v>POS Migration</v>
          </cell>
        </row>
        <row r="1596">
          <cell r="A1596" t="str">
            <v>POSMRT10536</v>
          </cell>
          <cell r="B1596">
            <v>1595</v>
          </cell>
          <cell r="C1596"/>
          <cell r="D1596"/>
          <cell r="E1596"/>
          <cell r="F1596"/>
          <cell r="G1596" t="str">
            <v>E. Other Business</v>
          </cell>
          <cell r="H1596" t="str">
            <v>Other Business</v>
          </cell>
          <cell r="I1596" t="str">
            <v>POS Migration</v>
          </cell>
        </row>
        <row r="1597">
          <cell r="A1597" t="str">
            <v>POSMRT10537</v>
          </cell>
          <cell r="B1597">
            <v>1596</v>
          </cell>
          <cell r="C1597"/>
          <cell r="D1597"/>
          <cell r="E1597" t="str">
            <v>QEBF</v>
          </cell>
          <cell r="F1597" t="str">
            <v>AMNT9QEBF00</v>
          </cell>
          <cell r="G1597" t="str">
            <v>E. Other Business</v>
          </cell>
          <cell r="H1597" t="str">
            <v>Other Business</v>
          </cell>
          <cell r="I1597" t="str">
            <v>POS Migration</v>
          </cell>
        </row>
        <row r="1598">
          <cell r="A1598" t="str">
            <v>POSMAS10538</v>
          </cell>
          <cell r="B1598">
            <v>1597</v>
          </cell>
          <cell r="C1598"/>
          <cell r="D1598"/>
          <cell r="E1598"/>
          <cell r="F1598"/>
          <cell r="G1598" t="str">
            <v>E. Other Business</v>
          </cell>
          <cell r="H1598" t="str">
            <v>Other Business</v>
          </cell>
          <cell r="I1598" t="str">
            <v>POS Migration</v>
          </cell>
        </row>
        <row r="1599">
          <cell r="A1599" t="str">
            <v>POSMRT10539</v>
          </cell>
          <cell r="B1599">
            <v>1598</v>
          </cell>
          <cell r="C1599"/>
          <cell r="D1599"/>
          <cell r="E1599"/>
          <cell r="F1599"/>
          <cell r="G1599" t="str">
            <v>E. Other Business</v>
          </cell>
          <cell r="H1599" t="str">
            <v>Other Business</v>
          </cell>
          <cell r="I1599" t="str">
            <v>POS Migration</v>
          </cell>
        </row>
        <row r="1600">
          <cell r="A1600" t="str">
            <v>POSMRT10540</v>
          </cell>
          <cell r="B1600">
            <v>1599</v>
          </cell>
          <cell r="C1600"/>
          <cell r="D1600"/>
          <cell r="E1600"/>
          <cell r="F1600"/>
          <cell r="G1600" t="str">
            <v>E. Other Business</v>
          </cell>
          <cell r="H1600" t="str">
            <v>Other Business</v>
          </cell>
          <cell r="I1600" t="str">
            <v>POS Migration</v>
          </cell>
        </row>
        <row r="1601">
          <cell r="A1601" t="str">
            <v>POSMRT10541</v>
          </cell>
          <cell r="B1601">
            <v>1600</v>
          </cell>
          <cell r="C1601"/>
          <cell r="D1601"/>
          <cell r="E1601"/>
          <cell r="F1601"/>
          <cell r="G1601" t="str">
            <v>E. Other Business</v>
          </cell>
          <cell r="H1601" t="str">
            <v>Other Business</v>
          </cell>
          <cell r="I1601" t="str">
            <v>POS Migration</v>
          </cell>
        </row>
        <row r="1602">
          <cell r="A1602" t="str">
            <v>POSMAS10542</v>
          </cell>
          <cell r="B1602">
            <v>1601</v>
          </cell>
          <cell r="C1602"/>
          <cell r="D1602"/>
          <cell r="E1602"/>
          <cell r="F1602"/>
          <cell r="G1602" t="str">
            <v>E. Other Business</v>
          </cell>
          <cell r="H1602" t="str">
            <v>Other Business</v>
          </cell>
          <cell r="I1602" t="str">
            <v>POS Migration</v>
          </cell>
        </row>
        <row r="1603">
          <cell r="A1603" t="str">
            <v>POSMRT10543</v>
          </cell>
          <cell r="B1603">
            <v>1602</v>
          </cell>
          <cell r="C1603"/>
          <cell r="D1603"/>
          <cell r="E1603"/>
          <cell r="F1603"/>
          <cell r="G1603" t="str">
            <v>E. Other Business</v>
          </cell>
          <cell r="H1603" t="str">
            <v>Other Business</v>
          </cell>
          <cell r="I1603" t="str">
            <v>POS Migration</v>
          </cell>
        </row>
        <row r="1604">
          <cell r="A1604" t="str">
            <v>POSMRT10544</v>
          </cell>
          <cell r="B1604">
            <v>1603</v>
          </cell>
          <cell r="C1604"/>
          <cell r="D1604"/>
          <cell r="E1604"/>
          <cell r="F1604"/>
          <cell r="G1604" t="str">
            <v>E. Other Business</v>
          </cell>
          <cell r="H1604" t="str">
            <v>Other Business</v>
          </cell>
          <cell r="I1604" t="str">
            <v>POS Migration</v>
          </cell>
        </row>
        <row r="1605">
          <cell r="A1605" t="str">
            <v>POSMRT10545</v>
          </cell>
          <cell r="B1605">
            <v>1604</v>
          </cell>
          <cell r="C1605"/>
          <cell r="D1605"/>
          <cell r="E1605" t="str">
            <v>QGCV</v>
          </cell>
          <cell r="F1605" t="str">
            <v>AMNTRQGCV00</v>
          </cell>
          <cell r="G1605" t="str">
            <v>E. Other Business</v>
          </cell>
          <cell r="H1605" t="str">
            <v>Other Business</v>
          </cell>
          <cell r="I1605" t="str">
            <v>POS Migration</v>
          </cell>
        </row>
        <row r="1606">
          <cell r="A1606" t="str">
            <v>POSMRT10574</v>
          </cell>
          <cell r="B1606">
            <v>1605</v>
          </cell>
          <cell r="C1606"/>
          <cell r="D1606"/>
          <cell r="E1606"/>
          <cell r="F1606"/>
          <cell r="G1606" t="str">
            <v>E. Other Business</v>
          </cell>
          <cell r="H1606" t="str">
            <v>Other Business</v>
          </cell>
          <cell r="I1606" t="str">
            <v>POS Migration</v>
          </cell>
        </row>
        <row r="1607">
          <cell r="A1607" t="str">
            <v>POSMRT10575</v>
          </cell>
          <cell r="B1607">
            <v>1606</v>
          </cell>
          <cell r="C1607"/>
          <cell r="D1607"/>
          <cell r="E1607"/>
          <cell r="F1607"/>
          <cell r="G1607" t="str">
            <v>E. Other Business</v>
          </cell>
          <cell r="H1607" t="str">
            <v>Other Business</v>
          </cell>
          <cell r="I1607" t="str">
            <v>POS Migration</v>
          </cell>
        </row>
        <row r="1608">
          <cell r="A1608" t="str">
            <v>POSMRT10576</v>
          </cell>
          <cell r="B1608">
            <v>1607</v>
          </cell>
          <cell r="C1608"/>
          <cell r="D1608"/>
          <cell r="E1608"/>
          <cell r="F1608"/>
          <cell r="G1608" t="str">
            <v>E. Other Business</v>
          </cell>
          <cell r="H1608" t="str">
            <v>Other Business</v>
          </cell>
          <cell r="I1608" t="str">
            <v>POS Migration</v>
          </cell>
        </row>
        <row r="1609">
          <cell r="A1609" t="str">
            <v>POSMRT10577</v>
          </cell>
          <cell r="B1609">
            <v>1608</v>
          </cell>
          <cell r="C1609"/>
          <cell r="D1609"/>
          <cell r="E1609"/>
          <cell r="F1609"/>
          <cell r="G1609" t="str">
            <v>E. Other Business</v>
          </cell>
          <cell r="H1609" t="str">
            <v>Other Business</v>
          </cell>
          <cell r="I1609" t="str">
            <v>POS Migration</v>
          </cell>
        </row>
        <row r="1610">
          <cell r="A1610" t="str">
            <v>POSMRT10578</v>
          </cell>
          <cell r="B1610">
            <v>1609</v>
          </cell>
          <cell r="C1610"/>
          <cell r="D1610"/>
          <cell r="E1610"/>
          <cell r="F1610"/>
          <cell r="G1610" t="str">
            <v>E. Other Business</v>
          </cell>
          <cell r="H1610" t="str">
            <v>Other Business</v>
          </cell>
          <cell r="I1610" t="str">
            <v>POS Migration</v>
          </cell>
        </row>
        <row r="1611">
          <cell r="A1611" t="str">
            <v>POSMRT10579</v>
          </cell>
          <cell r="B1611">
            <v>1610</v>
          </cell>
          <cell r="C1611"/>
          <cell r="D1611"/>
          <cell r="E1611"/>
          <cell r="F1611"/>
          <cell r="G1611" t="str">
            <v>E. Other Business</v>
          </cell>
          <cell r="H1611" t="str">
            <v>Other Business</v>
          </cell>
          <cell r="I1611" t="str">
            <v>POS Migration</v>
          </cell>
        </row>
        <row r="1612">
          <cell r="A1612" t="str">
            <v>POSMBK10580</v>
          </cell>
          <cell r="B1612">
            <v>1611</v>
          </cell>
          <cell r="C1612"/>
          <cell r="D1612"/>
          <cell r="E1612"/>
          <cell r="F1612"/>
          <cell r="G1612" t="str">
            <v>E. Other Business</v>
          </cell>
          <cell r="H1612" t="str">
            <v>Other Business</v>
          </cell>
          <cell r="I1612" t="str">
            <v>POS Migration</v>
          </cell>
        </row>
        <row r="1613">
          <cell r="A1613" t="str">
            <v>POSMRT10581</v>
          </cell>
          <cell r="B1613">
            <v>1612</v>
          </cell>
          <cell r="C1613"/>
          <cell r="D1613"/>
          <cell r="E1613"/>
          <cell r="F1613"/>
          <cell r="G1613" t="str">
            <v>E. Other Business</v>
          </cell>
          <cell r="H1613" t="str">
            <v>Other Business</v>
          </cell>
          <cell r="I1613" t="str">
            <v>POS Migration</v>
          </cell>
        </row>
        <row r="1614">
          <cell r="A1614" t="str">
            <v>POSMRT10582</v>
          </cell>
          <cell r="B1614">
            <v>1613</v>
          </cell>
          <cell r="C1614"/>
          <cell r="D1614"/>
          <cell r="E1614"/>
          <cell r="F1614"/>
          <cell r="G1614" t="str">
            <v>E. Other Business</v>
          </cell>
          <cell r="H1614" t="str">
            <v>Other Business</v>
          </cell>
          <cell r="I1614" t="str">
            <v>POS Migration</v>
          </cell>
        </row>
        <row r="1615">
          <cell r="A1615" t="str">
            <v>POSMRT10583</v>
          </cell>
          <cell r="B1615">
            <v>1614</v>
          </cell>
          <cell r="C1615"/>
          <cell r="D1615"/>
          <cell r="E1615"/>
          <cell r="F1615"/>
          <cell r="G1615" t="str">
            <v>E. Other Business</v>
          </cell>
          <cell r="H1615" t="str">
            <v>Other Business</v>
          </cell>
          <cell r="I1615" t="str">
            <v>POS Migration</v>
          </cell>
        </row>
        <row r="1616">
          <cell r="A1616" t="str">
            <v>POSMRT10584</v>
          </cell>
          <cell r="B1616">
            <v>1615</v>
          </cell>
          <cell r="C1616"/>
          <cell r="D1616"/>
          <cell r="E1616"/>
          <cell r="F1616"/>
          <cell r="G1616" t="str">
            <v>E. Other Business</v>
          </cell>
          <cell r="H1616" t="str">
            <v>Other Business</v>
          </cell>
          <cell r="I1616" t="str">
            <v>POS Migration</v>
          </cell>
        </row>
        <row r="1617">
          <cell r="A1617" t="str">
            <v>POSMAS10585</v>
          </cell>
          <cell r="B1617">
            <v>1616</v>
          </cell>
          <cell r="C1617"/>
          <cell r="D1617"/>
          <cell r="E1617"/>
          <cell r="F1617"/>
          <cell r="G1617" t="str">
            <v>E. Other Business</v>
          </cell>
          <cell r="H1617" t="str">
            <v>Other Business</v>
          </cell>
          <cell r="I1617" t="str">
            <v>POS Migration</v>
          </cell>
        </row>
        <row r="1618">
          <cell r="A1618" t="str">
            <v>POSMRT10586</v>
          </cell>
          <cell r="B1618">
            <v>1617</v>
          </cell>
          <cell r="C1618"/>
          <cell r="D1618"/>
          <cell r="E1618"/>
          <cell r="F1618"/>
          <cell r="G1618" t="str">
            <v>E. Other Business</v>
          </cell>
          <cell r="H1618" t="str">
            <v>Other Business</v>
          </cell>
          <cell r="I1618" t="str">
            <v>POS Migration</v>
          </cell>
        </row>
        <row r="1619">
          <cell r="A1619" t="str">
            <v>POSMRT10587</v>
          </cell>
          <cell r="B1619">
            <v>1618</v>
          </cell>
          <cell r="C1619"/>
          <cell r="D1619"/>
          <cell r="E1619"/>
          <cell r="F1619"/>
          <cell r="G1619" t="str">
            <v>E. Other Business</v>
          </cell>
          <cell r="H1619" t="str">
            <v>Other Business</v>
          </cell>
          <cell r="I1619" t="str">
            <v>POS Migration</v>
          </cell>
        </row>
        <row r="1620">
          <cell r="A1620" t="str">
            <v>POSMRT10588</v>
          </cell>
          <cell r="B1620">
            <v>1619</v>
          </cell>
          <cell r="C1620"/>
          <cell r="D1620"/>
          <cell r="E1620"/>
          <cell r="F1620"/>
          <cell r="G1620" t="str">
            <v>E. Other Business</v>
          </cell>
          <cell r="H1620" t="str">
            <v>Other Business</v>
          </cell>
          <cell r="I1620" t="str">
            <v>POS Migration</v>
          </cell>
        </row>
        <row r="1621">
          <cell r="A1621" t="str">
            <v>POSMRT10589</v>
          </cell>
          <cell r="B1621">
            <v>1620</v>
          </cell>
          <cell r="C1621"/>
          <cell r="D1621"/>
          <cell r="E1621"/>
          <cell r="F1621"/>
          <cell r="G1621" t="str">
            <v>E. Other Business</v>
          </cell>
          <cell r="H1621" t="str">
            <v>Other Business</v>
          </cell>
          <cell r="I1621" t="str">
            <v>POS Migration</v>
          </cell>
        </row>
        <row r="1622">
          <cell r="A1622" t="str">
            <v>POSMRT10590</v>
          </cell>
          <cell r="B1622">
            <v>1621</v>
          </cell>
          <cell r="C1622"/>
          <cell r="D1622"/>
          <cell r="E1622"/>
          <cell r="F1622"/>
          <cell r="G1622" t="str">
            <v>E. Other Business</v>
          </cell>
          <cell r="H1622" t="str">
            <v>Other Business</v>
          </cell>
          <cell r="I1622" t="str">
            <v>POS Migration</v>
          </cell>
        </row>
        <row r="1623">
          <cell r="A1623" t="str">
            <v>POSMRT10591</v>
          </cell>
          <cell r="B1623">
            <v>1622</v>
          </cell>
          <cell r="C1623"/>
          <cell r="D1623"/>
          <cell r="E1623"/>
          <cell r="F1623"/>
          <cell r="G1623" t="str">
            <v>E. Other Business</v>
          </cell>
          <cell r="H1623" t="str">
            <v>Other Business</v>
          </cell>
          <cell r="I1623" t="str">
            <v>POS Migration</v>
          </cell>
        </row>
        <row r="1624">
          <cell r="A1624" t="str">
            <v>POSMRT10592</v>
          </cell>
          <cell r="B1624">
            <v>1623</v>
          </cell>
          <cell r="C1624"/>
          <cell r="D1624"/>
          <cell r="E1624"/>
          <cell r="F1624"/>
          <cell r="G1624" t="str">
            <v>E. Other Business</v>
          </cell>
          <cell r="H1624" t="str">
            <v>Other Business</v>
          </cell>
          <cell r="I1624" t="str">
            <v>POS Migration</v>
          </cell>
        </row>
        <row r="1625">
          <cell r="A1625" t="str">
            <v>POSMRT10593</v>
          </cell>
          <cell r="B1625">
            <v>1624</v>
          </cell>
          <cell r="C1625"/>
          <cell r="D1625"/>
          <cell r="E1625"/>
          <cell r="F1625"/>
          <cell r="G1625" t="str">
            <v>E. Other Business</v>
          </cell>
          <cell r="H1625" t="str">
            <v>Other Business</v>
          </cell>
          <cell r="I1625" t="str">
            <v>POS Migration</v>
          </cell>
        </row>
        <row r="1626">
          <cell r="A1626" t="str">
            <v>POSMRT10594</v>
          </cell>
          <cell r="B1626">
            <v>1625</v>
          </cell>
          <cell r="C1626"/>
          <cell r="D1626"/>
          <cell r="E1626"/>
          <cell r="F1626"/>
          <cell r="G1626" t="str">
            <v>E. Other Business</v>
          </cell>
          <cell r="H1626" t="str">
            <v>Other Business</v>
          </cell>
          <cell r="I1626" t="str">
            <v>POS Migration</v>
          </cell>
        </row>
        <row r="1627">
          <cell r="A1627" t="str">
            <v>POSMRT10595</v>
          </cell>
          <cell r="B1627">
            <v>1626</v>
          </cell>
          <cell r="C1627"/>
          <cell r="D1627"/>
          <cell r="E1627"/>
          <cell r="F1627"/>
          <cell r="G1627" t="str">
            <v>E. Other Business</v>
          </cell>
          <cell r="H1627" t="str">
            <v>Other Business</v>
          </cell>
          <cell r="I1627" t="str">
            <v>POS Migration</v>
          </cell>
        </row>
        <row r="1628">
          <cell r="A1628" t="str">
            <v>POSMSD10596</v>
          </cell>
          <cell r="B1628">
            <v>1627</v>
          </cell>
          <cell r="C1628"/>
          <cell r="D1628"/>
          <cell r="E1628"/>
          <cell r="F1628"/>
          <cell r="G1628" t="str">
            <v>E. Other Business</v>
          </cell>
          <cell r="H1628" t="str">
            <v>Other Business</v>
          </cell>
          <cell r="I1628" t="str">
            <v>POS Migration</v>
          </cell>
        </row>
        <row r="1629">
          <cell r="A1629" t="str">
            <v>POSMRT10597</v>
          </cell>
          <cell r="B1629">
            <v>1628</v>
          </cell>
          <cell r="C1629"/>
          <cell r="D1629"/>
          <cell r="E1629"/>
          <cell r="F1629"/>
          <cell r="G1629" t="str">
            <v>E. Other Business</v>
          </cell>
          <cell r="H1629" t="str">
            <v>Other Business</v>
          </cell>
          <cell r="I1629" t="str">
            <v>POS Migration</v>
          </cell>
        </row>
        <row r="1630">
          <cell r="A1630" t="str">
            <v>POSMRT10598</v>
          </cell>
          <cell r="B1630">
            <v>1629</v>
          </cell>
          <cell r="C1630"/>
          <cell r="D1630"/>
          <cell r="E1630"/>
          <cell r="F1630"/>
          <cell r="G1630" t="str">
            <v>E. Other Business</v>
          </cell>
          <cell r="H1630" t="str">
            <v>Other Business</v>
          </cell>
          <cell r="I1630" t="str">
            <v>POS Migration</v>
          </cell>
        </row>
        <row r="1631">
          <cell r="A1631" t="str">
            <v>POSMRT10599</v>
          </cell>
          <cell r="B1631">
            <v>1630</v>
          </cell>
          <cell r="C1631"/>
          <cell r="D1631"/>
          <cell r="E1631"/>
          <cell r="F1631"/>
          <cell r="G1631" t="str">
            <v>E. Other Business</v>
          </cell>
          <cell r="H1631" t="str">
            <v>Other Business</v>
          </cell>
          <cell r="I1631" t="str">
            <v>POS Migration</v>
          </cell>
        </row>
        <row r="1632">
          <cell r="A1632" t="str">
            <v>POSMRT10600</v>
          </cell>
          <cell r="B1632">
            <v>1631</v>
          </cell>
          <cell r="C1632"/>
          <cell r="D1632"/>
          <cell r="E1632"/>
          <cell r="F1632"/>
          <cell r="G1632" t="str">
            <v>E. Other Business</v>
          </cell>
          <cell r="H1632" t="str">
            <v>Other Business</v>
          </cell>
          <cell r="I1632" t="str">
            <v>POS Migration</v>
          </cell>
        </row>
        <row r="1633">
          <cell r="A1633" t="str">
            <v>POSMRT10601</v>
          </cell>
          <cell r="B1633">
            <v>1632</v>
          </cell>
          <cell r="C1633"/>
          <cell r="D1633"/>
          <cell r="E1633"/>
          <cell r="F1633"/>
          <cell r="G1633" t="str">
            <v>E. Other Business</v>
          </cell>
          <cell r="H1633" t="str">
            <v>Other Business</v>
          </cell>
          <cell r="I1633" t="str">
            <v>POS Migration</v>
          </cell>
        </row>
        <row r="1634">
          <cell r="A1634" t="str">
            <v>POSMRT10602</v>
          </cell>
          <cell r="B1634">
            <v>1633</v>
          </cell>
          <cell r="C1634"/>
          <cell r="D1634"/>
          <cell r="E1634"/>
          <cell r="F1634"/>
          <cell r="G1634" t="str">
            <v>E. Other Business</v>
          </cell>
          <cell r="H1634" t="str">
            <v>Other Business</v>
          </cell>
          <cell r="I1634" t="str">
            <v>POS Migration</v>
          </cell>
        </row>
        <row r="1635">
          <cell r="A1635" t="str">
            <v>POSMRT10603</v>
          </cell>
          <cell r="B1635">
            <v>1634</v>
          </cell>
          <cell r="C1635"/>
          <cell r="D1635"/>
          <cell r="E1635"/>
          <cell r="F1635"/>
          <cell r="G1635" t="str">
            <v>E. Other Business</v>
          </cell>
          <cell r="H1635" t="str">
            <v>Other Business</v>
          </cell>
          <cell r="I1635" t="str">
            <v>POS Migration</v>
          </cell>
        </row>
        <row r="1636">
          <cell r="A1636" t="str">
            <v>POSMRT10604</v>
          </cell>
          <cell r="B1636">
            <v>1635</v>
          </cell>
          <cell r="C1636"/>
          <cell r="D1636"/>
          <cell r="E1636"/>
          <cell r="F1636"/>
          <cell r="G1636" t="str">
            <v>E. Other Business</v>
          </cell>
          <cell r="H1636" t="str">
            <v>Other Business</v>
          </cell>
          <cell r="I1636" t="str">
            <v>POS Migration</v>
          </cell>
        </row>
        <row r="1637">
          <cell r="A1637" t="str">
            <v>SB2BAK10883</v>
          </cell>
          <cell r="B1637">
            <v>1636</v>
          </cell>
          <cell r="C1637"/>
          <cell r="D1637"/>
          <cell r="E1637"/>
          <cell r="F1637"/>
          <cell r="G1637" t="str">
            <v>F. SCM</v>
          </cell>
          <cell r="H1637" t="str">
            <v>SCM BF</v>
          </cell>
          <cell r="I1637" t="str">
            <v>B2B</v>
          </cell>
        </row>
        <row r="1638">
          <cell r="A1638" t="str">
            <v>SB2BAK10886</v>
          </cell>
          <cell r="B1638">
            <v>1637</v>
          </cell>
          <cell r="C1638"/>
          <cell r="D1638"/>
          <cell r="E1638"/>
          <cell r="F1638"/>
          <cell r="G1638" t="str">
            <v>F. SCM</v>
          </cell>
          <cell r="H1638" t="str">
            <v>SCM BF</v>
          </cell>
          <cell r="I1638" t="str">
            <v>B2B</v>
          </cell>
        </row>
        <row r="1639">
          <cell r="A1639" t="str">
            <v>SB2CKC10990</v>
          </cell>
          <cell r="B1639">
            <v>1638</v>
          </cell>
          <cell r="C1639"/>
          <cell r="D1639"/>
          <cell r="E1639"/>
          <cell r="F1639"/>
          <cell r="G1639" t="str">
            <v>F. SCM</v>
          </cell>
          <cell r="H1639" t="str">
            <v>SCM BF</v>
          </cell>
          <cell r="I1639" t="str">
            <v>B2C</v>
          </cell>
        </row>
        <row r="1640">
          <cell r="A1640" t="str">
            <v>BEDCKC4859</v>
          </cell>
          <cell r="B1640">
            <v>1639</v>
          </cell>
          <cell r="C1640"/>
          <cell r="D1640"/>
          <cell r="E1640" t="str">
            <v>Q4VQ</v>
          </cell>
          <cell r="F1640" t="str">
            <v>DCDCMQ4VQ00</v>
          </cell>
          <cell r="G1640" t="str">
            <v>F. SCM</v>
          </cell>
          <cell r="H1640" t="str">
            <v>SCM BF</v>
          </cell>
          <cell r="I1640" t="str">
            <v>Beauty DC</v>
          </cell>
        </row>
        <row r="1641">
          <cell r="A1641" t="str">
            <v>BEDCKC10997</v>
          </cell>
          <cell r="B1641">
            <v>1640</v>
          </cell>
          <cell r="C1641"/>
          <cell r="D1641"/>
          <cell r="E1641"/>
          <cell r="F1641"/>
          <cell r="G1641" t="str">
            <v>F. SCM</v>
          </cell>
          <cell r="H1641" t="str">
            <v>SCM BF</v>
          </cell>
          <cell r="I1641" t="str">
            <v>Beauty DC</v>
          </cell>
        </row>
        <row r="1642">
          <cell r="A1642" t="str">
            <v>BEDCKC11000</v>
          </cell>
          <cell r="B1642">
            <v>1641</v>
          </cell>
          <cell r="C1642"/>
          <cell r="D1642"/>
          <cell r="E1642"/>
          <cell r="F1642"/>
          <cell r="G1642" t="str">
            <v>F. SCM</v>
          </cell>
          <cell r="H1642" t="str">
            <v>SCM BF</v>
          </cell>
          <cell r="I1642" t="str">
            <v>Beauty DC</v>
          </cell>
        </row>
        <row r="1643">
          <cell r="A1643" t="str">
            <v>SCOCAK11138</v>
          </cell>
          <cell r="B1643">
            <v>1642</v>
          </cell>
          <cell r="C1643"/>
          <cell r="D1643"/>
          <cell r="E1643"/>
          <cell r="F1643"/>
          <cell r="G1643" t="str">
            <v>F. SCM</v>
          </cell>
          <cell r="H1643" t="str">
            <v>SCM BF</v>
          </cell>
          <cell r="I1643" t="str">
            <v>Collection centre</v>
          </cell>
        </row>
        <row r="1644">
          <cell r="A1644" t="str">
            <v>SCPCKC5168</v>
          </cell>
          <cell r="B1644">
            <v>1643</v>
          </cell>
          <cell r="C1644"/>
          <cell r="D1644"/>
          <cell r="E1644" t="str">
            <v>QKBK</v>
          </cell>
          <cell r="F1644" t="str">
            <v>CPC1UQKBK00</v>
          </cell>
          <cell r="G1644" t="str">
            <v>F. SCM</v>
          </cell>
          <cell r="H1644" t="str">
            <v>SCM BF</v>
          </cell>
          <cell r="I1644" t="str">
            <v>CPC</v>
          </cell>
        </row>
        <row r="1645">
          <cell r="A1645" t="str">
            <v>SCPCKC10648</v>
          </cell>
          <cell r="B1645">
            <v>1644</v>
          </cell>
          <cell r="C1645"/>
          <cell r="D1645"/>
          <cell r="E1645"/>
          <cell r="F1645"/>
          <cell r="G1645" t="str">
            <v>F. SCM</v>
          </cell>
          <cell r="H1645" t="str">
            <v>SCM BF</v>
          </cell>
          <cell r="I1645" t="str">
            <v>CPC</v>
          </cell>
        </row>
        <row r="1646">
          <cell r="A1646" t="str">
            <v>SCPCAK10879</v>
          </cell>
          <cell r="B1646">
            <v>1645</v>
          </cell>
          <cell r="C1646"/>
          <cell r="D1646"/>
          <cell r="E1646"/>
          <cell r="F1646"/>
          <cell r="G1646" t="str">
            <v>F. SCM</v>
          </cell>
          <cell r="H1646" t="str">
            <v>SCM BF</v>
          </cell>
          <cell r="I1646" t="str">
            <v>CPC</v>
          </cell>
        </row>
        <row r="1647">
          <cell r="A1647" t="str">
            <v>SCPCSD10880</v>
          </cell>
          <cell r="B1647">
            <v>1646</v>
          </cell>
          <cell r="C1647"/>
          <cell r="D1647"/>
          <cell r="E1647"/>
          <cell r="F1647"/>
          <cell r="G1647" t="str">
            <v>F. SCM</v>
          </cell>
          <cell r="H1647" t="str">
            <v>SCM BF</v>
          </cell>
          <cell r="I1647" t="str">
            <v>CPC</v>
          </cell>
        </row>
        <row r="1648">
          <cell r="A1648" t="str">
            <v>SCPCAK10884</v>
          </cell>
          <cell r="B1648">
            <v>1647</v>
          </cell>
          <cell r="C1648"/>
          <cell r="D1648"/>
          <cell r="E1648"/>
          <cell r="F1648"/>
          <cell r="G1648" t="str">
            <v>F. SCM</v>
          </cell>
          <cell r="H1648" t="str">
            <v>SCM BF</v>
          </cell>
          <cell r="I1648" t="str">
            <v>CPC</v>
          </cell>
        </row>
        <row r="1649">
          <cell r="A1649" t="str">
            <v>SCPCAK10893</v>
          </cell>
          <cell r="B1649">
            <v>1648</v>
          </cell>
          <cell r="C1649"/>
          <cell r="D1649"/>
          <cell r="E1649"/>
          <cell r="F1649"/>
          <cell r="G1649" t="str">
            <v>F. SCM</v>
          </cell>
          <cell r="H1649" t="str">
            <v>SCM BF</v>
          </cell>
          <cell r="I1649" t="str">
            <v>CPC</v>
          </cell>
        </row>
        <row r="1650">
          <cell r="A1650" t="str">
            <v>SCPCAK10894</v>
          </cell>
          <cell r="B1650">
            <v>1649</v>
          </cell>
          <cell r="C1650"/>
          <cell r="D1650"/>
          <cell r="E1650"/>
          <cell r="F1650"/>
          <cell r="G1650" t="str">
            <v>F. SCM</v>
          </cell>
          <cell r="H1650" t="str">
            <v>SCM BF</v>
          </cell>
          <cell r="I1650" t="str">
            <v>CPC</v>
          </cell>
        </row>
        <row r="1651">
          <cell r="A1651" t="str">
            <v>SCPCAK10906</v>
          </cell>
          <cell r="B1651">
            <v>1650</v>
          </cell>
          <cell r="C1651"/>
          <cell r="D1651"/>
          <cell r="E1651"/>
          <cell r="F1651"/>
          <cell r="G1651" t="str">
            <v>F. SCM</v>
          </cell>
          <cell r="H1651" t="str">
            <v>SCM BF</v>
          </cell>
          <cell r="I1651" t="str">
            <v>CPC</v>
          </cell>
        </row>
        <row r="1652">
          <cell r="A1652" t="str">
            <v>SCPCKC11007</v>
          </cell>
          <cell r="B1652">
            <v>1651</v>
          </cell>
          <cell r="C1652"/>
          <cell r="D1652"/>
          <cell r="E1652"/>
          <cell r="F1652"/>
          <cell r="G1652" t="str">
            <v>F. SCM</v>
          </cell>
          <cell r="H1652" t="str">
            <v>SCM BF</v>
          </cell>
          <cell r="I1652" t="str">
            <v>CPC</v>
          </cell>
        </row>
        <row r="1653">
          <cell r="A1653" t="str">
            <v>SCPCKC11009</v>
          </cell>
          <cell r="B1653">
            <v>1652</v>
          </cell>
          <cell r="C1653"/>
          <cell r="D1653"/>
          <cell r="E1653"/>
          <cell r="F1653"/>
          <cell r="G1653" t="str">
            <v>F. SCM</v>
          </cell>
          <cell r="H1653" t="str">
            <v>SCM BF</v>
          </cell>
          <cell r="I1653" t="str">
            <v>CPC</v>
          </cell>
        </row>
        <row r="1654">
          <cell r="A1654" t="str">
            <v>SCPCAK11021</v>
          </cell>
          <cell r="B1654">
            <v>1653</v>
          </cell>
          <cell r="C1654"/>
          <cell r="D1654"/>
          <cell r="E1654"/>
          <cell r="F1654"/>
          <cell r="G1654" t="str">
            <v>F. SCM</v>
          </cell>
          <cell r="H1654" t="str">
            <v>SCM BF</v>
          </cell>
          <cell r="I1654" t="str">
            <v>CPC</v>
          </cell>
        </row>
        <row r="1655">
          <cell r="A1655" t="str">
            <v>SCPCKC11254</v>
          </cell>
          <cell r="B1655">
            <v>1654</v>
          </cell>
          <cell r="C1655"/>
          <cell r="D1655"/>
          <cell r="E1655"/>
          <cell r="F1655"/>
          <cell r="G1655" t="str">
            <v>F. SCM</v>
          </cell>
          <cell r="H1655" t="str">
            <v>SCM BF</v>
          </cell>
          <cell r="I1655" t="str">
            <v>CPC</v>
          </cell>
        </row>
        <row r="1656">
          <cell r="A1656" t="str">
            <v>DEVDAK10895</v>
          </cell>
          <cell r="B1656">
            <v>1655</v>
          </cell>
          <cell r="C1656"/>
          <cell r="D1656"/>
          <cell r="E1656"/>
          <cell r="F1656"/>
          <cell r="G1656" t="str">
            <v>F. SCM</v>
          </cell>
          <cell r="H1656" t="str">
            <v>SCM BF</v>
          </cell>
          <cell r="I1656" t="str">
            <v>Device DC</v>
          </cell>
        </row>
        <row r="1657">
          <cell r="A1657" t="str">
            <v>DEVDAK10896</v>
          </cell>
          <cell r="B1657">
            <v>1656</v>
          </cell>
          <cell r="C1657"/>
          <cell r="D1657"/>
          <cell r="E1657"/>
          <cell r="F1657"/>
          <cell r="G1657" t="str">
            <v>F. SCM</v>
          </cell>
          <cell r="H1657" t="str">
            <v>SCM BF</v>
          </cell>
          <cell r="I1657" t="str">
            <v>Device DC</v>
          </cell>
        </row>
        <row r="1658">
          <cell r="A1658" t="str">
            <v>DEVDAK10898</v>
          </cell>
          <cell r="B1658">
            <v>1657</v>
          </cell>
          <cell r="C1658"/>
          <cell r="D1658"/>
          <cell r="E1658"/>
          <cell r="F1658"/>
          <cell r="G1658" t="str">
            <v>F. SCM</v>
          </cell>
          <cell r="H1658" t="str">
            <v>SCM BF</v>
          </cell>
          <cell r="I1658" t="str">
            <v>Device DC</v>
          </cell>
        </row>
        <row r="1659">
          <cell r="A1659" t="str">
            <v>DEVDAK10905</v>
          </cell>
          <cell r="B1659">
            <v>1658</v>
          </cell>
          <cell r="C1659"/>
          <cell r="D1659"/>
          <cell r="E1659"/>
          <cell r="F1659"/>
          <cell r="G1659" t="str">
            <v>F. SCM</v>
          </cell>
          <cell r="H1659" t="str">
            <v>SCM BF</v>
          </cell>
          <cell r="I1659" t="str">
            <v>Device DC</v>
          </cell>
        </row>
        <row r="1660">
          <cell r="A1660" t="str">
            <v>DIDCAK10882</v>
          </cell>
          <cell r="B1660">
            <v>1659</v>
          </cell>
          <cell r="C1660"/>
          <cell r="D1660"/>
          <cell r="E1660"/>
          <cell r="F1660"/>
          <cell r="G1660" t="str">
            <v>F. SCM</v>
          </cell>
          <cell r="H1660" t="str">
            <v>SCM BF</v>
          </cell>
          <cell r="I1660" t="str">
            <v>Digital DC</v>
          </cell>
        </row>
        <row r="1661">
          <cell r="A1661" t="str">
            <v>DIDCAK10900</v>
          </cell>
          <cell r="B1661">
            <v>1660</v>
          </cell>
          <cell r="C1661"/>
          <cell r="D1661"/>
          <cell r="E1661"/>
          <cell r="F1661"/>
          <cell r="G1661" t="str">
            <v>F. SCM</v>
          </cell>
          <cell r="H1661" t="str">
            <v>SCM BF</v>
          </cell>
          <cell r="I1661" t="str">
            <v>Digital DC</v>
          </cell>
        </row>
        <row r="1662">
          <cell r="A1662" t="str">
            <v>DIDCKC10994</v>
          </cell>
          <cell r="B1662">
            <v>1661</v>
          </cell>
          <cell r="C1662"/>
          <cell r="D1662"/>
          <cell r="E1662"/>
          <cell r="F1662"/>
          <cell r="G1662" t="str">
            <v>F. SCM</v>
          </cell>
          <cell r="H1662" t="str">
            <v>SCM BF</v>
          </cell>
          <cell r="I1662" t="str">
            <v>Digital DC</v>
          </cell>
        </row>
        <row r="1663">
          <cell r="A1663" t="str">
            <v>DIDCKC11055</v>
          </cell>
          <cell r="B1663">
            <v>1662</v>
          </cell>
          <cell r="C1663"/>
          <cell r="D1663"/>
          <cell r="E1663"/>
          <cell r="F1663"/>
          <cell r="G1663" t="str">
            <v>F. SCM</v>
          </cell>
          <cell r="H1663" t="str">
            <v>SCM BF</v>
          </cell>
          <cell r="I1663" t="str">
            <v>Digital DC</v>
          </cell>
        </row>
        <row r="1664">
          <cell r="A1664" t="str">
            <v>DIDCKC11253</v>
          </cell>
          <cell r="B1664">
            <v>1663</v>
          </cell>
          <cell r="C1664"/>
          <cell r="D1664"/>
          <cell r="E1664"/>
          <cell r="F1664"/>
          <cell r="G1664" t="str">
            <v>F. SCM</v>
          </cell>
          <cell r="H1664" t="str">
            <v>SCM BF</v>
          </cell>
          <cell r="I1664" t="str">
            <v>Digital DC</v>
          </cell>
        </row>
        <row r="1665">
          <cell r="A1665" t="str">
            <v>DIDCKC11261</v>
          </cell>
          <cell r="B1665">
            <v>1664</v>
          </cell>
          <cell r="C1665"/>
          <cell r="D1665"/>
          <cell r="E1665"/>
          <cell r="F1665"/>
          <cell r="G1665" t="str">
            <v>F. SCM</v>
          </cell>
          <cell r="H1665" t="str">
            <v>SCM BF</v>
          </cell>
          <cell r="I1665" t="str">
            <v>Digital DC</v>
          </cell>
        </row>
        <row r="1666">
          <cell r="A1666" t="str">
            <v>FLDCAK10891</v>
          </cell>
          <cell r="B1666">
            <v>1665</v>
          </cell>
          <cell r="C1666"/>
          <cell r="D1666"/>
          <cell r="E1666"/>
          <cell r="F1666"/>
          <cell r="G1666" t="str">
            <v>F. SCM</v>
          </cell>
          <cell r="H1666" t="str">
            <v>SCM BF</v>
          </cell>
          <cell r="I1666" t="str">
            <v>F&amp;L DC</v>
          </cell>
        </row>
        <row r="1667">
          <cell r="A1667" t="str">
            <v>FLDCKC10995</v>
          </cell>
          <cell r="B1667">
            <v>1666</v>
          </cell>
          <cell r="C1667"/>
          <cell r="D1667"/>
          <cell r="E1667"/>
          <cell r="F1667"/>
          <cell r="G1667" t="str">
            <v>F. SCM</v>
          </cell>
          <cell r="H1667" t="str">
            <v>SCM BF</v>
          </cell>
          <cell r="I1667" t="str">
            <v>F&amp;L DC</v>
          </cell>
        </row>
        <row r="1668">
          <cell r="A1668" t="str">
            <v>SCFCKC11002</v>
          </cell>
          <cell r="B1668">
            <v>1667</v>
          </cell>
          <cell r="C1668"/>
          <cell r="D1668"/>
          <cell r="E1668"/>
          <cell r="F1668"/>
          <cell r="G1668" t="str">
            <v>F. SCM</v>
          </cell>
          <cell r="H1668" t="str">
            <v>SCM BF</v>
          </cell>
          <cell r="I1668" t="str">
            <v>FC</v>
          </cell>
        </row>
        <row r="1669">
          <cell r="A1669" t="str">
            <v>GROCAK10887</v>
          </cell>
          <cell r="B1669">
            <v>1668</v>
          </cell>
          <cell r="C1669"/>
          <cell r="D1669"/>
          <cell r="E1669"/>
          <cell r="F1669"/>
          <cell r="G1669" t="str">
            <v>F. SCM</v>
          </cell>
          <cell r="H1669" t="str">
            <v>SCM BF</v>
          </cell>
          <cell r="I1669" t="str">
            <v>Groceries</v>
          </cell>
        </row>
        <row r="1670">
          <cell r="A1670" t="str">
            <v>JEDCKC11005</v>
          </cell>
          <cell r="B1670">
            <v>1669</v>
          </cell>
          <cell r="C1670"/>
          <cell r="D1670"/>
          <cell r="E1670"/>
          <cell r="F1670"/>
          <cell r="G1670" t="str">
            <v>F. SCM</v>
          </cell>
          <cell r="H1670" t="str">
            <v>SCM BF</v>
          </cell>
          <cell r="I1670" t="str">
            <v>Jewels DC</v>
          </cell>
        </row>
        <row r="1671">
          <cell r="A1671" t="str">
            <v>JIDCKC5161</v>
          </cell>
          <cell r="B1671">
            <v>1670</v>
          </cell>
          <cell r="C1671"/>
          <cell r="D1671"/>
          <cell r="E1671"/>
          <cell r="F1671"/>
          <cell r="G1671" t="str">
            <v>F. SCM</v>
          </cell>
          <cell r="H1671" t="str">
            <v>SCM BF</v>
          </cell>
          <cell r="I1671" t="str">
            <v>Jio DC</v>
          </cell>
        </row>
        <row r="1672">
          <cell r="A1672" t="str">
            <v>JIDCKC11251</v>
          </cell>
          <cell r="B1672">
            <v>1671</v>
          </cell>
          <cell r="C1672"/>
          <cell r="D1672"/>
          <cell r="E1672"/>
          <cell r="F1672"/>
          <cell r="G1672" t="str">
            <v>F. SCM</v>
          </cell>
          <cell r="H1672" t="str">
            <v>SCM BF</v>
          </cell>
          <cell r="I1672" t="str">
            <v>Jio DC</v>
          </cell>
        </row>
        <row r="1673">
          <cell r="A1673" t="str">
            <v>CNCMAK5165</v>
          </cell>
          <cell r="B1673">
            <v>1672</v>
          </cell>
          <cell r="C1673"/>
          <cell r="D1673"/>
          <cell r="E1673"/>
          <cell r="F1673"/>
          <cell r="G1673" t="str">
            <v>F. SCM</v>
          </cell>
          <cell r="H1673" t="str">
            <v>SCM</v>
          </cell>
          <cell r="I1673" t="str">
            <v>Metro</v>
          </cell>
        </row>
        <row r="1674">
          <cell r="A1674" t="str">
            <v>CNCMKC5166</v>
          </cell>
          <cell r="B1674">
            <v>1673</v>
          </cell>
          <cell r="C1674"/>
          <cell r="D1674"/>
          <cell r="E1674"/>
          <cell r="F1674"/>
          <cell r="G1674" t="str">
            <v>F. SCM</v>
          </cell>
          <cell r="H1674" t="str">
            <v>SCM</v>
          </cell>
          <cell r="I1674" t="str">
            <v>Metro</v>
          </cell>
        </row>
        <row r="1675">
          <cell r="A1675" t="str">
            <v>METRKC11006</v>
          </cell>
          <cell r="B1675">
            <v>1674</v>
          </cell>
          <cell r="C1675"/>
          <cell r="D1675"/>
          <cell r="E1675"/>
          <cell r="F1675"/>
          <cell r="G1675" t="str">
            <v>F. SCM</v>
          </cell>
          <cell r="H1675" t="str">
            <v>SCM</v>
          </cell>
          <cell r="I1675" t="str">
            <v>Metro</v>
          </cell>
        </row>
        <row r="1676">
          <cell r="A1676" t="str">
            <v>METRKC11010</v>
          </cell>
          <cell r="B1676">
            <v>1675</v>
          </cell>
          <cell r="C1676"/>
          <cell r="D1676"/>
          <cell r="E1676"/>
          <cell r="F1676"/>
          <cell r="G1676" t="str">
            <v>F. SCM</v>
          </cell>
          <cell r="H1676" t="str">
            <v>SCM</v>
          </cell>
          <cell r="I1676" t="str">
            <v>Metro</v>
          </cell>
        </row>
        <row r="1677">
          <cell r="A1677" t="str">
            <v>METRAK11022</v>
          </cell>
          <cell r="B1677">
            <v>1676</v>
          </cell>
          <cell r="C1677"/>
          <cell r="D1677"/>
          <cell r="E1677"/>
          <cell r="F1677"/>
          <cell r="G1677" t="str">
            <v>F. SCM</v>
          </cell>
          <cell r="H1677" t="str">
            <v>SCM</v>
          </cell>
          <cell r="I1677" t="str">
            <v>Metro</v>
          </cell>
        </row>
        <row r="1678">
          <cell r="A1678" t="str">
            <v>METRAK11023</v>
          </cell>
          <cell r="B1678">
            <v>1677</v>
          </cell>
          <cell r="C1678"/>
          <cell r="D1678"/>
          <cell r="E1678"/>
          <cell r="F1678"/>
          <cell r="G1678" t="str">
            <v>F. SCM</v>
          </cell>
          <cell r="H1678" t="str">
            <v>SCM</v>
          </cell>
          <cell r="I1678" t="str">
            <v>Metro</v>
          </cell>
        </row>
        <row r="1679">
          <cell r="A1679" t="str">
            <v>METRAK11024</v>
          </cell>
          <cell r="B1679">
            <v>1678</v>
          </cell>
          <cell r="C1679"/>
          <cell r="D1679"/>
          <cell r="E1679"/>
          <cell r="F1679"/>
          <cell r="G1679" t="str">
            <v>F. SCM</v>
          </cell>
          <cell r="H1679" t="str">
            <v>SCM</v>
          </cell>
          <cell r="I1679" t="str">
            <v>Metro</v>
          </cell>
        </row>
        <row r="1680">
          <cell r="A1680" t="str">
            <v>METRAK11025</v>
          </cell>
          <cell r="B1680">
            <v>1679</v>
          </cell>
          <cell r="C1680"/>
          <cell r="D1680"/>
          <cell r="E1680"/>
          <cell r="F1680"/>
          <cell r="G1680" t="str">
            <v>F. SCM</v>
          </cell>
          <cell r="H1680" t="str">
            <v>SCM</v>
          </cell>
          <cell r="I1680" t="str">
            <v>Metro</v>
          </cell>
        </row>
        <row r="1681">
          <cell r="A1681" t="str">
            <v>METRAK11026</v>
          </cell>
          <cell r="B1681">
            <v>1680</v>
          </cell>
          <cell r="C1681"/>
          <cell r="D1681"/>
          <cell r="E1681"/>
          <cell r="F1681"/>
          <cell r="G1681" t="str">
            <v>F. SCM</v>
          </cell>
          <cell r="H1681" t="str">
            <v>SCM</v>
          </cell>
          <cell r="I1681" t="str">
            <v>Metro</v>
          </cell>
        </row>
        <row r="1682">
          <cell r="A1682" t="str">
            <v>METRAK11027</v>
          </cell>
          <cell r="B1682">
            <v>1681</v>
          </cell>
          <cell r="C1682"/>
          <cell r="D1682"/>
          <cell r="E1682"/>
          <cell r="F1682"/>
          <cell r="G1682" t="str">
            <v>F. SCM</v>
          </cell>
          <cell r="H1682" t="str">
            <v>SCM</v>
          </cell>
          <cell r="I1682" t="str">
            <v>Metro</v>
          </cell>
        </row>
        <row r="1683">
          <cell r="A1683" t="str">
            <v>METRAK11028</v>
          </cell>
          <cell r="B1683">
            <v>1682</v>
          </cell>
          <cell r="C1683"/>
          <cell r="D1683"/>
          <cell r="E1683"/>
          <cell r="F1683"/>
          <cell r="G1683" t="str">
            <v>F. SCM</v>
          </cell>
          <cell r="H1683" t="str">
            <v>SCM</v>
          </cell>
          <cell r="I1683" t="str">
            <v>Metro</v>
          </cell>
        </row>
        <row r="1684">
          <cell r="A1684" t="str">
            <v>METRAK11029</v>
          </cell>
          <cell r="B1684">
            <v>1683</v>
          </cell>
          <cell r="C1684"/>
          <cell r="D1684"/>
          <cell r="E1684"/>
          <cell r="F1684"/>
          <cell r="G1684" t="str">
            <v>F. SCM</v>
          </cell>
          <cell r="H1684" t="str">
            <v>SCM</v>
          </cell>
          <cell r="I1684" t="str">
            <v>Metro</v>
          </cell>
        </row>
        <row r="1685">
          <cell r="A1685" t="str">
            <v>METRAK11030</v>
          </cell>
          <cell r="B1685">
            <v>1684</v>
          </cell>
          <cell r="C1685"/>
          <cell r="D1685"/>
          <cell r="E1685"/>
          <cell r="F1685"/>
          <cell r="G1685" t="str">
            <v>F. SCM</v>
          </cell>
          <cell r="H1685" t="str">
            <v>SCM</v>
          </cell>
          <cell r="I1685" t="str">
            <v>Metro</v>
          </cell>
        </row>
        <row r="1686">
          <cell r="A1686" t="str">
            <v>METRAK11031</v>
          </cell>
          <cell r="B1686">
            <v>1685</v>
          </cell>
          <cell r="C1686"/>
          <cell r="D1686"/>
          <cell r="E1686"/>
          <cell r="F1686"/>
          <cell r="G1686" t="str">
            <v>F. SCM</v>
          </cell>
          <cell r="H1686" t="str">
            <v>SCM</v>
          </cell>
          <cell r="I1686" t="str">
            <v>Metro</v>
          </cell>
        </row>
        <row r="1687">
          <cell r="A1687" t="str">
            <v>METRAK11032</v>
          </cell>
          <cell r="B1687">
            <v>1686</v>
          </cell>
          <cell r="C1687"/>
          <cell r="D1687"/>
          <cell r="E1687"/>
          <cell r="F1687"/>
          <cell r="G1687" t="str">
            <v>F. SCM</v>
          </cell>
          <cell r="H1687" t="str">
            <v>SCM</v>
          </cell>
          <cell r="I1687" t="str">
            <v>Metro</v>
          </cell>
        </row>
        <row r="1688">
          <cell r="A1688" t="str">
            <v>METRAK11033</v>
          </cell>
          <cell r="B1688">
            <v>1687</v>
          </cell>
          <cell r="C1688"/>
          <cell r="D1688"/>
          <cell r="E1688"/>
          <cell r="F1688"/>
          <cell r="G1688" t="str">
            <v>F. SCM</v>
          </cell>
          <cell r="H1688" t="str">
            <v>SCM</v>
          </cell>
          <cell r="I1688" t="str">
            <v>Metro</v>
          </cell>
        </row>
        <row r="1689">
          <cell r="A1689" t="str">
            <v>METRAK11034</v>
          </cell>
          <cell r="B1689">
            <v>1688</v>
          </cell>
          <cell r="C1689"/>
          <cell r="D1689"/>
          <cell r="E1689"/>
          <cell r="F1689"/>
          <cell r="G1689" t="str">
            <v>F. SCM</v>
          </cell>
          <cell r="H1689" t="str">
            <v>SCM</v>
          </cell>
          <cell r="I1689" t="str">
            <v>Metro</v>
          </cell>
        </row>
        <row r="1690">
          <cell r="A1690" t="str">
            <v>METRAK11035</v>
          </cell>
          <cell r="B1690">
            <v>1689</v>
          </cell>
          <cell r="C1690"/>
          <cell r="D1690"/>
          <cell r="E1690"/>
          <cell r="F1690"/>
          <cell r="G1690" t="str">
            <v>F. SCM</v>
          </cell>
          <cell r="H1690" t="str">
            <v>SCM</v>
          </cell>
          <cell r="I1690" t="str">
            <v>Metro</v>
          </cell>
        </row>
        <row r="1691">
          <cell r="A1691" t="str">
            <v>METRAK11036</v>
          </cell>
          <cell r="B1691">
            <v>1690</v>
          </cell>
          <cell r="C1691"/>
          <cell r="D1691"/>
          <cell r="E1691"/>
          <cell r="F1691"/>
          <cell r="G1691" t="str">
            <v>F. SCM</v>
          </cell>
          <cell r="H1691" t="str">
            <v>SCM</v>
          </cell>
          <cell r="I1691" t="str">
            <v>Metro</v>
          </cell>
        </row>
        <row r="1692">
          <cell r="A1692" t="str">
            <v>METRAK11037</v>
          </cell>
          <cell r="B1692">
            <v>1691</v>
          </cell>
          <cell r="C1692"/>
          <cell r="D1692"/>
          <cell r="E1692"/>
          <cell r="F1692"/>
          <cell r="G1692" t="str">
            <v>F. SCM</v>
          </cell>
          <cell r="H1692" t="str">
            <v>SCM</v>
          </cell>
          <cell r="I1692" t="str">
            <v>Metro</v>
          </cell>
        </row>
        <row r="1693">
          <cell r="A1693" t="str">
            <v>METRAK11038</v>
          </cell>
          <cell r="B1693">
            <v>1692</v>
          </cell>
          <cell r="C1693"/>
          <cell r="D1693"/>
          <cell r="E1693"/>
          <cell r="F1693"/>
          <cell r="G1693" t="str">
            <v>F. SCM</v>
          </cell>
          <cell r="H1693" t="str">
            <v>SCM</v>
          </cell>
          <cell r="I1693" t="str">
            <v>Metro</v>
          </cell>
        </row>
        <row r="1694">
          <cell r="A1694" t="str">
            <v>METRAK11039</v>
          </cell>
          <cell r="B1694">
            <v>1693</v>
          </cell>
          <cell r="C1694"/>
          <cell r="D1694"/>
          <cell r="E1694"/>
          <cell r="F1694"/>
          <cell r="G1694" t="str">
            <v>F. SCM</v>
          </cell>
          <cell r="H1694" t="str">
            <v>SCM</v>
          </cell>
          <cell r="I1694" t="str">
            <v>Metro</v>
          </cell>
        </row>
        <row r="1695">
          <cell r="A1695" t="str">
            <v>METRAK11040</v>
          </cell>
          <cell r="B1695">
            <v>1694</v>
          </cell>
          <cell r="C1695"/>
          <cell r="D1695"/>
          <cell r="E1695"/>
          <cell r="F1695"/>
          <cell r="G1695" t="str">
            <v>F. SCM</v>
          </cell>
          <cell r="H1695" t="str">
            <v>SCM</v>
          </cell>
          <cell r="I1695" t="str">
            <v>Metro</v>
          </cell>
        </row>
        <row r="1696">
          <cell r="A1696" t="str">
            <v>METRAK11041</v>
          </cell>
          <cell r="B1696">
            <v>1695</v>
          </cell>
          <cell r="C1696"/>
          <cell r="D1696"/>
          <cell r="E1696"/>
          <cell r="F1696"/>
          <cell r="G1696" t="str">
            <v>F. SCM</v>
          </cell>
          <cell r="H1696" t="str">
            <v>SCM</v>
          </cell>
          <cell r="I1696" t="str">
            <v>Metro</v>
          </cell>
        </row>
        <row r="1697">
          <cell r="A1697" t="str">
            <v>METRAK11042</v>
          </cell>
          <cell r="B1697">
            <v>1696</v>
          </cell>
          <cell r="C1697"/>
          <cell r="D1697"/>
          <cell r="E1697"/>
          <cell r="F1697"/>
          <cell r="G1697" t="str">
            <v>F. SCM</v>
          </cell>
          <cell r="H1697" t="str">
            <v>SCM</v>
          </cell>
          <cell r="I1697" t="str">
            <v>Metro</v>
          </cell>
        </row>
        <row r="1698">
          <cell r="A1698" t="str">
            <v>METRAK11043</v>
          </cell>
          <cell r="B1698">
            <v>1697</v>
          </cell>
          <cell r="C1698"/>
          <cell r="D1698"/>
          <cell r="E1698"/>
          <cell r="F1698"/>
          <cell r="G1698" t="str">
            <v>F. SCM</v>
          </cell>
          <cell r="H1698" t="str">
            <v>SCM</v>
          </cell>
          <cell r="I1698" t="str">
            <v>Metro</v>
          </cell>
        </row>
        <row r="1699">
          <cell r="A1699" t="str">
            <v>METRAK11044</v>
          </cell>
          <cell r="B1699">
            <v>1698</v>
          </cell>
          <cell r="C1699"/>
          <cell r="D1699"/>
          <cell r="E1699"/>
          <cell r="F1699"/>
          <cell r="G1699" t="str">
            <v>F. SCM</v>
          </cell>
          <cell r="H1699" t="str">
            <v>SCM</v>
          </cell>
          <cell r="I1699" t="str">
            <v>Metro</v>
          </cell>
        </row>
        <row r="1700">
          <cell r="A1700" t="str">
            <v>METRAK11045</v>
          </cell>
          <cell r="B1700">
            <v>1699</v>
          </cell>
          <cell r="C1700"/>
          <cell r="D1700"/>
          <cell r="E1700"/>
          <cell r="F1700"/>
          <cell r="G1700" t="str">
            <v>F. SCM</v>
          </cell>
          <cell r="H1700" t="str">
            <v>SCM</v>
          </cell>
          <cell r="I1700" t="str">
            <v>Metro</v>
          </cell>
        </row>
        <row r="1701">
          <cell r="A1701" t="str">
            <v>METRAK11046</v>
          </cell>
          <cell r="B1701">
            <v>1700</v>
          </cell>
          <cell r="C1701"/>
          <cell r="D1701"/>
          <cell r="E1701"/>
          <cell r="F1701"/>
          <cell r="G1701" t="str">
            <v>F. SCM</v>
          </cell>
          <cell r="H1701" t="str">
            <v>SCM</v>
          </cell>
          <cell r="I1701" t="str">
            <v>Metro</v>
          </cell>
        </row>
        <row r="1702">
          <cell r="A1702" t="str">
            <v>METRAK11047</v>
          </cell>
          <cell r="B1702">
            <v>1701</v>
          </cell>
          <cell r="C1702"/>
          <cell r="D1702"/>
          <cell r="E1702"/>
          <cell r="F1702"/>
          <cell r="G1702" t="str">
            <v>F. SCM</v>
          </cell>
          <cell r="H1702" t="str">
            <v>SCM</v>
          </cell>
          <cell r="I1702" t="str">
            <v>Metro</v>
          </cell>
        </row>
        <row r="1703">
          <cell r="A1703" t="str">
            <v>METRAK11048</v>
          </cell>
          <cell r="B1703">
            <v>1702</v>
          </cell>
          <cell r="C1703"/>
          <cell r="D1703"/>
          <cell r="E1703"/>
          <cell r="F1703"/>
          <cell r="G1703" t="str">
            <v>F. SCM</v>
          </cell>
          <cell r="H1703" t="str">
            <v>SCM</v>
          </cell>
          <cell r="I1703" t="str">
            <v>Metro</v>
          </cell>
        </row>
        <row r="1704">
          <cell r="A1704" t="str">
            <v>METRAK11049</v>
          </cell>
          <cell r="B1704">
            <v>1703</v>
          </cell>
          <cell r="C1704"/>
          <cell r="D1704"/>
          <cell r="E1704"/>
          <cell r="F1704"/>
          <cell r="G1704" t="str">
            <v>F. SCM</v>
          </cell>
          <cell r="H1704" t="str">
            <v>SCM</v>
          </cell>
          <cell r="I1704" t="str">
            <v>Metro</v>
          </cell>
        </row>
        <row r="1705">
          <cell r="A1705" t="str">
            <v>METRAK11050</v>
          </cell>
          <cell r="B1705">
            <v>1704</v>
          </cell>
          <cell r="C1705"/>
          <cell r="D1705"/>
          <cell r="E1705"/>
          <cell r="F1705"/>
          <cell r="G1705" t="str">
            <v>F. SCM</v>
          </cell>
          <cell r="H1705" t="str">
            <v>SCM</v>
          </cell>
          <cell r="I1705" t="str">
            <v>Metro</v>
          </cell>
        </row>
        <row r="1706">
          <cell r="A1706" t="str">
            <v>METRAK11051</v>
          </cell>
          <cell r="B1706">
            <v>1705</v>
          </cell>
          <cell r="C1706"/>
          <cell r="D1706"/>
          <cell r="E1706"/>
          <cell r="F1706"/>
          <cell r="G1706" t="str">
            <v>F. SCM</v>
          </cell>
          <cell r="H1706" t="str">
            <v>SCM</v>
          </cell>
          <cell r="I1706" t="str">
            <v>Metro</v>
          </cell>
        </row>
        <row r="1707">
          <cell r="A1707" t="str">
            <v>METRAK11052</v>
          </cell>
          <cell r="B1707">
            <v>1706</v>
          </cell>
          <cell r="C1707"/>
          <cell r="D1707"/>
          <cell r="E1707"/>
          <cell r="F1707"/>
          <cell r="G1707" t="str">
            <v>F. SCM</v>
          </cell>
          <cell r="H1707" t="str">
            <v>SCM</v>
          </cell>
          <cell r="I1707" t="str">
            <v>Metro</v>
          </cell>
        </row>
        <row r="1708">
          <cell r="A1708" t="str">
            <v>METRKC11056</v>
          </cell>
          <cell r="B1708">
            <v>1707</v>
          </cell>
          <cell r="C1708"/>
          <cell r="D1708"/>
          <cell r="E1708"/>
          <cell r="F1708"/>
          <cell r="G1708" t="str">
            <v>F. SCM</v>
          </cell>
          <cell r="H1708" t="str">
            <v>SCM</v>
          </cell>
          <cell r="I1708" t="str">
            <v>Metro</v>
          </cell>
        </row>
        <row r="1709">
          <cell r="A1709" t="str">
            <v>METRKC11057</v>
          </cell>
          <cell r="B1709">
            <v>1708</v>
          </cell>
          <cell r="C1709"/>
          <cell r="D1709"/>
          <cell r="E1709"/>
          <cell r="F1709"/>
          <cell r="G1709" t="str">
            <v>F. SCM</v>
          </cell>
          <cell r="H1709" t="str">
            <v>SCM</v>
          </cell>
          <cell r="I1709" t="str">
            <v>Metro</v>
          </cell>
        </row>
        <row r="1710">
          <cell r="A1710" t="str">
            <v>METRKC11058</v>
          </cell>
          <cell r="B1710">
            <v>1709</v>
          </cell>
          <cell r="C1710"/>
          <cell r="D1710"/>
          <cell r="E1710"/>
          <cell r="F1710"/>
          <cell r="G1710" t="str">
            <v>F. SCM</v>
          </cell>
          <cell r="H1710" t="str">
            <v>SCM</v>
          </cell>
          <cell r="I1710" t="str">
            <v>Metro</v>
          </cell>
        </row>
        <row r="1711">
          <cell r="A1711" t="str">
            <v>METRKC11059</v>
          </cell>
          <cell r="B1711">
            <v>1710</v>
          </cell>
          <cell r="C1711"/>
          <cell r="D1711"/>
          <cell r="E1711"/>
          <cell r="F1711"/>
          <cell r="G1711" t="str">
            <v>F. SCM</v>
          </cell>
          <cell r="H1711" t="str">
            <v>SCM</v>
          </cell>
          <cell r="I1711" t="str">
            <v>Metro</v>
          </cell>
        </row>
        <row r="1712">
          <cell r="A1712" t="str">
            <v>METRKC11060</v>
          </cell>
          <cell r="B1712">
            <v>1711</v>
          </cell>
          <cell r="C1712"/>
          <cell r="D1712"/>
          <cell r="E1712"/>
          <cell r="F1712"/>
          <cell r="G1712" t="str">
            <v>F. SCM</v>
          </cell>
          <cell r="H1712" t="str">
            <v>SCM</v>
          </cell>
          <cell r="I1712" t="str">
            <v>Metro</v>
          </cell>
        </row>
        <row r="1713">
          <cell r="A1713" t="str">
            <v>METRKC11061</v>
          </cell>
          <cell r="B1713">
            <v>1712</v>
          </cell>
          <cell r="C1713"/>
          <cell r="D1713"/>
          <cell r="E1713"/>
          <cell r="F1713"/>
          <cell r="G1713" t="str">
            <v>F. SCM</v>
          </cell>
          <cell r="H1713" t="str">
            <v>SCM</v>
          </cell>
          <cell r="I1713" t="str">
            <v>Metro</v>
          </cell>
        </row>
        <row r="1714">
          <cell r="A1714" t="str">
            <v>METRAK11141</v>
          </cell>
          <cell r="B1714">
            <v>1713</v>
          </cell>
          <cell r="C1714"/>
          <cell r="D1714"/>
          <cell r="E1714"/>
          <cell r="F1714"/>
          <cell r="G1714" t="str">
            <v>F. SCM</v>
          </cell>
          <cell r="H1714" t="str">
            <v>SCM</v>
          </cell>
          <cell r="I1714" t="str">
            <v>Metro</v>
          </cell>
        </row>
        <row r="1715">
          <cell r="A1715" t="str">
            <v>METRAK11142</v>
          </cell>
          <cell r="B1715">
            <v>1714</v>
          </cell>
          <cell r="C1715"/>
          <cell r="D1715"/>
          <cell r="E1715"/>
          <cell r="F1715"/>
          <cell r="G1715" t="str">
            <v>F. SCM</v>
          </cell>
          <cell r="H1715" t="str">
            <v>SCM</v>
          </cell>
          <cell r="I1715" t="str">
            <v>Metro</v>
          </cell>
        </row>
        <row r="1716">
          <cell r="A1716" t="str">
            <v>METRAK11143</v>
          </cell>
          <cell r="B1716">
            <v>1715</v>
          </cell>
          <cell r="C1716"/>
          <cell r="D1716"/>
          <cell r="E1716"/>
          <cell r="F1716"/>
          <cell r="G1716" t="str">
            <v>F. SCM</v>
          </cell>
          <cell r="H1716" t="str">
            <v>SCM</v>
          </cell>
          <cell r="I1716" t="str">
            <v>Metro</v>
          </cell>
        </row>
        <row r="1717">
          <cell r="A1717" t="str">
            <v>METRAK11144</v>
          </cell>
          <cell r="B1717">
            <v>1716</v>
          </cell>
          <cell r="C1717"/>
          <cell r="D1717"/>
          <cell r="E1717"/>
          <cell r="F1717"/>
          <cell r="G1717" t="str">
            <v>F. SCM</v>
          </cell>
          <cell r="H1717" t="str">
            <v>SCM</v>
          </cell>
          <cell r="I1717" t="str">
            <v>Metro</v>
          </cell>
        </row>
        <row r="1718">
          <cell r="A1718" t="str">
            <v>METRAK11145</v>
          </cell>
          <cell r="B1718">
            <v>1717</v>
          </cell>
          <cell r="C1718"/>
          <cell r="D1718"/>
          <cell r="E1718"/>
          <cell r="F1718"/>
          <cell r="G1718" t="str">
            <v>F. SCM</v>
          </cell>
          <cell r="H1718" t="str">
            <v>SCM</v>
          </cell>
          <cell r="I1718" t="str">
            <v>Metro</v>
          </cell>
        </row>
        <row r="1719">
          <cell r="A1719" t="str">
            <v>METRAK11146</v>
          </cell>
          <cell r="B1719">
            <v>1718</v>
          </cell>
          <cell r="C1719"/>
          <cell r="D1719"/>
          <cell r="E1719"/>
          <cell r="F1719"/>
          <cell r="G1719" t="str">
            <v>F. SCM</v>
          </cell>
          <cell r="H1719" t="str">
            <v>SCM</v>
          </cell>
          <cell r="I1719" t="str">
            <v>Metro</v>
          </cell>
        </row>
        <row r="1720">
          <cell r="A1720" t="str">
            <v>METRAK11147</v>
          </cell>
          <cell r="B1720">
            <v>1719</v>
          </cell>
          <cell r="C1720"/>
          <cell r="D1720"/>
          <cell r="E1720"/>
          <cell r="F1720"/>
          <cell r="G1720" t="str">
            <v>F. SCM</v>
          </cell>
          <cell r="H1720" t="str">
            <v>SCM</v>
          </cell>
          <cell r="I1720" t="str">
            <v>Metro</v>
          </cell>
        </row>
        <row r="1721">
          <cell r="A1721" t="str">
            <v>METRAK11148</v>
          </cell>
          <cell r="B1721">
            <v>1720</v>
          </cell>
          <cell r="C1721"/>
          <cell r="D1721"/>
          <cell r="E1721"/>
          <cell r="F1721"/>
          <cell r="G1721" t="str">
            <v>F. SCM</v>
          </cell>
          <cell r="H1721" t="str">
            <v>SCM</v>
          </cell>
          <cell r="I1721" t="str">
            <v>Metro</v>
          </cell>
        </row>
        <row r="1722">
          <cell r="A1722" t="str">
            <v>METRAK11149</v>
          </cell>
          <cell r="B1722">
            <v>1721</v>
          </cell>
          <cell r="C1722"/>
          <cell r="D1722"/>
          <cell r="E1722"/>
          <cell r="F1722"/>
          <cell r="G1722" t="str">
            <v>F. SCM</v>
          </cell>
          <cell r="H1722" t="str">
            <v>SCM</v>
          </cell>
          <cell r="I1722" t="str">
            <v>Metro</v>
          </cell>
        </row>
        <row r="1723">
          <cell r="A1723" t="str">
            <v>METRAK11150</v>
          </cell>
          <cell r="B1723">
            <v>1722</v>
          </cell>
          <cell r="C1723"/>
          <cell r="D1723"/>
          <cell r="E1723"/>
          <cell r="F1723"/>
          <cell r="G1723" t="str">
            <v>F. SCM</v>
          </cell>
          <cell r="H1723" t="str">
            <v>SCM</v>
          </cell>
          <cell r="I1723" t="str">
            <v>Metro</v>
          </cell>
        </row>
        <row r="1724">
          <cell r="A1724" t="str">
            <v>METRAK11151</v>
          </cell>
          <cell r="B1724">
            <v>1723</v>
          </cell>
          <cell r="C1724"/>
          <cell r="D1724"/>
          <cell r="E1724"/>
          <cell r="F1724"/>
          <cell r="G1724" t="str">
            <v>F. SCM</v>
          </cell>
          <cell r="H1724" t="str">
            <v>SCM</v>
          </cell>
          <cell r="I1724" t="str">
            <v>Metro</v>
          </cell>
        </row>
        <row r="1725">
          <cell r="A1725" t="str">
            <v>METRAK11152</v>
          </cell>
          <cell r="B1725">
            <v>1724</v>
          </cell>
          <cell r="C1725"/>
          <cell r="D1725"/>
          <cell r="E1725"/>
          <cell r="F1725"/>
          <cell r="G1725" t="str">
            <v>F. SCM</v>
          </cell>
          <cell r="H1725" t="str">
            <v>SCM</v>
          </cell>
          <cell r="I1725" t="str">
            <v>Metro</v>
          </cell>
        </row>
        <row r="1726">
          <cell r="A1726" t="str">
            <v>METRAK11153</v>
          </cell>
          <cell r="B1726">
            <v>1725</v>
          </cell>
          <cell r="C1726"/>
          <cell r="D1726"/>
          <cell r="E1726"/>
          <cell r="F1726"/>
          <cell r="G1726" t="str">
            <v>F. SCM</v>
          </cell>
          <cell r="H1726" t="str">
            <v>SCM</v>
          </cell>
          <cell r="I1726" t="str">
            <v>Metro</v>
          </cell>
        </row>
        <row r="1727">
          <cell r="A1727" t="str">
            <v>METRAK11154</v>
          </cell>
          <cell r="B1727">
            <v>1726</v>
          </cell>
          <cell r="C1727"/>
          <cell r="D1727"/>
          <cell r="E1727"/>
          <cell r="F1727"/>
          <cell r="G1727" t="str">
            <v>F. SCM</v>
          </cell>
          <cell r="H1727" t="str">
            <v>SCM</v>
          </cell>
          <cell r="I1727" t="str">
            <v>Metro</v>
          </cell>
        </row>
        <row r="1728">
          <cell r="A1728" t="str">
            <v>METRAK11155</v>
          </cell>
          <cell r="B1728">
            <v>1727</v>
          </cell>
          <cell r="C1728"/>
          <cell r="D1728"/>
          <cell r="E1728"/>
          <cell r="F1728"/>
          <cell r="G1728" t="str">
            <v>F. SCM</v>
          </cell>
          <cell r="H1728" t="str">
            <v>SCM</v>
          </cell>
          <cell r="I1728" t="str">
            <v>Metro</v>
          </cell>
        </row>
        <row r="1729">
          <cell r="A1729" t="str">
            <v>METRAK11156</v>
          </cell>
          <cell r="B1729">
            <v>1728</v>
          </cell>
          <cell r="C1729"/>
          <cell r="D1729"/>
          <cell r="E1729"/>
          <cell r="F1729"/>
          <cell r="G1729" t="str">
            <v>F. SCM</v>
          </cell>
          <cell r="H1729" t="str">
            <v>SCM</v>
          </cell>
          <cell r="I1729" t="str">
            <v>Metro</v>
          </cell>
        </row>
        <row r="1730">
          <cell r="A1730" t="str">
            <v>METRAK11157</v>
          </cell>
          <cell r="B1730">
            <v>1729</v>
          </cell>
          <cell r="C1730"/>
          <cell r="D1730"/>
          <cell r="E1730"/>
          <cell r="F1730"/>
          <cell r="G1730" t="str">
            <v>F. SCM</v>
          </cell>
          <cell r="H1730" t="str">
            <v>SCM</v>
          </cell>
          <cell r="I1730" t="str">
            <v>Metro</v>
          </cell>
        </row>
        <row r="1731">
          <cell r="A1731" t="str">
            <v>METRAK11158</v>
          </cell>
          <cell r="B1731">
            <v>1730</v>
          </cell>
          <cell r="C1731"/>
          <cell r="D1731"/>
          <cell r="E1731"/>
          <cell r="F1731"/>
          <cell r="G1731" t="str">
            <v>F. SCM</v>
          </cell>
          <cell r="H1731" t="str">
            <v>SCM</v>
          </cell>
          <cell r="I1731" t="str">
            <v>Metro</v>
          </cell>
        </row>
        <row r="1732">
          <cell r="A1732" t="str">
            <v>METRAK11159</v>
          </cell>
          <cell r="B1732">
            <v>1731</v>
          </cell>
          <cell r="C1732"/>
          <cell r="D1732"/>
          <cell r="E1732"/>
          <cell r="F1732"/>
          <cell r="G1732" t="str">
            <v>F. SCM</v>
          </cell>
          <cell r="H1732" t="str">
            <v>SCM</v>
          </cell>
          <cell r="I1732" t="str">
            <v>Metro</v>
          </cell>
        </row>
        <row r="1733">
          <cell r="A1733" t="str">
            <v>METRAK11160</v>
          </cell>
          <cell r="B1733">
            <v>1732</v>
          </cell>
          <cell r="C1733"/>
          <cell r="D1733"/>
          <cell r="E1733"/>
          <cell r="F1733"/>
          <cell r="G1733" t="str">
            <v>F. SCM</v>
          </cell>
          <cell r="H1733" t="str">
            <v>SCM</v>
          </cell>
          <cell r="I1733" t="str">
            <v>Metro</v>
          </cell>
        </row>
        <row r="1734">
          <cell r="A1734" t="str">
            <v>METRAK11161</v>
          </cell>
          <cell r="B1734">
            <v>1733</v>
          </cell>
          <cell r="C1734"/>
          <cell r="D1734"/>
          <cell r="E1734"/>
          <cell r="F1734"/>
          <cell r="G1734" t="str">
            <v>F. SCM</v>
          </cell>
          <cell r="H1734" t="str">
            <v>SCM</v>
          </cell>
          <cell r="I1734" t="str">
            <v>Metro</v>
          </cell>
        </row>
        <row r="1735">
          <cell r="A1735" t="str">
            <v>METRAK11162</v>
          </cell>
          <cell r="B1735">
            <v>1734</v>
          </cell>
          <cell r="C1735"/>
          <cell r="D1735"/>
          <cell r="E1735"/>
          <cell r="F1735"/>
          <cell r="G1735" t="str">
            <v>F. SCM</v>
          </cell>
          <cell r="H1735" t="str">
            <v>SCM</v>
          </cell>
          <cell r="I1735" t="str">
            <v>Metro</v>
          </cell>
        </row>
        <row r="1736">
          <cell r="A1736" t="str">
            <v>METRAK11163</v>
          </cell>
          <cell r="B1736">
            <v>1735</v>
          </cell>
          <cell r="C1736"/>
          <cell r="D1736"/>
          <cell r="E1736"/>
          <cell r="F1736"/>
          <cell r="G1736" t="str">
            <v>F. SCM</v>
          </cell>
          <cell r="H1736" t="str">
            <v>SCM</v>
          </cell>
          <cell r="I1736" t="str">
            <v>Metro</v>
          </cell>
        </row>
        <row r="1737">
          <cell r="A1737" t="str">
            <v>METRSD11164</v>
          </cell>
          <cell r="B1737">
            <v>1736</v>
          </cell>
          <cell r="C1737"/>
          <cell r="D1737"/>
          <cell r="E1737"/>
          <cell r="F1737"/>
          <cell r="G1737" t="str">
            <v>F. SCM</v>
          </cell>
          <cell r="H1737" t="str">
            <v>SCM</v>
          </cell>
          <cell r="I1737" t="str">
            <v>Metro</v>
          </cell>
        </row>
        <row r="1738">
          <cell r="A1738" t="str">
            <v>METRAK11165</v>
          </cell>
          <cell r="B1738">
            <v>1737</v>
          </cell>
          <cell r="C1738"/>
          <cell r="D1738"/>
          <cell r="E1738"/>
          <cell r="F1738"/>
          <cell r="G1738" t="str">
            <v>F. SCM</v>
          </cell>
          <cell r="H1738" t="str">
            <v>SCM</v>
          </cell>
          <cell r="I1738" t="str">
            <v>Metro</v>
          </cell>
        </row>
        <row r="1739">
          <cell r="A1739" t="str">
            <v>METRAK11166</v>
          </cell>
          <cell r="B1739">
            <v>1738</v>
          </cell>
          <cell r="C1739"/>
          <cell r="D1739"/>
          <cell r="E1739"/>
          <cell r="F1739"/>
          <cell r="G1739" t="str">
            <v>F. SCM</v>
          </cell>
          <cell r="H1739" t="str">
            <v>SCM</v>
          </cell>
          <cell r="I1739" t="str">
            <v>Metro</v>
          </cell>
        </row>
        <row r="1740">
          <cell r="A1740" t="str">
            <v>METRAK11167</v>
          </cell>
          <cell r="B1740">
            <v>1739</v>
          </cell>
          <cell r="C1740"/>
          <cell r="D1740"/>
          <cell r="E1740"/>
          <cell r="F1740"/>
          <cell r="G1740" t="str">
            <v>F. SCM</v>
          </cell>
          <cell r="H1740" t="str">
            <v>SCM</v>
          </cell>
          <cell r="I1740" t="str">
            <v>Metro</v>
          </cell>
        </row>
        <row r="1741">
          <cell r="A1741" t="str">
            <v>METRAK11168</v>
          </cell>
          <cell r="B1741">
            <v>1740</v>
          </cell>
          <cell r="C1741"/>
          <cell r="D1741"/>
          <cell r="E1741"/>
          <cell r="F1741"/>
          <cell r="G1741" t="str">
            <v>F. SCM</v>
          </cell>
          <cell r="H1741" t="str">
            <v>SCM</v>
          </cell>
          <cell r="I1741" t="str">
            <v>Metro</v>
          </cell>
        </row>
        <row r="1742">
          <cell r="A1742" t="str">
            <v>METRAK11169</v>
          </cell>
          <cell r="B1742">
            <v>1741</v>
          </cell>
          <cell r="C1742"/>
          <cell r="D1742"/>
          <cell r="E1742"/>
          <cell r="F1742"/>
          <cell r="G1742" t="str">
            <v>F. SCM</v>
          </cell>
          <cell r="H1742" t="str">
            <v>SCM</v>
          </cell>
          <cell r="I1742" t="str">
            <v>Metro</v>
          </cell>
        </row>
        <row r="1743">
          <cell r="A1743" t="str">
            <v>METRAK11170</v>
          </cell>
          <cell r="B1743">
            <v>1742</v>
          </cell>
          <cell r="C1743"/>
          <cell r="D1743"/>
          <cell r="E1743"/>
          <cell r="F1743"/>
          <cell r="G1743" t="str">
            <v>F. SCM</v>
          </cell>
          <cell r="H1743" t="str">
            <v>SCM</v>
          </cell>
          <cell r="I1743" t="str">
            <v>Metro</v>
          </cell>
        </row>
        <row r="1744">
          <cell r="A1744" t="str">
            <v>METRAK11171</v>
          </cell>
          <cell r="B1744">
            <v>1743</v>
          </cell>
          <cell r="C1744"/>
          <cell r="D1744"/>
          <cell r="E1744"/>
          <cell r="F1744"/>
          <cell r="G1744" t="str">
            <v>F. SCM</v>
          </cell>
          <cell r="H1744" t="str">
            <v>SCM</v>
          </cell>
          <cell r="I1744" t="str">
            <v>Metro</v>
          </cell>
        </row>
        <row r="1745">
          <cell r="A1745" t="str">
            <v>METRSD11172</v>
          </cell>
          <cell r="B1745">
            <v>1744</v>
          </cell>
          <cell r="C1745"/>
          <cell r="D1745"/>
          <cell r="E1745"/>
          <cell r="F1745"/>
          <cell r="G1745" t="str">
            <v>F. SCM</v>
          </cell>
          <cell r="H1745" t="str">
            <v>SCM</v>
          </cell>
          <cell r="I1745" t="str">
            <v>Metro</v>
          </cell>
        </row>
        <row r="1746">
          <cell r="A1746" t="str">
            <v>METRAK11173</v>
          </cell>
          <cell r="B1746">
            <v>1745</v>
          </cell>
          <cell r="C1746"/>
          <cell r="D1746"/>
          <cell r="E1746"/>
          <cell r="F1746"/>
          <cell r="G1746" t="str">
            <v>F. SCM</v>
          </cell>
          <cell r="H1746" t="str">
            <v>SCM</v>
          </cell>
          <cell r="I1746" t="str">
            <v>Metro</v>
          </cell>
        </row>
        <row r="1747">
          <cell r="A1747" t="str">
            <v>METRAK11174</v>
          </cell>
          <cell r="B1747">
            <v>1746</v>
          </cell>
          <cell r="C1747"/>
          <cell r="D1747"/>
          <cell r="E1747"/>
          <cell r="F1747"/>
          <cell r="G1747" t="str">
            <v>F. SCM</v>
          </cell>
          <cell r="H1747" t="str">
            <v>SCM</v>
          </cell>
          <cell r="I1747" t="str">
            <v>Metro</v>
          </cell>
        </row>
        <row r="1748">
          <cell r="A1748" t="str">
            <v>METRSD11175</v>
          </cell>
          <cell r="B1748">
            <v>1747</v>
          </cell>
          <cell r="C1748"/>
          <cell r="D1748"/>
          <cell r="E1748"/>
          <cell r="F1748"/>
          <cell r="G1748" t="str">
            <v>F. SCM</v>
          </cell>
          <cell r="H1748" t="str">
            <v>SCM</v>
          </cell>
          <cell r="I1748" t="str">
            <v>Metro</v>
          </cell>
        </row>
        <row r="1749">
          <cell r="A1749" t="str">
            <v>METRAK11176</v>
          </cell>
          <cell r="B1749">
            <v>1748</v>
          </cell>
          <cell r="C1749"/>
          <cell r="D1749"/>
          <cell r="E1749"/>
          <cell r="F1749"/>
          <cell r="G1749" t="str">
            <v>F. SCM</v>
          </cell>
          <cell r="H1749" t="str">
            <v>SCM</v>
          </cell>
          <cell r="I1749" t="str">
            <v>Metro</v>
          </cell>
        </row>
        <row r="1750">
          <cell r="A1750" t="str">
            <v>METRAK11177</v>
          </cell>
          <cell r="B1750">
            <v>1749</v>
          </cell>
          <cell r="C1750"/>
          <cell r="D1750"/>
          <cell r="E1750"/>
          <cell r="F1750"/>
          <cell r="G1750" t="str">
            <v>F. SCM</v>
          </cell>
          <cell r="H1750" t="str">
            <v>SCM</v>
          </cell>
          <cell r="I1750" t="str">
            <v>Metro</v>
          </cell>
        </row>
        <row r="1751">
          <cell r="A1751" t="str">
            <v>METRAK11178</v>
          </cell>
          <cell r="B1751">
            <v>1750</v>
          </cell>
          <cell r="C1751"/>
          <cell r="D1751"/>
          <cell r="E1751"/>
          <cell r="F1751"/>
          <cell r="G1751" t="str">
            <v>F. SCM</v>
          </cell>
          <cell r="H1751" t="str">
            <v>SCM</v>
          </cell>
          <cell r="I1751" t="str">
            <v>Metro</v>
          </cell>
        </row>
        <row r="1752">
          <cell r="A1752" t="str">
            <v>METRAK11179</v>
          </cell>
          <cell r="B1752">
            <v>1751</v>
          </cell>
          <cell r="C1752"/>
          <cell r="D1752"/>
          <cell r="E1752"/>
          <cell r="F1752"/>
          <cell r="G1752" t="str">
            <v>F. SCM</v>
          </cell>
          <cell r="H1752" t="str">
            <v>SCM</v>
          </cell>
          <cell r="I1752" t="str">
            <v>Metro</v>
          </cell>
        </row>
        <row r="1753">
          <cell r="A1753" t="str">
            <v>METRAK11180</v>
          </cell>
          <cell r="B1753">
            <v>1752</v>
          </cell>
          <cell r="C1753"/>
          <cell r="D1753"/>
          <cell r="E1753"/>
          <cell r="F1753"/>
          <cell r="G1753" t="str">
            <v>F. SCM</v>
          </cell>
          <cell r="H1753" t="str">
            <v>SCM</v>
          </cell>
          <cell r="I1753" t="str">
            <v>Metro</v>
          </cell>
        </row>
        <row r="1754">
          <cell r="A1754" t="str">
            <v>METRAK11181</v>
          </cell>
          <cell r="B1754">
            <v>1753</v>
          </cell>
          <cell r="C1754"/>
          <cell r="D1754"/>
          <cell r="E1754"/>
          <cell r="F1754"/>
          <cell r="G1754" t="str">
            <v>F. SCM</v>
          </cell>
          <cell r="H1754" t="str">
            <v>SCM</v>
          </cell>
          <cell r="I1754" t="str">
            <v>Metro</v>
          </cell>
        </row>
        <row r="1755">
          <cell r="A1755" t="str">
            <v>METRAK11182</v>
          </cell>
          <cell r="B1755">
            <v>1754</v>
          </cell>
          <cell r="C1755"/>
          <cell r="D1755"/>
          <cell r="E1755"/>
          <cell r="F1755"/>
          <cell r="G1755" t="str">
            <v>F. SCM</v>
          </cell>
          <cell r="H1755" t="str">
            <v>SCM</v>
          </cell>
          <cell r="I1755" t="str">
            <v>Metro</v>
          </cell>
        </row>
        <row r="1756">
          <cell r="A1756" t="str">
            <v>METRAK11183</v>
          </cell>
          <cell r="B1756">
            <v>1755</v>
          </cell>
          <cell r="C1756"/>
          <cell r="D1756"/>
          <cell r="E1756"/>
          <cell r="F1756"/>
          <cell r="G1756" t="str">
            <v>F. SCM</v>
          </cell>
          <cell r="H1756" t="str">
            <v>SCM</v>
          </cell>
          <cell r="I1756" t="str">
            <v>Metro</v>
          </cell>
        </row>
        <row r="1757">
          <cell r="A1757" t="str">
            <v>METRAK11184</v>
          </cell>
          <cell r="B1757">
            <v>1756</v>
          </cell>
          <cell r="C1757"/>
          <cell r="D1757"/>
          <cell r="E1757"/>
          <cell r="F1757"/>
          <cell r="G1757" t="str">
            <v>F. SCM</v>
          </cell>
          <cell r="H1757" t="str">
            <v>SCM</v>
          </cell>
          <cell r="I1757" t="str">
            <v>Metro</v>
          </cell>
        </row>
        <row r="1758">
          <cell r="A1758" t="str">
            <v>METRAK11185</v>
          </cell>
          <cell r="B1758">
            <v>1757</v>
          </cell>
          <cell r="C1758"/>
          <cell r="D1758"/>
          <cell r="E1758"/>
          <cell r="F1758"/>
          <cell r="G1758" t="str">
            <v>F. SCM</v>
          </cell>
          <cell r="H1758" t="str">
            <v>SCM</v>
          </cell>
          <cell r="I1758" t="str">
            <v>Metro</v>
          </cell>
        </row>
        <row r="1759">
          <cell r="A1759" t="str">
            <v>METRAK11186</v>
          </cell>
          <cell r="B1759">
            <v>1758</v>
          </cell>
          <cell r="C1759"/>
          <cell r="D1759"/>
          <cell r="E1759"/>
          <cell r="F1759"/>
          <cell r="G1759" t="str">
            <v>F. SCM</v>
          </cell>
          <cell r="H1759" t="str">
            <v>SCM</v>
          </cell>
          <cell r="I1759" t="str">
            <v>Metro</v>
          </cell>
        </row>
        <row r="1760">
          <cell r="A1760" t="str">
            <v>METRAK11187</v>
          </cell>
          <cell r="B1760">
            <v>1759</v>
          </cell>
          <cell r="C1760"/>
          <cell r="D1760"/>
          <cell r="E1760"/>
          <cell r="F1760"/>
          <cell r="G1760" t="str">
            <v>F. SCM</v>
          </cell>
          <cell r="H1760" t="str">
            <v>SCM</v>
          </cell>
          <cell r="I1760" t="str">
            <v>Metro</v>
          </cell>
        </row>
        <row r="1761">
          <cell r="A1761" t="str">
            <v>METRAK11188</v>
          </cell>
          <cell r="B1761">
            <v>1760</v>
          </cell>
          <cell r="C1761"/>
          <cell r="D1761"/>
          <cell r="E1761"/>
          <cell r="F1761"/>
          <cell r="G1761" t="str">
            <v>F. SCM</v>
          </cell>
          <cell r="H1761" t="str">
            <v>SCM</v>
          </cell>
          <cell r="I1761" t="str">
            <v>Metro</v>
          </cell>
        </row>
        <row r="1762">
          <cell r="A1762" t="str">
            <v>METRAK11189</v>
          </cell>
          <cell r="B1762">
            <v>1761</v>
          </cell>
          <cell r="C1762"/>
          <cell r="D1762"/>
          <cell r="E1762"/>
          <cell r="F1762"/>
          <cell r="G1762" t="str">
            <v>F. SCM</v>
          </cell>
          <cell r="H1762" t="str">
            <v>SCM</v>
          </cell>
          <cell r="I1762" t="str">
            <v>Metro</v>
          </cell>
        </row>
        <row r="1763">
          <cell r="A1763" t="str">
            <v>METRSD11190</v>
          </cell>
          <cell r="B1763">
            <v>1762</v>
          </cell>
          <cell r="C1763"/>
          <cell r="D1763"/>
          <cell r="E1763"/>
          <cell r="F1763"/>
          <cell r="G1763" t="str">
            <v>F. SCM</v>
          </cell>
          <cell r="H1763" t="str">
            <v>SCM</v>
          </cell>
          <cell r="I1763" t="str">
            <v>Metro</v>
          </cell>
        </row>
        <row r="1764">
          <cell r="A1764" t="str">
            <v>METRSD11191</v>
          </cell>
          <cell r="B1764">
            <v>1763</v>
          </cell>
          <cell r="C1764"/>
          <cell r="D1764"/>
          <cell r="E1764"/>
          <cell r="F1764"/>
          <cell r="G1764" t="str">
            <v>F. SCM</v>
          </cell>
          <cell r="H1764" t="str">
            <v>SCM</v>
          </cell>
          <cell r="I1764" t="str">
            <v>Metro</v>
          </cell>
        </row>
        <row r="1765">
          <cell r="A1765" t="str">
            <v>METRAK11192</v>
          </cell>
          <cell r="B1765">
            <v>1764</v>
          </cell>
          <cell r="C1765"/>
          <cell r="D1765"/>
          <cell r="E1765"/>
          <cell r="F1765"/>
          <cell r="G1765" t="str">
            <v>F. SCM</v>
          </cell>
          <cell r="H1765" t="str">
            <v>SCM</v>
          </cell>
          <cell r="I1765" t="str">
            <v>Metro</v>
          </cell>
        </row>
        <row r="1766">
          <cell r="A1766" t="str">
            <v>METRAK11193</v>
          </cell>
          <cell r="B1766">
            <v>1765</v>
          </cell>
          <cell r="C1766"/>
          <cell r="D1766"/>
          <cell r="E1766"/>
          <cell r="F1766"/>
          <cell r="G1766" t="str">
            <v>F. SCM</v>
          </cell>
          <cell r="H1766" t="str">
            <v>SCM</v>
          </cell>
          <cell r="I1766" t="str">
            <v>Metro</v>
          </cell>
        </row>
        <row r="1767">
          <cell r="A1767" t="str">
            <v>METRAK11194</v>
          </cell>
          <cell r="B1767">
            <v>1766</v>
          </cell>
          <cell r="C1767"/>
          <cell r="D1767"/>
          <cell r="E1767"/>
          <cell r="F1767"/>
          <cell r="G1767" t="str">
            <v>F. SCM</v>
          </cell>
          <cell r="H1767" t="str">
            <v>SCM</v>
          </cell>
          <cell r="I1767" t="str">
            <v>Metro</v>
          </cell>
        </row>
        <row r="1768">
          <cell r="A1768" t="str">
            <v>METRSD11195</v>
          </cell>
          <cell r="B1768">
            <v>1767</v>
          </cell>
          <cell r="C1768"/>
          <cell r="D1768"/>
          <cell r="E1768"/>
          <cell r="F1768"/>
          <cell r="G1768" t="str">
            <v>F. SCM</v>
          </cell>
          <cell r="H1768" t="str">
            <v>SCM</v>
          </cell>
          <cell r="I1768" t="str">
            <v>Metro</v>
          </cell>
        </row>
        <row r="1769">
          <cell r="A1769" t="str">
            <v>METRAK11196</v>
          </cell>
          <cell r="B1769">
            <v>1768</v>
          </cell>
          <cell r="C1769"/>
          <cell r="D1769"/>
          <cell r="E1769"/>
          <cell r="F1769"/>
          <cell r="G1769" t="str">
            <v>F. SCM</v>
          </cell>
          <cell r="H1769" t="str">
            <v>SCM</v>
          </cell>
          <cell r="I1769" t="str">
            <v>Metro</v>
          </cell>
        </row>
        <row r="1770">
          <cell r="A1770" t="str">
            <v>METRSD11197</v>
          </cell>
          <cell r="B1770">
            <v>1769</v>
          </cell>
          <cell r="C1770"/>
          <cell r="D1770"/>
          <cell r="E1770"/>
          <cell r="F1770"/>
          <cell r="G1770" t="str">
            <v>F. SCM</v>
          </cell>
          <cell r="H1770" t="str">
            <v>SCM</v>
          </cell>
          <cell r="I1770" t="str">
            <v>Metro</v>
          </cell>
        </row>
        <row r="1771">
          <cell r="A1771" t="str">
            <v>METRAK11198</v>
          </cell>
          <cell r="B1771">
            <v>1770</v>
          </cell>
          <cell r="C1771"/>
          <cell r="D1771"/>
          <cell r="E1771"/>
          <cell r="F1771"/>
          <cell r="G1771" t="str">
            <v>F. SCM</v>
          </cell>
          <cell r="H1771" t="str">
            <v>SCM</v>
          </cell>
          <cell r="I1771" t="str">
            <v>Metro</v>
          </cell>
        </row>
        <row r="1772">
          <cell r="A1772" t="str">
            <v>METRAK11199</v>
          </cell>
          <cell r="B1772">
            <v>1771</v>
          </cell>
          <cell r="C1772"/>
          <cell r="D1772"/>
          <cell r="E1772"/>
          <cell r="F1772"/>
          <cell r="G1772" t="str">
            <v>F. SCM</v>
          </cell>
          <cell r="H1772" t="str">
            <v>SCM</v>
          </cell>
          <cell r="I1772" t="str">
            <v>Metro</v>
          </cell>
        </row>
        <row r="1773">
          <cell r="A1773" t="str">
            <v>METRAK11200</v>
          </cell>
          <cell r="B1773">
            <v>1772</v>
          </cell>
          <cell r="C1773"/>
          <cell r="D1773"/>
          <cell r="E1773"/>
          <cell r="F1773"/>
          <cell r="G1773" t="str">
            <v>F. SCM</v>
          </cell>
          <cell r="H1773" t="str">
            <v>SCM</v>
          </cell>
          <cell r="I1773" t="str">
            <v>Metro</v>
          </cell>
        </row>
        <row r="1774">
          <cell r="A1774" t="str">
            <v>METRAK11201</v>
          </cell>
          <cell r="B1774">
            <v>1773</v>
          </cell>
          <cell r="C1774"/>
          <cell r="D1774"/>
          <cell r="E1774"/>
          <cell r="F1774"/>
          <cell r="G1774" t="str">
            <v>F. SCM</v>
          </cell>
          <cell r="H1774" t="str">
            <v>SCM</v>
          </cell>
          <cell r="I1774" t="str">
            <v>Metro</v>
          </cell>
        </row>
        <row r="1775">
          <cell r="A1775" t="str">
            <v>METRSD11202</v>
          </cell>
          <cell r="B1775">
            <v>1774</v>
          </cell>
          <cell r="C1775"/>
          <cell r="D1775"/>
          <cell r="E1775"/>
          <cell r="F1775"/>
          <cell r="G1775" t="str">
            <v>F. SCM</v>
          </cell>
          <cell r="H1775" t="str">
            <v>SCM</v>
          </cell>
          <cell r="I1775" t="str">
            <v>Metro</v>
          </cell>
        </row>
        <row r="1776">
          <cell r="A1776" t="str">
            <v>METRAK11203</v>
          </cell>
          <cell r="B1776">
            <v>1775</v>
          </cell>
          <cell r="C1776"/>
          <cell r="D1776"/>
          <cell r="E1776"/>
          <cell r="F1776"/>
          <cell r="G1776" t="str">
            <v>F. SCM</v>
          </cell>
          <cell r="H1776" t="str">
            <v>SCM</v>
          </cell>
          <cell r="I1776" t="str">
            <v>Metro</v>
          </cell>
        </row>
        <row r="1777">
          <cell r="A1777" t="str">
            <v>METRAK11204</v>
          </cell>
          <cell r="B1777">
            <v>1776</v>
          </cell>
          <cell r="C1777"/>
          <cell r="D1777"/>
          <cell r="E1777"/>
          <cell r="F1777"/>
          <cell r="G1777" t="str">
            <v>F. SCM</v>
          </cell>
          <cell r="H1777" t="str">
            <v>SCM</v>
          </cell>
          <cell r="I1777" t="str">
            <v>Metro</v>
          </cell>
        </row>
        <row r="1778">
          <cell r="A1778" t="str">
            <v>METRAK11205</v>
          </cell>
          <cell r="B1778">
            <v>1777</v>
          </cell>
          <cell r="C1778"/>
          <cell r="D1778"/>
          <cell r="E1778"/>
          <cell r="F1778"/>
          <cell r="G1778" t="str">
            <v>F. SCM</v>
          </cell>
          <cell r="H1778" t="str">
            <v>SCM</v>
          </cell>
          <cell r="I1778" t="str">
            <v>Metro</v>
          </cell>
        </row>
        <row r="1779">
          <cell r="A1779" t="str">
            <v>METRAK11206</v>
          </cell>
          <cell r="B1779">
            <v>1778</v>
          </cell>
          <cell r="C1779"/>
          <cell r="D1779"/>
          <cell r="E1779"/>
          <cell r="F1779"/>
          <cell r="G1779" t="str">
            <v>F. SCM</v>
          </cell>
          <cell r="H1779" t="str">
            <v>SCM</v>
          </cell>
          <cell r="I1779" t="str">
            <v>Metro</v>
          </cell>
        </row>
        <row r="1780">
          <cell r="A1780" t="str">
            <v>METRAK11207</v>
          </cell>
          <cell r="B1780">
            <v>1779</v>
          </cell>
          <cell r="C1780"/>
          <cell r="D1780"/>
          <cell r="E1780"/>
          <cell r="F1780"/>
          <cell r="G1780" t="str">
            <v>F. SCM</v>
          </cell>
          <cell r="H1780" t="str">
            <v>SCM</v>
          </cell>
          <cell r="I1780" t="str">
            <v>Metro</v>
          </cell>
        </row>
        <row r="1781">
          <cell r="A1781" t="str">
            <v>METRAK11208</v>
          </cell>
          <cell r="B1781">
            <v>1780</v>
          </cell>
          <cell r="C1781"/>
          <cell r="D1781"/>
          <cell r="E1781"/>
          <cell r="F1781"/>
          <cell r="G1781" t="str">
            <v>F. SCM</v>
          </cell>
          <cell r="H1781" t="str">
            <v>SCM</v>
          </cell>
          <cell r="I1781" t="str">
            <v>Metro</v>
          </cell>
        </row>
        <row r="1782">
          <cell r="A1782" t="str">
            <v>METRSD11209</v>
          </cell>
          <cell r="B1782">
            <v>1781</v>
          </cell>
          <cell r="C1782"/>
          <cell r="D1782"/>
          <cell r="E1782"/>
          <cell r="F1782"/>
          <cell r="G1782" t="str">
            <v>F. SCM</v>
          </cell>
          <cell r="H1782" t="str">
            <v>SCM</v>
          </cell>
          <cell r="I1782" t="str">
            <v>Metro</v>
          </cell>
        </row>
        <row r="1783">
          <cell r="A1783" t="str">
            <v>METRAK11210</v>
          </cell>
          <cell r="B1783">
            <v>1782</v>
          </cell>
          <cell r="C1783"/>
          <cell r="D1783"/>
          <cell r="E1783"/>
          <cell r="F1783"/>
          <cell r="G1783" t="str">
            <v>F. SCM</v>
          </cell>
          <cell r="H1783" t="str">
            <v>SCM</v>
          </cell>
          <cell r="I1783" t="str">
            <v>Metro</v>
          </cell>
        </row>
        <row r="1784">
          <cell r="A1784" t="str">
            <v>METRAK11211</v>
          </cell>
          <cell r="B1784">
            <v>1783</v>
          </cell>
          <cell r="C1784"/>
          <cell r="D1784"/>
          <cell r="E1784"/>
          <cell r="F1784"/>
          <cell r="G1784" t="str">
            <v>F. SCM</v>
          </cell>
          <cell r="H1784" t="str">
            <v>SCM</v>
          </cell>
          <cell r="I1784" t="str">
            <v>Metro</v>
          </cell>
        </row>
        <row r="1785">
          <cell r="A1785" t="str">
            <v>METRAK11212</v>
          </cell>
          <cell r="B1785">
            <v>1784</v>
          </cell>
          <cell r="C1785"/>
          <cell r="D1785"/>
          <cell r="E1785"/>
          <cell r="F1785"/>
          <cell r="G1785" t="str">
            <v>F. SCM</v>
          </cell>
          <cell r="H1785" t="str">
            <v>SCM</v>
          </cell>
          <cell r="I1785" t="str">
            <v>Metro</v>
          </cell>
        </row>
        <row r="1786">
          <cell r="A1786" t="str">
            <v>METRSD11213</v>
          </cell>
          <cell r="B1786">
            <v>1785</v>
          </cell>
          <cell r="C1786"/>
          <cell r="D1786"/>
          <cell r="E1786"/>
          <cell r="F1786"/>
          <cell r="G1786" t="str">
            <v>F. SCM</v>
          </cell>
          <cell r="H1786" t="str">
            <v>SCM</v>
          </cell>
          <cell r="I1786" t="str">
            <v>Metro</v>
          </cell>
        </row>
        <row r="1787">
          <cell r="A1787" t="str">
            <v>METRKC11248</v>
          </cell>
          <cell r="B1787">
            <v>1786</v>
          </cell>
          <cell r="C1787"/>
          <cell r="D1787"/>
          <cell r="E1787"/>
          <cell r="F1787"/>
          <cell r="G1787" t="str">
            <v>F. SCM</v>
          </cell>
          <cell r="H1787" t="str">
            <v>SCM</v>
          </cell>
          <cell r="I1787" t="str">
            <v>Metro</v>
          </cell>
        </row>
        <row r="1788">
          <cell r="A1788" t="str">
            <v>METRKC11265</v>
          </cell>
          <cell r="B1788">
            <v>1787</v>
          </cell>
          <cell r="C1788"/>
          <cell r="D1788"/>
          <cell r="E1788"/>
          <cell r="F1788"/>
          <cell r="G1788" t="str">
            <v>F. SCM</v>
          </cell>
          <cell r="H1788" t="str">
            <v>SCM</v>
          </cell>
          <cell r="I1788" t="str">
            <v>Metro</v>
          </cell>
        </row>
        <row r="1789">
          <cell r="A1789" t="str">
            <v>METRKC11266</v>
          </cell>
          <cell r="B1789">
            <v>1788</v>
          </cell>
          <cell r="C1789"/>
          <cell r="D1789"/>
          <cell r="E1789"/>
          <cell r="F1789"/>
          <cell r="G1789" t="str">
            <v>F. SCM</v>
          </cell>
          <cell r="H1789" t="str">
            <v>SCM</v>
          </cell>
          <cell r="I1789" t="str">
            <v>Metro</v>
          </cell>
        </row>
        <row r="1790">
          <cell r="A1790" t="str">
            <v>METRKC11267</v>
          </cell>
          <cell r="B1790">
            <v>1789</v>
          </cell>
          <cell r="C1790"/>
          <cell r="D1790"/>
          <cell r="E1790"/>
          <cell r="F1790"/>
          <cell r="G1790" t="str">
            <v>F. SCM</v>
          </cell>
          <cell r="H1790" t="str">
            <v>SCM</v>
          </cell>
          <cell r="I1790" t="str">
            <v>Metro</v>
          </cell>
        </row>
        <row r="1791">
          <cell r="A1791" t="str">
            <v>METRKC11268</v>
          </cell>
          <cell r="B1791">
            <v>1790</v>
          </cell>
          <cell r="C1791"/>
          <cell r="D1791"/>
          <cell r="E1791"/>
          <cell r="F1791"/>
          <cell r="G1791" t="str">
            <v>F. SCM</v>
          </cell>
          <cell r="H1791" t="str">
            <v>SCM</v>
          </cell>
          <cell r="I1791" t="str">
            <v>Metro</v>
          </cell>
        </row>
        <row r="1792">
          <cell r="A1792" t="str">
            <v>METRKC11269</v>
          </cell>
          <cell r="B1792">
            <v>1791</v>
          </cell>
          <cell r="C1792"/>
          <cell r="D1792"/>
          <cell r="E1792"/>
          <cell r="F1792"/>
          <cell r="G1792" t="str">
            <v>F. SCM</v>
          </cell>
          <cell r="H1792" t="str">
            <v>SCM</v>
          </cell>
          <cell r="I1792" t="str">
            <v>Metro</v>
          </cell>
        </row>
        <row r="1793">
          <cell r="A1793" t="str">
            <v>METRKC11270</v>
          </cell>
          <cell r="B1793">
            <v>1792</v>
          </cell>
          <cell r="C1793"/>
          <cell r="D1793"/>
          <cell r="E1793"/>
          <cell r="F1793"/>
          <cell r="G1793" t="str">
            <v>F. SCM</v>
          </cell>
          <cell r="H1793" t="str">
            <v>SCM</v>
          </cell>
          <cell r="I1793" t="str">
            <v>Metro</v>
          </cell>
        </row>
        <row r="1794">
          <cell r="A1794" t="str">
            <v>METRKC11271</v>
          </cell>
          <cell r="B1794">
            <v>1793</v>
          </cell>
          <cell r="C1794"/>
          <cell r="D1794"/>
          <cell r="E1794"/>
          <cell r="F1794"/>
          <cell r="G1794" t="str">
            <v>F. SCM</v>
          </cell>
          <cell r="H1794" t="str">
            <v>SCM</v>
          </cell>
          <cell r="I1794" t="str">
            <v>Metro</v>
          </cell>
        </row>
        <row r="1795">
          <cell r="A1795" t="str">
            <v>METRKC11273</v>
          </cell>
          <cell r="B1795">
            <v>1794</v>
          </cell>
          <cell r="C1795"/>
          <cell r="D1795"/>
          <cell r="E1795"/>
          <cell r="F1795"/>
          <cell r="G1795" t="str">
            <v>F. SCM</v>
          </cell>
          <cell r="H1795" t="str">
            <v>SCM</v>
          </cell>
          <cell r="I1795" t="str">
            <v>Metro</v>
          </cell>
        </row>
        <row r="1796">
          <cell r="A1796" t="str">
            <v>METRKC11278</v>
          </cell>
          <cell r="B1796">
            <v>1795</v>
          </cell>
          <cell r="C1796"/>
          <cell r="D1796"/>
          <cell r="E1796"/>
          <cell r="F1796"/>
          <cell r="G1796" t="str">
            <v>F. SCM</v>
          </cell>
          <cell r="H1796" t="str">
            <v>SCM</v>
          </cell>
          <cell r="I1796" t="str">
            <v>Metro</v>
          </cell>
        </row>
        <row r="1797">
          <cell r="A1797" t="str">
            <v>MBSKAK10881</v>
          </cell>
          <cell r="B1797">
            <v>1796</v>
          </cell>
          <cell r="C1797"/>
          <cell r="D1797"/>
          <cell r="E1797"/>
          <cell r="F1797"/>
          <cell r="G1797" t="str">
            <v>F. SCM</v>
          </cell>
          <cell r="H1797" t="str">
            <v>SCM</v>
          </cell>
          <cell r="I1797" t="str">
            <v>Milk Basket</v>
          </cell>
        </row>
        <row r="1798">
          <cell r="A1798" t="str">
            <v>MBSKKC11001</v>
          </cell>
          <cell r="B1798">
            <v>1797</v>
          </cell>
          <cell r="C1798"/>
          <cell r="D1798"/>
          <cell r="E1798"/>
          <cell r="F1798"/>
          <cell r="G1798" t="str">
            <v>F. SCM</v>
          </cell>
          <cell r="H1798" t="str">
            <v>SCM</v>
          </cell>
          <cell r="I1798" t="str">
            <v>Milk Basket</v>
          </cell>
        </row>
        <row r="1799">
          <cell r="A1799" t="str">
            <v>MBSKKC11257</v>
          </cell>
          <cell r="B1799">
            <v>1798</v>
          </cell>
          <cell r="C1799"/>
          <cell r="D1799"/>
          <cell r="E1799"/>
          <cell r="F1799"/>
          <cell r="G1799" t="str">
            <v>F. SCM</v>
          </cell>
          <cell r="H1799" t="str">
            <v>SCM</v>
          </cell>
          <cell r="I1799" t="str">
            <v>Milk Basket</v>
          </cell>
        </row>
        <row r="1800">
          <cell r="A1800" t="str">
            <v>MBSKKC11277</v>
          </cell>
          <cell r="B1800">
            <v>1799</v>
          </cell>
          <cell r="C1800"/>
          <cell r="D1800"/>
          <cell r="E1800"/>
          <cell r="F1800"/>
          <cell r="G1800" t="str">
            <v>F. SCM</v>
          </cell>
          <cell r="H1800" t="str">
            <v>SCM</v>
          </cell>
          <cell r="I1800" t="str">
            <v>Milk Basket</v>
          </cell>
        </row>
        <row r="1801">
          <cell r="A1801" t="str">
            <v>SPCSKC11249</v>
          </cell>
          <cell r="B1801">
            <v>1800</v>
          </cell>
          <cell r="C1801"/>
          <cell r="D1801"/>
          <cell r="E1801"/>
          <cell r="F1801"/>
          <cell r="G1801" t="str">
            <v>F. SCM</v>
          </cell>
          <cell r="H1801" t="str">
            <v>SCM BF</v>
          </cell>
          <cell r="I1801" t="str">
            <v>PCS</v>
          </cell>
        </row>
        <row r="1802">
          <cell r="A1802" t="str">
            <v>SPCSKC11250</v>
          </cell>
          <cell r="B1802">
            <v>1801</v>
          </cell>
          <cell r="C1802"/>
          <cell r="D1802"/>
          <cell r="E1802"/>
          <cell r="F1802"/>
          <cell r="G1802" t="str">
            <v>F. SCM</v>
          </cell>
          <cell r="H1802" t="str">
            <v>SCM BF</v>
          </cell>
          <cell r="I1802" t="str">
            <v>PCS</v>
          </cell>
        </row>
        <row r="1803">
          <cell r="A1803" t="str">
            <v>PHDCKC11252</v>
          </cell>
          <cell r="B1803">
            <v>1802</v>
          </cell>
          <cell r="C1803"/>
          <cell r="D1803"/>
          <cell r="E1803"/>
          <cell r="F1803"/>
          <cell r="G1803" t="str">
            <v>F. SCM</v>
          </cell>
          <cell r="H1803" t="str">
            <v>SCM BF</v>
          </cell>
          <cell r="I1803" t="str">
            <v>Pharma-DC</v>
          </cell>
        </row>
        <row r="1804">
          <cell r="A1804" t="str">
            <v>PHDCKC11256</v>
          </cell>
          <cell r="B1804">
            <v>1803</v>
          </cell>
          <cell r="C1804"/>
          <cell r="D1804"/>
          <cell r="E1804"/>
          <cell r="F1804"/>
          <cell r="G1804" t="str">
            <v>F. SCM</v>
          </cell>
          <cell r="H1804" t="str">
            <v>SCM BF</v>
          </cell>
          <cell r="I1804" t="str">
            <v>Pharma-DC</v>
          </cell>
        </row>
        <row r="1805">
          <cell r="A1805" t="str">
            <v>PHDCKC11264</v>
          </cell>
          <cell r="B1805">
            <v>1804</v>
          </cell>
          <cell r="C1805"/>
          <cell r="D1805"/>
          <cell r="E1805"/>
          <cell r="F1805"/>
          <cell r="G1805" t="str">
            <v>F. SCM</v>
          </cell>
          <cell r="H1805" t="str">
            <v>SCM BF</v>
          </cell>
          <cell r="I1805" t="str">
            <v>Pharma-DC</v>
          </cell>
        </row>
        <row r="1806">
          <cell r="A1806" t="str">
            <v>SCDHAK4765</v>
          </cell>
          <cell r="B1806">
            <v>1805</v>
          </cell>
          <cell r="C1806"/>
          <cell r="D1806" t="str">
            <v>TZ4X</v>
          </cell>
          <cell r="E1806" t="str">
            <v>Dehire Site</v>
          </cell>
          <cell r="F1806" t="str">
            <v>DH-SNET-451-TN-TZ4X</v>
          </cell>
          <cell r="G1806" t="str">
            <v>F. SCM</v>
          </cell>
          <cell r="H1806" t="str">
            <v>SCM</v>
          </cell>
          <cell r="I1806" t="str">
            <v>SCM - Dehire</v>
          </cell>
        </row>
        <row r="1807">
          <cell r="A1807" t="str">
            <v>SCDHSD4809</v>
          </cell>
          <cell r="B1807">
            <v>1806</v>
          </cell>
          <cell r="C1807"/>
          <cell r="D1807" t="str">
            <v>SLNA</v>
          </cell>
          <cell r="E1807" t="str">
            <v>Dehire Site</v>
          </cell>
          <cell r="F1807" t="str">
            <v>DH-SHUB-451-AS-SLNA</v>
          </cell>
          <cell r="G1807" t="str">
            <v>F. SCM</v>
          </cell>
          <cell r="H1807" t="str">
            <v>SCM</v>
          </cell>
          <cell r="I1807" t="str">
            <v>SCM - Dehire</v>
          </cell>
        </row>
        <row r="1808">
          <cell r="A1808" t="str">
            <v>SCDHAK4839</v>
          </cell>
          <cell r="B1808">
            <v>1807</v>
          </cell>
          <cell r="C1808"/>
          <cell r="D1808" t="str">
            <v>TXPO</v>
          </cell>
          <cell r="E1808" t="str">
            <v>Dehire Site</v>
          </cell>
          <cell r="F1808" t="str">
            <v>DH-SNET-451-TN-TXPO</v>
          </cell>
          <cell r="G1808" t="str">
            <v>F. SCM</v>
          </cell>
          <cell r="H1808" t="str">
            <v>SCM</v>
          </cell>
          <cell r="I1808" t="str">
            <v>SCM - Dehire</v>
          </cell>
        </row>
        <row r="1809">
          <cell r="A1809" t="str">
            <v>SCDHJD4866</v>
          </cell>
          <cell r="B1809">
            <v>1808</v>
          </cell>
          <cell r="C1809"/>
          <cell r="D1809" t="str">
            <v>EJ08</v>
          </cell>
          <cell r="E1809" t="str">
            <v>Dehire Site</v>
          </cell>
          <cell r="F1809" t="str">
            <v>DH-DCDC-451-AP-EJ08</v>
          </cell>
          <cell r="G1809" t="str">
            <v>F. SCM</v>
          </cell>
          <cell r="H1809" t="str">
            <v>SCM</v>
          </cell>
          <cell r="I1809" t="str">
            <v>SCM - Dehire</v>
          </cell>
        </row>
        <row r="1810">
          <cell r="A1810" t="str">
            <v>SCDHJD4885</v>
          </cell>
          <cell r="B1810">
            <v>1809</v>
          </cell>
          <cell r="C1810"/>
          <cell r="D1810" t="str">
            <v>SL63</v>
          </cell>
          <cell r="E1810" t="str">
            <v>Dehire Site</v>
          </cell>
          <cell r="F1810" t="str">
            <v>DH-SHUB-451-AP-SL63</v>
          </cell>
          <cell r="G1810" t="str">
            <v>F. SCM</v>
          </cell>
          <cell r="H1810" t="str">
            <v>SCM</v>
          </cell>
          <cell r="I1810" t="str">
            <v>SCM - Dehire</v>
          </cell>
        </row>
        <row r="1811">
          <cell r="A1811" t="str">
            <v>SCDHSD4922</v>
          </cell>
          <cell r="B1811">
            <v>1810</v>
          </cell>
          <cell r="C1811"/>
          <cell r="D1811" t="str">
            <v>S041</v>
          </cell>
          <cell r="E1811" t="str">
            <v>Dehire Site</v>
          </cell>
          <cell r="F1811" t="str">
            <v>DH-VFDC-451-WB-S041</v>
          </cell>
          <cell r="G1811" t="str">
            <v>F. SCM</v>
          </cell>
          <cell r="H1811" t="str">
            <v>SCM</v>
          </cell>
          <cell r="I1811" t="str">
            <v>SCM - Dehire</v>
          </cell>
        </row>
        <row r="1812">
          <cell r="A1812" t="str">
            <v>SCDHAK5202</v>
          </cell>
          <cell r="B1812">
            <v>1811</v>
          </cell>
          <cell r="C1812"/>
          <cell r="D1812" t="str">
            <v>SL98</v>
          </cell>
          <cell r="E1812" t="str">
            <v>Dehire Site</v>
          </cell>
          <cell r="F1812" t="str">
            <v>DH-PHDC-433-TG-SL98</v>
          </cell>
          <cell r="G1812" t="str">
            <v>F. SCM</v>
          </cell>
          <cell r="H1812" t="str">
            <v>SCM</v>
          </cell>
          <cell r="I1812" t="str">
            <v>SCM - Dehire</v>
          </cell>
        </row>
        <row r="1813">
          <cell r="A1813" t="str">
            <v>SCDHJD5203</v>
          </cell>
          <cell r="B1813">
            <v>1812</v>
          </cell>
          <cell r="C1813"/>
          <cell r="D1813"/>
          <cell r="E1813" t="str">
            <v>Dehire Site</v>
          </cell>
          <cell r="F1813"/>
          <cell r="G1813" t="str">
            <v>F. SCM</v>
          </cell>
          <cell r="H1813" t="str">
            <v>SCM</v>
          </cell>
          <cell r="I1813" t="str">
            <v>SCM - Dehire</v>
          </cell>
        </row>
        <row r="1814">
          <cell r="A1814" t="str">
            <v>SCDHAK10907</v>
          </cell>
          <cell r="B1814">
            <v>1813</v>
          </cell>
          <cell r="C1814"/>
          <cell r="D1814"/>
          <cell r="E1814"/>
          <cell r="F1814"/>
          <cell r="G1814" t="str">
            <v>F. SCM</v>
          </cell>
          <cell r="H1814" t="str">
            <v>SCM</v>
          </cell>
          <cell r="I1814" t="str">
            <v>SCM - Dehire</v>
          </cell>
        </row>
        <row r="1815">
          <cell r="A1815" t="str">
            <v>SCDHAK10908</v>
          </cell>
          <cell r="B1815">
            <v>1814</v>
          </cell>
          <cell r="C1815"/>
          <cell r="D1815"/>
          <cell r="E1815"/>
          <cell r="F1815"/>
          <cell r="G1815" t="str">
            <v>F. SCM</v>
          </cell>
          <cell r="H1815" t="str">
            <v>SCM</v>
          </cell>
          <cell r="I1815" t="str">
            <v>SCM - Dehire</v>
          </cell>
        </row>
        <row r="1816">
          <cell r="A1816" t="str">
            <v>SCDHSD10909</v>
          </cell>
          <cell r="B1816">
            <v>1815</v>
          </cell>
          <cell r="C1816"/>
          <cell r="D1816"/>
          <cell r="E1816"/>
          <cell r="F1816"/>
          <cell r="G1816" t="str">
            <v>F. SCM</v>
          </cell>
          <cell r="H1816" t="str">
            <v>SCM</v>
          </cell>
          <cell r="I1816" t="str">
            <v>SCM - Dehire</v>
          </cell>
        </row>
        <row r="1817">
          <cell r="A1817" t="str">
            <v>SCDHAK10910</v>
          </cell>
          <cell r="B1817">
            <v>1816</v>
          </cell>
          <cell r="C1817"/>
          <cell r="D1817"/>
          <cell r="E1817"/>
          <cell r="F1817"/>
          <cell r="G1817" t="str">
            <v>F. SCM</v>
          </cell>
          <cell r="H1817" t="str">
            <v>SCM</v>
          </cell>
          <cell r="I1817" t="str">
            <v>SCM - Dehire</v>
          </cell>
        </row>
        <row r="1818">
          <cell r="A1818" t="str">
            <v>SCDHAK10911</v>
          </cell>
          <cell r="B1818">
            <v>1817</v>
          </cell>
          <cell r="C1818"/>
          <cell r="D1818"/>
          <cell r="E1818"/>
          <cell r="F1818"/>
          <cell r="G1818" t="str">
            <v>F. SCM</v>
          </cell>
          <cell r="H1818" t="str">
            <v>SCM</v>
          </cell>
          <cell r="I1818" t="str">
            <v>SCM - Dehire</v>
          </cell>
        </row>
        <row r="1819">
          <cell r="A1819" t="str">
            <v>SBDCKC11272</v>
          </cell>
          <cell r="B1819">
            <v>1818</v>
          </cell>
          <cell r="C1819"/>
          <cell r="D1819"/>
          <cell r="E1819"/>
          <cell r="F1819"/>
          <cell r="G1819" t="str">
            <v>F. SCM</v>
          </cell>
          <cell r="H1819" t="str">
            <v>SCM BF</v>
          </cell>
          <cell r="I1819" t="str">
            <v>Smart Bazar DC</v>
          </cell>
        </row>
        <row r="1820">
          <cell r="A1820" t="str">
            <v>SMDCKC10993</v>
          </cell>
          <cell r="B1820">
            <v>1819</v>
          </cell>
          <cell r="C1820"/>
          <cell r="D1820"/>
          <cell r="E1820"/>
          <cell r="F1820"/>
          <cell r="G1820" t="str">
            <v>F. SCM</v>
          </cell>
          <cell r="H1820" t="str">
            <v>SCM</v>
          </cell>
          <cell r="I1820" t="str">
            <v>Smart Hub - DC</v>
          </cell>
        </row>
        <row r="1821">
          <cell r="A1821" t="str">
            <v>SMDCKC10996</v>
          </cell>
          <cell r="B1821">
            <v>1820</v>
          </cell>
          <cell r="C1821"/>
          <cell r="D1821"/>
          <cell r="E1821"/>
          <cell r="F1821"/>
          <cell r="G1821" t="str">
            <v>F. SCM</v>
          </cell>
          <cell r="H1821" t="str">
            <v>SCM</v>
          </cell>
          <cell r="I1821" t="str">
            <v>Smart Hub - DC</v>
          </cell>
        </row>
        <row r="1822">
          <cell r="A1822" t="str">
            <v>SMDCKC10998</v>
          </cell>
          <cell r="B1822">
            <v>1821</v>
          </cell>
          <cell r="C1822"/>
          <cell r="D1822"/>
          <cell r="E1822"/>
          <cell r="F1822"/>
          <cell r="G1822" t="str">
            <v>F. SCM</v>
          </cell>
          <cell r="H1822" t="str">
            <v>SCM</v>
          </cell>
          <cell r="I1822" t="str">
            <v>Smart Hub - DC</v>
          </cell>
        </row>
        <row r="1823">
          <cell r="A1823" t="str">
            <v>SMDCKC11258</v>
          </cell>
          <cell r="B1823">
            <v>1822</v>
          </cell>
          <cell r="C1823"/>
          <cell r="D1823"/>
          <cell r="E1823"/>
          <cell r="F1823"/>
          <cell r="G1823" t="str">
            <v>F. SCM</v>
          </cell>
          <cell r="H1823" t="str">
            <v>SCM</v>
          </cell>
          <cell r="I1823" t="str">
            <v>Smart Hub - DC</v>
          </cell>
        </row>
        <row r="1824">
          <cell r="A1824" t="str">
            <v>SMDCKC11259</v>
          </cell>
          <cell r="B1824">
            <v>1823</v>
          </cell>
          <cell r="C1824"/>
          <cell r="D1824"/>
          <cell r="E1824"/>
          <cell r="F1824"/>
          <cell r="G1824" t="str">
            <v>F. SCM</v>
          </cell>
          <cell r="H1824" t="str">
            <v>SCM</v>
          </cell>
          <cell r="I1824" t="str">
            <v>Smart Hub - DC</v>
          </cell>
        </row>
        <row r="1825">
          <cell r="A1825" t="str">
            <v>SNDCKC10999</v>
          </cell>
          <cell r="B1825">
            <v>1824</v>
          </cell>
          <cell r="C1825"/>
          <cell r="D1825"/>
          <cell r="E1825"/>
          <cell r="F1825"/>
          <cell r="G1825" t="str">
            <v>F. SCM</v>
          </cell>
          <cell r="H1825" t="str">
            <v>SCM</v>
          </cell>
          <cell r="I1825" t="str">
            <v>Smart Net - DC</v>
          </cell>
        </row>
        <row r="1826">
          <cell r="A1826" t="str">
            <v>SNDCKC11003</v>
          </cell>
          <cell r="B1826">
            <v>1825</v>
          </cell>
          <cell r="C1826"/>
          <cell r="D1826"/>
          <cell r="E1826"/>
          <cell r="F1826"/>
          <cell r="G1826" t="str">
            <v>F. SCM</v>
          </cell>
          <cell r="H1826" t="str">
            <v>SCM</v>
          </cell>
          <cell r="I1826" t="str">
            <v>Smart Net - DC</v>
          </cell>
        </row>
        <row r="1827">
          <cell r="A1827" t="str">
            <v>SNDCKC11004</v>
          </cell>
          <cell r="B1827">
            <v>1826</v>
          </cell>
          <cell r="C1827"/>
          <cell r="D1827"/>
          <cell r="E1827"/>
          <cell r="F1827"/>
          <cell r="G1827" t="str">
            <v>F. SCM</v>
          </cell>
          <cell r="H1827" t="str">
            <v>SCM</v>
          </cell>
          <cell r="I1827" t="str">
            <v>Smart Net - DC</v>
          </cell>
        </row>
        <row r="1828">
          <cell r="A1828" t="str">
            <v>SNDCAK11140</v>
          </cell>
          <cell r="B1828">
            <v>1827</v>
          </cell>
          <cell r="C1828"/>
          <cell r="D1828"/>
          <cell r="E1828"/>
          <cell r="F1828"/>
          <cell r="G1828" t="str">
            <v>F. SCM</v>
          </cell>
          <cell r="H1828" t="str">
            <v>SCM</v>
          </cell>
          <cell r="I1828" t="str">
            <v>Smart Net - DC</v>
          </cell>
        </row>
        <row r="1829">
          <cell r="A1829" t="str">
            <v>SNDCKC11260</v>
          </cell>
          <cell r="B1829">
            <v>1828</v>
          </cell>
          <cell r="C1829"/>
          <cell r="D1829"/>
          <cell r="E1829"/>
          <cell r="F1829"/>
          <cell r="G1829" t="str">
            <v>F. SCM</v>
          </cell>
          <cell r="H1829" t="str">
            <v>SCM</v>
          </cell>
          <cell r="I1829" t="str">
            <v>Smart Net - DC</v>
          </cell>
        </row>
        <row r="1830">
          <cell r="A1830" t="str">
            <v>ULDCAK11139</v>
          </cell>
          <cell r="B1830">
            <v>1829</v>
          </cell>
          <cell r="C1830"/>
          <cell r="D1830"/>
          <cell r="E1830"/>
          <cell r="F1830"/>
          <cell r="G1830" t="str">
            <v>F. SCM</v>
          </cell>
          <cell r="H1830" t="str">
            <v>SCM BF</v>
          </cell>
          <cell r="I1830" t="str">
            <v>Urban Ladder DC</v>
          </cell>
        </row>
        <row r="1831">
          <cell r="A1831" t="str">
            <v>VADCKC3949</v>
          </cell>
          <cell r="B1831">
            <v>1830</v>
          </cell>
          <cell r="C1831" t="str">
            <v>MU-DC-BHW-072</v>
          </cell>
          <cell r="D1831" t="str">
            <v>SADY</v>
          </cell>
          <cell r="E1831" t="str">
            <v>QXDL</v>
          </cell>
          <cell r="F1831" t="str">
            <v>DCDCMQXDL00</v>
          </cell>
          <cell r="G1831" t="str">
            <v>F. SCM</v>
          </cell>
          <cell r="H1831" t="str">
            <v>SCM BF</v>
          </cell>
          <cell r="I1831" t="str">
            <v>Value DC</v>
          </cell>
        </row>
        <row r="1832">
          <cell r="A1832" t="str">
            <v>VADCKC4132</v>
          </cell>
          <cell r="B1832">
            <v>1831</v>
          </cell>
          <cell r="C1832"/>
          <cell r="D1832" t="str">
            <v>SL6S</v>
          </cell>
          <cell r="E1832" t="str">
            <v>QG8F</v>
          </cell>
          <cell r="F1832" t="str">
            <v>DCDCRQG8F00</v>
          </cell>
          <cell r="G1832" t="str">
            <v>F. SCM</v>
          </cell>
          <cell r="H1832" t="str">
            <v>SCM BF</v>
          </cell>
          <cell r="I1832" t="str">
            <v>Value DC</v>
          </cell>
        </row>
        <row r="1833">
          <cell r="A1833" t="str">
            <v>VADCAK10885</v>
          </cell>
          <cell r="B1833">
            <v>1832</v>
          </cell>
          <cell r="C1833"/>
          <cell r="D1833"/>
          <cell r="E1833"/>
          <cell r="F1833"/>
          <cell r="G1833" t="str">
            <v>F. SCM</v>
          </cell>
          <cell r="H1833" t="str">
            <v>SCM BF</v>
          </cell>
          <cell r="I1833" t="str">
            <v>Value DC</v>
          </cell>
        </row>
        <row r="1834">
          <cell r="A1834" t="str">
            <v>VADCSD10888</v>
          </cell>
          <cell r="B1834">
            <v>1833</v>
          </cell>
          <cell r="C1834"/>
          <cell r="D1834"/>
          <cell r="E1834"/>
          <cell r="F1834"/>
          <cell r="G1834" t="str">
            <v>F. SCM</v>
          </cell>
          <cell r="H1834" t="str">
            <v>SCM BF</v>
          </cell>
          <cell r="I1834" t="str">
            <v>Value DC</v>
          </cell>
        </row>
        <row r="1835">
          <cell r="A1835" t="str">
            <v>VADCAK10889</v>
          </cell>
          <cell r="B1835">
            <v>1834</v>
          </cell>
          <cell r="C1835"/>
          <cell r="D1835"/>
          <cell r="E1835"/>
          <cell r="F1835"/>
          <cell r="G1835" t="str">
            <v>F. SCM</v>
          </cell>
          <cell r="H1835" t="str">
            <v>SCM BF</v>
          </cell>
          <cell r="I1835" t="str">
            <v>Value DC</v>
          </cell>
        </row>
        <row r="1836">
          <cell r="A1836" t="str">
            <v>VADCAK10890</v>
          </cell>
          <cell r="B1836">
            <v>1835</v>
          </cell>
          <cell r="C1836"/>
          <cell r="D1836"/>
          <cell r="E1836"/>
          <cell r="F1836"/>
          <cell r="G1836" t="str">
            <v>F. SCM</v>
          </cell>
          <cell r="H1836" t="str">
            <v>SCM BF</v>
          </cell>
          <cell r="I1836" t="str">
            <v>Value DC</v>
          </cell>
        </row>
        <row r="1837">
          <cell r="A1837" t="str">
            <v>VADCAK10892</v>
          </cell>
          <cell r="B1837">
            <v>1836</v>
          </cell>
          <cell r="C1837"/>
          <cell r="D1837"/>
          <cell r="E1837"/>
          <cell r="F1837"/>
          <cell r="G1837" t="str">
            <v>F. SCM</v>
          </cell>
          <cell r="H1837" t="str">
            <v>SCM BF</v>
          </cell>
          <cell r="I1837" t="str">
            <v>Value DC</v>
          </cell>
        </row>
        <row r="1838">
          <cell r="A1838" t="str">
            <v>VADCSD10897</v>
          </cell>
          <cell r="B1838">
            <v>1837</v>
          </cell>
          <cell r="C1838"/>
          <cell r="D1838"/>
          <cell r="E1838"/>
          <cell r="F1838"/>
          <cell r="G1838" t="str">
            <v>F. SCM</v>
          </cell>
          <cell r="H1838" t="str">
            <v>SCM BF</v>
          </cell>
          <cell r="I1838" t="str">
            <v>Value DC</v>
          </cell>
        </row>
        <row r="1839">
          <cell r="A1839" t="str">
            <v>VADCAK10899</v>
          </cell>
          <cell r="B1839">
            <v>1838</v>
          </cell>
          <cell r="C1839"/>
          <cell r="D1839"/>
          <cell r="E1839"/>
          <cell r="F1839"/>
          <cell r="G1839" t="str">
            <v>F. SCM</v>
          </cell>
          <cell r="H1839" t="str">
            <v>SCM BF</v>
          </cell>
          <cell r="I1839" t="str">
            <v>Value DC</v>
          </cell>
        </row>
        <row r="1840">
          <cell r="A1840" t="str">
            <v>VADCAK10901</v>
          </cell>
          <cell r="B1840">
            <v>1839</v>
          </cell>
          <cell r="C1840"/>
          <cell r="D1840"/>
          <cell r="E1840"/>
          <cell r="F1840"/>
          <cell r="G1840" t="str">
            <v>F. SCM</v>
          </cell>
          <cell r="H1840" t="str">
            <v>SCM BF</v>
          </cell>
          <cell r="I1840" t="str">
            <v>Value DC</v>
          </cell>
        </row>
        <row r="1841">
          <cell r="A1841" t="str">
            <v>VADCAK10902</v>
          </cell>
          <cell r="B1841">
            <v>1840</v>
          </cell>
          <cell r="C1841"/>
          <cell r="D1841"/>
          <cell r="E1841"/>
          <cell r="F1841"/>
          <cell r="G1841" t="str">
            <v>F. SCM</v>
          </cell>
          <cell r="H1841" t="str">
            <v>SCM BF</v>
          </cell>
          <cell r="I1841" t="str">
            <v>Value DC</v>
          </cell>
        </row>
        <row r="1842">
          <cell r="A1842" t="str">
            <v>VADCAK10903</v>
          </cell>
          <cell r="B1842">
            <v>1841</v>
          </cell>
          <cell r="C1842"/>
          <cell r="D1842"/>
          <cell r="E1842"/>
          <cell r="F1842"/>
          <cell r="G1842" t="str">
            <v>F. SCM</v>
          </cell>
          <cell r="H1842" t="str">
            <v>SCM BF</v>
          </cell>
          <cell r="I1842" t="str">
            <v>Value DC</v>
          </cell>
        </row>
        <row r="1843">
          <cell r="A1843" t="str">
            <v>VADCSD10904</v>
          </cell>
          <cell r="B1843">
            <v>1842</v>
          </cell>
          <cell r="C1843"/>
          <cell r="D1843"/>
          <cell r="E1843"/>
          <cell r="F1843"/>
          <cell r="G1843" t="str">
            <v>F. SCM</v>
          </cell>
          <cell r="H1843" t="str">
            <v>SCM BF</v>
          </cell>
          <cell r="I1843" t="str">
            <v>Value DC</v>
          </cell>
        </row>
        <row r="1844">
          <cell r="A1844" t="str">
            <v>VADCKC10987</v>
          </cell>
          <cell r="B1844">
            <v>1843</v>
          </cell>
          <cell r="C1844"/>
          <cell r="D1844"/>
          <cell r="E1844"/>
          <cell r="F1844"/>
          <cell r="G1844" t="str">
            <v>F. SCM</v>
          </cell>
          <cell r="H1844" t="str">
            <v>SCM BF</v>
          </cell>
          <cell r="I1844" t="str">
            <v>Value DC</v>
          </cell>
        </row>
        <row r="1845">
          <cell r="A1845" t="str">
            <v>VADCKC11008</v>
          </cell>
          <cell r="B1845">
            <v>1844</v>
          </cell>
          <cell r="C1845"/>
          <cell r="D1845"/>
          <cell r="E1845"/>
          <cell r="F1845"/>
          <cell r="G1845" t="str">
            <v>F. SCM</v>
          </cell>
          <cell r="H1845" t="str">
            <v>SCM BF</v>
          </cell>
          <cell r="I1845" t="str">
            <v>Value DC</v>
          </cell>
        </row>
        <row r="1846">
          <cell r="A1846" t="str">
            <v>VADCKC11255</v>
          </cell>
          <cell r="B1846">
            <v>1845</v>
          </cell>
          <cell r="C1846"/>
          <cell r="D1846"/>
          <cell r="E1846"/>
          <cell r="F1846"/>
          <cell r="G1846" t="str">
            <v>F. SCM</v>
          </cell>
          <cell r="H1846" t="str">
            <v>SCM BF</v>
          </cell>
          <cell r="I1846" t="str">
            <v>Value DC</v>
          </cell>
        </row>
        <row r="1847">
          <cell r="A1847" t="str">
            <v>VADCKC11262</v>
          </cell>
          <cell r="B1847">
            <v>1846</v>
          </cell>
          <cell r="C1847"/>
          <cell r="D1847"/>
          <cell r="E1847"/>
          <cell r="F1847"/>
          <cell r="G1847" t="str">
            <v>F. SCM</v>
          </cell>
          <cell r="H1847" t="str">
            <v>SCM BF</v>
          </cell>
          <cell r="I1847" t="str">
            <v>Value DC</v>
          </cell>
        </row>
        <row r="1848">
          <cell r="A1848" t="str">
            <v>VADCKC11263</v>
          </cell>
          <cell r="B1848">
            <v>1847</v>
          </cell>
          <cell r="C1848"/>
          <cell r="D1848"/>
          <cell r="E1848"/>
          <cell r="F1848"/>
          <cell r="G1848" t="str">
            <v>F. SCM</v>
          </cell>
          <cell r="H1848" t="str">
            <v>SCM BF</v>
          </cell>
          <cell r="I1848" t="str">
            <v>Value DC</v>
          </cell>
        </row>
        <row r="1849">
          <cell r="A1849" t="str">
            <v>VADCKC11275</v>
          </cell>
          <cell r="B1849">
            <v>1848</v>
          </cell>
          <cell r="C1849"/>
          <cell r="D1849"/>
          <cell r="E1849"/>
          <cell r="F1849"/>
          <cell r="G1849" t="str">
            <v>F. SCM</v>
          </cell>
          <cell r="H1849" t="str">
            <v>SCM BF</v>
          </cell>
          <cell r="I1849" t="str">
            <v>Value DC</v>
          </cell>
        </row>
        <row r="1850">
          <cell r="A1850" t="str">
            <v>SCWHKC4860</v>
          </cell>
          <cell r="B1850">
            <v>1849</v>
          </cell>
          <cell r="C1850"/>
          <cell r="D1850" t="str">
            <v>Not Applicable</v>
          </cell>
          <cell r="E1850" t="str">
            <v>Not Applicable</v>
          </cell>
          <cell r="F1850" t="str">
            <v>WBS 30-KOKA-CONSU DC-S0FA</v>
          </cell>
          <cell r="G1850" t="str">
            <v>F. SCM</v>
          </cell>
          <cell r="H1850" t="str">
            <v>SCM BF</v>
          </cell>
          <cell r="I1850" t="str">
            <v>WH</v>
          </cell>
        </row>
        <row r="1851">
          <cell r="A1851" t="str">
            <v>SCWHRT10154</v>
          </cell>
          <cell r="B1851">
            <v>1850</v>
          </cell>
          <cell r="C1851"/>
          <cell r="D1851"/>
          <cell r="E1851" t="str">
            <v>Q2I4</v>
          </cell>
          <cell r="F1851" t="str">
            <v>DCDCHQ2I401</v>
          </cell>
          <cell r="G1851" t="str">
            <v>F. SCM</v>
          </cell>
          <cell r="H1851" t="str">
            <v>SCM BF</v>
          </cell>
          <cell r="I1851" t="str">
            <v>WH</v>
          </cell>
        </row>
        <row r="1852">
          <cell r="A1852" t="str">
            <v>SCWHKC10988</v>
          </cell>
          <cell r="B1852">
            <v>1851</v>
          </cell>
          <cell r="C1852"/>
          <cell r="D1852"/>
          <cell r="E1852"/>
          <cell r="F1852"/>
          <cell r="G1852" t="str">
            <v>F. SCM</v>
          </cell>
          <cell r="H1852" t="str">
            <v>SCM BF</v>
          </cell>
          <cell r="I1852" t="str">
            <v>WH</v>
          </cell>
        </row>
        <row r="1853">
          <cell r="A1853" t="str">
            <v>SCWHKC10989</v>
          </cell>
          <cell r="B1853">
            <v>1852</v>
          </cell>
          <cell r="C1853"/>
          <cell r="D1853"/>
          <cell r="E1853"/>
          <cell r="F1853"/>
          <cell r="G1853" t="str">
            <v>F. SCM</v>
          </cell>
          <cell r="H1853" t="str">
            <v>SCM BF</v>
          </cell>
          <cell r="I1853" t="str">
            <v>WH</v>
          </cell>
        </row>
        <row r="1854">
          <cell r="A1854" t="str">
            <v>SCWHKC10991</v>
          </cell>
          <cell r="B1854">
            <v>1853</v>
          </cell>
          <cell r="C1854"/>
          <cell r="D1854"/>
          <cell r="E1854"/>
          <cell r="F1854"/>
          <cell r="G1854" t="str">
            <v>F. SCM</v>
          </cell>
          <cell r="H1854" t="str">
            <v>SCM BF</v>
          </cell>
          <cell r="I1854" t="str">
            <v>WH</v>
          </cell>
        </row>
        <row r="1855">
          <cell r="A1855" t="str">
            <v>SCWHKC10992</v>
          </cell>
          <cell r="B1855">
            <v>1854</v>
          </cell>
          <cell r="C1855"/>
          <cell r="D1855"/>
          <cell r="E1855"/>
          <cell r="F1855"/>
          <cell r="G1855" t="str">
            <v>F. SCM</v>
          </cell>
          <cell r="H1855" t="str">
            <v>SCM BF</v>
          </cell>
          <cell r="I1855" t="str">
            <v>WH</v>
          </cell>
        </row>
        <row r="1856">
          <cell r="A1856" t="str">
            <v>SCWHKC11274</v>
          </cell>
          <cell r="B1856">
            <v>1855</v>
          </cell>
          <cell r="C1856"/>
          <cell r="D1856"/>
          <cell r="E1856"/>
          <cell r="F1856"/>
          <cell r="G1856" t="str">
            <v>F. SCM</v>
          </cell>
          <cell r="H1856" t="str">
            <v>SCM BF</v>
          </cell>
          <cell r="I1856" t="str">
            <v>WH</v>
          </cell>
        </row>
        <row r="1857">
          <cell r="A1857" t="str">
            <v>SCWHKC11276</v>
          </cell>
          <cell r="B1857">
            <v>1856</v>
          </cell>
          <cell r="C1857"/>
          <cell r="D1857"/>
          <cell r="E1857"/>
          <cell r="F1857"/>
          <cell r="G1857" t="str">
            <v>F. SCM</v>
          </cell>
          <cell r="H1857" t="str">
            <v>SCM BF</v>
          </cell>
          <cell r="I1857" t="str">
            <v>WH</v>
          </cell>
        </row>
        <row r="1858">
          <cell r="A1858" t="str">
            <v>GRFDAK4867</v>
          </cell>
          <cell r="B1858">
            <v>1857</v>
          </cell>
          <cell r="C1858"/>
          <cell r="D1858"/>
          <cell r="E1858" t="str">
            <v>QJ4I</v>
          </cell>
          <cell r="F1858" t="str">
            <v>DCDCKQJ4I00</v>
          </cell>
          <cell r="G1858" t="str">
            <v>G. GreenField and Other Large Scale Projects</v>
          </cell>
          <cell r="H1858" t="str">
            <v>GreenField</v>
          </cell>
          <cell r="I1858" t="str">
            <v>Greenfield</v>
          </cell>
        </row>
        <row r="1859">
          <cell r="A1859" t="str">
            <v>INDPKC11280</v>
          </cell>
          <cell r="B1859">
            <v>1858</v>
          </cell>
          <cell r="C1859"/>
          <cell r="D1859"/>
          <cell r="E1859"/>
          <cell r="F1859"/>
          <cell r="G1859" t="str">
            <v>G. GreenField and Other Large Scale Projects</v>
          </cell>
          <cell r="H1859" t="str">
            <v>GreenField</v>
          </cell>
          <cell r="I1859" t="str">
            <v>Industrial Plant</v>
          </cell>
        </row>
        <row r="1860">
          <cell r="A1860" t="str">
            <v>INDPAK11281</v>
          </cell>
          <cell r="B1860">
            <v>1859</v>
          </cell>
          <cell r="C1860"/>
          <cell r="D1860"/>
          <cell r="E1860"/>
          <cell r="F1860"/>
          <cell r="G1860" t="str">
            <v>G. GreenField and Other Large Scale Projects</v>
          </cell>
          <cell r="H1860" t="str">
            <v>GreenField</v>
          </cell>
          <cell r="I1860" t="str">
            <v>Industrial Plant</v>
          </cell>
        </row>
        <row r="1861">
          <cell r="A1861" t="str">
            <v>INDPKC11282</v>
          </cell>
          <cell r="B1861">
            <v>1860</v>
          </cell>
          <cell r="C1861"/>
          <cell r="D1861"/>
          <cell r="E1861"/>
          <cell r="F1861"/>
          <cell r="G1861" t="str">
            <v>G. GreenField and Other Large Scale Projects</v>
          </cell>
          <cell r="H1861" t="str">
            <v>GreenField</v>
          </cell>
          <cell r="I1861" t="str">
            <v>Industrial Plant</v>
          </cell>
        </row>
        <row r="1862">
          <cell r="A1862" t="str">
            <v>INDPAK11283</v>
          </cell>
          <cell r="B1862">
            <v>1861</v>
          </cell>
          <cell r="C1862"/>
          <cell r="D1862"/>
          <cell r="E1862"/>
          <cell r="F1862"/>
          <cell r="G1862" t="str">
            <v>G. GreenField and Other Large Scale Projects</v>
          </cell>
          <cell r="H1862" t="str">
            <v>GreenField</v>
          </cell>
          <cell r="I1862" t="str">
            <v>Industrial Plant</v>
          </cell>
        </row>
        <row r="1863">
          <cell r="A1863" t="str">
            <v>JAMSKC11279</v>
          </cell>
          <cell r="B1863">
            <v>1862</v>
          </cell>
          <cell r="C1863"/>
          <cell r="D1863"/>
          <cell r="E1863"/>
          <cell r="F1863"/>
          <cell r="G1863" t="str">
            <v>G. GreenField and Other Large Scale Projects</v>
          </cell>
          <cell r="H1863" t="str">
            <v>GreenField</v>
          </cell>
          <cell r="I1863" t="str">
            <v>Jamnagar Mall - Strip Mall</v>
          </cell>
        </row>
        <row r="1864">
          <cell r="A1864" t="str">
            <v>MAREKC5162</v>
          </cell>
          <cell r="B1864">
            <v>1863</v>
          </cell>
          <cell r="C1864"/>
          <cell r="D1864"/>
          <cell r="E1864"/>
          <cell r="F1864"/>
          <cell r="G1864" t="str">
            <v>G. GreenField and Other Large Scale Projects</v>
          </cell>
          <cell r="H1864" t="str">
            <v>GreenField</v>
          </cell>
          <cell r="I1864" t="str">
            <v>Jamnagar Mall - Township</v>
          </cell>
        </row>
        <row r="1865">
          <cell r="A1865" t="str">
            <v>MAREKC4884</v>
          </cell>
          <cell r="B1865">
            <v>1864</v>
          </cell>
          <cell r="C1865"/>
          <cell r="D1865"/>
          <cell r="E1865" t="str">
            <v>DE01</v>
          </cell>
          <cell r="F1865" t="str">
            <v>9015DDE0101</v>
          </cell>
          <cell r="G1865" t="str">
            <v>G. GreenField and Other Large Scale Projects</v>
          </cell>
          <cell r="H1865" t="str">
            <v>GreenField</v>
          </cell>
          <cell r="I1865" t="str">
            <v>Mall Revamp</v>
          </cell>
        </row>
        <row r="1866">
          <cell r="A1866" t="str">
            <v>MAREKC11062</v>
          </cell>
          <cell r="B1866">
            <v>1865</v>
          </cell>
          <cell r="C1866"/>
          <cell r="D1866"/>
          <cell r="E1866"/>
          <cell r="F1866"/>
          <cell r="G1866" t="str">
            <v>G. GreenField and Other Large Scale Projects</v>
          </cell>
          <cell r="H1866" t="str">
            <v>GreenField</v>
          </cell>
          <cell r="I1866" t="str">
            <v>Mall Revamp</v>
          </cell>
        </row>
        <row r="1867">
          <cell r="A1867" t="str">
            <v>MAREKC11068</v>
          </cell>
          <cell r="B1867">
            <v>1866</v>
          </cell>
          <cell r="C1867"/>
          <cell r="D1867"/>
          <cell r="E1867"/>
          <cell r="F1867"/>
          <cell r="G1867" t="str">
            <v>G. GreenField and Other Large Scale Projects</v>
          </cell>
          <cell r="H1867" t="str">
            <v>GreenField</v>
          </cell>
          <cell r="I1867" t="str">
            <v>Mall Revamp</v>
          </cell>
        </row>
        <row r="1868">
          <cell r="A1868" t="str">
            <v>MAREKC11069</v>
          </cell>
          <cell r="B1868">
            <v>1867</v>
          </cell>
          <cell r="C1868"/>
          <cell r="D1868"/>
          <cell r="E1868"/>
          <cell r="F1868"/>
          <cell r="G1868" t="str">
            <v>G. GreenField and Other Large Scale Projects</v>
          </cell>
          <cell r="H1868" t="str">
            <v>GreenField</v>
          </cell>
          <cell r="I1868" t="str">
            <v>Mall Revamp</v>
          </cell>
        </row>
        <row r="1869">
          <cell r="A1869" t="str">
            <v>MIAGAK69</v>
          </cell>
          <cell r="B1869">
            <v>1868</v>
          </cell>
          <cell r="C1869" t="str">
            <v>Not Applicable</v>
          </cell>
          <cell r="D1869" t="str">
            <v>Not Applicable</v>
          </cell>
          <cell r="E1869" t="str">
            <v>Not Applicable</v>
          </cell>
          <cell r="F1869" t="str">
            <v>TER_2020_21_GIRISOLA</v>
          </cell>
          <cell r="G1869" t="str">
            <v>I. Petro</v>
          </cell>
          <cell r="H1869" t="str">
            <v>Petro</v>
          </cell>
          <cell r="I1869" t="str">
            <v>Mini Depo - Aug</v>
          </cell>
        </row>
        <row r="1870">
          <cell r="A1870" t="str">
            <v>MIAGKC70</v>
          </cell>
          <cell r="B1870">
            <v>1869</v>
          </cell>
          <cell r="C1870" t="str">
            <v>Not Applicable</v>
          </cell>
          <cell r="D1870" t="str">
            <v>Not Applicable</v>
          </cell>
          <cell r="E1870" t="str">
            <v>Not Applicable</v>
          </cell>
          <cell r="F1870" t="str">
            <v>TER_2020_21_TILBEGUMPUR</v>
          </cell>
          <cell r="G1870" t="str">
            <v>I. Petro</v>
          </cell>
          <cell r="H1870" t="str">
            <v>Petro</v>
          </cell>
          <cell r="I1870" t="str">
            <v>Mini Depo - Aug</v>
          </cell>
        </row>
        <row r="1871">
          <cell r="A1871" t="str">
            <v>TEAGKC56</v>
          </cell>
          <cell r="B1871">
            <v>1870</v>
          </cell>
          <cell r="C1871" t="str">
            <v>Not Applicable</v>
          </cell>
          <cell r="D1871" t="str">
            <v>Not Applicable</v>
          </cell>
          <cell r="E1871" t="str">
            <v>Not Applicable</v>
          </cell>
          <cell r="F1871" t="str">
            <v>MOC-2006-SDKN-21-017-MB</v>
          </cell>
          <cell r="G1871" t="str">
            <v>I. Petro</v>
          </cell>
          <cell r="H1871" t="str">
            <v>Petro</v>
          </cell>
          <cell r="I1871" t="str">
            <v>Terminal Aug</v>
          </cell>
        </row>
        <row r="1872">
          <cell r="A1872" t="str">
            <v>TEAGAK60</v>
          </cell>
          <cell r="B1872">
            <v>1871</v>
          </cell>
          <cell r="C1872" t="str">
            <v>Not Applicable</v>
          </cell>
          <cell r="D1872" t="str">
            <v>Not Applicable</v>
          </cell>
          <cell r="E1872" t="str">
            <v>Not Applicable</v>
          </cell>
          <cell r="F1872" t="str">
            <v>MOC-6006-SDCH-21-019-MB</v>
          </cell>
          <cell r="G1872" t="str">
            <v>I. Petro</v>
          </cell>
          <cell r="H1872" t="str">
            <v>Petro</v>
          </cell>
          <cell r="I1872" t="str">
            <v>Terminal Aug</v>
          </cell>
        </row>
        <row r="1873">
          <cell r="A1873" t="str">
            <v>PETRS70</v>
          </cell>
          <cell r="B1873">
            <v>1872</v>
          </cell>
          <cell r="C1873" t="str">
            <v>Not Applicable</v>
          </cell>
          <cell r="D1873" t="str">
            <v>Not Applicable</v>
          </cell>
          <cell r="E1873" t="str">
            <v>Not Applicable</v>
          </cell>
          <cell r="F1873" t="str">
            <v>MOC-6006-SDCH-22-007</v>
          </cell>
          <cell r="G1873" t="str">
            <v>I. Petro</v>
          </cell>
          <cell r="H1873" t="str">
            <v>Petro</v>
          </cell>
          <cell r="I1873" t="str">
            <v>Terminal Aug</v>
          </cell>
        </row>
        <row r="1874">
          <cell r="A1874" t="str">
            <v>PETRE71</v>
          </cell>
          <cell r="B1874">
            <v>1873</v>
          </cell>
          <cell r="C1874" t="str">
            <v>Not Applicable</v>
          </cell>
          <cell r="D1874" t="str">
            <v>Not Applicable</v>
          </cell>
          <cell r="E1874" t="str">
            <v>Not Applicable</v>
          </cell>
          <cell r="F1874" t="str">
            <v>MOC-7204-SDHL-22-016</v>
          </cell>
          <cell r="G1874" t="str">
            <v>I. Petro</v>
          </cell>
          <cell r="H1874" t="str">
            <v>Petro</v>
          </cell>
          <cell r="I1874" t="str">
            <v>Terminal Aug</v>
          </cell>
        </row>
        <row r="1875">
          <cell r="A1875" t="str">
            <v>TEAGKC71</v>
          </cell>
          <cell r="B1875">
            <v>1874</v>
          </cell>
          <cell r="C1875" t="str">
            <v>Not Applicable</v>
          </cell>
          <cell r="D1875" t="str">
            <v>Not Applicable</v>
          </cell>
          <cell r="E1875" t="str">
            <v>Not Applicable</v>
          </cell>
          <cell r="F1875" t="str">
            <v>TERMINAL R&amp;H-TUPL801</v>
          </cell>
          <cell r="G1875" t="str">
            <v>I. Petro</v>
          </cell>
          <cell r="H1875" t="str">
            <v>Petro</v>
          </cell>
          <cell r="I1875" t="str">
            <v>Terminal Aug</v>
          </cell>
        </row>
        <row r="1876">
          <cell r="A1876" t="str">
            <v>PETRN72</v>
          </cell>
          <cell r="B1876">
            <v>1875</v>
          </cell>
          <cell r="C1876" t="str">
            <v>Not Applicable</v>
          </cell>
          <cell r="D1876" t="str">
            <v>Not Applicable</v>
          </cell>
          <cell r="E1876" t="str">
            <v>Not Applicable</v>
          </cell>
          <cell r="F1876" t="str">
            <v>MOC-2006-SDKN-22-013</v>
          </cell>
          <cell r="G1876" t="str">
            <v>I. Petro</v>
          </cell>
          <cell r="H1876" t="str">
            <v>Petro</v>
          </cell>
          <cell r="I1876" t="str">
            <v>Terminal Aug</v>
          </cell>
        </row>
        <row r="1877">
          <cell r="A1877" t="str">
            <v>TEAGKC2606</v>
          </cell>
          <cell r="B1877">
            <v>1876</v>
          </cell>
          <cell r="C1877" t="str">
            <v>Not Applicable</v>
          </cell>
          <cell r="D1877" t="str">
            <v>Not Applicable</v>
          </cell>
          <cell r="E1877" t="str">
            <v>Not Applicable</v>
          </cell>
          <cell r="F1877" t="str">
            <v>MOC-2006-SDKN-21-011</v>
          </cell>
          <cell r="G1877" t="str">
            <v>I. Petro</v>
          </cell>
          <cell r="H1877" t="str">
            <v>Petro</v>
          </cell>
          <cell r="I1877" t="str">
            <v>Terminal Aug</v>
          </cell>
        </row>
        <row r="1878">
          <cell r="A1878" t="str">
            <v>TEAGKC2607</v>
          </cell>
          <cell r="B1878">
            <v>1877</v>
          </cell>
          <cell r="C1878" t="str">
            <v>Not Applicable</v>
          </cell>
          <cell r="D1878" t="str">
            <v>Not Applicable</v>
          </cell>
          <cell r="E1878" t="str">
            <v>Not Applicable</v>
          </cell>
          <cell r="F1878" t="str">
            <v>MOC-1203-SDRW-21-015</v>
          </cell>
          <cell r="G1878" t="str">
            <v>I. Petro</v>
          </cell>
          <cell r="H1878" t="str">
            <v>Petro</v>
          </cell>
          <cell r="I1878" t="str">
            <v>Terminal Aug</v>
          </cell>
        </row>
        <row r="1879">
          <cell r="A1879" t="str">
            <v>JICESD4920</v>
          </cell>
          <cell r="B1879">
            <v>1878</v>
          </cell>
          <cell r="C1879"/>
          <cell r="D1879" t="str">
            <v>T4OD</v>
          </cell>
          <cell r="E1879" t="str">
            <v>QJ9H</v>
          </cell>
          <cell r="F1879" t="str">
            <v>RJIOBQJ9H00</v>
          </cell>
          <cell r="G1879" t="str">
            <v>J. Jio Business</v>
          </cell>
          <cell r="H1879" t="str">
            <v>Jio Business</v>
          </cell>
          <cell r="I1879" t="str">
            <v>Jio Centre</v>
          </cell>
        </row>
        <row r="1880">
          <cell r="A1880" t="str">
            <v>JIDGKC10492</v>
          </cell>
          <cell r="B1880">
            <v>1879</v>
          </cell>
          <cell r="C1880"/>
          <cell r="D1880"/>
          <cell r="E1880"/>
          <cell r="F1880"/>
          <cell r="G1880" t="str">
            <v>J. Jio Business</v>
          </cell>
          <cell r="H1880" t="str">
            <v>Jio Business</v>
          </cell>
          <cell r="I1880" t="str">
            <v>Jio Mart Digital</v>
          </cell>
        </row>
        <row r="1881">
          <cell r="A1881" t="str">
            <v>JIDGKC10493</v>
          </cell>
          <cell r="B1881">
            <v>1880</v>
          </cell>
          <cell r="C1881"/>
          <cell r="D1881"/>
          <cell r="E1881"/>
          <cell r="F1881"/>
          <cell r="G1881" t="str">
            <v>J. Jio Business</v>
          </cell>
          <cell r="H1881" t="str">
            <v>Jio Business</v>
          </cell>
          <cell r="I1881" t="str">
            <v>Jio Mart Digital</v>
          </cell>
        </row>
        <row r="1882">
          <cell r="A1882" t="str">
            <v>JIDGAK10494</v>
          </cell>
          <cell r="B1882">
            <v>1881</v>
          </cell>
          <cell r="C1882"/>
          <cell r="D1882"/>
          <cell r="E1882"/>
          <cell r="F1882"/>
          <cell r="G1882" t="str">
            <v>J. Jio Business</v>
          </cell>
          <cell r="H1882" t="str">
            <v>Jio Business</v>
          </cell>
          <cell r="I1882" t="str">
            <v>Jio Mart Digital</v>
          </cell>
        </row>
        <row r="1883">
          <cell r="A1883" t="str">
            <v>JIDGAK10495</v>
          </cell>
          <cell r="B1883">
            <v>1882</v>
          </cell>
          <cell r="C1883"/>
          <cell r="D1883"/>
          <cell r="E1883"/>
          <cell r="F1883"/>
          <cell r="G1883" t="str">
            <v>J. Jio Business</v>
          </cell>
          <cell r="H1883" t="str">
            <v>Jio Business</v>
          </cell>
          <cell r="I1883" t="str">
            <v>Jio Mart Digital</v>
          </cell>
        </row>
        <row r="1884">
          <cell r="A1884" t="str">
            <v>JIDGAK10496</v>
          </cell>
          <cell r="B1884">
            <v>1883</v>
          </cell>
          <cell r="C1884"/>
          <cell r="D1884"/>
          <cell r="E1884"/>
          <cell r="F1884"/>
          <cell r="G1884" t="str">
            <v>J. Jio Business</v>
          </cell>
          <cell r="H1884" t="str">
            <v>Jio Business</v>
          </cell>
          <cell r="I1884" t="str">
            <v>Jio Mart Digital</v>
          </cell>
        </row>
        <row r="1885">
          <cell r="A1885" t="str">
            <v>ADOFRT4723</v>
          </cell>
          <cell r="B1885">
            <v>1884</v>
          </cell>
          <cell r="C1885"/>
          <cell r="D1885" t="str">
            <v>S0WN</v>
          </cell>
          <cell r="E1885" t="str">
            <v>QI2O</v>
          </cell>
          <cell r="F1885" t="str">
            <v>RCITDQI2O00</v>
          </cell>
          <cell r="G1885" t="str">
            <v>K. Other Office Infrastructure</v>
          </cell>
          <cell r="H1885" t="str">
            <v>Office</v>
          </cell>
          <cell r="I1885" t="str">
            <v>Admin Office (Corporate Services)</v>
          </cell>
        </row>
        <row r="1886">
          <cell r="A1886" t="str">
            <v>ADOFAS10634</v>
          </cell>
          <cell r="B1886">
            <v>1885</v>
          </cell>
          <cell r="C1886"/>
          <cell r="D1886"/>
          <cell r="E1886"/>
          <cell r="F1886"/>
          <cell r="G1886" t="str">
            <v>K. Other Office Infrastructure</v>
          </cell>
          <cell r="H1886" t="str">
            <v>Office</v>
          </cell>
          <cell r="I1886" t="str">
            <v>Admin Office (Corporate Services)</v>
          </cell>
        </row>
        <row r="1887">
          <cell r="A1887" t="str">
            <v>ADOFRT10637</v>
          </cell>
          <cell r="B1887">
            <v>1886</v>
          </cell>
          <cell r="C1887"/>
          <cell r="D1887"/>
          <cell r="E1887"/>
          <cell r="F1887"/>
          <cell r="G1887" t="str">
            <v>K. Other Office Infrastructure</v>
          </cell>
          <cell r="H1887" t="str">
            <v>Office</v>
          </cell>
          <cell r="I1887" t="str">
            <v>Admin Office (Corporate Services)</v>
          </cell>
        </row>
        <row r="1888">
          <cell r="A1888" t="str">
            <v>ADOFRT10638</v>
          </cell>
          <cell r="B1888">
            <v>1887</v>
          </cell>
          <cell r="C1888"/>
          <cell r="D1888"/>
          <cell r="E1888"/>
          <cell r="F1888"/>
          <cell r="G1888" t="str">
            <v>K. Other Office Infrastructure</v>
          </cell>
          <cell r="H1888" t="str">
            <v>Office</v>
          </cell>
          <cell r="I1888" t="str">
            <v>Admin Office (Corporate Services)</v>
          </cell>
        </row>
        <row r="1889">
          <cell r="A1889" t="str">
            <v>ADOFAS10639</v>
          </cell>
          <cell r="B1889">
            <v>1888</v>
          </cell>
          <cell r="C1889"/>
          <cell r="D1889"/>
          <cell r="E1889"/>
          <cell r="F1889"/>
          <cell r="G1889" t="str">
            <v>K. Other Office Infrastructure</v>
          </cell>
          <cell r="H1889" t="str">
            <v>Office</v>
          </cell>
          <cell r="I1889" t="str">
            <v>Admin Office (Corporate Services)</v>
          </cell>
        </row>
        <row r="1890">
          <cell r="A1890" t="str">
            <v>ADOFAS10640</v>
          </cell>
          <cell r="B1890">
            <v>1889</v>
          </cell>
          <cell r="C1890"/>
          <cell r="D1890"/>
          <cell r="E1890"/>
          <cell r="F1890"/>
          <cell r="G1890" t="str">
            <v>K. Other Office Infrastructure</v>
          </cell>
          <cell r="H1890" t="str">
            <v>Office</v>
          </cell>
          <cell r="I1890" t="str">
            <v>Admin Office (Corporate Services)</v>
          </cell>
        </row>
        <row r="1891">
          <cell r="A1891" t="str">
            <v>GROFBK5200</v>
          </cell>
          <cell r="B1891">
            <v>1890</v>
          </cell>
          <cell r="C1891"/>
          <cell r="D1891"/>
          <cell r="E1891" t="str">
            <v>QMYY</v>
          </cell>
          <cell r="F1891" t="str">
            <v>SMRTMQMYY01</v>
          </cell>
          <cell r="G1891" t="str">
            <v>K. Other Office Infrastructure</v>
          </cell>
          <cell r="H1891" t="str">
            <v>Office</v>
          </cell>
          <cell r="I1891" t="str">
            <v>Grocery Office</v>
          </cell>
        </row>
      </sheetData>
      <sheetData sheetId="3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in Summary"/>
      <sheetName val="RA1 Billing Status"/>
      <sheetName val="Design Summary"/>
      <sheetName val="Backup"/>
      <sheetName val="S"/>
    </sheetNames>
    <sheetDataSet>
      <sheetData sheetId="0" refreshError="1"/>
      <sheetData sheetId="1" refreshError="1"/>
      <sheetData sheetId="2" refreshError="1"/>
      <sheetData sheetId="3" refreshError="1">
        <row r="1">
          <cell r="C1" t="str">
            <v>PD Number</v>
          </cell>
          <cell r="D1" t="str">
            <v>Sub Format</v>
          </cell>
          <cell r="E1" t="str">
            <v>Site name</v>
          </cell>
          <cell r="F1" t="str">
            <v>EPC STATUS</v>
          </cell>
        </row>
        <row r="2">
          <cell r="C2" t="str">
            <v/>
          </cell>
          <cell r="D2" t="str">
            <v>NSO 7-Eleven</v>
          </cell>
          <cell r="E2" t="str">
            <v>24x7 Embassy, Vikhroli</v>
          </cell>
          <cell r="F2" t="str">
            <v>5. Budget approved RFC awaited</v>
          </cell>
        </row>
        <row r="3">
          <cell r="C3" t="str">
            <v>7ICRMQF5J00</v>
          </cell>
          <cell r="D3" t="str">
            <v>NSO 7-Eleven</v>
          </cell>
          <cell r="E3" t="str">
            <v>72 Empire, Andheri</v>
          </cell>
          <cell r="F3" t="str">
            <v>10. Launched</v>
          </cell>
        </row>
        <row r="4">
          <cell r="C4" t="str">
            <v/>
          </cell>
          <cell r="D4" t="str">
            <v>NSO 7-Eleven</v>
          </cell>
          <cell r="E4" t="str">
            <v>Ace Almighty, Wakad</v>
          </cell>
          <cell r="F4" t="str">
            <v>14. Dropped</v>
          </cell>
        </row>
        <row r="5">
          <cell r="C5" t="str">
            <v>7ICRMQZMG00</v>
          </cell>
          <cell r="D5" t="str">
            <v>NSO 7-Eleven</v>
          </cell>
          <cell r="E5" t="str">
            <v>Aero Mall, Pebbles Plaza</v>
          </cell>
          <cell r="F5" t="str">
            <v>10. Launched</v>
          </cell>
        </row>
        <row r="6">
          <cell r="C6" t="str">
            <v/>
          </cell>
          <cell r="D6" t="str">
            <v>NSO 7-Eleven</v>
          </cell>
          <cell r="E6" t="str">
            <v>Aishwarya Trade Centre</v>
          </cell>
          <cell r="F6" t="str">
            <v>5. Budget approved RFC awaited</v>
          </cell>
        </row>
        <row r="7">
          <cell r="C7" t="str">
            <v>7ICRMQQMM00</v>
          </cell>
          <cell r="D7" t="str">
            <v>NSO 7-Eleven</v>
          </cell>
          <cell r="E7" t="str">
            <v>Amanora Park, Pune</v>
          </cell>
          <cell r="F7" t="str">
            <v>10. Launched</v>
          </cell>
        </row>
        <row r="8">
          <cell r="C8" t="str">
            <v>7ICRMQI8I00</v>
          </cell>
          <cell r="D8" t="str">
            <v>NSO 7-Eleven</v>
          </cell>
          <cell r="E8" t="str">
            <v>Ameya Classic Club</v>
          </cell>
          <cell r="F8" t="str">
            <v>9. EPC Ready</v>
          </cell>
        </row>
        <row r="9">
          <cell r="C9" t="str">
            <v/>
          </cell>
          <cell r="D9" t="str">
            <v>NSO 7-Eleven</v>
          </cell>
          <cell r="E9" t="str">
            <v>ANP Landmark</v>
          </cell>
          <cell r="F9" t="str">
            <v>5. Budget approved RFC awaited</v>
          </cell>
        </row>
        <row r="10">
          <cell r="C10" t="str">
            <v>7ICRMQH8W00</v>
          </cell>
          <cell r="D10" t="str">
            <v>NSO 7-Eleven</v>
          </cell>
          <cell r="E10" t="str">
            <v>Arihant Aura</v>
          </cell>
          <cell r="F10" t="str">
            <v>8. WIP</v>
          </cell>
        </row>
        <row r="11">
          <cell r="C11" t="str">
            <v>7ICRMQ1I600</v>
          </cell>
          <cell r="D11" t="str">
            <v>NSO 7-Eleven</v>
          </cell>
          <cell r="E11" t="str">
            <v>Ashapuradham, Sanpada</v>
          </cell>
          <cell r="F11" t="str">
            <v>10. Launched</v>
          </cell>
        </row>
        <row r="12">
          <cell r="C12" t="str">
            <v/>
          </cell>
          <cell r="D12" t="str">
            <v>NSO 7-Eleven</v>
          </cell>
          <cell r="E12" t="str">
            <v>Ashirwad High Street</v>
          </cell>
          <cell r="F12" t="str">
            <v>2. ML Awaited</v>
          </cell>
        </row>
        <row r="13">
          <cell r="C13" t="str">
            <v/>
          </cell>
          <cell r="D13" t="str">
            <v>NSO 7-Eleven</v>
          </cell>
          <cell r="E13" t="str">
            <v>Atlanta III</v>
          </cell>
          <cell r="F13" t="str">
            <v>2. ML Awaited</v>
          </cell>
        </row>
        <row r="14">
          <cell r="C14" t="str">
            <v/>
          </cell>
          <cell r="D14" t="str">
            <v>NSO 7-Eleven</v>
          </cell>
          <cell r="E14" t="str">
            <v>Aum Supreme, Kalyan</v>
          </cell>
          <cell r="F14" t="str">
            <v>2. ML Awaited</v>
          </cell>
        </row>
        <row r="15">
          <cell r="C15" t="str">
            <v/>
          </cell>
          <cell r="D15" t="str">
            <v>NSO 7-Eleven</v>
          </cell>
          <cell r="E15" t="str">
            <v>Aurum Q2</v>
          </cell>
          <cell r="F15" t="str">
            <v>4. Budget Approval Pending</v>
          </cell>
        </row>
        <row r="16">
          <cell r="C16" t="str">
            <v/>
          </cell>
          <cell r="D16" t="str">
            <v>NSO 7-Eleven</v>
          </cell>
          <cell r="E16" t="str">
            <v>Avance-1</v>
          </cell>
          <cell r="F16" t="str">
            <v>4. Budget Approval Pending</v>
          </cell>
        </row>
        <row r="17">
          <cell r="C17" t="str">
            <v/>
          </cell>
          <cell r="D17" t="str">
            <v>NSO 7-Eleven</v>
          </cell>
          <cell r="E17" t="str">
            <v>Azure builiding</v>
          </cell>
          <cell r="F17" t="str">
            <v>14. Dropped</v>
          </cell>
        </row>
        <row r="18">
          <cell r="C18" t="str">
            <v/>
          </cell>
          <cell r="D18" t="str">
            <v>NSO 7-Eleven</v>
          </cell>
          <cell r="E18" t="str">
            <v>Balaji Bhawan, Belapur</v>
          </cell>
          <cell r="F18" t="str">
            <v>11. HOLD</v>
          </cell>
        </row>
        <row r="19">
          <cell r="C19" t="str">
            <v/>
          </cell>
          <cell r="D19" t="str">
            <v>NSO 7-Eleven</v>
          </cell>
          <cell r="E19" t="str">
            <v>Balaji Empress</v>
          </cell>
          <cell r="F19" t="str">
            <v>2. ML Awaited</v>
          </cell>
        </row>
        <row r="20">
          <cell r="C20" t="str">
            <v/>
          </cell>
          <cell r="D20" t="str">
            <v>NSO 7-Eleven</v>
          </cell>
          <cell r="E20" t="str">
            <v>Basant Bahar Baner</v>
          </cell>
          <cell r="F20" t="str">
            <v>14. Dropped</v>
          </cell>
        </row>
        <row r="21">
          <cell r="C21" t="str">
            <v/>
          </cell>
          <cell r="D21" t="str">
            <v>NSO 7-Eleven</v>
          </cell>
          <cell r="E21" t="str">
            <v>Bhoomi Colossal</v>
          </cell>
          <cell r="F21" t="str">
            <v>14. Dropped</v>
          </cell>
        </row>
        <row r="22">
          <cell r="C22" t="str">
            <v>7ICRMQY1E00</v>
          </cell>
          <cell r="D22" t="str">
            <v>NSO 7-Eleven</v>
          </cell>
          <cell r="E22" t="str">
            <v>Bombay Burgers, fort</v>
          </cell>
          <cell r="F22" t="str">
            <v>10. Launched</v>
          </cell>
        </row>
        <row r="23">
          <cell r="C23" t="str">
            <v>7ICRMQEVN00</v>
          </cell>
          <cell r="D23" t="str">
            <v>NSO 7-Eleven</v>
          </cell>
          <cell r="E23" t="str">
            <v>Brewing Harmony - Satra Plaza</v>
          </cell>
          <cell r="F23" t="str">
            <v>10. Launched</v>
          </cell>
        </row>
        <row r="24">
          <cell r="C24" t="str">
            <v/>
          </cell>
          <cell r="D24" t="str">
            <v>NSO 7-Eleven</v>
          </cell>
          <cell r="E24" t="str">
            <v>Capital Mall, Vasai</v>
          </cell>
          <cell r="F24" t="str">
            <v>2. ML Awaited</v>
          </cell>
        </row>
        <row r="25">
          <cell r="C25" t="str">
            <v>7ICRMQG6I00</v>
          </cell>
          <cell r="D25" t="str">
            <v>NSO 7-Eleven</v>
          </cell>
          <cell r="E25" t="str">
            <v>Chaturbhuj Tower</v>
          </cell>
          <cell r="F25" t="str">
            <v>10. Launched</v>
          </cell>
        </row>
        <row r="26">
          <cell r="C26" t="str">
            <v>7ICRMQI3O00</v>
          </cell>
          <cell r="D26" t="str">
            <v>NSO 7-Eleven</v>
          </cell>
          <cell r="E26" t="str">
            <v>City Center, Hinjewadi</v>
          </cell>
          <cell r="F26" t="str">
            <v>10. Launched</v>
          </cell>
        </row>
        <row r="27">
          <cell r="C27" t="str">
            <v>7ICRMQC5O00</v>
          </cell>
          <cell r="D27" t="str">
            <v>NSO 7-Eleven</v>
          </cell>
          <cell r="E27" t="str">
            <v>CJ Store - Pranjee Marina</v>
          </cell>
          <cell r="F27" t="str">
            <v>10. Launched</v>
          </cell>
        </row>
        <row r="28">
          <cell r="C28" t="str">
            <v/>
          </cell>
          <cell r="D28" t="str">
            <v>NSO 7-Eleven</v>
          </cell>
          <cell r="E28" t="str">
            <v>Coffee Shop no - 1, Mindspace (West)</v>
          </cell>
          <cell r="F28" t="str">
            <v>14. Dropped</v>
          </cell>
        </row>
        <row r="29">
          <cell r="C29" t="str">
            <v/>
          </cell>
          <cell r="D29" t="str">
            <v>NSO 7-Eleven</v>
          </cell>
          <cell r="E29" t="str">
            <v>Commerzone yearwada</v>
          </cell>
          <cell r="F29" t="str">
            <v>4. Budget Approval Pending</v>
          </cell>
        </row>
        <row r="30">
          <cell r="C30" t="str">
            <v>7ICRMQG6K00</v>
          </cell>
          <cell r="D30" t="str">
            <v>NSO 7-Eleven</v>
          </cell>
          <cell r="E30" t="str">
            <v>Cornerstone Anselm</v>
          </cell>
          <cell r="F30" t="str">
            <v>10. Launched</v>
          </cell>
        </row>
        <row r="31">
          <cell r="C31" t="str">
            <v>7ICRMQ1I500</v>
          </cell>
          <cell r="D31" t="str">
            <v>NSO 7-Eleven</v>
          </cell>
          <cell r="E31" t="str">
            <v>Dev Ashoka</v>
          </cell>
          <cell r="F31" t="str">
            <v>10. Launched</v>
          </cell>
        </row>
        <row r="32">
          <cell r="C32" t="str">
            <v/>
          </cell>
          <cell r="D32" t="str">
            <v>NSO 7-Eleven</v>
          </cell>
          <cell r="E32" t="str">
            <v>Durga Dham, Thane</v>
          </cell>
          <cell r="F32" t="str">
            <v>14. Dropped</v>
          </cell>
        </row>
        <row r="33">
          <cell r="C33" t="str">
            <v>7ICRMQGLJ00</v>
          </cell>
          <cell r="D33" t="str">
            <v>NSO 7-Eleven</v>
          </cell>
          <cell r="E33" t="str">
            <v>D'Victoria Mall, Borivali</v>
          </cell>
          <cell r="F33" t="str">
            <v>10. Launched</v>
          </cell>
        </row>
        <row r="34">
          <cell r="C34" t="str">
            <v>7ICRMQOSC00</v>
          </cell>
          <cell r="D34" t="str">
            <v>NSO 7-Eleven</v>
          </cell>
          <cell r="E34" t="str">
            <v>Elite Grandeur, Kharghar</v>
          </cell>
          <cell r="F34" t="str">
            <v>10. Launched</v>
          </cell>
        </row>
        <row r="35">
          <cell r="C35" t="str">
            <v/>
          </cell>
          <cell r="D35" t="str">
            <v>NSO 7-Eleven</v>
          </cell>
          <cell r="E35" t="str">
            <v>Empire Tower, Airoli</v>
          </cell>
          <cell r="F35" t="str">
            <v>2. ML Awaited</v>
          </cell>
        </row>
        <row r="36">
          <cell r="C36" t="str">
            <v>7ICRMQ5BH00</v>
          </cell>
          <cell r="D36" t="str">
            <v>NSO 7-Eleven</v>
          </cell>
          <cell r="E36" t="str">
            <v>Gauripada, Yogidham, Kalyan</v>
          </cell>
          <cell r="F36" t="str">
            <v>10. Launched</v>
          </cell>
        </row>
        <row r="37">
          <cell r="C37" t="str">
            <v/>
          </cell>
          <cell r="D37" t="str">
            <v>NSO 7-Eleven</v>
          </cell>
          <cell r="E37" t="str">
            <v>Gera Commerzone</v>
          </cell>
          <cell r="F37" t="str">
            <v>2. ML Awaited</v>
          </cell>
        </row>
        <row r="38">
          <cell r="C38" t="str">
            <v/>
          </cell>
          <cell r="D38" t="str">
            <v>NSO 7-Eleven</v>
          </cell>
          <cell r="E38" t="str">
            <v>Gera Empirium Alfa</v>
          </cell>
          <cell r="F38" t="str">
            <v>4. Budget Approval Pending</v>
          </cell>
        </row>
        <row r="39">
          <cell r="C39" t="str">
            <v>7ICRMQGJW00</v>
          </cell>
          <cell r="D39" t="str">
            <v>NSO 7-Eleven</v>
          </cell>
          <cell r="E39" t="str">
            <v>Giriraj Society, Seawoods</v>
          </cell>
          <cell r="F39" t="str">
            <v>10. Launched</v>
          </cell>
        </row>
        <row r="40">
          <cell r="C40" t="str">
            <v/>
          </cell>
          <cell r="D40" t="str">
            <v>NSO 7-Eleven</v>
          </cell>
          <cell r="E40" t="str">
            <v>Gokul Regency</v>
          </cell>
          <cell r="F40" t="str">
            <v>2. ML Awaited</v>
          </cell>
        </row>
        <row r="41">
          <cell r="C41" t="str">
            <v>7ICRMQZMF00</v>
          </cell>
          <cell r="D41" t="str">
            <v>NSO 7-Eleven</v>
          </cell>
          <cell r="E41" t="str">
            <v>Goodwill Paradise,</v>
          </cell>
          <cell r="F41" t="str">
            <v>10. Launched</v>
          </cell>
        </row>
        <row r="42">
          <cell r="C42" t="str">
            <v>7ICRMQG6L00</v>
          </cell>
          <cell r="D42" t="str">
            <v>NSO 7-Eleven</v>
          </cell>
          <cell r="E42" t="str">
            <v>Grand central, Seawoods</v>
          </cell>
          <cell r="F42" t="str">
            <v>10. Launched</v>
          </cell>
        </row>
        <row r="43">
          <cell r="C43" t="str">
            <v/>
          </cell>
          <cell r="D43" t="str">
            <v>NSO 7-Eleven</v>
          </cell>
          <cell r="E43" t="str">
            <v>Green Park, Ghansoli</v>
          </cell>
          <cell r="F43" t="str">
            <v>14. Dropped</v>
          </cell>
        </row>
        <row r="44">
          <cell r="C44" t="str">
            <v>7ICRMQDNN00</v>
          </cell>
          <cell r="D44" t="str">
            <v>NSO 7-Eleven</v>
          </cell>
          <cell r="E44" t="str">
            <v>Haware Centurian</v>
          </cell>
          <cell r="F44" t="str">
            <v>10. Launched</v>
          </cell>
        </row>
        <row r="45">
          <cell r="C45" t="str">
            <v>7ICRMQA7S00</v>
          </cell>
          <cell r="D45" t="str">
            <v>NSO 7-Eleven</v>
          </cell>
          <cell r="E45" t="str">
            <v>Health Springs, Mulund</v>
          </cell>
          <cell r="F45" t="str">
            <v>10. Launched</v>
          </cell>
        </row>
        <row r="46">
          <cell r="C46" t="str">
            <v/>
          </cell>
          <cell r="D46" t="str">
            <v>NSO 7-Eleven</v>
          </cell>
          <cell r="E46" t="str">
            <v>Hill Crest</v>
          </cell>
          <cell r="F46" t="str">
            <v>2. ML Awaited</v>
          </cell>
        </row>
        <row r="47">
          <cell r="C47" t="str">
            <v>7ICRMQEAT00</v>
          </cell>
          <cell r="D47" t="str">
            <v>NSO 7-Eleven</v>
          </cell>
          <cell r="E47" t="str">
            <v>Hub Town Sunmist, Teli Galli</v>
          </cell>
          <cell r="F47" t="str">
            <v>10. Launched</v>
          </cell>
        </row>
        <row r="48">
          <cell r="C48" t="str">
            <v>7ICRMQ4GD00</v>
          </cell>
          <cell r="D48" t="str">
            <v>NSO 7-Eleven</v>
          </cell>
          <cell r="E48" t="str">
            <v xml:space="preserve">Huma Mall </v>
          </cell>
          <cell r="F48" t="str">
            <v>10. Launched</v>
          </cell>
        </row>
        <row r="49">
          <cell r="C49" t="str">
            <v/>
          </cell>
          <cell r="D49" t="str">
            <v>NSO 7-Eleven</v>
          </cell>
          <cell r="E49" t="str">
            <v>International Tech Park, Pune</v>
          </cell>
          <cell r="F49" t="str">
            <v>5. Budget approved RFC awaited</v>
          </cell>
        </row>
        <row r="50">
          <cell r="C50" t="str">
            <v>7ICRMQZDX00</v>
          </cell>
          <cell r="D50" t="str">
            <v>SBZ 7-Eleven</v>
          </cell>
          <cell r="E50" t="str">
            <v>Ivory Mall, Malad</v>
          </cell>
          <cell r="F50" t="str">
            <v>14. Dropped</v>
          </cell>
        </row>
        <row r="51">
          <cell r="C51" t="str">
            <v>7ICRMQ2U700</v>
          </cell>
          <cell r="D51" t="str">
            <v>NSO 7-Eleven</v>
          </cell>
          <cell r="E51" t="str">
            <v>Joy Valencia, Jogeshwari</v>
          </cell>
          <cell r="F51" t="str">
            <v>10. Launched</v>
          </cell>
        </row>
        <row r="52">
          <cell r="C52" t="str">
            <v/>
          </cell>
          <cell r="D52" t="str">
            <v>NSO 7-Eleven</v>
          </cell>
          <cell r="E52" t="str">
            <v>Kakkad Madhukosh</v>
          </cell>
          <cell r="F52" t="str">
            <v>2. ML Awaited</v>
          </cell>
        </row>
        <row r="53">
          <cell r="C53" t="str">
            <v/>
          </cell>
          <cell r="D53" t="str">
            <v>NSO 7-Eleven</v>
          </cell>
          <cell r="E53" t="str">
            <v>Keystone Altura</v>
          </cell>
          <cell r="F53" t="str">
            <v>4. Budget Approval Pending</v>
          </cell>
        </row>
        <row r="54">
          <cell r="C54" t="str">
            <v/>
          </cell>
          <cell r="D54" t="str">
            <v>NSO 7-Eleven</v>
          </cell>
          <cell r="E54" t="str">
            <v>Kiosk</v>
          </cell>
          <cell r="F54" t="str">
            <v>3. Design In progress</v>
          </cell>
        </row>
        <row r="55">
          <cell r="C55" t="str">
            <v/>
          </cell>
          <cell r="D55" t="str">
            <v>NSO 7-Eleven</v>
          </cell>
          <cell r="E55" t="str">
            <v>Kohinoor B Zone</v>
          </cell>
          <cell r="F55" t="str">
            <v>2. ML Awaited</v>
          </cell>
        </row>
        <row r="56">
          <cell r="C56" t="str">
            <v>7ICRMQZYZ00</v>
          </cell>
          <cell r="D56" t="str">
            <v>NSO 7-Eleven</v>
          </cell>
          <cell r="E56" t="str">
            <v>Kokilaben Hospital, Andheri</v>
          </cell>
          <cell r="F56" t="str">
            <v>10. Launched</v>
          </cell>
        </row>
        <row r="57">
          <cell r="C57" t="str">
            <v>7ICRMQZKX00</v>
          </cell>
          <cell r="D57" t="str">
            <v>NSO 7-Eleven</v>
          </cell>
          <cell r="E57" t="str">
            <v>Laxcon Plaza, Nerul</v>
          </cell>
          <cell r="F57" t="str">
            <v>10. Launched</v>
          </cell>
        </row>
        <row r="58">
          <cell r="C58" t="str">
            <v/>
          </cell>
          <cell r="D58" t="str">
            <v>NSO 7-Eleven</v>
          </cell>
          <cell r="E58" t="str">
            <v xml:space="preserve">Legacy Ivy </v>
          </cell>
          <cell r="F58" t="str">
            <v>5. Budget approved RFC awaited</v>
          </cell>
        </row>
        <row r="59">
          <cell r="C59" t="str">
            <v/>
          </cell>
          <cell r="D59" t="str">
            <v>NSO 7-Eleven</v>
          </cell>
          <cell r="E59" t="str">
            <v>Liberty Tower, Airoli</v>
          </cell>
          <cell r="F59" t="str">
            <v>2. ML Awaited</v>
          </cell>
        </row>
        <row r="60">
          <cell r="C60" t="str">
            <v/>
          </cell>
          <cell r="D60" t="str">
            <v>NSO 7-Eleven</v>
          </cell>
          <cell r="E60" t="str">
            <v>M-Agile</v>
          </cell>
          <cell r="F60" t="str">
            <v>5. Budget approved RFC awaited</v>
          </cell>
        </row>
        <row r="61">
          <cell r="C61" t="str">
            <v/>
          </cell>
          <cell r="D61" t="str">
            <v>NSO 7-Eleven</v>
          </cell>
          <cell r="E61" t="str">
            <v>Metro Mall, Kalyan</v>
          </cell>
          <cell r="F61" t="str">
            <v>2. ML Awaited</v>
          </cell>
        </row>
        <row r="62">
          <cell r="C62" t="str">
            <v/>
          </cell>
          <cell r="D62" t="str">
            <v>NSO 7-Eleven</v>
          </cell>
          <cell r="E62" t="str">
            <v>Millenium Star</v>
          </cell>
          <cell r="F62" t="str">
            <v>4. Budget Approval Pending</v>
          </cell>
        </row>
        <row r="63">
          <cell r="C63" t="str">
            <v/>
          </cell>
          <cell r="D63" t="str">
            <v>NSO 7-Eleven</v>
          </cell>
          <cell r="E63" t="str">
            <v>Mindspace - Coffee shopno -2</v>
          </cell>
          <cell r="F63" t="str">
            <v>5. Budget approved RFC awaited</v>
          </cell>
        </row>
        <row r="64">
          <cell r="C64" t="str">
            <v/>
          </cell>
          <cell r="D64" t="str">
            <v>NSO 7-Eleven</v>
          </cell>
          <cell r="E64" t="str">
            <v>Mindspace Airoli - 1</v>
          </cell>
          <cell r="F64" t="str">
            <v>2. ML Awaited</v>
          </cell>
        </row>
        <row r="65">
          <cell r="C65" t="str">
            <v/>
          </cell>
          <cell r="D65" t="str">
            <v>NSO 7-Eleven</v>
          </cell>
          <cell r="E65" t="str">
            <v>Mindspace Airoli - 2</v>
          </cell>
          <cell r="F65" t="str">
            <v>11. HOLD</v>
          </cell>
        </row>
        <row r="66">
          <cell r="C66" t="str">
            <v>7ICRMQJ1O00</v>
          </cell>
          <cell r="D66" t="str">
            <v>NSO 7-Eleven</v>
          </cell>
          <cell r="E66" t="str">
            <v>Mindspace, Samruddhi</v>
          </cell>
          <cell r="F66" t="str">
            <v>5. Budget approved RFC awaited</v>
          </cell>
        </row>
        <row r="67">
          <cell r="C67" t="str">
            <v/>
          </cell>
          <cell r="D67" t="str">
            <v>NSO 7-Eleven</v>
          </cell>
          <cell r="E67" t="str">
            <v>Montclaire - Baner- Pashan Link Road</v>
          </cell>
          <cell r="F67" t="str">
            <v>5. Budget approved RFC awaited</v>
          </cell>
        </row>
        <row r="68">
          <cell r="C68" t="str">
            <v/>
          </cell>
          <cell r="D68" t="str">
            <v>NSO 7-Eleven</v>
          </cell>
          <cell r="E68" t="str">
            <v>My Divine, Chembur</v>
          </cell>
          <cell r="F68" t="str">
            <v>2. ML Awaited</v>
          </cell>
        </row>
        <row r="69">
          <cell r="C69" t="str">
            <v/>
          </cell>
          <cell r="D69" t="str">
            <v>NSO 7-Eleven</v>
          </cell>
          <cell r="E69" t="str">
            <v>Nirman Altius</v>
          </cell>
          <cell r="F69" t="str">
            <v>5. Budget approved RFC awaited</v>
          </cell>
        </row>
        <row r="70">
          <cell r="C70" t="str">
            <v>7ICRMQPZZ00</v>
          </cell>
          <cell r="D70" t="str">
            <v>NSO 7-Eleven</v>
          </cell>
          <cell r="E70" t="str">
            <v>Nirmann CHS</v>
          </cell>
          <cell r="F70" t="str">
            <v>10. Launched</v>
          </cell>
        </row>
        <row r="71">
          <cell r="C71" t="str">
            <v>7ICRMQS1V00 </v>
          </cell>
          <cell r="D71" t="str">
            <v>NSO 7-Eleven</v>
          </cell>
          <cell r="E71" t="str">
            <v>Phulora, Powai</v>
          </cell>
          <cell r="F71" t="str">
            <v>10. Launched</v>
          </cell>
        </row>
        <row r="72">
          <cell r="C72" t="str">
            <v/>
          </cell>
          <cell r="D72" t="str">
            <v>NSO 7-Eleven</v>
          </cell>
          <cell r="E72" t="str">
            <v>Pimple Saudagar</v>
          </cell>
          <cell r="F72" t="str">
            <v>14. Dropped</v>
          </cell>
        </row>
        <row r="73">
          <cell r="C73" t="str">
            <v>7ICRMQGJV00</v>
          </cell>
          <cell r="D73" t="str">
            <v>NSO 7-Eleven</v>
          </cell>
          <cell r="E73" t="str">
            <v>Pinnacle Buisness Park, Andheri</v>
          </cell>
          <cell r="F73" t="str">
            <v>10. Launched</v>
          </cell>
        </row>
        <row r="74">
          <cell r="C74" t="str">
            <v>7ICRMQI9V00</v>
          </cell>
          <cell r="D74" t="str">
            <v>NSO 7-Eleven</v>
          </cell>
          <cell r="E74" t="str">
            <v>Platinum Experio</v>
          </cell>
          <cell r="F74" t="str">
            <v>9. EPC Ready</v>
          </cell>
        </row>
        <row r="75">
          <cell r="C75" t="str">
            <v>7ICRMQGAE00</v>
          </cell>
          <cell r="D75" t="str">
            <v>NSO 7-Eleven</v>
          </cell>
          <cell r="E75" t="str">
            <v>PMC, Kurla</v>
          </cell>
          <cell r="F75" t="str">
            <v>10. Launched</v>
          </cell>
        </row>
        <row r="76">
          <cell r="C76" t="str">
            <v/>
          </cell>
          <cell r="D76" t="str">
            <v>NSO 7-Eleven</v>
          </cell>
          <cell r="E76" t="str">
            <v>Premier Plaza, Pune</v>
          </cell>
          <cell r="F76" t="str">
            <v>2. ML Awaited</v>
          </cell>
        </row>
        <row r="77">
          <cell r="C77" t="str">
            <v/>
          </cell>
          <cell r="D77" t="str">
            <v>NSO 7-Eleven</v>
          </cell>
          <cell r="E77" t="str">
            <v>Qubix Business Park</v>
          </cell>
          <cell r="F77" t="str">
            <v>14. Dropped</v>
          </cell>
        </row>
        <row r="78">
          <cell r="C78" t="str">
            <v>7ICRMQRII00</v>
          </cell>
          <cell r="D78" t="str">
            <v>NSO 7-Eleven</v>
          </cell>
          <cell r="E78" t="str">
            <v>Raj Infinia</v>
          </cell>
          <cell r="F78" t="str">
            <v>10. Launched</v>
          </cell>
        </row>
        <row r="79">
          <cell r="C79" t="str">
            <v/>
          </cell>
          <cell r="D79" t="str">
            <v>NSO 7-Eleven</v>
          </cell>
          <cell r="E79" t="str">
            <v>Rio Grande, Hinjewadi</v>
          </cell>
          <cell r="F79" t="str">
            <v>5. Budget approved RFC awaited</v>
          </cell>
        </row>
        <row r="80">
          <cell r="C80" t="str">
            <v>7ICRMQXPD00</v>
          </cell>
          <cell r="D80" t="str">
            <v>NSO 7-Eleven</v>
          </cell>
          <cell r="E80" t="str">
            <v>Rupa Renaissance</v>
          </cell>
          <cell r="F80" t="str">
            <v>10. Launched</v>
          </cell>
        </row>
        <row r="81">
          <cell r="C81" t="str">
            <v>7ICRMQXPE00</v>
          </cell>
          <cell r="D81" t="str">
            <v>NSO 7-Eleven</v>
          </cell>
          <cell r="E81" t="str">
            <v>Rupa Solitare</v>
          </cell>
          <cell r="F81" t="str">
            <v>10. Launched</v>
          </cell>
        </row>
        <row r="82">
          <cell r="C82" t="str">
            <v>7ICRMQFLR00</v>
          </cell>
          <cell r="D82" t="str">
            <v>NSO 7-Eleven</v>
          </cell>
          <cell r="E82" t="str">
            <v>Sagar Tech plaza, Sakinaka</v>
          </cell>
          <cell r="F82" t="str">
            <v>10. Launched</v>
          </cell>
        </row>
        <row r="83">
          <cell r="C83" t="str">
            <v>7ICRMQF5K00</v>
          </cell>
          <cell r="D83" t="str">
            <v>NSO 7-Eleven</v>
          </cell>
          <cell r="E83" t="str">
            <v>Sai Miracle, Khargar</v>
          </cell>
          <cell r="F83" t="str">
            <v>10. Launched</v>
          </cell>
        </row>
        <row r="84">
          <cell r="C84" t="str">
            <v>7ICRMQG8L00</v>
          </cell>
          <cell r="D84" t="str">
            <v>NSO 7-Eleven</v>
          </cell>
          <cell r="E84" t="str">
            <v>Samarpan Building</v>
          </cell>
          <cell r="F84" t="str">
            <v>10. Launched</v>
          </cell>
        </row>
        <row r="85">
          <cell r="C85" t="str">
            <v>7ICRMQCAV00</v>
          </cell>
          <cell r="D85" t="str">
            <v>NSO 7-Eleven</v>
          </cell>
          <cell r="E85" t="str">
            <v>Samrin Heritage, Thane West</v>
          </cell>
          <cell r="F85" t="str">
            <v>10. Launched</v>
          </cell>
        </row>
        <row r="86">
          <cell r="C86" t="str">
            <v/>
          </cell>
          <cell r="D86" t="str">
            <v>NSO 7-Eleven</v>
          </cell>
          <cell r="E86" t="str">
            <v>Sarisha Society</v>
          </cell>
          <cell r="F86" t="str">
            <v>14. Dropped</v>
          </cell>
        </row>
        <row r="87">
          <cell r="C87" t="str">
            <v/>
          </cell>
          <cell r="D87" t="str">
            <v>NSO 7-Eleven</v>
          </cell>
          <cell r="E87" t="str">
            <v>Shantivan, CBD Belapur</v>
          </cell>
          <cell r="F87" t="str">
            <v>2. ML Awaited</v>
          </cell>
        </row>
        <row r="88">
          <cell r="C88" t="str">
            <v/>
          </cell>
          <cell r="D88" t="str">
            <v>NSO 7-Eleven</v>
          </cell>
          <cell r="E88" t="str">
            <v>Shop no - 1, Mindspace (East)</v>
          </cell>
          <cell r="F88" t="str">
            <v>5. Budget approved RFC awaited</v>
          </cell>
        </row>
        <row r="89">
          <cell r="C89" t="str">
            <v>7ICRMQ2U600</v>
          </cell>
          <cell r="D89" t="str">
            <v>NSO 7-Eleven</v>
          </cell>
          <cell r="E89" t="str">
            <v>Shree Ambika Heritage, Khargar</v>
          </cell>
          <cell r="F89" t="str">
            <v>10. Launched</v>
          </cell>
        </row>
        <row r="90">
          <cell r="C90" t="str">
            <v>7ICRMQGJU00</v>
          </cell>
          <cell r="D90" t="str">
            <v>NSO 7-Eleven</v>
          </cell>
          <cell r="E90" t="str">
            <v>Shree Praful, Kandivile</v>
          </cell>
          <cell r="F90" t="str">
            <v>10. Launched</v>
          </cell>
        </row>
        <row r="91">
          <cell r="C91" t="str">
            <v/>
          </cell>
          <cell r="D91" t="str">
            <v>NSO 7-Eleven</v>
          </cell>
          <cell r="E91" t="str">
            <v>Siddesh Optimus</v>
          </cell>
          <cell r="F91" t="str">
            <v>4. Budget Approval Pending</v>
          </cell>
        </row>
        <row r="92">
          <cell r="C92" t="str">
            <v>7ICRMQ1U300</v>
          </cell>
          <cell r="D92" t="str">
            <v>NSO 7-Eleven</v>
          </cell>
          <cell r="E92" t="str">
            <v>Siddhivinayak Tower</v>
          </cell>
          <cell r="F92" t="str">
            <v>10. Launched</v>
          </cell>
        </row>
        <row r="93">
          <cell r="C93" t="str">
            <v>7ICRMQG6J00</v>
          </cell>
          <cell r="D93" t="str">
            <v>SBZ 7-Eleven</v>
          </cell>
          <cell r="E93" t="str">
            <v>Smart Bazaar, Atria Mall, Worli</v>
          </cell>
          <cell r="F93" t="str">
            <v>10. Launched</v>
          </cell>
        </row>
        <row r="94">
          <cell r="C94" t="str">
            <v>7ICRMQ1W900</v>
          </cell>
          <cell r="D94" t="str">
            <v>SBZ 7-Eleven</v>
          </cell>
          <cell r="E94" t="str">
            <v>Smart Bazaar, Dahisar</v>
          </cell>
          <cell r="F94" t="str">
            <v>10. Launched</v>
          </cell>
        </row>
        <row r="95">
          <cell r="C95" t="str">
            <v>7ICRMQ1N600</v>
          </cell>
          <cell r="D95" t="str">
            <v>SBZ 7-Eleven</v>
          </cell>
          <cell r="E95" t="str">
            <v xml:space="preserve">Smart Bazaar, Dattani </v>
          </cell>
          <cell r="F95" t="str">
            <v>10. Launched</v>
          </cell>
        </row>
        <row r="96">
          <cell r="C96" t="str">
            <v/>
          </cell>
          <cell r="D96" t="str">
            <v>SBZ 7-Eleven</v>
          </cell>
          <cell r="E96" t="str">
            <v>Smart Bazaar, Inorbit mall, Vashi</v>
          </cell>
          <cell r="F96" t="str">
            <v>14. Dropped</v>
          </cell>
        </row>
        <row r="97">
          <cell r="C97" t="str">
            <v>7ICRMQQLL00</v>
          </cell>
          <cell r="D97" t="str">
            <v>SBZ 7-Eleven</v>
          </cell>
          <cell r="E97" t="str">
            <v>Smart Bazaar, Kothrud Road, Pune</v>
          </cell>
          <cell r="F97" t="str">
            <v>10. Launched</v>
          </cell>
        </row>
        <row r="98">
          <cell r="C98" t="str">
            <v>7ICRMQ1Q500</v>
          </cell>
          <cell r="D98" t="str">
            <v>SBZ 7-Eleven</v>
          </cell>
          <cell r="E98" t="str">
            <v>Smart Bazaar, Orion mall</v>
          </cell>
          <cell r="F98" t="str">
            <v>10. Launched</v>
          </cell>
        </row>
        <row r="99">
          <cell r="C99" t="str">
            <v>7ICRMQ1W700</v>
          </cell>
          <cell r="D99" t="str">
            <v>SBZ 7-Eleven</v>
          </cell>
          <cell r="E99" t="str">
            <v>Smart Bazaar, Raghuleela Mall</v>
          </cell>
          <cell r="F99" t="str">
            <v>10. Launched</v>
          </cell>
        </row>
        <row r="100">
          <cell r="C100" t="str">
            <v>7ICRMQ1X100</v>
          </cell>
          <cell r="D100" t="str">
            <v>SBZ 7-Eleven</v>
          </cell>
          <cell r="E100" t="str">
            <v>Smart Bazaar, Virar</v>
          </cell>
          <cell r="F100" t="str">
            <v>10. Launched</v>
          </cell>
        </row>
        <row r="101">
          <cell r="C101" t="str">
            <v>7ICRMQ1S300</v>
          </cell>
          <cell r="D101" t="str">
            <v>SBZ 7-Eleven</v>
          </cell>
          <cell r="E101" t="str">
            <v>Smart Bazaar, Xperial Mall, Dombivali</v>
          </cell>
          <cell r="F101" t="str">
            <v>10. Launched</v>
          </cell>
        </row>
        <row r="102">
          <cell r="C102" t="str">
            <v/>
          </cell>
          <cell r="D102" t="str">
            <v>NSO 7-Eleven</v>
          </cell>
          <cell r="E102" t="str">
            <v>Sukhwani Pacific II</v>
          </cell>
          <cell r="F102" t="str">
            <v>2. ML Awaited</v>
          </cell>
        </row>
        <row r="103">
          <cell r="C103" t="str">
            <v>7ICRMQGVA00</v>
          </cell>
          <cell r="D103" t="str">
            <v>NSO 7-Eleven</v>
          </cell>
          <cell r="E103" t="str">
            <v>Sumer Life</v>
          </cell>
          <cell r="F103" t="str">
            <v>10. Launched</v>
          </cell>
        </row>
        <row r="104">
          <cell r="C104" t="str">
            <v/>
          </cell>
          <cell r="D104" t="str">
            <v>NSO 7-Eleven</v>
          </cell>
          <cell r="E104" t="str">
            <v>Suyog Space</v>
          </cell>
          <cell r="F104" t="str">
            <v>4. Budget Approval Pending</v>
          </cell>
        </row>
        <row r="105">
          <cell r="C105" t="str">
            <v>7ICRMQZCR00</v>
          </cell>
          <cell r="D105" t="str">
            <v>NSO 7-Eleven</v>
          </cell>
          <cell r="E105" t="str">
            <v>Tapovan CHS</v>
          </cell>
          <cell r="F105" t="str">
            <v>10. Launched</v>
          </cell>
        </row>
        <row r="106">
          <cell r="C106" t="str">
            <v/>
          </cell>
          <cell r="D106" t="str">
            <v>NSO 7-Eleven</v>
          </cell>
          <cell r="E106" t="str">
            <v>Tulsi Heights,Ulwe</v>
          </cell>
          <cell r="F106" t="str">
            <v>11. HOLD</v>
          </cell>
        </row>
        <row r="107">
          <cell r="C107" t="str">
            <v/>
          </cell>
          <cell r="D107" t="str">
            <v>NSO 7-Eleven</v>
          </cell>
          <cell r="E107" t="str">
            <v>Varun Arcade</v>
          </cell>
          <cell r="F107" t="str">
            <v>14. Dropped</v>
          </cell>
        </row>
        <row r="108">
          <cell r="C108" t="str">
            <v/>
          </cell>
          <cell r="D108" t="str">
            <v>NSO 7-Eleven</v>
          </cell>
          <cell r="E108" t="str">
            <v>Viman Nagar, Nyati Express</v>
          </cell>
          <cell r="F108" t="str">
            <v>14. Dropped</v>
          </cell>
        </row>
        <row r="109">
          <cell r="C109" t="str">
            <v>7ICRMQ4M400</v>
          </cell>
          <cell r="D109" t="str">
            <v>SBZ 7-Eleven</v>
          </cell>
          <cell r="E109" t="str">
            <v>Viviana Mall, Thane</v>
          </cell>
          <cell r="F109" t="str">
            <v>14. Dropped</v>
          </cell>
        </row>
        <row r="110">
          <cell r="C110" t="str">
            <v>7ICRMQI3R00</v>
          </cell>
          <cell r="D110" t="str">
            <v>NSO 7-Eleven</v>
          </cell>
          <cell r="E110" t="str">
            <v>WTC kharandi, Tower - 1</v>
          </cell>
          <cell r="F110" t="str">
            <v>10. Launched</v>
          </cell>
        </row>
        <row r="111">
          <cell r="C111" t="str">
            <v/>
          </cell>
          <cell r="D111" t="str">
            <v>NSO 7-Eleven</v>
          </cell>
          <cell r="E111" t="str">
            <v>WTC, Kharandi</v>
          </cell>
          <cell r="F111" t="str">
            <v>14. Dropped</v>
          </cell>
        </row>
        <row r="112">
          <cell r="C112" t="str">
            <v/>
          </cell>
          <cell r="D112" t="str">
            <v>NSO 7-Eleven</v>
          </cell>
          <cell r="E112" t="str">
            <v>Ashar IT Park</v>
          </cell>
          <cell r="F112" t="str">
            <v>2. ML Awaited</v>
          </cell>
        </row>
        <row r="113">
          <cell r="C113"/>
          <cell r="D113" t="str">
            <v>NSO 7-Eleven</v>
          </cell>
          <cell r="E113" t="str">
            <v>Marathon Future X</v>
          </cell>
          <cell r="F113" t="str">
            <v>1. SDR in Progress</v>
          </cell>
        </row>
        <row r="114">
          <cell r="C114"/>
          <cell r="D114" t="str">
            <v>NSO 7-Eleven</v>
          </cell>
          <cell r="E114" t="str">
            <v>G Corp</v>
          </cell>
          <cell r="F114" t="str">
            <v>2. ML Awaited</v>
          </cell>
        </row>
        <row r="115">
          <cell r="C115"/>
          <cell r="D115" t="str">
            <v>NSO 7-Eleven</v>
          </cell>
          <cell r="E115" t="str">
            <v>Adi Elementis</v>
          </cell>
          <cell r="F115" t="str">
            <v>2. ML Awaited</v>
          </cell>
        </row>
        <row r="116">
          <cell r="C116" t="str">
            <v>AMNTMQORS00</v>
          </cell>
          <cell r="D116" t="str">
            <v>Amante</v>
          </cell>
          <cell r="E116" t="str">
            <v>Prozone Mall</v>
          </cell>
          <cell r="F116" t="str">
            <v>10. Launched</v>
          </cell>
        </row>
        <row r="117">
          <cell r="C117" t="str">
            <v>AMNTUQNQD00</v>
          </cell>
          <cell r="D117" t="str">
            <v>Amante</v>
          </cell>
          <cell r="E117" t="str">
            <v>Lulu Mall, Lucknow</v>
          </cell>
          <cell r="F117" t="str">
            <v>10. Launched</v>
          </cell>
        </row>
        <row r="118">
          <cell r="C118" t="str">
            <v>AMNTNQNQE00</v>
          </cell>
          <cell r="D118" t="str">
            <v>Amante</v>
          </cell>
          <cell r="E118" t="str">
            <v>Sarath City, Capital  Mall</v>
          </cell>
          <cell r="F118" t="str">
            <v>10. Launched</v>
          </cell>
        </row>
        <row r="119">
          <cell r="C119"/>
          <cell r="D119" t="str">
            <v>Amante</v>
          </cell>
          <cell r="E119" t="str">
            <v>Gaur City</v>
          </cell>
          <cell r="F119" t="str">
            <v>14. Dropped</v>
          </cell>
        </row>
        <row r="120">
          <cell r="C120" t="str">
            <v>AMNTKQI8F00</v>
          </cell>
          <cell r="D120" t="str">
            <v>Amante</v>
          </cell>
          <cell r="E120" t="str">
            <v>Jayanagar, Bangalore</v>
          </cell>
          <cell r="F120" t="str">
            <v>9. EPC Ready</v>
          </cell>
        </row>
        <row r="121">
          <cell r="C121"/>
          <cell r="D121" t="str">
            <v>Amante</v>
          </cell>
          <cell r="E121" t="str">
            <v>VR Mall</v>
          </cell>
          <cell r="F121" t="str">
            <v>13. NRFC</v>
          </cell>
        </row>
        <row r="122">
          <cell r="C122"/>
          <cell r="D122" t="str">
            <v>Amante</v>
          </cell>
          <cell r="E122" t="str">
            <v>Phoenix United Mall,  Lucknow</v>
          </cell>
          <cell r="F122" t="str">
            <v>13. NRFC</v>
          </cell>
        </row>
        <row r="123">
          <cell r="C123"/>
          <cell r="D123" t="str">
            <v>Amante</v>
          </cell>
          <cell r="E123" t="str">
            <v>V3S Mall Delhi</v>
          </cell>
          <cell r="F123" t="str">
            <v>13. NRFC</v>
          </cell>
        </row>
        <row r="124">
          <cell r="C124"/>
          <cell r="D124" t="str">
            <v>Blushlace</v>
          </cell>
          <cell r="E124" t="str">
            <v>RCP Merchandise Centre</v>
          </cell>
          <cell r="F124" t="str">
            <v>10. Launched</v>
          </cell>
        </row>
        <row r="125">
          <cell r="C125" t="str">
            <v>CLOVKQ5LX00</v>
          </cell>
          <cell r="D125" t="str">
            <v>Clovia</v>
          </cell>
          <cell r="E125" t="str">
            <v>Marvel Artiza</v>
          </cell>
          <cell r="F125" t="str">
            <v>10. Launched</v>
          </cell>
        </row>
        <row r="126">
          <cell r="C126" t="str">
            <v>CLOVRQXPO00</v>
          </cell>
          <cell r="D126" t="str">
            <v>Clovia</v>
          </cell>
          <cell r="E126" t="str">
            <v>Urban Square Mall</v>
          </cell>
          <cell r="F126" t="str">
            <v>10. Launched</v>
          </cell>
        </row>
        <row r="127">
          <cell r="C127" t="str">
            <v>CLOVAQXJR00</v>
          </cell>
          <cell r="D127" t="str">
            <v>Clovia</v>
          </cell>
          <cell r="E127" t="str">
            <v>Phoenix Mall &amp; Multiplex</v>
          </cell>
          <cell r="F127" t="str">
            <v>10. Launched</v>
          </cell>
        </row>
        <row r="128">
          <cell r="C128" t="str">
            <v>CLOVHQXMH00</v>
          </cell>
          <cell r="D128" t="str">
            <v>Clovia</v>
          </cell>
          <cell r="E128" t="str">
            <v>Sector 14, Gurgaon</v>
          </cell>
          <cell r="F128" t="str">
            <v>10. Launched</v>
          </cell>
        </row>
        <row r="129">
          <cell r="C129" t="str">
            <v>CLOVBQZFN00</v>
          </cell>
          <cell r="D129" t="str">
            <v>Clovia</v>
          </cell>
          <cell r="E129" t="str">
            <v>P &amp; M Mall-Muzaffarpur</v>
          </cell>
          <cell r="F129" t="str">
            <v>10. Launched</v>
          </cell>
        </row>
        <row r="130">
          <cell r="C130"/>
          <cell r="D130" t="str">
            <v>Clovia</v>
          </cell>
          <cell r="E130" t="str">
            <v>VV Towers</v>
          </cell>
          <cell r="F130" t="str">
            <v>14. Dropped</v>
          </cell>
        </row>
        <row r="131">
          <cell r="C131" t="str">
            <v>CLOVFQH6Y00</v>
          </cell>
          <cell r="D131" t="str">
            <v>Clovia</v>
          </cell>
          <cell r="E131" t="str">
            <v>Central Mall, Guwahati</v>
          </cell>
          <cell r="F131" t="str">
            <v>9. EPC Ready</v>
          </cell>
        </row>
        <row r="132">
          <cell r="C132"/>
          <cell r="D132" t="str">
            <v>Clovia</v>
          </cell>
          <cell r="E132" t="str">
            <v>Mohali Walk</v>
          </cell>
          <cell r="F132" t="str">
            <v>14. Dropped</v>
          </cell>
        </row>
        <row r="133">
          <cell r="C133"/>
          <cell r="D133" t="str">
            <v>Clovia</v>
          </cell>
          <cell r="E133" t="str">
            <v>Dharampeth, Nagpur</v>
          </cell>
          <cell r="F133" t="str">
            <v>14. Dropped</v>
          </cell>
        </row>
        <row r="134">
          <cell r="C134"/>
          <cell r="D134" t="str">
            <v>Clovia</v>
          </cell>
          <cell r="E134" t="str">
            <v>GANDHI COMPLEX, RESIDENCY ROAD, OPP CANARA BANK,, SADAR, NAGPUR</v>
          </cell>
          <cell r="F134" t="str">
            <v>14. Dropped</v>
          </cell>
        </row>
        <row r="135">
          <cell r="C135"/>
          <cell r="D135" t="str">
            <v>Clovia</v>
          </cell>
          <cell r="E135" t="str">
            <v>Chhabaria Building, Sitabuldi</v>
          </cell>
          <cell r="F135" t="str">
            <v>14. Dropped</v>
          </cell>
        </row>
        <row r="136">
          <cell r="C136"/>
          <cell r="D136" t="str">
            <v>Clovia</v>
          </cell>
          <cell r="E136" t="str">
            <v>City Centre Bharuch</v>
          </cell>
          <cell r="F136" t="str">
            <v>13. NRFC</v>
          </cell>
        </row>
        <row r="137">
          <cell r="C137"/>
          <cell r="D137" t="str">
            <v>Clovia</v>
          </cell>
          <cell r="E137" t="str">
            <v>Pelican Plaza Faridkot</v>
          </cell>
          <cell r="F137" t="str">
            <v>14. Dropped</v>
          </cell>
        </row>
        <row r="138">
          <cell r="C138"/>
          <cell r="D138" t="str">
            <v>Clovia</v>
          </cell>
          <cell r="E138" t="str">
            <v xml:space="preserve">Near Tanaja Store Abohar Punjab </v>
          </cell>
          <cell r="F138" t="str">
            <v>14. Dropped</v>
          </cell>
        </row>
        <row r="139">
          <cell r="C139"/>
          <cell r="D139" t="str">
            <v>Clovia</v>
          </cell>
          <cell r="E139" t="str">
            <v>Rajarampuri, Kolhapur</v>
          </cell>
          <cell r="F139" t="str">
            <v>13. NRFC</v>
          </cell>
        </row>
        <row r="140">
          <cell r="C140"/>
          <cell r="D140" t="str">
            <v>Clovia</v>
          </cell>
          <cell r="E140" t="str">
            <v xml:space="preserve">Gurusai Complex, Madgaon </v>
          </cell>
          <cell r="F140" t="str">
            <v>14. Dropped</v>
          </cell>
        </row>
        <row r="141">
          <cell r="C141"/>
          <cell r="D141" t="str">
            <v>Clovia</v>
          </cell>
          <cell r="E141" t="str">
            <v>Mall of Awadh, Ayodhya</v>
          </cell>
          <cell r="F141" t="str">
            <v>14. Dropped</v>
          </cell>
        </row>
        <row r="142">
          <cell r="C142"/>
          <cell r="D142" t="str">
            <v>Clovia</v>
          </cell>
          <cell r="E142" t="str">
            <v>Phoenix United Mall, Bareilly</v>
          </cell>
          <cell r="F142" t="str">
            <v>14. Dropped</v>
          </cell>
        </row>
        <row r="143">
          <cell r="C143"/>
          <cell r="D143" t="str">
            <v>Clovia</v>
          </cell>
          <cell r="E143" t="str">
            <v>Opp Raymond, Thandi Sadak, Farrukhabad</v>
          </cell>
          <cell r="F143" t="str">
            <v>14. Dropped</v>
          </cell>
        </row>
        <row r="144">
          <cell r="C144"/>
          <cell r="D144" t="str">
            <v>Clovia</v>
          </cell>
          <cell r="E144" t="str">
            <v>Navalkar Plaza, MG Road</v>
          </cell>
          <cell r="F144" t="str">
            <v>14. Dropped</v>
          </cell>
        </row>
        <row r="145">
          <cell r="C145"/>
          <cell r="D145" t="str">
            <v>Clovia</v>
          </cell>
          <cell r="E145" t="str">
            <v>KW6, Delhi</v>
          </cell>
          <cell r="F145" t="str">
            <v>14. Dropped</v>
          </cell>
        </row>
        <row r="146">
          <cell r="C146" t="str">
            <v>RZIVMQXSC00</v>
          </cell>
          <cell r="D146" t="str">
            <v>Zivame</v>
          </cell>
          <cell r="E146" t="str">
            <v>Korum Mall, Thane</v>
          </cell>
          <cell r="F146" t="str">
            <v>10. Launched</v>
          </cell>
        </row>
        <row r="147">
          <cell r="C147" t="str">
            <v>RZIVDQXAV00</v>
          </cell>
          <cell r="D147" t="str">
            <v>Zivame</v>
          </cell>
          <cell r="E147" t="str">
            <v>Tilak nagar , Delhi</v>
          </cell>
          <cell r="F147" t="str">
            <v>10. Launched</v>
          </cell>
        </row>
        <row r="148">
          <cell r="C148" t="str">
            <v>RZIVVQACE00</v>
          </cell>
          <cell r="D148" t="str">
            <v>Zivame</v>
          </cell>
          <cell r="E148" t="str">
            <v>Nucleus Mall</v>
          </cell>
          <cell r="F148" t="str">
            <v>10. Launched</v>
          </cell>
        </row>
        <row r="149">
          <cell r="C149" t="str">
            <v>RZIVUQ2WY00</v>
          </cell>
          <cell r="D149" t="str">
            <v>Zivame</v>
          </cell>
          <cell r="E149" t="str">
            <v>Emerald Mall, Aashiyana, Lucknow</v>
          </cell>
          <cell r="F149" t="str">
            <v>10. Launched</v>
          </cell>
        </row>
        <row r="150">
          <cell r="C150" t="str">
            <v>RZIV9QZRD00</v>
          </cell>
          <cell r="D150" t="str">
            <v>Zivame</v>
          </cell>
          <cell r="E150" t="str">
            <v>Model Town Jalandhar, PB</v>
          </cell>
          <cell r="F150" t="str">
            <v>10. Launched</v>
          </cell>
        </row>
        <row r="151">
          <cell r="C151" t="str">
            <v>RZIVUQWOO00</v>
          </cell>
          <cell r="D151" t="str">
            <v>Zivame</v>
          </cell>
          <cell r="E151" t="str">
            <v>Phoenix united mall , Bareily</v>
          </cell>
          <cell r="F151" t="str">
            <v>10. Launched</v>
          </cell>
        </row>
        <row r="152">
          <cell r="C152" t="str">
            <v>RZIVDQNFI00</v>
          </cell>
          <cell r="D152" t="str">
            <v>Zivame</v>
          </cell>
          <cell r="E152" t="str">
            <v>Rani bagh - Rishi Nagar</v>
          </cell>
          <cell r="F152" t="str">
            <v>10. Launched</v>
          </cell>
        </row>
        <row r="153">
          <cell r="C153" t="str">
            <v>RZIVDQXMU00</v>
          </cell>
          <cell r="D153" t="str">
            <v>Zivame</v>
          </cell>
          <cell r="E153" t="str">
            <v xml:space="preserve">Malviya Nager, Delhi </v>
          </cell>
          <cell r="F153" t="str">
            <v>10. Launched</v>
          </cell>
        </row>
        <row r="154">
          <cell r="C154" t="str">
            <v>RZIVHQOII00</v>
          </cell>
          <cell r="D154" t="str">
            <v>Zivame</v>
          </cell>
          <cell r="E154" t="str">
            <v>Good Earth , Gurgaon</v>
          </cell>
          <cell r="F154" t="str">
            <v>10. Launched</v>
          </cell>
        </row>
        <row r="155">
          <cell r="C155" t="str">
            <v>RZIVTQXRU00</v>
          </cell>
          <cell r="D155" t="str">
            <v>Zivame</v>
          </cell>
          <cell r="E155" t="str">
            <v>AEROHUB MALL</v>
          </cell>
          <cell r="F155" t="str">
            <v>10. Launched</v>
          </cell>
        </row>
        <row r="156">
          <cell r="C156" t="str">
            <v>RZIVMQZMW00</v>
          </cell>
          <cell r="D156" t="str">
            <v>Zivame</v>
          </cell>
          <cell r="E156" t="str">
            <v xml:space="preserve">Aero Mall pune </v>
          </cell>
          <cell r="F156" t="str">
            <v>10. Launched</v>
          </cell>
        </row>
        <row r="157">
          <cell r="C157" t="str">
            <v>RZIVRQXOE00</v>
          </cell>
          <cell r="D157" t="str">
            <v>Zivame</v>
          </cell>
          <cell r="E157" t="str">
            <v>Urban Square Mall, Udaipur</v>
          </cell>
          <cell r="F157" t="str">
            <v>10. Launched</v>
          </cell>
        </row>
        <row r="158">
          <cell r="C158" t="str">
            <v>RZIVRQ5LY00</v>
          </cell>
          <cell r="D158" t="str">
            <v>Zivame</v>
          </cell>
          <cell r="E158" t="str">
            <v>Sardarpura_Jodhpur</v>
          </cell>
          <cell r="F158" t="str">
            <v>10. Launched</v>
          </cell>
        </row>
        <row r="159">
          <cell r="C159" t="str">
            <v>RZIVMQXAW00</v>
          </cell>
          <cell r="D159" t="str">
            <v>Zivame</v>
          </cell>
          <cell r="E159" t="str">
            <v>RM Pride , Thane</v>
          </cell>
          <cell r="F159" t="str">
            <v>10. Launched</v>
          </cell>
        </row>
        <row r="160">
          <cell r="C160" t="str">
            <v>RZIVKQ2WW00</v>
          </cell>
          <cell r="D160" t="str">
            <v>Zivame</v>
          </cell>
          <cell r="E160" t="str">
            <v>Mall of Asia</v>
          </cell>
          <cell r="F160" t="str">
            <v>10. Launched</v>
          </cell>
        </row>
        <row r="161">
          <cell r="C161"/>
          <cell r="D161" t="str">
            <v>Zivame</v>
          </cell>
          <cell r="E161" t="str">
            <v>Attapur</v>
          </cell>
          <cell r="F161" t="str">
            <v>13. NRFC</v>
          </cell>
        </row>
        <row r="162">
          <cell r="C162"/>
          <cell r="D162" t="str">
            <v>Zivame</v>
          </cell>
          <cell r="E162" t="str">
            <v>Indiranagar, Dilsukhnagar</v>
          </cell>
          <cell r="F162" t="str">
            <v>14. Dropped</v>
          </cell>
        </row>
        <row r="163">
          <cell r="C163"/>
          <cell r="D163" t="str">
            <v>Zivame</v>
          </cell>
          <cell r="E163" t="str">
            <v>Benz Circle</v>
          </cell>
          <cell r="F163" t="str">
            <v>13. NRFC</v>
          </cell>
        </row>
        <row r="164">
          <cell r="C164"/>
          <cell r="D164" t="str">
            <v>Zivame</v>
          </cell>
          <cell r="E164" t="str">
            <v>Nochipalayam</v>
          </cell>
          <cell r="F164" t="str">
            <v>13. NRFC</v>
          </cell>
        </row>
        <row r="165">
          <cell r="C165" t="str">
            <v>RZIVAQJ0B00</v>
          </cell>
          <cell r="D165" t="str">
            <v>Zivame</v>
          </cell>
          <cell r="E165" t="str">
            <v>Phoenix Mall &amp; Multiplex</v>
          </cell>
          <cell r="F165" t="str">
            <v>8. WIP</v>
          </cell>
        </row>
        <row r="166">
          <cell r="C166"/>
          <cell r="D166" t="str">
            <v>Zivame</v>
          </cell>
          <cell r="E166" t="str">
            <v>Mall Road</v>
          </cell>
          <cell r="F166" t="str">
            <v>13. NRFC</v>
          </cell>
        </row>
        <row r="167">
          <cell r="C167"/>
          <cell r="D167" t="str">
            <v>Zivame</v>
          </cell>
          <cell r="E167" t="str">
            <v>City Emporio</v>
          </cell>
          <cell r="F167" t="str">
            <v>13. NRFC</v>
          </cell>
        </row>
        <row r="168">
          <cell r="C168"/>
          <cell r="D168" t="str">
            <v>Zivame</v>
          </cell>
          <cell r="E168" t="str">
            <v>KW Delhi 6  mall</v>
          </cell>
          <cell r="F168" t="str">
            <v>13. NRFC</v>
          </cell>
        </row>
        <row r="169">
          <cell r="C169"/>
          <cell r="D169" t="str">
            <v>Zivame</v>
          </cell>
          <cell r="E169" t="str">
            <v>Lajpat Nagar-2,Delhi</v>
          </cell>
          <cell r="F169" t="str">
            <v>14. Dropped</v>
          </cell>
        </row>
        <row r="170">
          <cell r="C170"/>
          <cell r="D170" t="str">
            <v>Zivame</v>
          </cell>
          <cell r="E170" t="str">
            <v>GT Galleria Jaipur</v>
          </cell>
          <cell r="F170" t="str">
            <v>13. NRFC</v>
          </cell>
        </row>
        <row r="171">
          <cell r="C171" t="str">
            <v>RZIVRQXQB00</v>
          </cell>
          <cell r="D171" t="str">
            <v>Zivame</v>
          </cell>
          <cell r="E171" t="str">
            <v>Kotri road, Gumanpura , Kota</v>
          </cell>
          <cell r="F171" t="str">
            <v>14. Dropped</v>
          </cell>
        </row>
        <row r="172">
          <cell r="C172" t="str">
            <v>RZIV9QI0Q00</v>
          </cell>
          <cell r="D172" t="str">
            <v>Zivame</v>
          </cell>
          <cell r="E172" t="str">
            <v>Silver Arc, Ludhiana PB</v>
          </cell>
          <cell r="F172" t="str">
            <v>9. EPC Ready</v>
          </cell>
        </row>
        <row r="173">
          <cell r="C173"/>
          <cell r="D173" t="str">
            <v>Zivame</v>
          </cell>
          <cell r="E173" t="str">
            <v xml:space="preserve"> Model Town- Gulati Chowk </v>
          </cell>
          <cell r="F173" t="str">
            <v>14. Dropped</v>
          </cell>
        </row>
        <row r="174">
          <cell r="C174"/>
          <cell r="D174" t="str">
            <v>Zivame</v>
          </cell>
          <cell r="E174" t="str">
            <v>Red Chief, Main bazar, New Kangra</v>
          </cell>
          <cell r="F174" t="str">
            <v>14. Dropped</v>
          </cell>
        </row>
        <row r="175">
          <cell r="C175" t="str">
            <v>RZIV9QH4R00</v>
          </cell>
          <cell r="D175" t="str">
            <v>Zivame</v>
          </cell>
          <cell r="E175" t="str">
            <v>LGF Cosmo mall, Zirakpur</v>
          </cell>
          <cell r="F175" t="str">
            <v>8. WIP</v>
          </cell>
        </row>
        <row r="176">
          <cell r="C176"/>
          <cell r="D176" t="str">
            <v>Zivame</v>
          </cell>
          <cell r="E176" t="str">
            <v>Opposite Hotel Vintage, Zirakpur</v>
          </cell>
          <cell r="F176" t="str">
            <v>14. Dropped</v>
          </cell>
        </row>
        <row r="177">
          <cell r="C177" t="str">
            <v>RZIV9QI0R00</v>
          </cell>
          <cell r="D177" t="str">
            <v>Zivame</v>
          </cell>
          <cell r="E177" t="str">
            <v>Novelty  Mall, Pathankot, PB</v>
          </cell>
          <cell r="F177" t="str">
            <v>10. Launched</v>
          </cell>
        </row>
        <row r="178">
          <cell r="C178" t="str">
            <v xml:space="preserve"> RZIVIQC0Z00</v>
          </cell>
          <cell r="D178" t="str">
            <v>Zivame</v>
          </cell>
          <cell r="E178" t="str">
            <v>Kapoor Complex Solan</v>
          </cell>
          <cell r="F178" t="str">
            <v>10. Launched</v>
          </cell>
        </row>
        <row r="179">
          <cell r="C179"/>
          <cell r="D179" t="str">
            <v>Zivame</v>
          </cell>
          <cell r="E179" t="str">
            <v>Nexus Mall</v>
          </cell>
          <cell r="F179" t="str">
            <v>3. Design In progress</v>
          </cell>
        </row>
        <row r="180">
          <cell r="C180"/>
          <cell r="D180" t="str">
            <v>Zivame</v>
          </cell>
          <cell r="E180" t="str">
            <v>City Centre Mall</v>
          </cell>
          <cell r="F180" t="str">
            <v>13. NRFC</v>
          </cell>
        </row>
        <row r="181">
          <cell r="C181" t="str">
            <v>RZIVRQ5NK00</v>
          </cell>
          <cell r="D181" t="str">
            <v>Zivame</v>
          </cell>
          <cell r="E181" t="str">
            <v>Triton Mall, Jaipur</v>
          </cell>
          <cell r="F181" t="str">
            <v>10. Launched</v>
          </cell>
        </row>
        <row r="182">
          <cell r="C182"/>
          <cell r="D182" t="str">
            <v>Zivame</v>
          </cell>
          <cell r="E182" t="str">
            <v>Sushma Capitol Zirakpur</v>
          </cell>
          <cell r="F182" t="str">
            <v>13. NRFC</v>
          </cell>
        </row>
        <row r="183">
          <cell r="C183" t="str">
            <v>RZIVHQ4LW00</v>
          </cell>
          <cell r="D183" t="str">
            <v>Zivame</v>
          </cell>
          <cell r="E183" t="str">
            <v>Rohtak, Haryana</v>
          </cell>
          <cell r="F183" t="str">
            <v>10. Launched</v>
          </cell>
        </row>
        <row r="184">
          <cell r="C184" t="str">
            <v>RZIVTQXKD00</v>
          </cell>
          <cell r="D184" t="str">
            <v>Zivame</v>
          </cell>
          <cell r="E184" t="str">
            <v>V Square Mall</v>
          </cell>
          <cell r="F184" t="str">
            <v>10. Launched</v>
          </cell>
        </row>
        <row r="185">
          <cell r="C185"/>
          <cell r="D185" t="str">
            <v>Zivame</v>
          </cell>
          <cell r="E185" t="str">
            <v>Karol Bagh, Delhi</v>
          </cell>
          <cell r="F185" t="str">
            <v>14. Dropped</v>
          </cell>
        </row>
        <row r="186">
          <cell r="C186"/>
          <cell r="D186" t="str">
            <v>Zivame</v>
          </cell>
          <cell r="E186" t="str">
            <v>Hilite Mall, Calicut.</v>
          </cell>
          <cell r="F186" t="str">
            <v>3. Design In progress</v>
          </cell>
        </row>
        <row r="187">
          <cell r="C187"/>
          <cell r="D187" t="str">
            <v>Zivame</v>
          </cell>
          <cell r="E187" t="str">
            <v>Forum Mall, Kochi</v>
          </cell>
          <cell r="F187" t="str">
            <v>11. HOLD</v>
          </cell>
        </row>
        <row r="188">
          <cell r="C188"/>
          <cell r="D188" t="str">
            <v>Zivame</v>
          </cell>
          <cell r="E188" t="str">
            <v>Reddiarpalayam</v>
          </cell>
          <cell r="F188" t="str">
            <v>13. NRFC</v>
          </cell>
        </row>
        <row r="189">
          <cell r="C189"/>
          <cell r="D189" t="str">
            <v>Zivame</v>
          </cell>
          <cell r="E189" t="str">
            <v>Palladam</v>
          </cell>
          <cell r="F189" t="str">
            <v>14. Dropped</v>
          </cell>
        </row>
        <row r="190">
          <cell r="C190"/>
          <cell r="D190" t="str">
            <v>Zivame</v>
          </cell>
          <cell r="E190" t="str">
            <v>Nochipalayam</v>
          </cell>
          <cell r="F190" t="str">
            <v>13. NRFC</v>
          </cell>
        </row>
        <row r="191">
          <cell r="C191"/>
          <cell r="D191" t="str">
            <v>Zivame</v>
          </cell>
          <cell r="E191" t="str">
            <v>Nasar Enclave, Juhu</v>
          </cell>
          <cell r="F191" t="str">
            <v>13. NRFC</v>
          </cell>
        </row>
        <row r="192">
          <cell r="C192"/>
          <cell r="D192" t="str">
            <v>Zivame</v>
          </cell>
          <cell r="E192" t="str">
            <v>Cottonking Airoli</v>
          </cell>
          <cell r="F192" t="str">
            <v>14. Dropped</v>
          </cell>
        </row>
        <row r="193">
          <cell r="C193"/>
          <cell r="D193" t="str">
            <v>Zivame</v>
          </cell>
          <cell r="E193" t="str">
            <v>Runwal Garden - Dombivali</v>
          </cell>
          <cell r="F193" t="str">
            <v>14. Dropped</v>
          </cell>
        </row>
        <row r="194">
          <cell r="C194"/>
          <cell r="D194" t="str">
            <v>Zivame</v>
          </cell>
          <cell r="E194" t="str">
            <v xml:space="preserve">Bhakti Genesis </v>
          </cell>
          <cell r="F194" t="str">
            <v>13. NRFC</v>
          </cell>
        </row>
        <row r="195">
          <cell r="C195"/>
          <cell r="D195" t="str">
            <v>Zivame</v>
          </cell>
          <cell r="E195" t="str">
            <v>Tribeca Highstreet, Pune</v>
          </cell>
          <cell r="F195" t="str">
            <v>14. Dropped</v>
          </cell>
        </row>
        <row r="196">
          <cell r="C196"/>
          <cell r="D196" t="str">
            <v>Zivame</v>
          </cell>
          <cell r="E196" t="str">
            <v>Porvorim</v>
          </cell>
          <cell r="F196" t="str">
            <v>13. NRFC</v>
          </cell>
        </row>
        <row r="197">
          <cell r="C197" t="str">
            <v>RZIVMQZIK00</v>
          </cell>
          <cell r="D197" t="str">
            <v>Zivame</v>
          </cell>
          <cell r="E197" t="str">
            <v>Sitabuldi , Nagpur</v>
          </cell>
          <cell r="F197" t="str">
            <v>9. EPC Ready</v>
          </cell>
        </row>
        <row r="198">
          <cell r="C198" t="str">
            <v>RZIVHQ7BM00</v>
          </cell>
          <cell r="D198" t="str">
            <v>Zivame</v>
          </cell>
          <cell r="E198" t="str">
            <v>Pacific Mall, Faridabad</v>
          </cell>
          <cell r="F198" t="str">
            <v>10. Launched</v>
          </cell>
        </row>
        <row r="199">
          <cell r="C199"/>
          <cell r="D199" t="str">
            <v>Zivame</v>
          </cell>
          <cell r="E199" t="str">
            <v>Uttam Nagar, Delhi</v>
          </cell>
          <cell r="F199" t="str">
            <v>13. NRFC</v>
          </cell>
        </row>
        <row r="200">
          <cell r="C200"/>
          <cell r="D200" t="str">
            <v>Zivame</v>
          </cell>
          <cell r="E200" t="str">
            <v>Lulu Mall, Lucknow</v>
          </cell>
          <cell r="F200" t="str">
            <v>13. NRFC</v>
          </cell>
        </row>
        <row r="201">
          <cell r="C201" t="str">
            <v>RZIV9Q4TQ00</v>
          </cell>
          <cell r="D201" t="str">
            <v>Zivame</v>
          </cell>
          <cell r="E201" t="str">
            <v>Wave Mall, Ludhiana</v>
          </cell>
          <cell r="F201" t="str">
            <v>8. WIP</v>
          </cell>
        </row>
        <row r="202">
          <cell r="C202"/>
          <cell r="D202" t="str">
            <v>Zivame</v>
          </cell>
          <cell r="E202" t="str">
            <v>Vishrambaug, Sangli</v>
          </cell>
          <cell r="F202" t="str">
            <v>14. Dropped</v>
          </cell>
        </row>
        <row r="203">
          <cell r="C203"/>
          <cell r="D203" t="str">
            <v>Zivame</v>
          </cell>
          <cell r="E203" t="str">
            <v>Crown Mall,Lucknow</v>
          </cell>
          <cell r="F203" t="str">
            <v>14. Dropped</v>
          </cell>
        </row>
        <row r="204">
          <cell r="C204"/>
          <cell r="D204" t="str">
            <v>Zivame</v>
          </cell>
          <cell r="E204" t="str">
            <v>Kalkaji Delhi</v>
          </cell>
          <cell r="F204" t="str">
            <v>13. NRFC</v>
          </cell>
        </row>
        <row r="205">
          <cell r="C205"/>
          <cell r="D205" t="str">
            <v>Zivame</v>
          </cell>
          <cell r="E205" t="str">
            <v>ORDERLY BAZAAR, VARANASI</v>
          </cell>
          <cell r="F205" t="str">
            <v>13. NRFC</v>
          </cell>
        </row>
        <row r="206">
          <cell r="C206"/>
          <cell r="D206" t="str">
            <v>Zivame</v>
          </cell>
          <cell r="E206" t="str">
            <v>Paras Noida</v>
          </cell>
          <cell r="F206" t="str">
            <v>13. NRFC</v>
          </cell>
        </row>
        <row r="207">
          <cell r="C207"/>
          <cell r="D207" t="str">
            <v>Zivame</v>
          </cell>
          <cell r="E207" t="str">
            <v>Nexus mall Whitefield Bangalore</v>
          </cell>
          <cell r="F207" t="str">
            <v>13. NRFC</v>
          </cell>
        </row>
        <row r="208">
          <cell r="C208"/>
          <cell r="D208" t="str">
            <v>Zivame SIS</v>
          </cell>
          <cell r="E208" t="str">
            <v>BB-KOLKATA-HILAND PARK-THE METROPOLIS</v>
          </cell>
          <cell r="F208" t="str">
            <v>11. HOLD</v>
          </cell>
        </row>
        <row r="209">
          <cell r="C209"/>
          <cell r="D209" t="str">
            <v>Zivame SIS</v>
          </cell>
          <cell r="E209" t="str">
            <v>BB- DEOGHAR- SUBHASH ROAD</v>
          </cell>
          <cell r="F209" t="str">
            <v>11. HOLD</v>
          </cell>
        </row>
        <row r="210">
          <cell r="C210"/>
          <cell r="D210" t="str">
            <v>Zivame SIS</v>
          </cell>
          <cell r="E210" t="str">
            <v>BB-KOLKATA-BIRATI</v>
          </cell>
          <cell r="F210" t="str">
            <v>11. HOLD</v>
          </cell>
        </row>
        <row r="211">
          <cell r="C211"/>
          <cell r="D211" t="str">
            <v>Zivame SIS</v>
          </cell>
          <cell r="E211" t="str">
            <v>BB-ASANSOL-SENTRUM MALL</v>
          </cell>
          <cell r="F211" t="str">
            <v>11. HOLD</v>
          </cell>
        </row>
        <row r="212">
          <cell r="C212"/>
          <cell r="D212" t="str">
            <v>Zivame SIS</v>
          </cell>
          <cell r="E212" t="str">
            <v>BB-DHANBAD-SRIRAM MALL</v>
          </cell>
          <cell r="F212" t="str">
            <v>11. HOLD</v>
          </cell>
        </row>
        <row r="213">
          <cell r="C213"/>
          <cell r="D213" t="str">
            <v>Zivame SIS</v>
          </cell>
          <cell r="E213" t="str">
            <v>BB-DURGAPUR-CITY CENTRE</v>
          </cell>
          <cell r="F213" t="str">
            <v>11. HOLD</v>
          </cell>
        </row>
        <row r="214">
          <cell r="C214"/>
          <cell r="D214" t="str">
            <v>Zivame SIS</v>
          </cell>
          <cell r="E214" t="str">
            <v>BB-PATNA-BAILEY ROAD-KHAJEPURA</v>
          </cell>
          <cell r="F214" t="str">
            <v>11. HOLD</v>
          </cell>
        </row>
        <row r="215">
          <cell r="C215"/>
          <cell r="D215" t="str">
            <v>Zivame SIS</v>
          </cell>
          <cell r="E215" t="str">
            <v>BB-KOLKATA-SALT LAKE</v>
          </cell>
          <cell r="F215" t="str">
            <v>11. HOLD</v>
          </cell>
        </row>
        <row r="216">
          <cell r="C216"/>
          <cell r="D216" t="str">
            <v>Zivame SIS</v>
          </cell>
          <cell r="E216" t="str">
            <v>BB-HYDERABAD-PUNJAGUTTA-HPERCI</v>
          </cell>
          <cell r="F216" t="str">
            <v>11. HOLD</v>
          </cell>
        </row>
        <row r="217">
          <cell r="C217"/>
          <cell r="D217" t="str">
            <v>Zivame SIS</v>
          </cell>
          <cell r="E217" t="str">
            <v>BB-JAIPUR-PINK SQUARE MALL</v>
          </cell>
          <cell r="F217" t="str">
            <v>11. HOLD</v>
          </cell>
        </row>
        <row r="218">
          <cell r="C218"/>
          <cell r="D218" t="str">
            <v>Zivame SIS</v>
          </cell>
          <cell r="E218" t="str">
            <v>BB-AMRITSAR-TRILIUM MALL</v>
          </cell>
          <cell r="F218" t="str">
            <v>11. HOLD</v>
          </cell>
        </row>
        <row r="219">
          <cell r="C219"/>
          <cell r="D219" t="str">
            <v>Zivame SIS</v>
          </cell>
          <cell r="E219" t="str">
            <v>BB-BAREILLY-PHOENIX MARKET CITY</v>
          </cell>
          <cell r="F219" t="str">
            <v>11. HOLD</v>
          </cell>
        </row>
        <row r="220">
          <cell r="C220"/>
          <cell r="D220" t="str">
            <v>Zivame SIS</v>
          </cell>
          <cell r="E220" t="str">
            <v>BB-BHIWADI-ALWAR ROAD-MF</v>
          </cell>
          <cell r="F220" t="str">
            <v>11. HOLD</v>
          </cell>
        </row>
        <row r="221">
          <cell r="C221"/>
          <cell r="D221" t="str">
            <v>Zivame SIS</v>
          </cell>
          <cell r="E221" t="str">
            <v>BB-GURGAON-SAHARA MALL</v>
          </cell>
          <cell r="F221" t="str">
            <v>11. HOLD</v>
          </cell>
        </row>
        <row r="222">
          <cell r="C222"/>
          <cell r="D222" t="str">
            <v>Zivame SIS</v>
          </cell>
          <cell r="E222" t="str">
            <v>BB-GURGAON-AMBI MALL</v>
          </cell>
          <cell r="F222" t="str">
            <v>11. HOLD</v>
          </cell>
        </row>
        <row r="223">
          <cell r="C223"/>
          <cell r="D223" t="str">
            <v>Zivame SIS</v>
          </cell>
          <cell r="E223" t="str">
            <v>BB-KANPUR-Z SQUARE MALL-M G ROAD</v>
          </cell>
          <cell r="F223" t="str">
            <v>11. HOLD</v>
          </cell>
        </row>
        <row r="224">
          <cell r="C224"/>
          <cell r="D224" t="str">
            <v>Zivame SIS</v>
          </cell>
          <cell r="E224" t="str">
            <v>BB-LUCKNOW-PHOENIX MALL</v>
          </cell>
          <cell r="F224" t="str">
            <v>11. HOLD</v>
          </cell>
        </row>
        <row r="225">
          <cell r="C225"/>
          <cell r="D225" t="str">
            <v>Zivame SIS</v>
          </cell>
          <cell r="E225" t="str">
            <v>BB-MATHURA-AGRA ROAD-PACIFIC M</v>
          </cell>
          <cell r="F225" t="str">
            <v>11. HOLD</v>
          </cell>
        </row>
        <row r="226">
          <cell r="C226"/>
          <cell r="D226" t="str">
            <v>Zivame SIS</v>
          </cell>
          <cell r="E226" t="str">
            <v>BB-NOIDA-GREAT INDIA PALACE</v>
          </cell>
          <cell r="F226" t="str">
            <v>11. HOLD</v>
          </cell>
        </row>
        <row r="227">
          <cell r="C227"/>
          <cell r="D227" t="str">
            <v>Zivame SIS</v>
          </cell>
          <cell r="E227" t="str">
            <v>BB-PATIALA-OMAXE MALL-MF</v>
          </cell>
          <cell r="F227" t="str">
            <v>11. HOLD</v>
          </cell>
        </row>
        <row r="228">
          <cell r="C228"/>
          <cell r="D228" t="str">
            <v>Zivame SIS</v>
          </cell>
          <cell r="E228" t="str">
            <v>BB-UDAIPUR-CELEBRATION MALL-MF</v>
          </cell>
          <cell r="F228" t="str">
            <v>11. HOLD</v>
          </cell>
        </row>
        <row r="229">
          <cell r="C229"/>
          <cell r="D229" t="str">
            <v>Zivame SIS</v>
          </cell>
          <cell r="E229" t="str">
            <v>BB-CHENNAI-PHOENIX MARKET CITY-VELACHERY</v>
          </cell>
          <cell r="F229" t="str">
            <v>11. HOLD</v>
          </cell>
        </row>
        <row r="230">
          <cell r="C230"/>
          <cell r="D230" t="str">
            <v>Zivame SIS</v>
          </cell>
          <cell r="E230" t="str">
            <v>BB-MADURAI-KOCHADAI VILLAGE</v>
          </cell>
          <cell r="F230" t="str">
            <v>11. HOLD</v>
          </cell>
        </row>
        <row r="231">
          <cell r="C231"/>
          <cell r="D231" t="str">
            <v>Zivame SIS</v>
          </cell>
          <cell r="E231" t="str">
            <v>BB-MANDYA-MANDYA MEDICAL COLLAGE</v>
          </cell>
          <cell r="F231" t="str">
            <v>11. HOLD</v>
          </cell>
        </row>
        <row r="232">
          <cell r="C232"/>
          <cell r="D232" t="str">
            <v>Zivame SIS</v>
          </cell>
          <cell r="E232" t="str">
            <v>BB-BIDAR-BVB COLLEGE</v>
          </cell>
          <cell r="F232" t="str">
            <v>11. HOLD</v>
          </cell>
        </row>
        <row r="233">
          <cell r="C233"/>
          <cell r="D233" t="str">
            <v>Zivame SIS</v>
          </cell>
          <cell r="E233" t="str">
            <v>BB-CHENNAI-EXPRESS MALL</v>
          </cell>
          <cell r="F233" t="str">
            <v>11. HOLD</v>
          </cell>
        </row>
        <row r="234">
          <cell r="C234"/>
          <cell r="D234" t="str">
            <v>Zivame SIS</v>
          </cell>
          <cell r="E234" t="str">
            <v>BB-MANGALORE-2 ATTAVARA WARD</v>
          </cell>
          <cell r="F234" t="str">
            <v>11. HOLD</v>
          </cell>
        </row>
        <row r="235">
          <cell r="C235"/>
          <cell r="D235" t="str">
            <v>Zivame SIS</v>
          </cell>
          <cell r="E235" t="str">
            <v>BB-GULBARGA-TIRANDAZ TALKIES</v>
          </cell>
          <cell r="F235" t="str">
            <v>11. HOLD</v>
          </cell>
        </row>
        <row r="236">
          <cell r="C236"/>
          <cell r="D236" t="str">
            <v>Zivame SIS</v>
          </cell>
          <cell r="E236" t="str">
            <v>BB-THRISSUR-OPP ASHWINI HOSPITAL</v>
          </cell>
          <cell r="F236" t="str">
            <v>11. HOLD</v>
          </cell>
        </row>
        <row r="237">
          <cell r="C237"/>
          <cell r="D237" t="str">
            <v>Zivame SIS</v>
          </cell>
          <cell r="E237" t="str">
            <v>BB-AHMEDABAD-ALPHA ONE</v>
          </cell>
          <cell r="F237" t="str">
            <v>11. HOLD</v>
          </cell>
        </row>
        <row r="238">
          <cell r="C238"/>
          <cell r="D238" t="str">
            <v>Zivame SIS</v>
          </cell>
          <cell r="E238" t="str">
            <v>BB-AHMEDNAGAR-MANMAD HIGHWAY</v>
          </cell>
          <cell r="F238" t="str">
            <v>11. HOLD</v>
          </cell>
        </row>
        <row r="239">
          <cell r="C239"/>
          <cell r="D239" t="str">
            <v>Zivame SIS</v>
          </cell>
          <cell r="E239" t="str">
            <v>BB-GUJARAT-ANAND-VIDYANAGAR ROAD</v>
          </cell>
          <cell r="F239" t="str">
            <v>11. HOLD</v>
          </cell>
        </row>
        <row r="240">
          <cell r="C240"/>
          <cell r="D240" t="str">
            <v>Zivame SIS</v>
          </cell>
          <cell r="E240" t="str">
            <v>BB-BHILAI-SURYA TREASURE ISLAND</v>
          </cell>
          <cell r="F240" t="str">
            <v>11. HOLD</v>
          </cell>
        </row>
        <row r="241">
          <cell r="C241"/>
          <cell r="D241" t="str">
            <v>Zivame SIS</v>
          </cell>
          <cell r="E241" t="str">
            <v>BB-BHOPAL-D B MALL</v>
          </cell>
          <cell r="F241" t="str">
            <v>11. HOLD</v>
          </cell>
        </row>
        <row r="242">
          <cell r="C242"/>
          <cell r="D242" t="str">
            <v>Zivame SIS</v>
          </cell>
          <cell r="E242" t="str">
            <v>BB-KORBA-PLAM MALL</v>
          </cell>
          <cell r="F242" t="str">
            <v>11. HOLD</v>
          </cell>
        </row>
        <row r="243">
          <cell r="C243"/>
          <cell r="D243" t="str">
            <v>Zivame SIS</v>
          </cell>
          <cell r="E243" t="str">
            <v>BB-HYPERCITY-NAVI MUMBAI-INORBIT MALLS</v>
          </cell>
          <cell r="F243" t="str">
            <v>11. HOLD</v>
          </cell>
        </row>
        <row r="244">
          <cell r="C244"/>
          <cell r="D244" t="str">
            <v>Zivame SIS</v>
          </cell>
          <cell r="E244" t="str">
            <v>BB-MUMBAI-MALAD-INFINITY MALL</v>
          </cell>
          <cell r="F244" t="str">
            <v>11. HOLD</v>
          </cell>
        </row>
        <row r="245">
          <cell r="C245"/>
          <cell r="D245" t="str">
            <v>Zivame SIS</v>
          </cell>
          <cell r="E245" t="str">
            <v>BB-NAVI MUMBAI-SEAWOODS</v>
          </cell>
          <cell r="F245" t="str">
            <v>11. HOLD</v>
          </cell>
        </row>
        <row r="246">
          <cell r="C246"/>
          <cell r="D246" t="str">
            <v>Zivame SIS</v>
          </cell>
          <cell r="E246" t="str">
            <v>BB-MUMBAI-MATUNGA-ERA HOUSE</v>
          </cell>
          <cell r="F246" t="str">
            <v>11. HOLD</v>
          </cell>
        </row>
        <row r="247">
          <cell r="C247"/>
          <cell r="D247" t="str">
            <v>Zivame SIS</v>
          </cell>
          <cell r="E247" t="str">
            <v xml:space="preserve">BB-NAVI MUMBAI-PANVEL-ORION MALL        </v>
          </cell>
          <cell r="F247" t="str">
            <v>11. HOLD</v>
          </cell>
        </row>
        <row r="248">
          <cell r="C248"/>
          <cell r="D248" t="str">
            <v>Zivame SIS</v>
          </cell>
          <cell r="E248" t="str">
            <v>BB-THANE-BHAYANDER-MAXUS MALL</v>
          </cell>
          <cell r="F248" t="str">
            <v>11. HOLD</v>
          </cell>
        </row>
        <row r="249">
          <cell r="C249"/>
          <cell r="D249" t="str">
            <v>Zivame SIS</v>
          </cell>
          <cell r="E249" t="str">
            <v>BB-THANE-DAHISAR-THAKUR MALL</v>
          </cell>
          <cell r="F249" t="str">
            <v>11. HOLD</v>
          </cell>
        </row>
        <row r="250">
          <cell r="C250"/>
          <cell r="D250" t="str">
            <v>Zivame SIS</v>
          </cell>
          <cell r="E250" t="str">
            <v>BB-VASAI-DATTANI VILLAGE</v>
          </cell>
          <cell r="F250" t="str">
            <v>11. HOLD</v>
          </cell>
        </row>
        <row r="251">
          <cell r="C251"/>
          <cell r="D251" t="str">
            <v>Zivame SIS</v>
          </cell>
          <cell r="E251" t="str">
            <v>BB-NAGPUR-VIPL-IT PARK</v>
          </cell>
          <cell r="F251" t="str">
            <v>11. HOLD</v>
          </cell>
        </row>
        <row r="252">
          <cell r="C252"/>
          <cell r="D252" t="str">
            <v>Zivame SIS</v>
          </cell>
          <cell r="E252" t="str">
            <v>BB-NASHIK-COLLEGE ROAD-THE ZONE</v>
          </cell>
          <cell r="F252" t="str">
            <v>11. HOLD</v>
          </cell>
        </row>
        <row r="253">
          <cell r="C253"/>
          <cell r="D253" t="str">
            <v>Zivame SIS</v>
          </cell>
          <cell r="E253" t="str">
            <v>BB-NASHIK-LAWATE NAGAR</v>
          </cell>
          <cell r="F253" t="str">
            <v>11. HOLD</v>
          </cell>
        </row>
        <row r="254">
          <cell r="C254"/>
          <cell r="D254" t="str">
            <v>Amante</v>
          </cell>
          <cell r="E254" t="str">
            <v>VR Mall, Chennai</v>
          </cell>
          <cell r="F254" t="str">
            <v>2. ML Awaited</v>
          </cell>
        </row>
        <row r="255">
          <cell r="C255"/>
          <cell r="D255" t="str">
            <v>Zivame</v>
          </cell>
          <cell r="E255" t="str">
            <v>Nexus mall Whitefield Bangalore</v>
          </cell>
          <cell r="F255" t="str">
            <v>2. ML Awaited</v>
          </cell>
        </row>
        <row r="256">
          <cell r="C256"/>
          <cell r="D256" t="str">
            <v>Zivame</v>
          </cell>
          <cell r="E256" t="str">
            <v>Brigade Uptown Mall - Bangalore</v>
          </cell>
          <cell r="F256" t="str">
            <v>2. ML Awaited</v>
          </cell>
        </row>
        <row r="257">
          <cell r="C257"/>
          <cell r="D257" t="str">
            <v>Clovia</v>
          </cell>
          <cell r="E257" t="str">
            <v>Acropolis Mall,Kolkata</v>
          </cell>
          <cell r="F257" t="str">
            <v>3. Design In progress</v>
          </cell>
        </row>
        <row r="258">
          <cell r="C258"/>
          <cell r="D258" t="str">
            <v>Zivame</v>
          </cell>
          <cell r="E258" t="str">
            <v xml:space="preserve"> VR Punjab, Mohali</v>
          </cell>
          <cell r="F258" t="str">
            <v>1. SDR in Progress</v>
          </cell>
        </row>
        <row r="259">
          <cell r="C259" t="str">
            <v>ANCSTQZHB00</v>
          </cell>
          <cell r="D259" t="str">
            <v>Ancestry</v>
          </cell>
          <cell r="E259" t="str">
            <v xml:space="preserve">Phoenix Market City, Chennai </v>
          </cell>
          <cell r="F259" t="str">
            <v>10. Launched</v>
          </cell>
        </row>
        <row r="260">
          <cell r="C260" t="str">
            <v>ANCSMQ2MV00</v>
          </cell>
          <cell r="D260" t="str">
            <v>Ancestry</v>
          </cell>
          <cell r="E260" t="str">
            <v>RCity Mall, Ghatkopar</v>
          </cell>
          <cell r="F260" t="str">
            <v>10. Launched</v>
          </cell>
        </row>
        <row r="261">
          <cell r="C261" t="str">
            <v>ANCSGQPAL00</v>
          </cell>
          <cell r="D261" t="str">
            <v>Ancestry</v>
          </cell>
          <cell r="E261" t="str">
            <v>Nexus Ahmedabad One Mall</v>
          </cell>
          <cell r="F261" t="str">
            <v>10. Launched</v>
          </cell>
        </row>
        <row r="262">
          <cell r="C262" t="str">
            <v>ANCSKQPAK00</v>
          </cell>
          <cell r="D262" t="str">
            <v>Ancestry</v>
          </cell>
          <cell r="E262" t="str">
            <v>Ancestry - Garuda Mall</v>
          </cell>
          <cell r="F262" t="str">
            <v>10. Launched</v>
          </cell>
        </row>
        <row r="263">
          <cell r="C263" t="str">
            <v>ANCSMQZMN00</v>
          </cell>
          <cell r="D263" t="str">
            <v>Ancestry</v>
          </cell>
          <cell r="E263" t="str">
            <v>Mall of Millennium, PMC Wakad, Pune</v>
          </cell>
          <cell r="F263" t="str">
            <v>14. Dropped</v>
          </cell>
        </row>
        <row r="264">
          <cell r="C264"/>
          <cell r="D264" t="str">
            <v>Ancestry</v>
          </cell>
          <cell r="E264" t="str">
            <v xml:space="preserve">1 MG Mall Bengaluru. </v>
          </cell>
          <cell r="F264" t="str">
            <v>13. NRFC</v>
          </cell>
        </row>
        <row r="265">
          <cell r="C265"/>
          <cell r="D265" t="str">
            <v>Ancestry</v>
          </cell>
          <cell r="E265" t="str">
            <v>CP67, Mohali</v>
          </cell>
          <cell r="F265" t="str">
            <v>13. NRFC</v>
          </cell>
        </row>
        <row r="266">
          <cell r="C266" t="str">
            <v>ANCSNQB0L00</v>
          </cell>
          <cell r="D266" t="str">
            <v>Ancestry</v>
          </cell>
          <cell r="E266" t="str">
            <v>Aparna mall, Nallagandla</v>
          </cell>
          <cell r="F266" t="str">
            <v>8. WIP</v>
          </cell>
        </row>
        <row r="267">
          <cell r="C267"/>
          <cell r="D267" t="str">
            <v>Ancestry</v>
          </cell>
          <cell r="E267" t="str">
            <v xml:space="preserve"> Felix Plaza Mall, NH 48, Gurgaon</v>
          </cell>
          <cell r="F267" t="str">
            <v>13. NRFC</v>
          </cell>
        </row>
        <row r="268">
          <cell r="C268" t="str">
            <v>ANCSMQJ3I00</v>
          </cell>
          <cell r="D268" t="str">
            <v>Ancestry</v>
          </cell>
          <cell r="E268" t="str">
            <v>Mall of Millennium, PMC Wakad, Pune</v>
          </cell>
          <cell r="F268" t="str">
            <v>8. WIP</v>
          </cell>
        </row>
        <row r="269">
          <cell r="C269"/>
          <cell r="D269" t="str">
            <v>Ancestry / Cover story</v>
          </cell>
          <cell r="E269" t="str">
            <v>US Polo, Colaba</v>
          </cell>
          <cell r="F269" t="str">
            <v>14. Dropped</v>
          </cell>
        </row>
        <row r="270">
          <cell r="C270" t="str">
            <v>ANCSMQZMN00</v>
          </cell>
          <cell r="D270" t="str">
            <v>Ancestry Dehire</v>
          </cell>
          <cell r="E270" t="str">
            <v>ANCESTRY - Mall of Millennium, PMC Wakad, Pune</v>
          </cell>
          <cell r="F270" t="str">
            <v>7. YTS</v>
          </cell>
        </row>
        <row r="271">
          <cell r="C271" t="str">
            <v>DH-ANCS-419-CD-T60P</v>
          </cell>
          <cell r="D271" t="str">
            <v>Ancestry Dehire</v>
          </cell>
          <cell r="E271" t="str">
            <v>Sector 17 Chandigarh</v>
          </cell>
          <cell r="F271" t="str">
            <v>16.Dehire</v>
          </cell>
        </row>
        <row r="272">
          <cell r="C272"/>
          <cell r="D272" t="str">
            <v>Ancestry Dehire</v>
          </cell>
          <cell r="E272" t="str">
            <v>Ancestry Ardee Gurgaon</v>
          </cell>
          <cell r="F272" t="str">
            <v>13. NRFC</v>
          </cell>
        </row>
        <row r="273">
          <cell r="C273" t="str">
            <v>DH-ANCS-419-TN-T9LL</v>
          </cell>
          <cell r="D273" t="str">
            <v>Ancestry Dehire</v>
          </cell>
          <cell r="E273" t="str">
            <v>VR Chennai</v>
          </cell>
          <cell r="F273" t="str">
            <v>8. WIP</v>
          </cell>
        </row>
        <row r="274">
          <cell r="C274" t="str">
            <v>ANCSHQ5GD00</v>
          </cell>
          <cell r="D274" t="str">
            <v>Ancestry SIS</v>
          </cell>
          <cell r="E274" t="str">
            <v>GURGAON</v>
          </cell>
          <cell r="F274" t="str">
            <v>10. Launched</v>
          </cell>
        </row>
        <row r="275">
          <cell r="C275" t="str">
            <v>ANCSNQ5GL00</v>
          </cell>
          <cell r="D275" t="str">
            <v>Ancestry SIS</v>
          </cell>
          <cell r="E275" t="str">
            <v>GACHIBOWLI</v>
          </cell>
          <cell r="F275" t="str">
            <v>11. HOLD</v>
          </cell>
        </row>
        <row r="276">
          <cell r="C276"/>
          <cell r="D276" t="str">
            <v>Ancestry SIS</v>
          </cell>
          <cell r="E276" t="str">
            <v>RANCHI SAVIRAJ</v>
          </cell>
          <cell r="F276" t="str">
            <v>11. HOLD</v>
          </cell>
        </row>
        <row r="277">
          <cell r="C277" t="str">
            <v>ANCSUQ5GE00</v>
          </cell>
          <cell r="D277" t="str">
            <v>Ancestry SIS</v>
          </cell>
          <cell r="E277" t="str">
            <v>GIP</v>
          </cell>
          <cell r="F277" t="str">
            <v>11. HOLD</v>
          </cell>
        </row>
        <row r="278">
          <cell r="C278" t="str">
            <v>ANCSDQ5GF00</v>
          </cell>
          <cell r="D278" t="str">
            <v>Ancestry SIS</v>
          </cell>
          <cell r="E278" t="str">
            <v>VASANTKUNJ</v>
          </cell>
          <cell r="F278" t="str">
            <v>10. Launched</v>
          </cell>
        </row>
        <row r="279">
          <cell r="C279" t="str">
            <v>ANCSKQ5GK00</v>
          </cell>
          <cell r="D279" t="str">
            <v>Ancestry SIS</v>
          </cell>
          <cell r="E279" t="str">
            <v>BLR-3</v>
          </cell>
          <cell r="F279" t="str">
            <v>11. HOLD</v>
          </cell>
        </row>
        <row r="280">
          <cell r="C280"/>
          <cell r="D280" t="str">
            <v>Ancestry SIS</v>
          </cell>
          <cell r="E280" t="str">
            <v>SJR MALL</v>
          </cell>
          <cell r="F280" t="str">
            <v>11. HOLD</v>
          </cell>
        </row>
        <row r="281">
          <cell r="C281"/>
          <cell r="D281" t="str">
            <v>Ancestry SIS</v>
          </cell>
          <cell r="E281" t="str">
            <v>AHMD</v>
          </cell>
          <cell r="F281" t="str">
            <v>11. HOLD</v>
          </cell>
        </row>
        <row r="282">
          <cell r="C282"/>
          <cell r="D282" t="str">
            <v>Ancestry SIS</v>
          </cell>
          <cell r="E282" t="str">
            <v>DAHISAR</v>
          </cell>
          <cell r="F282" t="str">
            <v>11. HOLD</v>
          </cell>
        </row>
        <row r="283">
          <cell r="C283"/>
          <cell r="D283" t="str">
            <v>Ancestry SIS</v>
          </cell>
          <cell r="E283" t="str">
            <v>NAGPUR</v>
          </cell>
          <cell r="F283" t="str">
            <v>11. HOLD</v>
          </cell>
        </row>
        <row r="284">
          <cell r="C284"/>
          <cell r="D284" t="str">
            <v>Ancestry SIS</v>
          </cell>
          <cell r="E284" t="str">
            <v>PUNE-4</v>
          </cell>
          <cell r="F284" t="str">
            <v>11. HOLD</v>
          </cell>
        </row>
        <row r="285">
          <cell r="C285" t="str">
            <v>COVRUQ4IS00</v>
          </cell>
          <cell r="D285" t="str">
            <v>Cover Story</v>
          </cell>
          <cell r="E285" t="str">
            <v>LULU Mall</v>
          </cell>
          <cell r="F285" t="str">
            <v>10. Launched</v>
          </cell>
        </row>
        <row r="286">
          <cell r="C286" t="str">
            <v>COVRMQZMO00</v>
          </cell>
          <cell r="D286" t="str">
            <v>Cover Story</v>
          </cell>
          <cell r="E286" t="str">
            <v>Mall of Millennium, PMC Wakad, Pune</v>
          </cell>
          <cell r="F286" t="str">
            <v>10. Launched</v>
          </cell>
        </row>
        <row r="287">
          <cell r="C287" t="str">
            <v>COVRMQYSV00</v>
          </cell>
          <cell r="D287" t="str">
            <v>Cover Story</v>
          </cell>
          <cell r="E287" t="str">
            <v>PMC KURLA_GMU</v>
          </cell>
          <cell r="F287" t="str">
            <v>10. Launched</v>
          </cell>
        </row>
        <row r="288">
          <cell r="C288" t="str">
            <v>COVRKQPAM00</v>
          </cell>
          <cell r="D288" t="str">
            <v>Cover Story</v>
          </cell>
          <cell r="E288" t="str">
            <v xml:space="preserve">RMZ Mall - Yelahanka - Bangalore </v>
          </cell>
          <cell r="F288" t="str">
            <v>10. Launched</v>
          </cell>
        </row>
        <row r="289">
          <cell r="C289" t="str">
            <v>COVRWQZSC00</v>
          </cell>
          <cell r="D289" t="str">
            <v>Cover Story</v>
          </cell>
          <cell r="E289" t="str">
            <v xml:space="preserve">Quest Mall, 33 Sayed Amir Ali Avenue, Kolkata </v>
          </cell>
          <cell r="F289" t="str">
            <v>10. Launched</v>
          </cell>
        </row>
        <row r="290">
          <cell r="C290" t="str">
            <v>COVRUQZSB00</v>
          </cell>
          <cell r="D290" t="str">
            <v>Cover Story</v>
          </cell>
          <cell r="E290" t="str">
            <v>Emerald Mall, Aashiyana, Lucknow</v>
          </cell>
          <cell r="F290" t="str">
            <v>10. Launched</v>
          </cell>
        </row>
        <row r="291">
          <cell r="C291"/>
          <cell r="D291" t="str">
            <v>Cover Story</v>
          </cell>
          <cell r="E291" t="str">
            <v>City Centre Guwahati, Near Apollo International Hospital, G S Road, Guwahati – 781005, Assam</v>
          </cell>
          <cell r="F291" t="str">
            <v>13. NRFC</v>
          </cell>
        </row>
        <row r="292">
          <cell r="C292"/>
          <cell r="D292" t="str">
            <v>Cover Story</v>
          </cell>
          <cell r="E292" t="str">
            <v>Sarath City Capital Mall,Kondapur,Hyderabad</v>
          </cell>
          <cell r="F292" t="str">
            <v>13. NRFC</v>
          </cell>
        </row>
        <row r="293">
          <cell r="C293"/>
          <cell r="D293" t="str">
            <v>Cover Story</v>
          </cell>
          <cell r="E293" t="str">
            <v>L&amp;T Next Premia Mall, Errum Manzil</v>
          </cell>
          <cell r="F293" t="str">
            <v>14. Dropped</v>
          </cell>
        </row>
        <row r="294">
          <cell r="C294" t="str">
            <v>COVRRQJ3F00</v>
          </cell>
          <cell r="D294" t="str">
            <v>Cover Story</v>
          </cell>
          <cell r="E294" t="str">
            <v xml:space="preserve">WTP, Jaipur (Rajasthan) </v>
          </cell>
          <cell r="F294" t="str">
            <v>8. WIP</v>
          </cell>
        </row>
        <row r="295">
          <cell r="C295"/>
          <cell r="D295" t="str">
            <v>Cover Story</v>
          </cell>
          <cell r="E295" t="str">
            <v>Mohali Walk</v>
          </cell>
          <cell r="F295" t="str">
            <v>13. NRFC</v>
          </cell>
        </row>
        <row r="296">
          <cell r="C296"/>
          <cell r="D296" t="str">
            <v>Cover Story</v>
          </cell>
          <cell r="E296" t="str">
            <v>Aero hub Chennai</v>
          </cell>
          <cell r="F296" t="str">
            <v>14. Dropped</v>
          </cell>
        </row>
        <row r="297">
          <cell r="C297"/>
          <cell r="D297" t="str">
            <v>Cover Story</v>
          </cell>
          <cell r="E297" t="str">
            <v>INORBIT VASHI</v>
          </cell>
          <cell r="F297" t="str">
            <v>13. NRFC</v>
          </cell>
        </row>
        <row r="298">
          <cell r="C298"/>
          <cell r="D298" t="str">
            <v>Cover Story</v>
          </cell>
          <cell r="E298" t="str">
            <v>Tribeca Highstreet</v>
          </cell>
          <cell r="F298" t="str">
            <v>13. NRFC</v>
          </cell>
        </row>
        <row r="299">
          <cell r="C299" t="str">
            <v>COVRMQ4QY00</v>
          </cell>
          <cell r="D299" t="str">
            <v>Cover Story</v>
          </cell>
          <cell r="E299" t="str">
            <v xml:space="preserve"> RCITY GHATKOPAR</v>
          </cell>
          <cell r="F299" t="str">
            <v>14. Dropped</v>
          </cell>
        </row>
        <row r="300">
          <cell r="C300"/>
          <cell r="D300" t="str">
            <v>Cover Story</v>
          </cell>
          <cell r="E300" t="str">
            <v xml:space="preserve">City Center Mall, Raipur (CG)  </v>
          </cell>
          <cell r="F300" t="str">
            <v>14. Dropped</v>
          </cell>
        </row>
        <row r="301">
          <cell r="C301" t="str">
            <v>COVRNQD0A00</v>
          </cell>
          <cell r="D301" t="str">
            <v>Cover Story</v>
          </cell>
          <cell r="E301" t="str">
            <v>Aparna mall, Nallagandla</v>
          </cell>
          <cell r="F301" t="str">
            <v>8. WIP</v>
          </cell>
        </row>
        <row r="302">
          <cell r="C302"/>
          <cell r="D302" t="str">
            <v>Cover Story</v>
          </cell>
          <cell r="E302" t="str">
            <v>Felix Plaza Mall, NH 48, Gurgaon</v>
          </cell>
          <cell r="F302" t="str">
            <v>13. NRFC</v>
          </cell>
        </row>
        <row r="303">
          <cell r="C303"/>
          <cell r="D303" t="str">
            <v>Cover Story</v>
          </cell>
          <cell r="E303" t="str">
            <v>Airia Mall, Sec 68, Gurgaon</v>
          </cell>
          <cell r="F303" t="str">
            <v>13. NRFC</v>
          </cell>
        </row>
        <row r="304">
          <cell r="C304"/>
          <cell r="D304" t="str">
            <v>Cover Story</v>
          </cell>
          <cell r="E304" t="str">
            <v>Pacific Mall Dehradun</v>
          </cell>
          <cell r="F304" t="str">
            <v>3. Design in Progress</v>
          </cell>
        </row>
        <row r="305">
          <cell r="C305"/>
          <cell r="D305" t="str">
            <v>Cover Story</v>
          </cell>
          <cell r="E305" t="str">
            <v xml:space="preserve">Shop No. G-49, Vegas Mall, Dwarka, Delhi  </v>
          </cell>
          <cell r="F305" t="str">
            <v>15. PPT under Review</v>
          </cell>
        </row>
        <row r="306">
          <cell r="C306"/>
          <cell r="D306" t="str">
            <v>Cover Story SIS</v>
          </cell>
          <cell r="E306" t="str">
            <v>Begumpet</v>
          </cell>
          <cell r="F306" t="str">
            <v>13. NRFC</v>
          </cell>
        </row>
        <row r="307">
          <cell r="C307"/>
          <cell r="D307" t="str">
            <v>Cover Story SIS</v>
          </cell>
          <cell r="E307" t="str">
            <v>PATNA</v>
          </cell>
          <cell r="F307" t="str">
            <v>13. NRFC</v>
          </cell>
        </row>
        <row r="308">
          <cell r="C308"/>
          <cell r="D308" t="str">
            <v>Cover Story SIS</v>
          </cell>
          <cell r="E308" t="str">
            <v>DLF Promanade Mall</v>
          </cell>
          <cell r="F308" t="str">
            <v>13. NRFC</v>
          </cell>
        </row>
        <row r="309">
          <cell r="C309"/>
          <cell r="D309" t="str">
            <v>Cover Story SIS</v>
          </cell>
          <cell r="E309" t="str">
            <v>Dharamshala</v>
          </cell>
          <cell r="F309" t="str">
            <v>13. NRFC</v>
          </cell>
        </row>
        <row r="310">
          <cell r="C310"/>
          <cell r="D310" t="str">
            <v>Cover Story SIS</v>
          </cell>
          <cell r="E310" t="str">
            <v>Pathankot</v>
          </cell>
          <cell r="F310" t="str">
            <v>13. NRFC</v>
          </cell>
        </row>
        <row r="311">
          <cell r="C311"/>
          <cell r="D311" t="str">
            <v>Cover Story SIS</v>
          </cell>
          <cell r="E311" t="str">
            <v>Yamunanagar</v>
          </cell>
          <cell r="F311" t="str">
            <v>13. NRFC</v>
          </cell>
        </row>
        <row r="312">
          <cell r="C312"/>
          <cell r="D312" t="str">
            <v>Cover Story SIS</v>
          </cell>
          <cell r="E312" t="str">
            <v>Solan</v>
          </cell>
          <cell r="F312" t="str">
            <v>13. NRFC</v>
          </cell>
        </row>
        <row r="313">
          <cell r="C313"/>
          <cell r="D313" t="str">
            <v>Cover Story SIS</v>
          </cell>
          <cell r="E313" t="str">
            <v>GURGAON</v>
          </cell>
          <cell r="F313" t="str">
            <v>14. Dropped</v>
          </cell>
        </row>
        <row r="314">
          <cell r="C314"/>
          <cell r="D314" t="str">
            <v>Cover Story SIS</v>
          </cell>
          <cell r="E314" t="str">
            <v>HYDERABAD-GSM MALL-CHANDANA</v>
          </cell>
          <cell r="F314" t="str">
            <v>13. NRFC</v>
          </cell>
        </row>
        <row r="315">
          <cell r="C315"/>
          <cell r="D315" t="str">
            <v>Cover Story SIS</v>
          </cell>
          <cell r="E315" t="str">
            <v>SILIGURI-COSMOS MALL</v>
          </cell>
          <cell r="F315" t="str">
            <v>13. NRFC</v>
          </cell>
        </row>
        <row r="316">
          <cell r="C316"/>
          <cell r="D316" t="str">
            <v>Cover Story SIS</v>
          </cell>
          <cell r="E316" t="str">
            <v>HYDERABAD-KUKATPALLY</v>
          </cell>
          <cell r="F316" t="str">
            <v>13. NRFC</v>
          </cell>
        </row>
        <row r="317">
          <cell r="C317"/>
          <cell r="D317" t="str">
            <v>Cover Story SIS-CSY</v>
          </cell>
          <cell r="E317" t="str">
            <v>Gurgaon</v>
          </cell>
          <cell r="F317" t="str">
            <v>13. NRFC</v>
          </cell>
        </row>
        <row r="318">
          <cell r="C318"/>
          <cell r="D318" t="str">
            <v>Coverstory MOCKUP</v>
          </cell>
          <cell r="E318" t="str">
            <v>RCP Mumbai</v>
          </cell>
          <cell r="F318" t="str">
            <v>13. NRFC</v>
          </cell>
        </row>
        <row r="319">
          <cell r="C319"/>
          <cell r="D319" t="str">
            <v>Coverstory-Dehire</v>
          </cell>
          <cell r="E319" t="str">
            <v>CS VR Mohali</v>
          </cell>
          <cell r="F319" t="str">
            <v>13. NRFC</v>
          </cell>
        </row>
        <row r="320">
          <cell r="C320"/>
          <cell r="D320" t="str">
            <v>CSY</v>
          </cell>
          <cell r="E320" t="str">
            <v>VASANTKUNJ</v>
          </cell>
          <cell r="F320" t="str">
            <v>13. NRFC</v>
          </cell>
        </row>
        <row r="321">
          <cell r="C321"/>
          <cell r="D321" t="str">
            <v>CSY</v>
          </cell>
          <cell r="E321" t="str">
            <v>AHMD</v>
          </cell>
          <cell r="F321" t="str">
            <v>13. NRFC</v>
          </cell>
        </row>
        <row r="322">
          <cell r="C322"/>
          <cell r="D322" t="str">
            <v>CSY</v>
          </cell>
          <cell r="E322" t="str">
            <v>PUNE-4</v>
          </cell>
          <cell r="F322" t="str">
            <v>13. NRFC</v>
          </cell>
        </row>
        <row r="323">
          <cell r="C323"/>
          <cell r="D323" t="str">
            <v>CSY</v>
          </cell>
          <cell r="E323" t="str">
            <v>CSY AHMD</v>
          </cell>
          <cell r="F323" t="str">
            <v>13. NRFC</v>
          </cell>
        </row>
        <row r="324">
          <cell r="C324"/>
          <cell r="D324" t="str">
            <v>CSY</v>
          </cell>
          <cell r="E324" t="str">
            <v>VAR-CT</v>
          </cell>
          <cell r="F324" t="str">
            <v>13. NRFC</v>
          </cell>
        </row>
        <row r="325">
          <cell r="C325"/>
          <cell r="D325" t="str">
            <v>CSY</v>
          </cell>
          <cell r="E325" t="str">
            <v>LUCKNOW</v>
          </cell>
          <cell r="F325" t="str">
            <v>13. NRFC</v>
          </cell>
        </row>
        <row r="326">
          <cell r="C326"/>
          <cell r="D326" t="str">
            <v>CSY</v>
          </cell>
          <cell r="E326" t="str">
            <v>GIP NOIDA</v>
          </cell>
          <cell r="F326" t="str">
            <v>13. NRFC</v>
          </cell>
        </row>
        <row r="327">
          <cell r="C327"/>
          <cell r="D327" t="str">
            <v>CSY</v>
          </cell>
          <cell r="E327" t="str">
            <v>GACHIBOWLI</v>
          </cell>
          <cell r="F327" t="str">
            <v>13. NRFC</v>
          </cell>
        </row>
        <row r="328">
          <cell r="C328"/>
          <cell r="D328" t="str">
            <v>CSY</v>
          </cell>
          <cell r="E328" t="str">
            <v>KANDIVALI</v>
          </cell>
          <cell r="F328" t="str">
            <v>13. NRFC</v>
          </cell>
        </row>
        <row r="329">
          <cell r="C329"/>
          <cell r="D329" t="str">
            <v>CSY</v>
          </cell>
          <cell r="E329" t="str">
            <v>DAHISAR</v>
          </cell>
          <cell r="F329" t="str">
            <v>13. NRFC</v>
          </cell>
        </row>
        <row r="330">
          <cell r="C330"/>
          <cell r="D330" t="str">
            <v>CSY</v>
          </cell>
          <cell r="E330" t="str">
            <v>PUNE-2</v>
          </cell>
          <cell r="F330" t="str">
            <v>13. NRFC</v>
          </cell>
        </row>
        <row r="331">
          <cell r="C331"/>
          <cell r="D331" t="str">
            <v>CSY</v>
          </cell>
          <cell r="E331" t="str">
            <v>SJR MALL</v>
          </cell>
          <cell r="F331" t="str">
            <v>13. NRFC</v>
          </cell>
        </row>
        <row r="332">
          <cell r="C332"/>
          <cell r="D332" t="str">
            <v>CSY</v>
          </cell>
          <cell r="E332" t="str">
            <v>NAGPUR</v>
          </cell>
          <cell r="F332" t="str">
            <v>13. NRFC</v>
          </cell>
        </row>
        <row r="333">
          <cell r="C333" t="str">
            <v>ANCSHQPAP00</v>
          </cell>
          <cell r="D333" t="str">
            <v>Pos Migration</v>
          </cell>
          <cell r="E333" t="str">
            <v>Ancestry Ardee Gurgaon</v>
          </cell>
          <cell r="F333" t="str">
            <v>10. Launched</v>
          </cell>
        </row>
        <row r="334">
          <cell r="C334" t="str">
            <v>COVRHQPAQ00</v>
          </cell>
          <cell r="D334" t="str">
            <v>Pos Migration</v>
          </cell>
          <cell r="E334" t="str">
            <v>CS Ardee Gurgaon</v>
          </cell>
          <cell r="F334" t="str">
            <v>10. Launched</v>
          </cell>
        </row>
        <row r="335">
          <cell r="C335" t="str">
            <v xml:space="preserve">ANCSKQOXS00 </v>
          </cell>
          <cell r="D335" t="str">
            <v>Pos Migration</v>
          </cell>
          <cell r="E335" t="str">
            <v>Ancestry1MG Bangalore</v>
          </cell>
          <cell r="F335" t="str">
            <v>10. Launched</v>
          </cell>
        </row>
        <row r="336">
          <cell r="C336" t="str">
            <v>COVRGQPAH00</v>
          </cell>
          <cell r="D336" t="str">
            <v>Pos Migration</v>
          </cell>
          <cell r="E336" t="str">
            <v>CS Inorbit Vadodara</v>
          </cell>
          <cell r="F336" t="str">
            <v>10. Launched</v>
          </cell>
        </row>
        <row r="337">
          <cell r="C337" t="str">
            <v>COVRGQPAC00</v>
          </cell>
          <cell r="D337" t="str">
            <v>Pos Migration</v>
          </cell>
          <cell r="E337" t="str">
            <v>CS VR Surat</v>
          </cell>
          <cell r="F337" t="str">
            <v>10. Launched</v>
          </cell>
        </row>
        <row r="338">
          <cell r="C338" t="str">
            <v>COVR9QPAD00</v>
          </cell>
          <cell r="D338" t="str">
            <v>Pos Migration</v>
          </cell>
          <cell r="E338" t="str">
            <v>CS Seawood Mall</v>
          </cell>
          <cell r="F338" t="str">
            <v>10. Launched</v>
          </cell>
        </row>
        <row r="339">
          <cell r="C339"/>
          <cell r="D339" t="str">
            <v>Pos Migration</v>
          </cell>
          <cell r="E339" t="str">
            <v>Ancestry VR Chennai</v>
          </cell>
          <cell r="F339" t="str">
            <v>10. Launched</v>
          </cell>
        </row>
        <row r="340">
          <cell r="C340" t="str">
            <v>ANCSDQXAN00</v>
          </cell>
          <cell r="D340" t="str">
            <v>Pos Migration</v>
          </cell>
          <cell r="E340" t="str">
            <v>Ancestry DLF Saket</v>
          </cell>
          <cell r="F340" t="str">
            <v>10. Launched</v>
          </cell>
        </row>
        <row r="341">
          <cell r="C341" t="str">
            <v>ANCSUQXAM00</v>
          </cell>
          <cell r="D341" t="str">
            <v>Pos Migration</v>
          </cell>
          <cell r="E341" t="str">
            <v>Ancestry MOI Noida</v>
          </cell>
          <cell r="F341" t="str">
            <v>10. Launched</v>
          </cell>
        </row>
        <row r="342">
          <cell r="C342" t="str">
            <v>COVRUQOXZ00</v>
          </cell>
          <cell r="D342" t="str">
            <v>Pos Migration</v>
          </cell>
          <cell r="E342" t="str">
            <v>CS MOI Noida</v>
          </cell>
          <cell r="F342" t="str">
            <v>10. Launched</v>
          </cell>
        </row>
        <row r="343">
          <cell r="C343" t="str">
            <v>NETMCQBNO00</v>
          </cell>
          <cell r="D343" t="str">
            <v>409 NETMED SDP</v>
          </cell>
          <cell r="E343" t="str">
            <v>GF Plot No 4 5 Plot No 15 2  , Tehsil &amp; Dist Bilaspur , Ward No 9 Jarhabhata  , BILASPUR , 495001</v>
          </cell>
          <cell r="F343" t="str">
            <v>10. Launched</v>
          </cell>
        </row>
        <row r="344">
          <cell r="C344" t="str">
            <v>NETMQQBKU00</v>
          </cell>
          <cell r="D344" t="str">
            <v>409 NETMED SDP</v>
          </cell>
          <cell r="E344" t="str">
            <v>GF, Mouza- Urwa, Thana no 321  , Plot no 2976, Anchal Chandwara , Thana Chandwara, Khata no 24 , Dist Koderma , JHUMRI TILAIYA , 825413</v>
          </cell>
          <cell r="F344" t="str">
            <v>10. Launched</v>
          </cell>
        </row>
        <row r="345">
          <cell r="C345" t="str">
            <v>NETMAQBVM00</v>
          </cell>
          <cell r="D345" t="str">
            <v>409 NETMED SDP</v>
          </cell>
          <cell r="E345" t="str">
            <v>Shamita Towers D No 1 10 6 3 Sriram Nagr  , Godavari Dist , Bhanugudi Center Kakinada East  , KAKINADA , 533003</v>
          </cell>
          <cell r="F345" t="str">
            <v>9. EPC Ready</v>
          </cell>
        </row>
        <row r="346">
          <cell r="C346" t="str">
            <v>NETMRQB9J00</v>
          </cell>
          <cell r="D346" t="str">
            <v>409 NETMED SDP</v>
          </cell>
          <cell r="E346" t="str">
            <v>GF Patta No 550 Ward No 08 23  , Suratgarh Shri Ganganagar , Bhadoper Road Peeple Chowk  , SURATGARH , 335804</v>
          </cell>
          <cell r="F346" t="str">
            <v>9. EPC Ready</v>
          </cell>
        </row>
        <row r="347">
          <cell r="C347" t="str">
            <v>NETMQQB2K00</v>
          </cell>
          <cell r="D347" t="str">
            <v>409 NETMED SDP</v>
          </cell>
          <cell r="E347" t="str">
            <v>Main Road</v>
          </cell>
          <cell r="F347" t="str">
            <v>10. Launched</v>
          </cell>
        </row>
        <row r="348">
          <cell r="C348" t="str">
            <v>NETMBQBOL00</v>
          </cell>
          <cell r="D348" t="str">
            <v>409 NETMED SDP</v>
          </cell>
          <cell r="E348" t="str">
            <v>GF RB Soni Complex Plot No.1903  , Village - Balia PS &amp; Dist - Begusari , Khata No. 647 Revenue Thana No. 627  , Lakhminiya(Balia Bazar) , 851211</v>
          </cell>
          <cell r="F348" t="str">
            <v>9. EPC Ready</v>
          </cell>
        </row>
        <row r="349">
          <cell r="C349" t="str">
            <v>NETMBQBOJ00</v>
          </cell>
          <cell r="D349" t="str">
            <v>409 NETMED SDP</v>
          </cell>
          <cell r="E349" t="str">
            <v>GF Prince Complex Plot No 4399 3684  , Mafi Mohalla PS Warisiliganj Dist Nawada , Khata No 480 Revenue Thana No 479 Vill  , WARISALIGANJ , 805130</v>
          </cell>
          <cell r="F349" t="str">
            <v>9. EPC Ready</v>
          </cell>
        </row>
        <row r="350">
          <cell r="C350" t="str">
            <v>NETMBQCFD00</v>
          </cell>
          <cell r="D350" t="str">
            <v>409 NETMED SDP</v>
          </cell>
          <cell r="E350" t="str">
            <v>Jitendra House 11 Gandhi Tola  ,  , Main Road Rafuigunj  , RAFIGANJ , 824125</v>
          </cell>
          <cell r="F350" t="str">
            <v>9. EPC Ready</v>
          </cell>
        </row>
        <row r="351">
          <cell r="C351" t="str">
            <v>NETMCQ3I100</v>
          </cell>
          <cell r="D351" t="str">
            <v>409 NETMED SDP</v>
          </cell>
          <cell r="E351" t="str">
            <v>Gf L K Corporates &amp; Logitic Park Block E  , Village Dumartarai New Dhamtari Rd , Khasra N193 12 193 14 193 27&amp;193 32 Nh30  , RAIPUR , 492015</v>
          </cell>
          <cell r="F351" t="str">
            <v>9. EPC Ready</v>
          </cell>
        </row>
        <row r="352">
          <cell r="C352" t="str">
            <v>NETMMQ8BH00</v>
          </cell>
          <cell r="D352" t="str">
            <v>409 NETMED SDP</v>
          </cell>
          <cell r="E352" t="str">
            <v>GF Survey No 49 2Plot No 2 3 4 17 18  , Distt Nagpur , Mouza Ramtek Taluka Ramtek  , RAMTEK , 440009</v>
          </cell>
          <cell r="F352" t="str">
            <v>9. EPC Ready</v>
          </cell>
        </row>
        <row r="353">
          <cell r="C353" t="str">
            <v>NETMMQBWT00</v>
          </cell>
          <cell r="D353" t="str">
            <v>409 NETMED SDP</v>
          </cell>
          <cell r="E353" t="str">
            <v>GF, Plot No 4 A &amp; 26, SyNo 29, Village &amp;  , Dist - Amravati , Taluka - Chandur (Railway)  , AMRAVATI , 444904</v>
          </cell>
          <cell r="F353" t="str">
            <v>9. EPC Ready</v>
          </cell>
        </row>
        <row r="354">
          <cell r="C354" t="str">
            <v>NETMRQB5X00</v>
          </cell>
          <cell r="D354" t="str">
            <v>409 NETMED SDP</v>
          </cell>
          <cell r="E354" t="str">
            <v>GF, Ward No41 Mohalla, Ramdwar Ke Samne,  ,  , Nimbahera, Distt Chittorgarh  , NIMBAHERA , 312601</v>
          </cell>
          <cell r="F354" t="str">
            <v>9. EPC Ready</v>
          </cell>
        </row>
        <row r="355">
          <cell r="C355" t="str">
            <v>NETMMQ9Q100</v>
          </cell>
          <cell r="D355" t="str">
            <v>409 NETMED SDP</v>
          </cell>
          <cell r="E355" t="str">
            <v> GF CTS No 1950 1957 1958 1959 1960 1961  , Councial Tashil No Chopada Distt Jalgoan , Chopada Taluka Chopada Chopada Municpal  , CHOPDA , 425107</v>
          </cell>
          <cell r="F355" t="str">
            <v>9. EPC Ready</v>
          </cell>
        </row>
        <row r="356">
          <cell r="C356" t="str">
            <v>NETMMQBRW00</v>
          </cell>
          <cell r="D356" t="str">
            <v>409 NETMED SDP</v>
          </cell>
          <cell r="E356" t="str">
            <v>GF Plot No 52 Dilip Auto Sy Gat No 572  , Dist Jalgaon , 2A22A At Tongaon Tal Bhadgaon  , BHADGAON , 424105</v>
          </cell>
          <cell r="F356" t="str">
            <v>9. EPC Ready</v>
          </cell>
        </row>
        <row r="357">
          <cell r="C357" t="str">
            <v>NETMMQB6S00</v>
          </cell>
          <cell r="D357" t="str">
            <v>409 NETMED SDP</v>
          </cell>
          <cell r="E357" t="str">
            <v>Ground Floor Rajkamal Hall SurveyNo.225  , 143 Igatpuri Tal &amp; dist- Nashik , Property No. W01000308 CTS No 142 &amp;  , IGATPURI , 422403</v>
          </cell>
          <cell r="F357" t="str">
            <v>9. EPC Ready</v>
          </cell>
        </row>
        <row r="358">
          <cell r="C358" t="str">
            <v>NETMRQBYZ00</v>
          </cell>
          <cell r="D358" t="str">
            <v>409 NETMED SDP</v>
          </cell>
          <cell r="E358" t="str">
            <v>GF &amp; FF 61 Bazar No 02  ,  , Ramganjmandi Kota  , RAMGANJ MANDI , 326519</v>
          </cell>
          <cell r="F358" t="str">
            <v>9. EPC Ready</v>
          </cell>
        </row>
        <row r="359">
          <cell r="C359" t="str">
            <v>NETMMQ8FY00</v>
          </cell>
          <cell r="D359" t="str">
            <v>409 NETMED SDP</v>
          </cell>
          <cell r="E359" t="str">
            <v>Plot no 813/C/20  sheet no 20 Village  , Daryapur Banosa , Daryapur- taluka-Daryapur Dis-Yavatmal  , Daryapur , 444803</v>
          </cell>
          <cell r="F359" t="str">
            <v>9. EPC Ready</v>
          </cell>
        </row>
        <row r="360">
          <cell r="C360" t="str">
            <v>NETMMQBSM00</v>
          </cell>
          <cell r="D360" t="str">
            <v>409 NETMED SDP</v>
          </cell>
          <cell r="E360" t="str">
            <v>Mahindre Complex Sr 54 55 Plot No 12  , Digras Yawatmal , Digras Darvha Rd Near Bus Stand  , DIGRAS , 445203</v>
          </cell>
          <cell r="F360" t="str">
            <v>9. EPC Ready</v>
          </cell>
        </row>
        <row r="361">
          <cell r="C361" t="str">
            <v>NETMEQGHC00</v>
          </cell>
          <cell r="D361" t="str">
            <v>409 NETMED SDP</v>
          </cell>
          <cell r="E361" t="str">
            <v>GF Plot No 1007 Khasra 1129 5 To 1132 3  , 27 Madan Mohan Choubey Ward Dist Katni , PH No 43 NB 493 Vill Halka Murwara Ward  , KATNI , 483501</v>
          </cell>
          <cell r="F361" t="str">
            <v>9. EPC Ready</v>
          </cell>
        </row>
        <row r="362">
          <cell r="C362" t="str">
            <v>NETM5QB6R00</v>
          </cell>
          <cell r="D362" t="str">
            <v>409 NETMED SDP</v>
          </cell>
          <cell r="E362" t="str">
            <v>GF Khasra No 2464  , Tehsil Vikas Nagar Dist Dehradun , Village Atanbagh Pargana Pachwadoon  , VIKASNAGAR , 248198</v>
          </cell>
          <cell r="F362" t="str">
            <v>9. EPC Ready</v>
          </cell>
        </row>
        <row r="363">
          <cell r="C363" t="str">
            <v>NETMIQGQP00</v>
          </cell>
          <cell r="D363" t="str">
            <v>409 NETMED SDP</v>
          </cell>
          <cell r="E363" t="str">
            <v>Gf Om Sai Complex Sai Road Near  , Dist Solan , Arisht Spinning Mill  , BADDI , 173205</v>
          </cell>
          <cell r="F363" t="str">
            <v>9. EPC Ready</v>
          </cell>
        </row>
        <row r="364">
          <cell r="C364" t="str">
            <v>NETM5QBXG00</v>
          </cell>
          <cell r="D364" t="str">
            <v>409 NETMED SDP</v>
          </cell>
          <cell r="E364" t="str">
            <v>GF RHP Complex Khasra No 7  , Tehsil &amp; Dist Haridwar , Village Sultanpur Majri Pargana Jwalapur  , HARIDWAR , 249403</v>
          </cell>
          <cell r="F364" t="str">
            <v>9. EPC Ready</v>
          </cell>
        </row>
        <row r="365">
          <cell r="C365" t="str">
            <v>NETMEQBOV00</v>
          </cell>
          <cell r="D365" t="str">
            <v>409 NETMED SDP</v>
          </cell>
          <cell r="E365" t="str">
            <v>Suraj Market Barwaha West &amp; East Part Of  , Narmada Road Tehsil Barwaha District , Padat Patha House No 7 Old Vinoba Marg  , BARWAHA , 451115</v>
          </cell>
          <cell r="F365" t="str">
            <v>9. EPC Ready</v>
          </cell>
        </row>
        <row r="366">
          <cell r="C366" t="str">
            <v>NETMMQBQV00</v>
          </cell>
          <cell r="D366" t="str">
            <v>409 NETMED SDP</v>
          </cell>
          <cell r="E366" t="str">
            <v>GF, Waje Complex, Plot No. 1 &amp; 4  , Tal-kopargaon, Dist- Ahmadnagar , Surevey No. 214/71/1 &amp; 2  , Kopargaon , 423601</v>
          </cell>
          <cell r="F366" t="str">
            <v>9. EPC Ready</v>
          </cell>
        </row>
        <row r="367">
          <cell r="C367" t="str">
            <v>NETMUQEGZ00</v>
          </cell>
          <cell r="D367" t="str">
            <v>409 NETMED SDP</v>
          </cell>
          <cell r="E367" t="str">
            <v>Royal Plaza Veer Gas Agency Building  , Behjam Road Lakhimpur Kheri , Jaydev Nagar  , LAKHIMPUR , 262701</v>
          </cell>
          <cell r="F367" t="str">
            <v>9. EPC Ready</v>
          </cell>
        </row>
        <row r="368">
          <cell r="C368" t="str">
            <v>NETMHQBQY00</v>
          </cell>
          <cell r="D368" t="str">
            <v>409 NETMED SDP</v>
          </cell>
          <cell r="E368" t="str">
            <v>Psm Complex Near Kathuria  , Gharaunda Karnal , Hotel Gt Road  , Gharaunda , 132114</v>
          </cell>
          <cell r="F368" t="str">
            <v>9. EPC Ready</v>
          </cell>
        </row>
        <row r="369">
          <cell r="C369" t="str">
            <v>NETMHQB7G00</v>
          </cell>
          <cell r="D369" t="str">
            <v>409 NETMED SDP</v>
          </cell>
          <cell r="E369" t="str">
            <v>Goyal Complex New Bus Stand Road  , Narwana Jind , Near Indian Oil Petrol Pump  , NARWANA , 126116</v>
          </cell>
          <cell r="F369" t="str">
            <v>9. EPC Ready</v>
          </cell>
        </row>
        <row r="370">
          <cell r="C370" t="str">
            <v>NETM9QI1Q00</v>
          </cell>
          <cell r="D370" t="str">
            <v>409 NETMED SDP</v>
          </cell>
          <cell r="E370" t="str">
            <v>Gf Garg Complex Property No B 04  , Opp Hp Gas Agency Dis Mansa , B 041056 1 Sirsa Road  , Mansa , 151507</v>
          </cell>
          <cell r="F370" t="str">
            <v>9. EPC Ready</v>
          </cell>
        </row>
        <row r="371">
          <cell r="C371" t="str">
            <v>NETMUQZYW00</v>
          </cell>
          <cell r="D371" t="str">
            <v>409 NETMED SDP</v>
          </cell>
          <cell r="E371" t="str">
            <v>Brij Petrol Pump Khata no 0015 Gata no  , Dibiyapur Auraiya , 462 Pargana kakarahi  , DIBIYAPUR , 226244</v>
          </cell>
          <cell r="F371" t="str">
            <v>9. EPC Ready</v>
          </cell>
        </row>
        <row r="372">
          <cell r="C372" t="str">
            <v>NETMUQDPW00</v>
          </cell>
          <cell r="D372" t="str">
            <v>409 NETMED SDP</v>
          </cell>
          <cell r="E372" t="str">
            <v>GF Khasra No 669  , Dasna Pilkhuwa Dist Hapur , Mauja Kheda Pargana  , PILKHUWA , 245304</v>
          </cell>
          <cell r="F372" t="str">
            <v>9. EPC Ready</v>
          </cell>
        </row>
        <row r="373">
          <cell r="C373" t="str">
            <v>NETMHQ3J400</v>
          </cell>
          <cell r="D373" t="str">
            <v>409 NETMED SDP</v>
          </cell>
          <cell r="E373" t="str">
            <v>Gf Sarpanch Complex  , Kanta Saha Dist Ambala , Sahabad Road Near Fouji Dharma  , AMBALA , 133104</v>
          </cell>
          <cell r="F373" t="str">
            <v>10. Launched</v>
          </cell>
        </row>
        <row r="374">
          <cell r="C374" t="str">
            <v>NETMMQBWF00</v>
          </cell>
          <cell r="D374" t="str">
            <v>409 NETMED SDP</v>
          </cell>
          <cell r="E374" t="str">
            <v>GF, Unit No.1, Survey.No. 2/1/1A  , Dairy Dighi Pune , Vill- Dighi, Tal-Haveli, Dist- Pune  , Dighi , 411015</v>
          </cell>
          <cell r="F374" t="str">
            <v>9. EPC Ready</v>
          </cell>
        </row>
        <row r="375">
          <cell r="C375" t="str">
            <v>NETM9QCCO00</v>
          </cell>
          <cell r="D375" t="str">
            <v>409 NETMED SDP</v>
          </cell>
          <cell r="E375" t="str">
            <v>Opposite To Indain Oil Petrol Pump  ,  , Near Ashoka Tailor Sarna  , PATHANKOT , 145001</v>
          </cell>
          <cell r="F375" t="str">
            <v>9. EPC Ready</v>
          </cell>
        </row>
        <row r="376">
          <cell r="C376" t="str">
            <v>NETMMQF4R00</v>
          </cell>
          <cell r="D376" t="str">
            <v>409 NETMED SDP</v>
          </cell>
          <cell r="E376" t="str">
            <v>GF, Sr. No.29/1/2/3, Plot No. 1  , Garden Shirpur Dhule , Vill- Madhal, Tal-Shirpur, Dist- Dhule  , Shirpur , 425405</v>
          </cell>
          <cell r="F376" t="str">
            <v>9. EPC Ready</v>
          </cell>
        </row>
        <row r="377">
          <cell r="C377" t="str">
            <v>NETMUQ6JQ00</v>
          </cell>
          <cell r="D377" t="str">
            <v>409 NETMED SDP</v>
          </cell>
          <cell r="E377" t="str">
            <v>Surjan Singh Tower  , Haidergarh , 546 Auswaneshar Road  , BARABANKI , 225124</v>
          </cell>
          <cell r="F377" t="str">
            <v>9. EPC Ready</v>
          </cell>
        </row>
        <row r="378">
          <cell r="C378" t="str">
            <v>NETMUQEEC00</v>
          </cell>
          <cell r="D378" t="str">
            <v>409 NETMED SDP</v>
          </cell>
          <cell r="E378" t="str">
            <v>H No 415 Mohalla Boarding House  , Sandi Road Hardoi , Subhash Nagar  , HARDOI , 241001</v>
          </cell>
          <cell r="F378" t="str">
            <v>9. EPC Ready</v>
          </cell>
        </row>
        <row r="379">
          <cell r="C379" t="str">
            <v>NETMHQKZZ00</v>
          </cell>
          <cell r="D379" t="str">
            <v>409 NETMED SDP</v>
          </cell>
          <cell r="E379" t="str">
            <v>Gf Mustil No 97 111 Khasra No 24  , Dist Rewari , 2 2/3 4 1 4 4 Dharuheda Gurugram  , DHARUHERA , 122106</v>
          </cell>
          <cell r="F379" t="str">
            <v>9. EPC Ready</v>
          </cell>
        </row>
        <row r="380">
          <cell r="C380" t="str">
            <v>NETMEQBOD00</v>
          </cell>
          <cell r="D380" t="str">
            <v>409 NETMED SDP</v>
          </cell>
          <cell r="E380" t="str">
            <v>GF  Nityanand Complex Survey NO 476/1/2  , Tehsil- Itarsi Dist- Narmadapuram , &amp;476/2 Nr Gagan Magan Hotelold Betul Rd  , Itarsi , 461111</v>
          </cell>
          <cell r="F380" t="str">
            <v>9. EPC Ready</v>
          </cell>
        </row>
        <row r="381">
          <cell r="C381" t="str">
            <v>NETMRQB9Q00</v>
          </cell>
          <cell r="D381" t="str">
            <v>409 NETMED SDP</v>
          </cell>
          <cell r="E381" t="str">
            <v>GF, Patta No128, Plot No12, Kishangarh  ,  , Renwal, Dist - Jaipur  , KISHANGARH , 303603</v>
          </cell>
          <cell r="F381" t="str">
            <v>9. EPC Ready</v>
          </cell>
        </row>
        <row r="382">
          <cell r="C382" t="str">
            <v>NETMRQZBM00</v>
          </cell>
          <cell r="D382" t="str">
            <v>409 NETMED SDP</v>
          </cell>
          <cell r="E382" t="str">
            <v>GF &amp; FF Khasra No 5559 &amp; 5560 Near  , Sagwar , Nursary Mod Dungarpur Road Sagwara , Dungarpur , SAGWARA , 314025</v>
          </cell>
          <cell r="F382" t="str">
            <v>9. EPC Ready</v>
          </cell>
        </row>
        <row r="383">
          <cell r="C383" t="str">
            <v>NETMUQBQG00</v>
          </cell>
          <cell r="D383" t="str">
            <v>409 NETMED SDP</v>
          </cell>
          <cell r="E383" t="str">
            <v>GF Khasra No 260 Village - Shahgarh  , Dist - Bareilly , Pargana - Chaumahla Tehsil - Baheri  , BAHERI , 243201</v>
          </cell>
          <cell r="F383" t="str">
            <v>9. EPC Ready</v>
          </cell>
        </row>
        <row r="384">
          <cell r="C384" t="str">
            <v>NETMTQBWK00</v>
          </cell>
          <cell r="D384" t="str">
            <v>409 NETMED SDP</v>
          </cell>
          <cell r="E384" t="str">
            <v>J Loganayaki Jlr Complex Mbt Road  , Walajapet Ranipet , Tnhb Housing Board  , WALAJAPET , 632513</v>
          </cell>
          <cell r="F384" t="str">
            <v>10. Launched</v>
          </cell>
        </row>
        <row r="385">
          <cell r="C385" t="str">
            <v>NETMRQBXU00</v>
          </cell>
          <cell r="D385" t="str">
            <v>409 NETMED SDP</v>
          </cell>
          <cell r="E385" t="str">
            <v>GF &amp; FF Khasra No 2009  , Bheevrajo Ki Bawari Bilara Jodhpur , Patta No 95/2004 &amp; 96/2004 Chak No 01  , BILARA , 342602</v>
          </cell>
          <cell r="F385" t="str">
            <v>9. EPC Ready</v>
          </cell>
        </row>
        <row r="386">
          <cell r="C386" t="str">
            <v>NETMEQ6ZF00</v>
          </cell>
          <cell r="D386" t="str">
            <v>409 NETMED SDP</v>
          </cell>
          <cell r="E386" t="str">
            <v>Ground Floor Shyam complex Plot no. 13  ,  Chowk khandwa , block No.67 Baikunth Nagar Near Indira  , KHANDWA , 450001</v>
          </cell>
          <cell r="F386" t="str">
            <v>9. EPC Ready</v>
          </cell>
        </row>
        <row r="387">
          <cell r="C387" t="str">
            <v>NETMRQGQI00</v>
          </cell>
          <cell r="D387" t="str">
            <v>409 NETMED SDP</v>
          </cell>
          <cell r="E387" t="str">
            <v>Gf Patta No 1345 Khasra No 177 Plot No24  , Shyalawas Khurd Tehsil Bandikui , Ward No 13 Sikandra Road Vill  , BANDIKUI , 303313</v>
          </cell>
          <cell r="F387" t="str">
            <v>9. EPC Ready</v>
          </cell>
        </row>
        <row r="388">
          <cell r="C388" t="str">
            <v>NETM9QGQE00</v>
          </cell>
          <cell r="D388" t="str">
            <v>409 NETMED SDP</v>
          </cell>
          <cell r="E388" t="str">
            <v>Gf Sanjay Motors Dhuri Road Near  , Dist Malerkotla , Near Truck Uniontehsil  , MALERKOTLA , 148023</v>
          </cell>
          <cell r="F388" t="str">
            <v>9. EPC Ready</v>
          </cell>
        </row>
        <row r="389">
          <cell r="C389" t="str">
            <v>NETM9Q6SK00</v>
          </cell>
          <cell r="D389" t="str">
            <v>409 NETMED SDP</v>
          </cell>
          <cell r="E389" t="str">
            <v>SP Pharma Kotkapura Road Muktsar</v>
          </cell>
          <cell r="F389" t="str">
            <v>9. EPC Ready</v>
          </cell>
        </row>
        <row r="390">
          <cell r="C390" t="str">
            <v>NETM9QLAA00</v>
          </cell>
          <cell r="D390" t="str">
            <v>409 NETMED SDP</v>
          </cell>
          <cell r="E390" t="str">
            <v>Gf Jrt Tower Dhangu Road Near  , Dist Gurdaspur Punjab , Tilak Nursing Home Pathankot  , PATHANKOT , 145001</v>
          </cell>
          <cell r="F390" t="str">
            <v>9. EPC Ready</v>
          </cell>
        </row>
        <row r="391">
          <cell r="C391" t="str">
            <v>NETMRQB9K00</v>
          </cell>
          <cell r="D391" t="str">
            <v>409 NETMED SDP</v>
          </cell>
          <cell r="E391" t="str">
            <v>Basement &amp; GF Plot No08 Ward No11  , BK Plaza, Chirawa, Dist - Jhunjhunu , Jherli Vidha Vihar Siri Road Pilani  , PILANI , 333031</v>
          </cell>
          <cell r="F391" t="str">
            <v>9. EPC Ready</v>
          </cell>
        </row>
        <row r="392">
          <cell r="C392" t="str">
            <v>NETMRQD1H00</v>
          </cell>
          <cell r="D392" t="str">
            <v>409 NETMED SDP</v>
          </cell>
          <cell r="E392" t="str">
            <v>Shakti Market Saket Nagar  , Sawai Madhopur , Opp Anaj Mandi Alanpur Link Road  , SAWAI MADHOPUR , 322021</v>
          </cell>
          <cell r="F392" t="str">
            <v>9. EPC Ready</v>
          </cell>
        </row>
        <row r="393">
          <cell r="C393" t="str">
            <v>NETMQQBXL00</v>
          </cell>
          <cell r="D393" t="str">
            <v>409 NETMED SDP</v>
          </cell>
          <cell r="E393" t="str">
            <v>Shrinath Palace Near Ktm Deoghar  , Deoghar , Shahid Ashram Road  , DEOGHAR , 814112</v>
          </cell>
          <cell r="F393" t="str">
            <v>10. Launched</v>
          </cell>
        </row>
        <row r="394">
          <cell r="C394" t="str">
            <v>NETMBQ9I400</v>
          </cell>
          <cell r="D394" t="str">
            <v>409 NETMED SDP</v>
          </cell>
          <cell r="E394" t="str">
            <v>Mauza Pupri Thana No 151  , Khesra no 1820 Sitamarhi , Khata No 136 Jamabandi No 119  , SITAMARHI , 843320</v>
          </cell>
          <cell r="F394" t="str">
            <v>9. EPC Ready</v>
          </cell>
        </row>
        <row r="395">
          <cell r="C395" t="str">
            <v>NETMBQCSX00</v>
          </cell>
          <cell r="D395" t="str">
            <v>409 NETMED SDP</v>
          </cell>
          <cell r="E395" t="str">
            <v>GF  Plot No 3766 Katha 569 Thana No 160  , Village Ibrahimpur City &amp; PS Naubatpur , Tauzi No 2865 Opp Referral Hospita , Dist Patna , PATNA , 801109</v>
          </cell>
          <cell r="F395" t="str">
            <v>9. EPC Ready</v>
          </cell>
        </row>
        <row r="396">
          <cell r="C396" t="str">
            <v>NETMBQBQT00</v>
          </cell>
          <cell r="D396" t="str">
            <v>409 NETMED SDP</v>
          </cell>
          <cell r="E396" t="str">
            <v>Jay Kumari Chanpatia Main Road  , West Champaran , Tikuliya Chowk Chanpatia  , CHANPATIA , 845449</v>
          </cell>
          <cell r="F396" t="str">
            <v>9. EPC Ready</v>
          </cell>
        </row>
        <row r="397">
          <cell r="C397" t="str">
            <v>NETMFQDCN00</v>
          </cell>
          <cell r="D397" t="str">
            <v>409 NETMED SDP</v>
          </cell>
          <cell r="E397" t="str">
            <v>GF Village Khutikatia Dag No 967  ,  , Patta No 379 Mouza  Kasomari , Dist  Nagaon , NAGAON , 782002</v>
          </cell>
          <cell r="F397" t="str">
            <v>14. Dropped</v>
          </cell>
        </row>
        <row r="398">
          <cell r="C398" t="str">
            <v>NETMTQB7C00</v>
          </cell>
          <cell r="D398" t="str">
            <v>409 NETMED SDP</v>
          </cell>
          <cell r="E398" t="str">
            <v>Dp Complex, D.No: 263 / A1,Sasthri Nagar,Erode,,638002,Tamilnadu</v>
          </cell>
          <cell r="F398" t="str">
            <v>9. EPC Ready</v>
          </cell>
        </row>
        <row r="399">
          <cell r="C399" t="str">
            <v>NETMQQF3C00</v>
          </cell>
          <cell r="D399" t="str">
            <v>409 NETMED SDP</v>
          </cell>
          <cell r="E399" t="str">
            <v>GF Mouza Torpo Thana No 53 Plot No 2907  , Khunti , Khata No 94 Thana Torpo Dist Khunti  , TORPA , 835227</v>
          </cell>
          <cell r="F399" t="str">
            <v>10. Launched</v>
          </cell>
        </row>
        <row r="400">
          <cell r="C400" t="str">
            <v>NETMCQB6P00</v>
          </cell>
          <cell r="D400" t="str">
            <v>409 NETMED SDP</v>
          </cell>
          <cell r="E400" t="str">
            <v>GF, Khasra No. 185/3  , Chirmiri , Teshil Chirmiri, distt Koriya , Chirimiri, Ph No. 13, RIC  , CHIRMIRI , 497451</v>
          </cell>
          <cell r="F400" t="str">
            <v>9. EPC Ready</v>
          </cell>
        </row>
        <row r="401">
          <cell r="C401" t="str">
            <v>NETMMQEHH00</v>
          </cell>
          <cell r="D401" t="str">
            <v>409 NETMED SDP</v>
          </cell>
          <cell r="E401" t="str">
            <v>GF Survey No 266 1  , Taluka Latur Distt Latur , Plot No 41 Village Kasargoan  , LATUR , 413512</v>
          </cell>
          <cell r="F401" t="str">
            <v>9. EPC Ready</v>
          </cell>
        </row>
        <row r="402">
          <cell r="C402" t="str">
            <v>NETMBQBNA00</v>
          </cell>
          <cell r="D402" t="str">
            <v>409 NETMED SDP</v>
          </cell>
          <cell r="E402" t="str">
            <v>GF Khata No 866 736 Plot No 2581 2579  , Thana-Chandi Thana No 209, Circle-Chandi , Tauzi No 7511,Mauza - Nagarnausha , Dist - Nalanda , NAGAR NAHUSA , 801305</v>
          </cell>
          <cell r="F402" t="str">
            <v>9. EPC Ready</v>
          </cell>
        </row>
        <row r="403">
          <cell r="C403" t="str">
            <v>NETMTQEGY00</v>
          </cell>
          <cell r="D403" t="str">
            <v>409 NETMED SDP</v>
          </cell>
          <cell r="E403" t="str">
            <v>Balaji Mahal No 1 163 Manmangalam Road  , Near Lvb Karur Tamil Nadu , Vennamalai Manmangalam Taluk  , KARUR , 639006</v>
          </cell>
          <cell r="F403" t="str">
            <v>9. EPC Ready</v>
          </cell>
        </row>
        <row r="404">
          <cell r="C404" t="str">
            <v>NETMFQFXE00</v>
          </cell>
          <cell r="D404" t="str">
            <v>409 NETMED SDP</v>
          </cell>
          <cell r="E404" t="str">
            <v>GF, Dag No 78 &amp; 81, Under Patta No 2,  , Dist - Nalbari , Nalbari Gaon, Revenue Circle, Mouza  , NALBARI , 781335</v>
          </cell>
          <cell r="F404" t="str">
            <v>9. EPC Ready</v>
          </cell>
        </row>
        <row r="405">
          <cell r="C405" t="str">
            <v>NETMFQEHF00</v>
          </cell>
          <cell r="D405" t="str">
            <v>409 NETMED SDP</v>
          </cell>
          <cell r="E405" t="str">
            <v>GF Revenue vill Sikarhati  , Mouza Bholagaon Dist Kamrup , Dag no 735 Patta no 64  , PALASBARI , 781125</v>
          </cell>
          <cell r="F405" t="str">
            <v>9. EPC Ready</v>
          </cell>
        </row>
        <row r="406">
          <cell r="C406" t="str">
            <v>NETMQQDDX00</v>
          </cell>
          <cell r="D406" t="str">
            <v>409 NETMED SDP</v>
          </cell>
          <cell r="E406" t="str">
            <v>Domna Mahto Property  , Bundu Bazaar , Sonhatu Road  , RANCHI , 835204</v>
          </cell>
          <cell r="F406" t="str">
            <v>9. EPC Ready</v>
          </cell>
        </row>
        <row r="407">
          <cell r="C407" t="str">
            <v>NETMRQF4X00</v>
          </cell>
          <cell r="D407" t="str">
            <v>409 NETMED SDP</v>
          </cell>
          <cell r="E407" t="str">
            <v>GF &amp; FF, Plot No89, 90, Maa Karni  ,  , Nagar-A, Panchyawala, Jaipur  , JAIPUR , 302021</v>
          </cell>
          <cell r="F407" t="str">
            <v>10. Launched</v>
          </cell>
        </row>
        <row r="408">
          <cell r="C408" t="str">
            <v>NETM9QGIF00</v>
          </cell>
          <cell r="D408" t="str">
            <v>409 NETMED SDP</v>
          </cell>
          <cell r="E408" t="str">
            <v>GF, Jindal Complex, hadbast No204.   , Khasra No34822,349 MIN, Circular Road, , Khewat No. 1109/1072, Khatoni No. 1753 , Adj Indian Village Patiala Punjab , Nabha , 147201</v>
          </cell>
          <cell r="F408" t="str">
            <v>10. Launched</v>
          </cell>
        </row>
        <row r="409">
          <cell r="C409" t="str">
            <v>NETMMQ9TQ00</v>
          </cell>
          <cell r="D409" t="str">
            <v>409 NETMED SDP</v>
          </cell>
          <cell r="E409" t="str">
            <v>GF Bharti Lawns CTS No11479 15 16 2122  , Tehsil Jalna Distt Jalna , Saklech Nagar Jalna Muncipality  , JALNA , 431203</v>
          </cell>
          <cell r="F409" t="str">
            <v>10. Launched</v>
          </cell>
        </row>
        <row r="410">
          <cell r="C410" t="str">
            <v>NETMRQEZO00</v>
          </cell>
          <cell r="D410" t="str">
            <v>409 NETMED SDP</v>
          </cell>
          <cell r="E410" t="str">
            <v>GF Patta No 15 Misal No 50/2005-2006  , Tehsil - Phagl Dist - Jaipur , Patta No 92 Village - Renwal  , PHAGI , 303904</v>
          </cell>
          <cell r="F410" t="str">
            <v>9. EPC Ready</v>
          </cell>
        </row>
        <row r="411">
          <cell r="C411" t="str">
            <v>NETMRQF4Y00</v>
          </cell>
          <cell r="D411" t="str">
            <v>409 NETMED SDP</v>
          </cell>
          <cell r="E411" t="str">
            <v>GF Patta No 95 96 97  ,  , Ward No 15 Lunkaransar Bikaner  , LUNKARANSAR , 334603</v>
          </cell>
          <cell r="F411" t="str">
            <v>9. EPC Ready</v>
          </cell>
        </row>
        <row r="412">
          <cell r="C412" t="str">
            <v>NETMRQD1B00</v>
          </cell>
          <cell r="D412" t="str">
            <v>409 NETMED SDP</v>
          </cell>
          <cell r="E412" t="str">
            <v>Radha Krishna Tower  , Bank Chirawa , Pilani Road Near Sbi  , CHIRAWA , 333026</v>
          </cell>
          <cell r="F412" t="str">
            <v>10. Launched</v>
          </cell>
        </row>
        <row r="413">
          <cell r="C413" t="str">
            <v>NETMCQGEA00</v>
          </cell>
          <cell r="D413" t="str">
            <v>409 NETMED SDP</v>
          </cell>
          <cell r="E413" t="str">
            <v>Rrl Gf Khasra No 306 20  , Manendragarh Dist Korea , Ph No 27 Village Ric &amp; Tehsil  , MANENDRAGARH , 497442</v>
          </cell>
          <cell r="F413" t="str">
            <v>9. EPC Ready</v>
          </cell>
        </row>
        <row r="414">
          <cell r="C414" t="str">
            <v>NETMEQCXD00</v>
          </cell>
          <cell r="D414" t="str">
            <v>409 NETMED SDP</v>
          </cell>
          <cell r="E414" t="str">
            <v>GF, Annapurna Complex, Khasra No.  , No.21, Ward No. 12, Dist - Satna , 1322/1/G/2, Mouza &amp; Tehsil-Maihar, PC  , Maihar , 485771</v>
          </cell>
          <cell r="F414" t="str">
            <v>10. Launched</v>
          </cell>
        </row>
        <row r="415">
          <cell r="C415" t="str">
            <v>NETMCQBZE00</v>
          </cell>
          <cell r="D415" t="str">
            <v>409 NETMED SDP</v>
          </cell>
          <cell r="E415" t="str">
            <v>GF, Khasra No 1070/3/1  , Teshil and Distt Jashpur , Jashpur PH No. 7, RIC Jashpur  , Jashpur , 496331</v>
          </cell>
          <cell r="F415" t="str">
            <v>9. EPC Ready</v>
          </cell>
        </row>
        <row r="416">
          <cell r="C416" t="str">
            <v>NETM9QBOO00</v>
          </cell>
          <cell r="D416" t="str">
            <v>409 NETMED SDP</v>
          </cell>
          <cell r="E416" t="str">
            <v>SP Pharma Sadar Thana Rd</v>
          </cell>
          <cell r="F416" t="str">
            <v>9. EPC Ready</v>
          </cell>
        </row>
        <row r="417">
          <cell r="C417" t="str">
            <v>NETMIQ3M500</v>
          </cell>
          <cell r="D417" t="str">
            <v>409 NETMED SDP</v>
          </cell>
          <cell r="E417" t="str">
            <v>Gf Mahavir Complex  , Main Bazar Road Indora , Opp Employment Exchange  , KANGRA , 176401</v>
          </cell>
          <cell r="F417" t="str">
            <v>9. EPC Ready</v>
          </cell>
        </row>
        <row r="418">
          <cell r="C418" t="str">
            <v>NETMUQDZX00</v>
          </cell>
          <cell r="D418" t="str">
            <v>409 NETMED SDP</v>
          </cell>
          <cell r="E418" t="str">
            <v>GF Plot No B 393 394  , Dist Merrut , Hastinapur  , HASTINAPUR , 250404</v>
          </cell>
          <cell r="F418" t="str">
            <v>9. EPC Ready</v>
          </cell>
        </row>
        <row r="419">
          <cell r="C419" t="str">
            <v>NETMGQ4GL00</v>
          </cell>
          <cell r="D419" t="str">
            <v>409 NETMED SDP</v>
          </cell>
          <cell r="E419" t="str">
            <v xml:space="preserve">Jasdan - Rajkot Bypass Circle,
Jasdan - 360 050
</v>
          </cell>
          <cell r="F419" t="str">
            <v>9. EPC Ready</v>
          </cell>
        </row>
        <row r="420">
          <cell r="C420" t="str">
            <v>NETMUQFYP00</v>
          </cell>
          <cell r="D420" t="str">
            <v>409 NETMED SDP</v>
          </cell>
          <cell r="E420" t="str">
            <v>GF, Prasad Complex, Jaunpur - Allahabad  , Badshahpur, Tehsil - Machlishahar , Road, Opp Tulsi Hospital, Mungra , Dist - Jaunpur , JAUNPUR , 222202</v>
          </cell>
          <cell r="F420" t="str">
            <v>9. EPC Ready</v>
          </cell>
        </row>
        <row r="421">
          <cell r="C421" t="str">
            <v>NETM4QB9U00</v>
          </cell>
          <cell r="D421" t="str">
            <v>409 NETMED SDP</v>
          </cell>
          <cell r="E421" t="str">
            <v>Jiban Chandra Saha Sibalaya Camper Bazar  , Dharma Mission Agartala West , Hospital Road Arundhuti Nagar Sarva  , AGARTALA , 799003</v>
          </cell>
          <cell r="F421" t="str">
            <v>9. EPC Ready</v>
          </cell>
        </row>
        <row r="422">
          <cell r="C422" t="str">
            <v>NETMAQB3W00</v>
          </cell>
          <cell r="D422" t="str">
            <v>409 NETMED SDP</v>
          </cell>
          <cell r="E422" t="str">
            <v>Plot No 7 Sy No 158 2A Beside Jio Store  , Anantapur , Opp Sk Univercity Akuthotapalli  , Akuthotapally , 515003</v>
          </cell>
          <cell r="F422" t="str">
            <v>9. EPC Ready</v>
          </cell>
        </row>
        <row r="423">
          <cell r="C423" t="str">
            <v>NETM9QGIE00</v>
          </cell>
          <cell r="D423" t="str">
            <v>409 NETMED SDP</v>
          </cell>
          <cell r="E423" t="str">
            <v>Garg Complex Badbar Road  , Longowal Sangrur , Near Azaz Mandi  , LONGOWAL , 148106</v>
          </cell>
          <cell r="F423" t="str">
            <v>9. EPC Ready</v>
          </cell>
        </row>
        <row r="424">
          <cell r="C424" t="str">
            <v>NETM6QBIZ00</v>
          </cell>
          <cell r="D424" t="str">
            <v>409 NETMED SDP</v>
          </cell>
          <cell r="E424" t="str">
            <v>Geli Ete Sipu Colony Aalo  , Arunachal Pradesh , Aalo West Siang  , AALO , 791001</v>
          </cell>
          <cell r="F424" t="str">
            <v>14. Dropped</v>
          </cell>
        </row>
        <row r="425">
          <cell r="C425" t="str">
            <v>NETMBQGHA00</v>
          </cell>
          <cell r="D425" t="str">
            <v>409 NETMED SDP</v>
          </cell>
          <cell r="E425" t="str">
            <v>GF, Shree Shyam Bhawan,   , mauza &amp; PS- Amarpur, Ward no. 10,  , Plot no. 1362/2141, Khata no. 36/183,  , Dist. Banka, Bihar , Amarpur , 813101</v>
          </cell>
          <cell r="F425" t="str">
            <v>9. EPC Ready</v>
          </cell>
        </row>
        <row r="426">
          <cell r="C426"/>
          <cell r="D426" t="str">
            <v>409 NETMED SDP</v>
          </cell>
          <cell r="E426" t="str">
            <v>T P 37 Thaltej Final  , Opp Avelon Hotel Thaltej Sindhbhavn Rd , R S No V545 2/1/3 FP No 157 1/9/2  , AHMEDABAD , 380059</v>
          </cell>
          <cell r="F426" t="str">
            <v>14. Dropped</v>
          </cell>
        </row>
        <row r="427">
          <cell r="C427" t="str">
            <v>NETMBQDUO00</v>
          </cell>
          <cell r="D427" t="str">
            <v>409 NETMED SDP</v>
          </cell>
          <cell r="E427" t="str">
            <v>Adya Saran Dwivedi  , Andar siwan , Andar Po Ps Andar City  , ANDAR , 841231</v>
          </cell>
          <cell r="F427" t="str">
            <v>9. EPC Ready</v>
          </cell>
        </row>
        <row r="428">
          <cell r="C428" t="str">
            <v>NETMVQECU00</v>
          </cell>
          <cell r="D428" t="str">
            <v>409 NETMED SDP</v>
          </cell>
          <cell r="E428" t="str">
            <v>Alfiya Business Centre Abc Alamcode  , Thiruvananthapuram , Attingal Market Road  , ALAMCODE , 695102</v>
          </cell>
          <cell r="F428" t="str">
            <v>13. NRFC</v>
          </cell>
        </row>
        <row r="429">
          <cell r="C429" t="str">
            <v>NETMBQEFK00</v>
          </cell>
          <cell r="D429" t="str">
            <v>409 NETMED SDP</v>
          </cell>
          <cell r="E429" t="str">
            <v>Vishwa Raj Vatika Town Areraj  , Motihari , Po Ps Areraj  , ARERAJ , 845411</v>
          </cell>
          <cell r="F429" t="str">
            <v>9. EPC Ready</v>
          </cell>
        </row>
        <row r="430">
          <cell r="C430" t="str">
            <v>NETMWQBOW00</v>
          </cell>
          <cell r="D430" t="str">
            <v>409 NETMED SDP</v>
          </cell>
          <cell r="E430" t="str">
            <v>Vill Udang Po  , Ps Amta , Udang Kazipara  , AMTA , 711401</v>
          </cell>
          <cell r="F430" t="str">
            <v>9. EPC Ready</v>
          </cell>
        </row>
        <row r="431">
          <cell r="C431" t="str">
            <v>NETMAQ6RE00</v>
          </cell>
          <cell r="D431" t="str">
            <v>409 NETMED SDP</v>
          </cell>
          <cell r="E431" t="str">
            <v>Adari Kanaka Ratnam Complex D no 18999  , Ratnam plazza Bashyam School , Sy No771 Chodavaram Mandal Opp  , CHODAVARAM , 531036</v>
          </cell>
          <cell r="F431" t="str">
            <v>9. EPC Ready</v>
          </cell>
        </row>
        <row r="432">
          <cell r="C432" t="str">
            <v>NETMWQB1M00</v>
          </cell>
          <cell r="D432" t="str">
            <v>409 NETMED SDP</v>
          </cell>
          <cell r="E432" t="str">
            <v>Andal To Ukhra Road Shiv Pally Khandra P  , Workshhop Ecl Andal Paschim Burdwan , Khandra PS Andal?Near Ukhra Regional  , ANDAL , 713363</v>
          </cell>
          <cell r="F432" t="str">
            <v>9. EPC Ready</v>
          </cell>
        </row>
        <row r="433">
          <cell r="C433" t="str">
            <v>NETMWQB6Y00</v>
          </cell>
          <cell r="D433" t="str">
            <v>409 NETMED SDP</v>
          </cell>
          <cell r="E433" t="str">
            <v>SP Pharma Boxsirhat Busstand</v>
          </cell>
          <cell r="F433" t="str">
            <v>9. EPC Ready</v>
          </cell>
        </row>
        <row r="434">
          <cell r="C434" t="str">
            <v>NETMTQOXI00</v>
          </cell>
          <cell r="D434" t="str">
            <v>409 NETMED SDP</v>
          </cell>
          <cell r="E434" t="str">
            <v>Mgs Complex S No 1855 6 Ambekar  , Anthiyur Erode , Street Thavittupalayam  , ANTHIYUR , 638501</v>
          </cell>
          <cell r="F434" t="str">
            <v>9. EPC Ready</v>
          </cell>
        </row>
        <row r="435">
          <cell r="C435" t="str">
            <v>NETMWQDWN00</v>
          </cell>
          <cell r="D435" t="str">
            <v>409 NETMED SDP</v>
          </cell>
          <cell r="E435" t="str">
            <v>Arambagh Taltala Bazar  , Hooghly Nr B K Ray Super Market , Ward No 5 Po Ps Arambag  , ARAMBAG , 712601</v>
          </cell>
          <cell r="F435" t="str">
            <v>13. NRFC</v>
          </cell>
        </row>
        <row r="436">
          <cell r="C436" t="str">
            <v>NETMTQBXS00</v>
          </cell>
          <cell r="D436" t="str">
            <v>409 NETMED SDP</v>
          </cell>
          <cell r="E436" t="str">
            <v>Mrs S Pappathi Ss Thirumana Mahal DoorNo  , Ariyalur , 24 5C Rajeev Nagar Opp Kvs Hospital  , ARIYALUR , 621704</v>
          </cell>
          <cell r="F436" t="str">
            <v>9. EPC Ready</v>
          </cell>
        </row>
        <row r="437">
          <cell r="C437" t="str">
            <v>NETMBQBMF00</v>
          </cell>
          <cell r="D437" t="str">
            <v>409 NETMED SDP</v>
          </cell>
          <cell r="E437" t="str">
            <v>RRL GF Piaro House Plot No 1060 1061 1  , Bihar , Khata No 55 25 Revenue Thana No 85 , Katha 10 Dhur 16 Dhurki Village , PIRO , 802207</v>
          </cell>
          <cell r="F437" t="str">
            <v>9. EPC Ready</v>
          </cell>
        </row>
        <row r="438">
          <cell r="C438" t="str">
            <v>NETMWQFYT00</v>
          </cell>
          <cell r="D438" t="str">
            <v>409 NETMED SDP</v>
          </cell>
          <cell r="E438" t="str">
            <v>Barobisha Chowpathi Purba Chakchaka  , Barobisha Alipurduar , Po Barobisha Ps Kumargram  , BAROBISHA , 736207</v>
          </cell>
          <cell r="F438" t="str">
            <v>9. EPC Ready</v>
          </cell>
        </row>
        <row r="439">
          <cell r="C439" t="str">
            <v>NETMBQBOG00</v>
          </cell>
          <cell r="D439" t="str">
            <v>409 NETMED SDP</v>
          </cell>
          <cell r="E439" t="str">
            <v>RRL GF Parvati House Plot No 71 Khata  , Munger , No 661 Revenue Thana No 199 Village , Dhadhi Belari PS Sultanganj Dist Bhag , MUNGER , 813201</v>
          </cell>
          <cell r="F439" t="str">
            <v>9. EPC Ready</v>
          </cell>
        </row>
        <row r="440">
          <cell r="C440"/>
          <cell r="D440" t="str">
            <v>409 NETMED SDP</v>
          </cell>
          <cell r="E440" t="str">
            <v>Ground Floor Saluja Tower Plot No:1017  , Ashok Nagar Tehsil &amp; Dist-  Ashok Nagar , 10181019Soni Colony By- pass road  , Ashok nagar , 473331</v>
          </cell>
          <cell r="F440" t="str">
            <v>14. Dropped</v>
          </cell>
        </row>
        <row r="441">
          <cell r="C441" t="str">
            <v>NETMQQGHU00</v>
          </cell>
          <cell r="D441" t="str">
            <v>409 NETMED SDP</v>
          </cell>
          <cell r="E441" t="str">
            <v>Rudra Complex Main Road Bhawanathpur  , Bhawanathpur Garhwa , Near Block Bhawnathpur  , Bhawanathpur , 822112</v>
          </cell>
          <cell r="F441" t="str">
            <v>9. EPC Ready</v>
          </cell>
        </row>
        <row r="442">
          <cell r="C442" t="str">
            <v>NETMFQDYV00</v>
          </cell>
          <cell r="D442" t="str">
            <v>409 NETMED SDP</v>
          </cell>
          <cell r="E442" t="str">
            <v>GF Ajay Complex Badarpur town  , Alakulipur Chapghat Badarpur revenue , Dag no 426 P Patta no 87 Mouza , circle Dist Karimganj , BADARPUR , 788806</v>
          </cell>
          <cell r="F442" t="str">
            <v>14. Dropped</v>
          </cell>
        </row>
        <row r="443">
          <cell r="C443" t="str">
            <v>NETMKQBVT00</v>
          </cell>
          <cell r="D443" t="str">
            <v>409 NETMED SDP</v>
          </cell>
          <cell r="E443" t="str">
            <v>Plot No 3 Plot No 4 Navanagar Road Sectr  , Vidayagiri Bagalkote Taluk And Dist , 4 Kalidas Circle Opp Anjuman Callaege  , BAGALKOT , 587103</v>
          </cell>
          <cell r="F443" t="str">
            <v>9. EPC Ready</v>
          </cell>
        </row>
        <row r="444">
          <cell r="C444" t="str">
            <v>NETMQQEZH00</v>
          </cell>
          <cell r="D444" t="str">
            <v>409 NETMED SDP</v>
          </cell>
          <cell r="E444" t="str">
            <v>GF Mouza Bagodardih  , PS Bagodar Dist Giridih , Thana No 107 Khata No 21 Plot No 4916  , BAGODAR , 815301</v>
          </cell>
          <cell r="F444" t="str">
            <v>14. Dropped</v>
          </cell>
        </row>
        <row r="445">
          <cell r="C445" t="str">
            <v>NETMWQB3A00</v>
          </cell>
          <cell r="D445" t="str">
            <v>409 NETMED SDP</v>
          </cell>
          <cell r="E445" t="str">
            <v>GF Bantika Boinchee Gram Panchayat,PO  , Mouza BantikaLR Plot2176 LR Khatian 4637 , Boinchee PS Block &amp; ADSRO Pandua JL No07 , 4645 Sansad 28 , Bainchi , 712134</v>
          </cell>
          <cell r="F445" t="str">
            <v>9. EPC Ready</v>
          </cell>
        </row>
        <row r="446">
          <cell r="C446" t="str">
            <v>NETMWQBWB00</v>
          </cell>
          <cell r="D446" t="str">
            <v>409 NETMED SDP</v>
          </cell>
          <cell r="E446" t="str">
            <v>Egra Road Bajkul Po Kismat  , Bajkul Purba Medinipur , Bajkul Ps Bhupatinagar  , Bajkul , 721655</v>
          </cell>
          <cell r="F446" t="str">
            <v>8. WIP</v>
          </cell>
        </row>
        <row r="447">
          <cell r="C447" t="str">
            <v>NETMWQBPF00</v>
          </cell>
          <cell r="D447" t="str">
            <v>409 NETMED SDP</v>
          </cell>
          <cell r="E447" t="str">
            <v>Ethelbari - Near BOI</v>
          </cell>
          <cell r="F447" t="str">
            <v>9. EPC Ready</v>
          </cell>
        </row>
        <row r="448">
          <cell r="C448" t="str">
            <v>NETMRQCCP00</v>
          </cell>
          <cell r="D448" t="str">
            <v>409 NETMED SDP</v>
          </cell>
          <cell r="E448" t="str">
            <v>Ugf Lgf Patta No 394 395 Khasra No 281 1  , Jodhpur Road Balotra , Ward No 29 Behind Hotel City Square  , BARMER , 344032</v>
          </cell>
          <cell r="F448" t="str">
            <v>9. EPC Ready</v>
          </cell>
        </row>
        <row r="449">
          <cell r="C449" t="str">
            <v>NETMQQAA000</v>
          </cell>
          <cell r="D449" t="str">
            <v>409 NETMED SDP</v>
          </cell>
          <cell r="E449" t="str">
            <v>GF, Mouza - Surhi, Thana No 52  , Thana - Nawadih, Dist - Bokaro , Khata No 25, Plot No 490  , BOKARO , 829144</v>
          </cell>
          <cell r="F449" t="str">
            <v>9. EPC Ready</v>
          </cell>
        </row>
        <row r="450">
          <cell r="C450" t="str">
            <v>NETMWQBIX00</v>
          </cell>
          <cell r="D450" t="str">
            <v>409 NETMED SDP</v>
          </cell>
          <cell r="E450" t="str">
            <v>GF Mohanpur Gram Panchayat Police Stn  , South 24 Parganas , Magrahat JL No 25 Mouza Uttar Mohanpur , LR Plot No 353 &amp; LR Katian No 1189 Block , South 24 Parga , 743503</v>
          </cell>
          <cell r="F450" t="str">
            <v>9. EPC Ready</v>
          </cell>
        </row>
        <row r="451">
          <cell r="C451" t="str">
            <v>NETMKQCAF00</v>
          </cell>
          <cell r="D451" t="str">
            <v>409 NETMED SDP</v>
          </cell>
          <cell r="E451" t="str">
            <v>GF, Unit Nos. A To D, New No.4  , Smart Square, Old Binnamangala Village , Old No.2, PID No.82-12-4, Smart Point , W No82, Krishna Temple Road, Indiranagar , BANGALORE , 560038</v>
          </cell>
          <cell r="F451" t="str">
            <v>14. Dropped</v>
          </cell>
        </row>
        <row r="452">
          <cell r="C452" t="str">
            <v>NETMOQDCV00</v>
          </cell>
          <cell r="D452" t="str">
            <v>409 NETMED SDP</v>
          </cell>
          <cell r="E452" t="str">
            <v>GF Plot No1354 To 2087 Khata No 558 1177  , Po Ps Banki Cuttack , Mouza Charchika At Banki Khurda Rd , Nr Honda Showroom Banki Cuttack , BANKI , 754008</v>
          </cell>
          <cell r="F452" t="str">
            <v>9. EPC Ready</v>
          </cell>
        </row>
        <row r="453">
          <cell r="C453" t="str">
            <v>NETMWQB5C00</v>
          </cell>
          <cell r="D453" t="str">
            <v>409 NETMED SDP</v>
          </cell>
          <cell r="E453" t="str">
            <v>Domohani Baar Po Domohani Bazar  , Paschim Bardhaman , Ps Barabani Barabani  , Barabani , 713334</v>
          </cell>
          <cell r="F453" t="str">
            <v>9. EPC Ready</v>
          </cell>
        </row>
        <row r="454">
          <cell r="C454" t="str">
            <v>NETMWQBQC00</v>
          </cell>
          <cell r="D454" t="str">
            <v>409 NETMED SDP</v>
          </cell>
          <cell r="E454" t="str">
            <v>Jamalpur Thana More Po  , Hdfc Bank East Bardwan , Ps Jamalpur Landmark  , BURDWAN , 713408</v>
          </cell>
          <cell r="F454" t="str">
            <v>9. EPC Ready</v>
          </cell>
        </row>
        <row r="455">
          <cell r="C455" t="str">
            <v>NETMBQB1H00</v>
          </cell>
          <cell r="D455" t="str">
            <v>409 NETMED SDP</v>
          </cell>
          <cell r="E455" t="str">
            <v>GF Shripur Palace Plot No 21 To 23  , Dist - East Champaran , Kh No 41/13/12, Mauza-Churandano Ekadri  , Chauradano , 845302</v>
          </cell>
          <cell r="F455" t="str">
            <v>9. EPC Ready</v>
          </cell>
        </row>
        <row r="456">
          <cell r="C456" t="str">
            <v>NETMBQBTV00</v>
          </cell>
          <cell r="D456" t="str">
            <v>409 NETMED SDP</v>
          </cell>
          <cell r="E456" t="str">
            <v>GF RG Complex Plot No 1620 1618  , Vill Basantpatti PS Purnahia , Khata No 144 203 Revenue Thana No 102  , Basantpatti , 843334</v>
          </cell>
          <cell r="F456" t="str">
            <v>7. YTS</v>
          </cell>
        </row>
        <row r="457">
          <cell r="C457" t="str">
            <v>NETMWQDZR00</v>
          </cell>
          <cell r="D457" t="str">
            <v>409 NETMED SDP</v>
          </cell>
          <cell r="E457" t="str">
            <v>GF &amp; FF Basirhat Municipality J L43 P S  , Khatian14622 &amp; 14623 Mouza Block &amp; , L R Plot3629 4407 &amp; 3632 4409 LR , A D S R OBasirhat Dist North 24 Parganas , BASIRHAT , 743411</v>
          </cell>
          <cell r="F457" t="str">
            <v>9. EPC Ready</v>
          </cell>
        </row>
        <row r="458">
          <cell r="C458" t="str">
            <v>NETMRQB6I00</v>
          </cell>
          <cell r="D458" t="str">
            <v>409 NETMED SDP</v>
          </cell>
          <cell r="E458" t="str">
            <v>Sangam Residency  , Bharatpur , Near Bus Stand Bayana  , BAYANA , 321401</v>
          </cell>
          <cell r="F458" t="str">
            <v>9. EPC Ready</v>
          </cell>
        </row>
        <row r="459">
          <cell r="C459" t="str">
            <v>NETMNQBTB00</v>
          </cell>
          <cell r="D459" t="str">
            <v>409 NETMED SDP</v>
          </cell>
          <cell r="E459" t="str">
            <v>Raheem Property Plot N061 Part Plot No 6  , School Lane Caltex Area Bellampally , 2 Survey No 109 17 Beside St Marys  , Bellampalli , 504251</v>
          </cell>
          <cell r="F459" t="str">
            <v>9. EPC Ready</v>
          </cell>
        </row>
        <row r="460">
          <cell r="C460" t="str">
            <v>NETMWQGIJ00</v>
          </cell>
          <cell r="D460" t="str">
            <v>409 NETMED SDP</v>
          </cell>
          <cell r="E460" t="str">
            <v>GF LR &amp; Plot No.2331 L.RKhatian No.10736  , Beldanga-1 Sansad No.10 PO- Murshidabad , JL No60 Mouza Barua PS &amp; Block &amp; ADSRO  , Beldanga , 742133</v>
          </cell>
          <cell r="F460" t="str">
            <v>9. EPC Ready</v>
          </cell>
        </row>
        <row r="461">
          <cell r="C461" t="str">
            <v>NETMBQDPT00</v>
          </cell>
          <cell r="D461" t="str">
            <v>409 NETMED SDP</v>
          </cell>
          <cell r="E461" t="str">
            <v>RRL GF Sanjeev Market Plot No 57 Khata  , Jagdishpur Bettiah , No 443 Revenue Thana No 258 Khata No 15 , Village Jagdishpur PS Bettiah Dist West , JAGDISHPUR , 845459</v>
          </cell>
          <cell r="F461" t="str">
            <v>14. Dropped</v>
          </cell>
        </row>
        <row r="462">
          <cell r="C462" t="str">
            <v>NETMBQDBT00</v>
          </cell>
          <cell r="D462" t="str">
            <v>409 NETMED SDP</v>
          </cell>
          <cell r="E462" t="str">
            <v>Kiaras 3 Ntpc Main Road  , Kahalgaon , Near Bhader Gate  , KAHALGAON , 813203</v>
          </cell>
          <cell r="F462" t="str">
            <v>9. EPC Ready</v>
          </cell>
        </row>
        <row r="463">
          <cell r="C463" t="str">
            <v>NETMNQ6IG00</v>
          </cell>
          <cell r="D463" t="str">
            <v>409 NETMED SDP</v>
          </cell>
          <cell r="E463" t="str">
            <v>GF Plot No 15 Sy No 983  , Dist Mancherial , Chennur Town Muncipallity  , CHENNUR , 504201</v>
          </cell>
          <cell r="F463" t="str">
            <v>9. EPC Ready</v>
          </cell>
        </row>
        <row r="464">
          <cell r="C464" t="str">
            <v>NETMRQRYY00</v>
          </cell>
          <cell r="D464" t="str">
            <v>409 NETMED SDP</v>
          </cell>
          <cell r="E464" t="str">
            <v>Nr. Nehru Park Bhawani Mandi Rajasthan 326502</v>
          </cell>
          <cell r="F464" t="str">
            <v>9. EPC Ready</v>
          </cell>
        </row>
        <row r="465">
          <cell r="C465" t="str">
            <v>NETMBQEEB00</v>
          </cell>
          <cell r="D465" t="str">
            <v>409 NETMED SDP</v>
          </cell>
          <cell r="E465" t="str">
            <v>Rajendra Mishra Mirganj Road Bhore  , Bhore Gopalganj , Bhore Gopalganj Po Ps  , BHORE , 841426</v>
          </cell>
          <cell r="F465" t="str">
            <v>9. EPC Ready</v>
          </cell>
        </row>
        <row r="466">
          <cell r="C466" t="str">
            <v>NETMOQ3H500</v>
          </cell>
          <cell r="D466" t="str">
            <v>409 NETMED SDP</v>
          </cell>
          <cell r="E466" t="str">
            <v>GF IBL house Puri by pass rd Sai mandir  , Vill &amp; Mouza- BhubaneswarPOPS , chouk Plot no. 4524/5421 Khata 1494/4119  , BHUBANESWAR , 751018</v>
          </cell>
          <cell r="F466" t="str">
            <v>9. EPC Ready</v>
          </cell>
        </row>
        <row r="467">
          <cell r="C467" t="str">
            <v>NETMBQEES00</v>
          </cell>
          <cell r="D467" t="str">
            <v>409 NETMED SDP</v>
          </cell>
          <cell r="E467" t="str">
            <v>GF Ranvijay Market Khata No 5  , Mauza-Marhowrah, Thana No 143 Dist-Saran , Khesra No 24, Tauzi No 2589  , MARHAURA , 841418</v>
          </cell>
          <cell r="F467" t="str">
            <v>9. EPC Ready</v>
          </cell>
        </row>
        <row r="468">
          <cell r="C468" t="str">
            <v>NETMBQ6KK00</v>
          </cell>
          <cell r="D468" t="str">
            <v>409 NETMED SDP</v>
          </cell>
          <cell r="E468" t="str">
            <v>Kishan Homes Near Bazar Samiti Patut Roa  ,  , Road Raghopur City  , BIHTA , 801103</v>
          </cell>
          <cell r="F468" t="str">
            <v>9. EPC Ready</v>
          </cell>
        </row>
        <row r="469">
          <cell r="C469" t="str">
            <v>NETMQQGHK00</v>
          </cell>
          <cell r="D469" t="str">
            <v>409 NETMED SDP</v>
          </cell>
          <cell r="E469" t="str">
            <v>Line Mohalla  , Chtara , Opp Tata Motors  , CHATRA , 825401</v>
          </cell>
          <cell r="F469" t="str">
            <v>10. Launched</v>
          </cell>
        </row>
        <row r="470">
          <cell r="C470" t="str">
            <v>NETMBQBNP00</v>
          </cell>
          <cell r="D470" t="str">
            <v>409 NETMED SDP</v>
          </cell>
          <cell r="E470" t="str">
            <v>GF Jakir Complex Khata No 437  , Mauza-Birpur, Thana 5, Circle-Basantpur , Khasra No 1366, Tauzi No 3852 Thana &amp; , Ward No 07, Dist - Supaul , BIRPUR , 854350</v>
          </cell>
          <cell r="F470" t="str">
            <v>9. EPC Ready</v>
          </cell>
        </row>
        <row r="471">
          <cell r="C471" t="str">
            <v>NETMQQGHO00</v>
          </cell>
          <cell r="D471" t="str">
            <v>409 NETMED SDP</v>
          </cell>
          <cell r="E471" t="str">
            <v>Seven Miles More Ramua  , Hazaribagh , Hdfc Bank Atm Bishnugarh  , BISHNUGARH , 825312</v>
          </cell>
          <cell r="F471" t="str">
            <v>14. Dropped</v>
          </cell>
        </row>
        <row r="472">
          <cell r="C472" t="str">
            <v>NETMNQB4U00</v>
          </cell>
          <cell r="D472" t="str">
            <v>409 NETMED SDP</v>
          </cell>
          <cell r="E472" t="str">
            <v>M K Chowdary &amp; Company H No 1 4 539 Plot  , Filling Station Indian Oil Narsi Road , No14 &amp; 15 Ground Floor Near M K Chowdary  , BODHAN , 503185</v>
          </cell>
          <cell r="F472" t="str">
            <v>14. Dropped</v>
          </cell>
        </row>
        <row r="473">
          <cell r="C473" t="str">
            <v>NETMBQBZC00</v>
          </cell>
          <cell r="D473" t="str">
            <v>409 NETMED SDP</v>
          </cell>
          <cell r="E473" t="str">
            <v>Manju Devi Champa Gauri Kunj Nh 531  , Daronda Siwan , Daronda Road Canara Bank  , Daronda , 841223</v>
          </cell>
          <cell r="F473" t="str">
            <v>9. EPC Ready</v>
          </cell>
        </row>
        <row r="474">
          <cell r="C474" t="str">
            <v>NETMRQGQJ00</v>
          </cell>
          <cell r="D474" t="str">
            <v>409 NETMED SDP</v>
          </cell>
          <cell r="E474" t="str">
            <v>SP Pharma  Police Line Road Bundi</v>
          </cell>
          <cell r="F474" t="str">
            <v>9. EPC Ready</v>
          </cell>
        </row>
        <row r="475">
          <cell r="C475" t="str">
            <v>NETMBQCYM00</v>
          </cell>
          <cell r="D475" t="str">
            <v>409 NETMED SDP</v>
          </cell>
          <cell r="E475" t="str">
            <v>GF Dwarka Complex Plot No 3752 362  , Kila Dist Buxar , Khata No 430 222 Thana No 332 Vill Buxar  , BUXAR , 802101</v>
          </cell>
          <cell r="F475" t="str">
            <v>9. EPC Ready</v>
          </cell>
        </row>
        <row r="476">
          <cell r="C476" t="str">
            <v>NETMWQBUC00</v>
          </cell>
          <cell r="D476" t="str">
            <v>409 NETMED SDP</v>
          </cell>
          <cell r="E476" t="str">
            <v>GF Utsav Bhavan Matla li Munciplity PS  , Landmark Lord Canning House Or David , Canning JL No 68 Mouza &amp; ADSRO Matla , LR Plot No 4624 &amp; 3303 &amp; LR Khatian No 3 , CANNING , 743329</v>
          </cell>
          <cell r="F476" t="str">
            <v>14. Dropped</v>
          </cell>
        </row>
        <row r="477">
          <cell r="C477" t="str">
            <v>NETMQQB9S00</v>
          </cell>
          <cell r="D477" t="str">
            <v>409 NETMED SDP</v>
          </cell>
          <cell r="E477" t="str">
            <v>Sp Sahu Complex Chainpur  , Chainpur Ramgarh , Near Bank Of India  , CHAIN PUR , 829134</v>
          </cell>
          <cell r="F477" t="str">
            <v>10. Launched</v>
          </cell>
        </row>
        <row r="478">
          <cell r="C478" t="str">
            <v>NETMFQD1G00</v>
          </cell>
          <cell r="D478" t="str">
            <v>409 NETMED SDP</v>
          </cell>
          <cell r="E478" t="str">
            <v>GF Grant no 324 Abhaipur  , SBI road Sonari Dist Charaideo , Mouza Dag no 22 Patta no 1  , SONARI , 785690</v>
          </cell>
          <cell r="F478" t="str">
            <v>9. EPC Ready</v>
          </cell>
        </row>
        <row r="479">
          <cell r="C479" t="str">
            <v>NETMFQ7Y600</v>
          </cell>
          <cell r="D479" t="str">
            <v>409 NETMED SDP</v>
          </cell>
          <cell r="E479" t="str">
            <v>Dhon Bhawan Ranibazar  ,  , Moranhat Dibrughar  , DIBRUGARH , 785675</v>
          </cell>
          <cell r="F479" t="str">
            <v>9. EPC Ready</v>
          </cell>
        </row>
        <row r="480">
          <cell r="C480" t="str">
            <v>NETMWQFZN00</v>
          </cell>
          <cell r="D480" t="str">
            <v>409 NETMED SDP</v>
          </cell>
          <cell r="E480" t="str">
            <v>GF LR Dag No.439&amp;441 LR Khatian No.2411  , BlockGarhbeta3SankarkataPaschimMedinipur , 128Mouza-DurlabhgunjPOSatbankura PS&amp;ADSR  , Chandrakona Road , 721253</v>
          </cell>
          <cell r="F480" t="str">
            <v>9. EPC Ready</v>
          </cell>
        </row>
        <row r="481">
          <cell r="C481" t="str">
            <v>NETMBQ8NH00</v>
          </cell>
          <cell r="D481" t="str">
            <v>409 NETMED SDP</v>
          </cell>
          <cell r="E481" t="str">
            <v>Khata no. 379, Sy. Plot no. 775, Station  , Dumraon , road Dumrao, Near Axis bank, Dumrao  , DUMRAON , 802119</v>
          </cell>
          <cell r="F481" t="str">
            <v>9. EPC Ready</v>
          </cell>
        </row>
        <row r="482">
          <cell r="C482" t="str">
            <v>NETMQQGHW00</v>
          </cell>
          <cell r="D482" t="str">
            <v>409 NETMED SDP</v>
          </cell>
          <cell r="E482" t="str">
            <v>GF, Masiha Complex, Mouza - Pordag,  , Dumri, Thana No 152, Khata No 46 , Near Masiha Bal Vikas Vidyalaya , Plot No 158 &amp; 159, Dist - Giridih , DUMRI , 825106</v>
          </cell>
          <cell r="F482" t="str">
            <v>9. EPC Ready</v>
          </cell>
        </row>
        <row r="483">
          <cell r="C483" t="str">
            <v>NETMVQ9W500</v>
          </cell>
          <cell r="D483" t="str">
            <v>409 NETMED SDP</v>
          </cell>
          <cell r="E483" t="str">
            <v>Chungath Building  , Chavara P O , N H 66  , KOLLAM , 690524</v>
          </cell>
          <cell r="F483" t="str">
            <v>13. NRFC</v>
          </cell>
        </row>
        <row r="484">
          <cell r="C484" t="str">
            <v>NETMBQDUR00</v>
          </cell>
          <cell r="D484" t="str">
            <v>409 NETMED SDP</v>
          </cell>
          <cell r="E484" t="str">
            <v>Satyendra Gupta  , City Gopalganj Dist Gopalganj , Bijaipur Po Ps Bijaipur City  , GOPALGANJ , 841508</v>
          </cell>
          <cell r="F484" t="str">
            <v>7. YTS</v>
          </cell>
        </row>
        <row r="485">
          <cell r="C485" t="str">
            <v>NETMBQDUL00</v>
          </cell>
          <cell r="D485" t="str">
            <v>409 NETMED SDP</v>
          </cell>
          <cell r="E485" t="str">
            <v>Atul Kumar Ray Kateya  , City Gopalganj Dist Gopalganj , Vill Khurhuriya Po Ps Kateya  , GOPALGANJ , 841437</v>
          </cell>
          <cell r="F485" t="str">
            <v>9. EPC Ready</v>
          </cell>
        </row>
        <row r="486">
          <cell r="C486" t="str">
            <v>NETMBQEEK00</v>
          </cell>
          <cell r="D486" t="str">
            <v>409 NETMED SDP</v>
          </cell>
          <cell r="E486" t="str">
            <v>GF Panday Market Plot No - 181  , Village-Sada, PS - Saran, Dist-Chapara , Khata No 185, Revenue Thana No 342  , Saran , 841301</v>
          </cell>
          <cell r="F486" t="str">
            <v>9. EPC Ready</v>
          </cell>
        </row>
        <row r="487">
          <cell r="C487" t="str">
            <v>NETMMQB5S00</v>
          </cell>
          <cell r="D487" t="str">
            <v>409 NETMED SDP</v>
          </cell>
          <cell r="E487" t="str">
            <v>GF Plot No 8983 Sy No 154 House No  , Dist Buldhana , Z2W8018208 Ward No 8 Mouza Chikhli  , CHIKHALI , 443201</v>
          </cell>
          <cell r="F487" t="str">
            <v>10. Launched</v>
          </cell>
        </row>
        <row r="488">
          <cell r="C488" t="str">
            <v>NETMAQ6RJ00</v>
          </cell>
          <cell r="D488" t="str">
            <v>409 NETMED SDP</v>
          </cell>
          <cell r="E488" t="str">
            <v>Vijaya Bhaskar Theatre D No 177 Sy  , Prakasam , No 202 Vetapalem Town Mandal  , VETAPALEM , 523187</v>
          </cell>
          <cell r="F488" t="str">
            <v>9. EPC Ready</v>
          </cell>
        </row>
        <row r="489">
          <cell r="C489" t="str">
            <v>NETMRQGEB00</v>
          </cell>
          <cell r="D489" t="str">
            <v>409 NETMED SDP</v>
          </cell>
          <cell r="E489" t="str">
            <v>Basement &amp; Gf Khasra No 1162 Patta No 12  , Dist Jhunjhunu , 15 Chungi To Railway Station Rd Chirawa  , CHIRAWA , 333026</v>
          </cell>
          <cell r="F489" t="str">
            <v>9. EPC Ready</v>
          </cell>
        </row>
        <row r="490">
          <cell r="C490" t="str">
            <v>NETMBQCTX00</v>
          </cell>
          <cell r="D490" t="str">
            <v>409 NETMED SDP</v>
          </cell>
          <cell r="E490" t="str">
            <v>Hari Narayan Singh  , Hajipur , Patepur Sukki Road  , HAJIPUR , 843114</v>
          </cell>
          <cell r="F490" t="str">
            <v>9. EPC Ready</v>
          </cell>
        </row>
        <row r="491">
          <cell r="C491" t="str">
            <v>NETMLQCZV00</v>
          </cell>
          <cell r="D491" t="str">
            <v>409 NETMED SDP</v>
          </cell>
          <cell r="E491" t="str">
            <v>GF Unity village Patta No 527  , under Dimapur , Block No 4 5th Mile Dist Dimapur  , Chumukedima , 797115</v>
          </cell>
          <cell r="F491" t="str">
            <v>9. EPC Ready</v>
          </cell>
        </row>
        <row r="492">
          <cell r="C492" t="str">
            <v>NETM9QB3T00</v>
          </cell>
          <cell r="D492" t="str">
            <v>409 NETMED SDP</v>
          </cell>
          <cell r="E492" t="str">
            <v>Mannat Tower Landran  , Chunni Kalna Mohali , Fatehgarh Road Opp Sbi Bank  , chunni kalan , 140307</v>
          </cell>
          <cell r="F492" t="str">
            <v>9. EPC Ready</v>
          </cell>
        </row>
        <row r="493">
          <cell r="C493" t="str">
            <v>NETMTQ6A600</v>
          </cell>
          <cell r="D493" t="str">
            <v>409 NETMED SDP</v>
          </cell>
          <cell r="E493" t="str">
            <v>GF Reliance SmartPoint Velan Complex  , Dist Coimbatore , Vellalore-Podanur Road POVellalore  , VELLORE , 641111</v>
          </cell>
          <cell r="F493" t="str">
            <v>9. EPC Ready</v>
          </cell>
        </row>
        <row r="494">
          <cell r="C494" t="str">
            <v>NETMOQBMH00</v>
          </cell>
          <cell r="D494" t="str">
            <v>409 NETMED SDP</v>
          </cell>
          <cell r="E494" t="str">
            <v>Rout Complex At Po Kalyani Nagr Near Sbi  , Dist Cuttack Odisha , Kalyani Nagar Branch Po Ps Madhupatna  , CUTTACK , 753013</v>
          </cell>
          <cell r="F494" t="str">
            <v>9. EPC Ready</v>
          </cell>
        </row>
        <row r="495">
          <cell r="C495" t="str">
            <v>NETMBQBNR00</v>
          </cell>
          <cell r="D495" t="str">
            <v>409 NETMED SDP</v>
          </cell>
          <cell r="E495" t="str">
            <v>GF Plot No 72/70 Khata No 183/172  , Dist - Darbhanga , Revenue Thana No 509 Katha 18 Village &amp;  , DARBHANGA , 846009</v>
          </cell>
          <cell r="F495" t="str">
            <v>9. EPC Ready</v>
          </cell>
        </row>
        <row r="496">
          <cell r="C496" t="str">
            <v>NETMNQ3M300</v>
          </cell>
          <cell r="D496" t="str">
            <v>409 NETMED SDP</v>
          </cell>
          <cell r="E496" t="str">
            <v>Gf H No 14 156  , Town Mandal , Huzurnagar  , NALGONDA , 508204</v>
          </cell>
          <cell r="F496" t="str">
            <v>9. EPC Ready</v>
          </cell>
        </row>
        <row r="497">
          <cell r="C497" t="str">
            <v>NETMTQC9I00</v>
          </cell>
          <cell r="D497" t="str">
            <v>409 NETMED SDP</v>
          </cell>
          <cell r="E497" t="str">
            <v>V R Complex Door No 356D  , Sivagangai , Devakottai Taluk Thirupathur Road  , DEVAKOTTAI , 630302</v>
          </cell>
          <cell r="F497" t="str">
            <v>9. EPC Ready</v>
          </cell>
        </row>
        <row r="498">
          <cell r="C498" t="str">
            <v>NETMWQGFW00</v>
          </cell>
          <cell r="D498" t="str">
            <v>409 NETMED SDP</v>
          </cell>
          <cell r="E498" t="str">
            <v>GF Dhaniakhali Gram Panchayat RS Plot8 &amp;  , J.L-98  PO PS ADSRO &amp; Block-Dhaniakhali , LR Plot.123 Khatian 133/5Mouza-Chapabere , Sansad No. 28 Dist - Hooghly , Dhaniakhali , 712302</v>
          </cell>
          <cell r="F498" t="str">
            <v>9. EPC Ready</v>
          </cell>
        </row>
        <row r="499">
          <cell r="C499" t="str">
            <v>NETM9QGGS00</v>
          </cell>
          <cell r="D499" t="str">
            <v>409 NETMED SDP</v>
          </cell>
          <cell r="E499" t="str">
            <v>President Market Barnala Road  , Dhanaula Barnala , Near Sbi Bank  , DHANAULA , 148105</v>
          </cell>
          <cell r="F499" t="str">
            <v>9. EPC Ready</v>
          </cell>
        </row>
        <row r="500">
          <cell r="C500" t="str">
            <v>NETMGQBTC00</v>
          </cell>
          <cell r="D500" t="str">
            <v>409 NETMED SDP</v>
          </cell>
          <cell r="E500" t="str">
            <v>Crystal Arcade GF Near Reliance  , Road Dhoraji , Trends Opp Tali Hospital Junagadh  , DHORAJI , 360410</v>
          </cell>
          <cell r="F500" t="str">
            <v>9. EPC Ready</v>
          </cell>
        </row>
        <row r="501">
          <cell r="C501" t="str">
            <v>NETMFQB7S00</v>
          </cell>
          <cell r="D501" t="str">
            <v>409 NETMED SDP</v>
          </cell>
          <cell r="E501" t="str">
            <v>GF Hukuta Gaon Mouza  , Circle Duliajan Dist Dibrugarh , Tipling Tengakhat Revenue  , DULIAJAN , 786602</v>
          </cell>
          <cell r="F501" t="str">
            <v>11. HOLD</v>
          </cell>
        </row>
        <row r="502">
          <cell r="C502" t="str">
            <v>NETMOQ2MC00</v>
          </cell>
          <cell r="D502" t="str">
            <v>409 NETMED SDP</v>
          </cell>
          <cell r="E502" t="str">
            <v>A K Market Complex  , Jagatsinghpur , At Po Balikuda Tahasil Squer  , BALIKUDA , 753108</v>
          </cell>
          <cell r="F502" t="str">
            <v>9. EPC Ready</v>
          </cell>
        </row>
        <row r="503">
          <cell r="C503" t="str">
            <v>NETMFQ6ON00</v>
          </cell>
          <cell r="D503" t="str">
            <v>409 NETMED SDP</v>
          </cell>
          <cell r="E503" t="str">
            <v>GF JSB Pavillion Dag no339 P P Patta  , Dibrugarh Dist Dibrugarh , 5 Old 13 New Niz Kadamini gaon Mouza  , DIBRUGARH , 786003</v>
          </cell>
          <cell r="F503" t="str">
            <v>13. NRFC</v>
          </cell>
        </row>
        <row r="504">
          <cell r="C504" t="str">
            <v>NETMBQF4G00</v>
          </cell>
          <cell r="D504" t="str">
            <v>409 NETMED SDP</v>
          </cell>
          <cell r="E504" t="str">
            <v>GF Plot No1882/1883  , Mauza - Saidpur, PS-Dighwara, Dist-Saran , Khata No 114 Revenue, Thana No 144  , DIGHWARA , 841207</v>
          </cell>
          <cell r="F504" t="str">
            <v>14. Dropped</v>
          </cell>
        </row>
        <row r="505">
          <cell r="C505" t="str">
            <v>NETMLQBNK00</v>
          </cell>
          <cell r="D505" t="str">
            <v>409 NETMED SDP</v>
          </cell>
          <cell r="E505" t="str">
            <v>GF Patta No 2016 Dag No 1558 2185 30  , Block No 11 Dimapur Town Dist Dimapur , To 34 440 1559 To 41 1562 Mouza No 1  , DIMAPUR , 797112</v>
          </cell>
          <cell r="F505" t="str">
            <v>9. EPC Ready</v>
          </cell>
        </row>
        <row r="506">
          <cell r="C506" t="str">
            <v>NETMLQEHA00</v>
          </cell>
          <cell r="D506" t="str">
            <v>409 NETMED SDP</v>
          </cell>
          <cell r="E506" t="str">
            <v>GF, Patta No - 705, Thilixu Village,  , Dist - Dimapur , Mouza No 3, Dimapur Town  , DIMAPUR , 797112</v>
          </cell>
          <cell r="F506" t="str">
            <v>9. EPC Ready</v>
          </cell>
        </row>
        <row r="507">
          <cell r="C507" t="str">
            <v>NETMTQBZZ00</v>
          </cell>
          <cell r="D507" t="str">
            <v>409 NETMED SDP</v>
          </cell>
          <cell r="E507" t="str">
            <v>RRL GF Reliance Smart Point KSOP Mahal  , Road Nagal Nagar Dindigul , D No 94 A1 College House Road Mettupatty  , DINDIGUL , 624003</v>
          </cell>
          <cell r="F507" t="str">
            <v>10. Launched</v>
          </cell>
        </row>
        <row r="508">
          <cell r="C508" t="str">
            <v>NETMFQDOM00</v>
          </cell>
          <cell r="D508" t="str">
            <v>409 NETMED SDP</v>
          </cell>
          <cell r="E508" t="str">
            <v>GF Duliajan Boragadhoi gaon Dag 18 &amp; 19  , Tengakhat revenue circle Dist Dibrugarh , Patta no 85 under Tipling Mouza  , DULIAJAN , 786602</v>
          </cell>
          <cell r="F508" t="str">
            <v>9. EPC Ready</v>
          </cell>
        </row>
        <row r="509">
          <cell r="C509" t="str">
            <v>NETMWQB3F00</v>
          </cell>
          <cell r="D509" t="str">
            <v>409 NETMED SDP</v>
          </cell>
          <cell r="E509" t="str">
            <v>Chachanda Gram Panchayat PO Chachunda  , LR Plot No 610 LR Khatian No 1425 , Samserganj JL No 082 Mouza Chachanda , Samserganj , JANGIPUR , 742202</v>
          </cell>
          <cell r="F509" t="str">
            <v>9. EPC Ready</v>
          </cell>
        </row>
        <row r="510">
          <cell r="C510" t="str">
            <v>NETMWQF5H00</v>
          </cell>
          <cell r="D510" t="str">
            <v>409 NETMED SDP</v>
          </cell>
          <cell r="E510" t="str">
            <v>GFunder Pratapaditya NagarGram Panchayat  , LR Khatian18004&amp;17619MouzaGaneshpurBlock , Kakdwip Station RoadJL No11 LR Plot 4380 , &amp; P.O &amp; P.S &amp; A.D.S.R.O-Kakdwip , KAKDWIP , 743347</v>
          </cell>
          <cell r="F510" t="str">
            <v>9. EPC Ready</v>
          </cell>
        </row>
        <row r="511">
          <cell r="C511" t="str">
            <v>NETMWQFYV00</v>
          </cell>
          <cell r="D511" t="str">
            <v>409 NETMED SDP</v>
          </cell>
          <cell r="E511" t="str">
            <v>Rashbehari Nayak Sarani S 2 South  , Durgapur Paschim Barddaman , Ramkrishna Pally Po Benachity Ps  , DURGAPUR , 713213</v>
          </cell>
          <cell r="F511" t="str">
            <v>9. EPC Ready</v>
          </cell>
        </row>
        <row r="512">
          <cell r="C512" t="str">
            <v>NETMVQCXZ00</v>
          </cell>
          <cell r="D512" t="str">
            <v>409 NETMED SDP</v>
          </cell>
          <cell r="E512" t="str">
            <v>Amaraz Tower 411 8A  ,  , Maranchery Edapal  , EDAPPAL , 679581</v>
          </cell>
          <cell r="F512" t="str">
            <v>14. Dropped</v>
          </cell>
        </row>
        <row r="513">
          <cell r="C513" t="str">
            <v>NETMVQBZW00</v>
          </cell>
          <cell r="D513" t="str">
            <v>409 NETMED SDP</v>
          </cell>
          <cell r="E513" t="str">
            <v>Kilannayyathu Building Josco  , Alappuzha , Jn Iranikudy PO Edappon  , Edappon , 690529</v>
          </cell>
          <cell r="F513" t="str">
            <v>14. Dropped</v>
          </cell>
        </row>
        <row r="514">
          <cell r="C514" t="str">
            <v>NETMVQB1O00</v>
          </cell>
          <cell r="D514" t="str">
            <v>409 NETMED SDP</v>
          </cell>
          <cell r="E514" t="str">
            <v>Vinayaka Plaza Near Kerala Gramin Bank  , Pathanamthitta , Mannadi Road Enathu Adoor  , Enathu , 691526</v>
          </cell>
          <cell r="F514" t="str">
            <v>13. NRFC</v>
          </cell>
        </row>
        <row r="515">
          <cell r="C515" t="str">
            <v>NETMNQGRB00</v>
          </cell>
          <cell r="D515" t="str">
            <v>409 NETMED SDP</v>
          </cell>
          <cell r="E515" t="str">
            <v>H No 16 2 189 Kareemabad Road  , Warangal Dist , Near Subash Statue Kareemabad  , WARANGAL , 506002</v>
          </cell>
          <cell r="F515" t="str">
            <v>9. EPC Ready</v>
          </cell>
        </row>
        <row r="516">
          <cell r="C516" t="str">
            <v>NETMWQBXC00</v>
          </cell>
          <cell r="D516" t="str">
            <v>409 NETMED SDP</v>
          </cell>
          <cell r="E516" t="str">
            <v>Arjunpur Po Arjunpur Ps Farraka  , Farakka Murshidabad , Landmark Beside Post Office  , FARAKKA , 742202</v>
          </cell>
          <cell r="F516" t="str">
            <v>9. EPC Ready</v>
          </cell>
        </row>
        <row r="517">
          <cell r="C517" t="str">
            <v>NETMNQB8R00</v>
          </cell>
          <cell r="D517" t="str">
            <v>409 NETMED SDP</v>
          </cell>
          <cell r="E517" t="str">
            <v>Suryvey No 631 Near Bus Stand  , Kothapally Karimnagar , Opposite Markandeya Temple  , Karim Nagar , 505451</v>
          </cell>
          <cell r="F517" t="str">
            <v>9. EPC Ready</v>
          </cell>
        </row>
        <row r="518">
          <cell r="C518" t="str">
            <v>NETMQQ4Q600</v>
          </cell>
          <cell r="D518" t="str">
            <v>409 NETMED SDP</v>
          </cell>
          <cell r="E518" t="str">
            <v>Gf Mouza Mamarkudar  , Plot No 136 Dist Bokaro , Thana Chas Thana No 92 Khata No 37  , BOKARO , 827013</v>
          </cell>
          <cell r="F518" t="str">
            <v>9. EPC Ready</v>
          </cell>
        </row>
        <row r="519">
          <cell r="C519" t="str">
            <v>NETMAQECY00</v>
          </cell>
          <cell r="D519" t="str">
            <v>409 NETMED SDP</v>
          </cell>
          <cell r="E519" t="str">
            <v>Beside Swapna Theatre Bhuvanapalli  , West Godavari , Ganapavaram P &amp; Mandal  , GANAPAVARAM , 534198</v>
          </cell>
          <cell r="F519" t="str">
            <v>9. EPC Ready</v>
          </cell>
        </row>
        <row r="520">
          <cell r="C520" t="str">
            <v>NETMBQ6TT00</v>
          </cell>
          <cell r="D520" t="str">
            <v>409 NETMED SDP</v>
          </cell>
          <cell r="E520" t="str">
            <v>Bimla Sinha W/O Sri Shyam Shankar Singh  , Atari Block Mohra City , Atari Block Mohra City  , SHEOHAR , 823311</v>
          </cell>
          <cell r="F520" t="str">
            <v>9. EPC Ready</v>
          </cell>
        </row>
        <row r="521">
          <cell r="C521" t="str">
            <v>NETMBQ6RQ00</v>
          </cell>
          <cell r="D521" t="str">
            <v>409 NETMED SDP</v>
          </cell>
          <cell r="E521" t="str">
            <v>GF Plot No 99 22 88 78 77 98 Khata No 43  , Imamganj Dist Gaya , 249 41 107 Revenue thana no 316 Vill PS  , IMAMGANJ , 824206</v>
          </cell>
          <cell r="F521" t="str">
            <v>9. EPC Ready</v>
          </cell>
        </row>
        <row r="522">
          <cell r="C522"/>
          <cell r="D522" t="str">
            <v>409 NETMED SDP</v>
          </cell>
          <cell r="E522" t="str">
            <v>106 352 Hamirpur Road  , Kanpur Nagar , Achimohal Uttari Ghatampur  , GHATAMPUR , 209206</v>
          </cell>
          <cell r="F522" t="str">
            <v>14. Dropped</v>
          </cell>
        </row>
        <row r="523">
          <cell r="C523" t="str">
            <v>NETMWQB3Y00</v>
          </cell>
          <cell r="D523" t="str">
            <v>409 NETMED SDP</v>
          </cell>
          <cell r="E523" t="str">
            <v>GF Maslandapur- 1 No Gram Panchayat  , Habra JL169 L.R Plot60 L.R Khatian 1792 , PO &amp; Mouza - Maslandapur PS Block &amp;ADSRO , Sansad No. 14  Dist - North 24 Parganas , Gobardanga , 743289</v>
          </cell>
          <cell r="F523" t="str">
            <v>9. EPC Ready</v>
          </cell>
        </row>
        <row r="524">
          <cell r="C524" t="str">
            <v>NETMFQB6Q00</v>
          </cell>
          <cell r="D524" t="str">
            <v>409 NETMED SDP</v>
          </cell>
          <cell r="E524" t="str">
            <v>GF Golaghat Town Block 2 Mouza  , Dist Golaghat , Moukhowa Golaghat Revenue Circle  , GOLAGHAT , 785621</v>
          </cell>
          <cell r="F524" t="str">
            <v>9. EPC Ready</v>
          </cell>
        </row>
        <row r="525">
          <cell r="C525" t="str">
            <v>NETMFQB3M00</v>
          </cell>
          <cell r="D525" t="str">
            <v>409 NETMED SDP</v>
          </cell>
          <cell r="E525" t="str">
            <v>GF Dergain Town NH 37 Ward No 6  , Dergaon Dist Golaghat , Mouza Dergaon Revenue Circle  , GOLAGHAT , 785614</v>
          </cell>
          <cell r="F525" t="str">
            <v>9. EPC Ready</v>
          </cell>
        </row>
        <row r="526">
          <cell r="C526" t="str">
            <v>NETMQQB2O00</v>
          </cell>
          <cell r="D526" t="str">
            <v>409 NETMED SDP</v>
          </cell>
          <cell r="E526" t="str">
            <v>Renu Devi Property  , Khunti , Joda Bagicha Main Road  , KHUNTI , 835210</v>
          </cell>
          <cell r="F526" t="str">
            <v>9. EPC Ready</v>
          </cell>
        </row>
        <row r="527">
          <cell r="C527" t="str">
            <v>NETMAQBJE00</v>
          </cell>
          <cell r="D527" t="str">
            <v>409 NETMED SDP</v>
          </cell>
          <cell r="E527" t="str">
            <v>SP Pharma Syed Complex Koduru</v>
          </cell>
          <cell r="F527" t="str">
            <v>9. EPC Ready</v>
          </cell>
        </row>
        <row r="528">
          <cell r="C528"/>
          <cell r="D528" t="str">
            <v>409 NETMED SDP</v>
          </cell>
          <cell r="E528" t="str">
            <v>Shree Datta Supermarket,Khopoli Road via Gundage, Bhisegaon, Karjat, 410201</v>
          </cell>
          <cell r="F528" t="str">
            <v>14. Dropped</v>
          </cell>
        </row>
        <row r="529">
          <cell r="C529" t="str">
            <v>NETMTQBYT00</v>
          </cell>
          <cell r="D529" t="str">
            <v>409 NETMED SDP</v>
          </cell>
          <cell r="E529" t="str">
            <v>Vak Mahal Chithoor Road No 81 A Chithoor  , District , Road Near Water Tank Gudiyattam Vellore  , GUDIYATHAM , 632602</v>
          </cell>
          <cell r="F529" t="str">
            <v>9. EPC Ready</v>
          </cell>
        </row>
        <row r="530">
          <cell r="C530" t="str">
            <v>NETMAQBVV00</v>
          </cell>
          <cell r="D530" t="str">
            <v>409 NETMED SDP</v>
          </cell>
          <cell r="E530" t="str">
            <v>D No 12 517 Kasupuram Road  , Guntakal Anantapur Dist , Beside Heritage Fresh Sn Pet  , GUNTAKAL , 515801</v>
          </cell>
          <cell r="F530" t="str">
            <v>9. EPC Ready</v>
          </cell>
        </row>
        <row r="531">
          <cell r="C531" t="str">
            <v>NETMWQBZX00</v>
          </cell>
          <cell r="D531" t="str">
            <v>409 NETMED SDP</v>
          </cell>
          <cell r="E531" t="str">
            <v>Vill Sahapur PO Kolaghat  , Medinipur , PS Kolaghat Purba  , Kolaghat , 721134</v>
          </cell>
          <cell r="F531" t="str">
            <v>9. EPC Ready</v>
          </cell>
        </row>
        <row r="532">
          <cell r="C532" t="str">
            <v>NETMNQVHH00</v>
          </cell>
          <cell r="D532" t="str">
            <v>409 NETMED SDP</v>
          </cell>
          <cell r="E532" t="str">
            <v>House No 1 1 25 2 Jagtial Road  , Korutla Jagtial Dist , Opposite Amrutha Appartment  , Korutla , 505326</v>
          </cell>
          <cell r="F532" t="str">
            <v>9. EPC Ready</v>
          </cell>
        </row>
        <row r="533">
          <cell r="C533"/>
          <cell r="D533" t="str">
            <v>409 NETMED SDP</v>
          </cell>
          <cell r="E533" t="str">
            <v>Plot No 996 31 Gali No 2 Laxman Vihar  , Gurgram , Phase 1 Near Railway Road  , Gurugram , 122006</v>
          </cell>
          <cell r="F533" t="str">
            <v>14. Dropped</v>
          </cell>
        </row>
        <row r="534">
          <cell r="C534" t="str">
            <v>NETMFQEMR00</v>
          </cell>
          <cell r="D534" t="str">
            <v>409 NETMED SDP</v>
          </cell>
          <cell r="E534" t="str">
            <v>GF Revenue Vill Notun town Dag no 1554  , Ulubari Guwahati Dist Kamrup M , KP Patta no 31 Saronia Mouza  , GUWAHATI , 781003</v>
          </cell>
          <cell r="F534" t="str">
            <v>9. EPC Ready</v>
          </cell>
        </row>
        <row r="535">
          <cell r="C535"/>
          <cell r="D535" t="str">
            <v>409 NETMED SDP</v>
          </cell>
          <cell r="E535" t="str">
            <v>GF Haryana Bhawan Narayan Nagar Dag No  , Kumarpara , 1438 &amp; 2104 Periodic Patta No 1209 , Mouza Guwahati Dist Kamrup , GUWAHATI , 781009</v>
          </cell>
          <cell r="F535" t="str">
            <v>13. NRFC</v>
          </cell>
        </row>
        <row r="536">
          <cell r="C536" t="str">
            <v>NETMAQ6KE00</v>
          </cell>
          <cell r="D536" t="str">
            <v>409 NETMED SDP</v>
          </cell>
          <cell r="E536" t="str">
            <v>Sandeep Complex 488 1 Main Road  ,  , Kothacheruvu Anantapur  , KOTHACHERUVU , 515133</v>
          </cell>
          <cell r="F536" t="str">
            <v>9. EPC Ready</v>
          </cell>
        </row>
        <row r="537">
          <cell r="C537" t="str">
            <v>NETMWQGHG00</v>
          </cell>
          <cell r="D537" t="str">
            <v>409 NETMED SDP</v>
          </cell>
          <cell r="E537" t="str">
            <v>Sr Saraju Halisahar Station Road 20 16  , Halisahar North 24Pargana , 34 9 Col Kp Gupta Po Nabanagar Ps Bijpur  , HALISHAR , 743136</v>
          </cell>
          <cell r="F537" t="str">
            <v>9. EPC Ready</v>
          </cell>
        </row>
        <row r="538">
          <cell r="C538" t="str">
            <v>NETMWQDOU00</v>
          </cell>
          <cell r="D538" t="str">
            <v>409 NETMED SDP</v>
          </cell>
          <cell r="E538" t="str">
            <v>SP Pharma Haroa</v>
          </cell>
          <cell r="F538" t="str">
            <v>9. EPC Ready</v>
          </cell>
        </row>
        <row r="539">
          <cell r="C539" t="str">
            <v>NETMHQDPI00</v>
          </cell>
          <cell r="D539" t="str">
            <v>409 NETMED SDP</v>
          </cell>
          <cell r="E539" t="str">
            <v>Old Sbi Building  , Cantt , Nh 9 Delhi Road Hissar  , HISAR , 125006</v>
          </cell>
          <cell r="F539" t="str">
            <v>9. EPC Ready</v>
          </cell>
        </row>
        <row r="540">
          <cell r="C540" t="str">
            <v>NETMBQBND00</v>
          </cell>
          <cell r="D540" t="str">
            <v>409 NETMED SDP</v>
          </cell>
          <cell r="E540" t="str">
            <v>GF Plot No 2786 Khata No 98  , Village - Benipatti, Dist - Madhubani , Tauzi No 2415, Revenue Thana No 185  , MADHUBANI , 847223</v>
          </cell>
          <cell r="F540" t="str">
            <v>9. EPC Ready</v>
          </cell>
        </row>
        <row r="541">
          <cell r="C541" t="str">
            <v>NETMNQB5R00</v>
          </cell>
          <cell r="D541" t="str">
            <v>409 NETMED SDP</v>
          </cell>
          <cell r="E541" t="str">
            <v>House No 4 2 78 To 80 Opposite Hari  , Mahabubabad , Kishan Oil Mill Marwadi Bazaar  , MAHABUBABAD , 506101</v>
          </cell>
          <cell r="F541" t="str">
            <v>9. EPC Ready</v>
          </cell>
        </row>
        <row r="542">
          <cell r="C542" t="str">
            <v>NETMBQ8NK00</v>
          </cell>
          <cell r="D542" t="str">
            <v>409 NETMED SDP</v>
          </cell>
          <cell r="E542" t="str">
            <v>GF, Mauza- Phulwariya  , Khata no. 116 , Thana no. 147 , Khesra no. 2306 Chakia , East Champaran , 845412</v>
          </cell>
          <cell r="F542" t="str">
            <v>9. EPC Ready</v>
          </cell>
        </row>
        <row r="543">
          <cell r="C543" t="str">
            <v>NETMNQBKO00</v>
          </cell>
          <cell r="D543" t="str">
            <v>409 NETMED SDP</v>
          </cell>
          <cell r="E543" t="str">
            <v>Adharva Bhakthi Plot No 1 3 Part &amp;  , Bandlaguda Jagir Rajendra Nagar , 4 Part Sy No 47 B Grampanchayat Rd  , HYDERABAD , 500086</v>
          </cell>
          <cell r="F543" t="str">
            <v>14. Dropped</v>
          </cell>
        </row>
        <row r="544">
          <cell r="C544" t="str">
            <v>NETMNQBIT00</v>
          </cell>
          <cell r="D544" t="str">
            <v>409 NETMED SDP</v>
          </cell>
          <cell r="E544" t="str">
            <v>Krupa Complex H No 27 3 1 And 29 9 Plot  , Ram Nagar Malkajgiri Hyderabad , No 44 And 49 Block 12 Safilguda Road Sai  , HYDERABAD , 500056</v>
          </cell>
          <cell r="F544" t="str">
            <v>9. EPC Ready</v>
          </cell>
        </row>
        <row r="545">
          <cell r="C545" t="str">
            <v>NETMPQDWF00</v>
          </cell>
          <cell r="D545" t="str">
            <v>409 NETMED SDP</v>
          </cell>
          <cell r="E545" t="str">
            <v>GF Village No41 Chingamathak Patta 41 94  , Sbi Bank Manipur , Old 132 569 New Dag No 1204 1297 1204 , 1300 Sub Division &amp; Tehsil Lamphel Centr , IMPHAL , 795001</v>
          </cell>
          <cell r="F545" t="str">
            <v>11. HOLD</v>
          </cell>
        </row>
        <row r="546">
          <cell r="C546" t="str">
            <v>NETMPQCZO00</v>
          </cell>
          <cell r="D546" t="str">
            <v>409 NETMED SDP</v>
          </cell>
          <cell r="E546" t="str">
            <v>GFVilaage No26 Wangkheirakpam Leikai Sub  , Imphal East , Division Tehsil Porompat District  , IMPHAL , 795005</v>
          </cell>
          <cell r="F546" t="str">
            <v>13. NRFC</v>
          </cell>
        </row>
        <row r="547">
          <cell r="C547" t="str">
            <v>NETMBQCTB00</v>
          </cell>
          <cell r="D547" t="str">
            <v>409 NETMED SDP</v>
          </cell>
          <cell r="E547" t="str">
            <v>Ray Complex Motipur Ground Floor  , Ward No 5 Bakhri Muzaffarpur , Mishroulia Chowk Nagar Panchayat  , MOTIPUR , 843111</v>
          </cell>
          <cell r="F547" t="str">
            <v>9. EPC Ready</v>
          </cell>
        </row>
        <row r="548">
          <cell r="C548" t="str">
            <v>NETMBQBZN00</v>
          </cell>
          <cell r="D548" t="str">
            <v>409 NETMED SDP</v>
          </cell>
          <cell r="E548" t="str">
            <v>GF, Plot No 84/63/87/64  , Revenue Thana No 568 Mauza &amp; PS - Ghoshi , Khata No 7/172/304/97/94 , Dist - Jehanabad , JAHANABAD , 804406</v>
          </cell>
          <cell r="F548" t="str">
            <v>9. EPC Ready</v>
          </cell>
        </row>
        <row r="549">
          <cell r="C549" t="str">
            <v>NETMMQBQP00</v>
          </cell>
          <cell r="D549" t="str">
            <v>409 NETMED SDP</v>
          </cell>
          <cell r="E549" t="str">
            <v>SP Shiladeep Complex Jamkhed</v>
          </cell>
          <cell r="F549" t="str">
            <v>14. Dropped</v>
          </cell>
        </row>
        <row r="550">
          <cell r="C550" t="str">
            <v>NETMAQB5M00</v>
          </cell>
          <cell r="D550" t="str">
            <v>409 NETMED SDP</v>
          </cell>
          <cell r="E550" t="str">
            <v>5 197 Lakshmi Narayana Theater  , Jangareddygudem West Godavari , Srinivasapuram Road  , JANGAREDDIGUDE , 534447</v>
          </cell>
          <cell r="F550" t="str">
            <v>9. EPC Ready</v>
          </cell>
        </row>
        <row r="551">
          <cell r="C551" t="str">
            <v>NETMAQBVZ00</v>
          </cell>
          <cell r="D551" t="str">
            <v>409 NETMED SDP</v>
          </cell>
          <cell r="E551" t="str">
            <v>Vk Building Perumal Temple Steet  , Nagari Chittoor , Opp To Union Bank Of India  , NAGARI , 517590</v>
          </cell>
          <cell r="F551" t="str">
            <v>9. EPC Ready</v>
          </cell>
        </row>
        <row r="552">
          <cell r="C552" t="str">
            <v>NETMOQBWY00</v>
          </cell>
          <cell r="D552" t="str">
            <v>409 NETMED SDP</v>
          </cell>
          <cell r="E552" t="str">
            <v>Nayak Building Anta Chhaka Po Jayanagar  , Dist Korraput , Beside Bhoot Nath Mandir Jaypore  , JEYPUR , 764005</v>
          </cell>
          <cell r="F552" t="str">
            <v>9. EPC Ready</v>
          </cell>
        </row>
        <row r="553">
          <cell r="C553" t="str">
            <v>NETMOQB1Q00</v>
          </cell>
          <cell r="D553" t="str">
            <v>409 NETMED SDP</v>
          </cell>
          <cell r="E553" t="str">
            <v>Arc Investment Consultants Pvt Ltd  , Joda Keonjhar , Agarwal Manson At Po Joda Bansapani Road  , JODA , 758034</v>
          </cell>
          <cell r="F553" t="str">
            <v>9. EPC Ready</v>
          </cell>
        </row>
        <row r="554">
          <cell r="C554" t="str">
            <v>NETMFQGQL00</v>
          </cell>
          <cell r="D554" t="str">
            <v>409 NETMED SDP</v>
          </cell>
          <cell r="E554" t="str">
            <v>GF, Dag No 1542, Patta No 1019, Sonari  , Revenue Circle, Dist - Jorhat , Gaon, Mouza - Saraibai, Jorhat West  , SONARI , 785004</v>
          </cell>
          <cell r="F554" t="str">
            <v>11. HOLD</v>
          </cell>
        </row>
        <row r="555">
          <cell r="C555" t="str">
            <v>NETMBQZIT00</v>
          </cell>
          <cell r="D555" t="str">
            <v>409 NETMED SDP</v>
          </cell>
          <cell r="E555" t="str">
            <v>Md Ali Bihar Complex Nagra Chhapra Road  ,  , Near Nagra Chowk Nagra Chhapra  , CHAPRA , 841442</v>
          </cell>
          <cell r="F555" t="str">
            <v>9. EPC Ready</v>
          </cell>
        </row>
        <row r="556">
          <cell r="C556" t="str">
            <v>NETMTQB7M00</v>
          </cell>
          <cell r="D556" t="str">
            <v>409 NETMED SDP</v>
          </cell>
          <cell r="E556" t="str">
            <v>Ground Floor Mkb Complex D.No: 29A  , Kallakurichi , Gandhi Road RajaNagar Near Raja Theatre  , KALLAKURICHI , 606202</v>
          </cell>
          <cell r="F556" t="str">
            <v>9. EPC Ready</v>
          </cell>
        </row>
        <row r="557">
          <cell r="C557" t="str">
            <v>NETMMQ8OT00</v>
          </cell>
          <cell r="D557" t="str">
            <v>409 NETMED SDP</v>
          </cell>
          <cell r="E557" t="str">
            <v>GF Mouza No 19 PH No 27 of Survey  , Mouza Kalmeshwar Tq Kalmeshwar , Khasra No 57 Old Plot No 23in HIG Colony  , KALMESHWAR , 441501</v>
          </cell>
          <cell r="F557" t="str">
            <v>9. EPC Ready</v>
          </cell>
        </row>
        <row r="558">
          <cell r="C558" t="str">
            <v>NETMAQBVW00</v>
          </cell>
          <cell r="D558" t="str">
            <v>409 NETMED SDP</v>
          </cell>
          <cell r="E558" t="str">
            <v>Sri Ranga Nilayam Kovella Street  , Narasapuram West Godavari , Near Canara Bank  , NARSAPUR , 534275</v>
          </cell>
          <cell r="F558" t="str">
            <v>9. EPC Ready</v>
          </cell>
        </row>
        <row r="559">
          <cell r="C559" t="str">
            <v>NETMWQBPZ00</v>
          </cell>
          <cell r="D559" t="str">
            <v>409 NETMED SDP</v>
          </cell>
          <cell r="E559" t="str">
            <v xml:space="preserve"> SAHA ALAM_BAZARDANGA MORE_KANDI_WB</v>
          </cell>
          <cell r="F559" t="str">
            <v>9. EPC Ready</v>
          </cell>
        </row>
        <row r="560">
          <cell r="C560" t="str">
            <v>NETMQQGIC00</v>
          </cell>
          <cell r="D560" t="str">
            <v>409 NETMED SDP</v>
          </cell>
          <cell r="E560" t="str">
            <v>Dm Enclave Kandra Main Rd Near Santiraj  , Seraikela Kharswan , Nursing Home Kandra  , Kandra , 832402</v>
          </cell>
          <cell r="F560" t="str">
            <v>9. EPC Ready</v>
          </cell>
        </row>
        <row r="561">
          <cell r="C561"/>
          <cell r="D561" t="str">
            <v>409 NETMED SDP</v>
          </cell>
          <cell r="E561" t="str">
            <v>House No 111  , Kanpur , 143 Harsh Nagar  , KANPUR , 208002</v>
          </cell>
          <cell r="F561" t="str">
            <v>14. Dropped</v>
          </cell>
        </row>
        <row r="562">
          <cell r="C562" t="str">
            <v>NETMAQGQW00</v>
          </cell>
          <cell r="D562" t="str">
            <v>409 NETMED SDP</v>
          </cell>
          <cell r="E562" t="str">
            <v>SP Pharma  GAYATHRI SHOPING MALL</v>
          </cell>
          <cell r="F562" t="str">
            <v>9. EPC Ready</v>
          </cell>
        </row>
        <row r="563">
          <cell r="C563" t="str">
            <v>NETMBQ3H900</v>
          </cell>
          <cell r="D563" t="str">
            <v>409 NETMED SDP</v>
          </cell>
          <cell r="E563" t="str">
            <v>Gf Plot No 193 Khata No 39  , Ps Fatehpur , Revenue Thana No 135 Mauza Gaurichak  , PATNA , 800007</v>
          </cell>
          <cell r="F563" t="str">
            <v>9. EPC Ready</v>
          </cell>
        </row>
        <row r="564">
          <cell r="C564" t="str">
            <v>NETMTQBIW00</v>
          </cell>
          <cell r="D564" t="str">
            <v>409 NETMED SDP</v>
          </cell>
          <cell r="E564" t="str">
            <v>GF Malar Complex Door No 37 A  , KVB Thanthonimalai Dist Karur , Collectorate Road Near  , KARUR , 639005</v>
          </cell>
          <cell r="F564" t="str">
            <v>11. HOLD</v>
          </cell>
        </row>
        <row r="565">
          <cell r="C565" t="str">
            <v>NETMVQDNF00</v>
          </cell>
          <cell r="D565" t="str">
            <v>409 NETMED SDP</v>
          </cell>
          <cell r="E565" t="str">
            <v>Kottoodal Square  , Kumbala Kasargod , Opposite Canara Bank  , KASARAGOD , 671321</v>
          </cell>
          <cell r="F565" t="str">
            <v>9. EPC Ready</v>
          </cell>
        </row>
        <row r="566">
          <cell r="C566" t="str">
            <v>NETMWQGGX00</v>
          </cell>
          <cell r="D566" t="str">
            <v>409 NETMED SDP</v>
          </cell>
          <cell r="E566" t="str">
            <v>GFMouza KhariJL106 LR Dag 2160 2157/8106  , PS Raidighi Block Matharpur-II Sansad , LR Khatian No 8863 8862 PO Kashinagar , 20 Dist. South 24 Parganas West bengal , Kashinagar , 743349</v>
          </cell>
          <cell r="F566" t="str">
            <v>9. EPC Ready</v>
          </cell>
        </row>
        <row r="567">
          <cell r="C567" t="str">
            <v>NETMAQDPV00</v>
          </cell>
          <cell r="D567" t="str">
            <v>409 NETMED SDP</v>
          </cell>
          <cell r="E567" t="str">
            <v>Ground Floor SATHYA LAKSHMI COMPLEX  , Rural &amp; District- Ankapalle , Dno 1SYno 110/2NH16 MAIN ROAD KASIMKOTA  , KASIMKOTA , 531031</v>
          </cell>
          <cell r="F567" t="str">
            <v>11. HOLD</v>
          </cell>
        </row>
        <row r="568">
          <cell r="C568"/>
          <cell r="D568" t="str">
            <v>409 NETMED SDP</v>
          </cell>
          <cell r="E568" t="str">
            <v>Gata No 2046 Manu Ka  , Khaga Fatehpur , Purva Main Road  , KHAGA , 212655</v>
          </cell>
          <cell r="F568" t="str">
            <v>14. Dropped</v>
          </cell>
        </row>
        <row r="569">
          <cell r="C569" t="str">
            <v>NETMQQBQQ00</v>
          </cell>
          <cell r="D569" t="str">
            <v>409 NETMED SDP</v>
          </cell>
          <cell r="E569" t="str">
            <v>GF Shivam Heights Mouza Bara Ghaghara  , Thana No 221 Plot No 1939 Plot No 1939F , Doranda Namkum Rd Nr Swarnrekha Bridge  , RANCHI , 834010</v>
          </cell>
          <cell r="F569" t="str">
            <v>10. Launched</v>
          </cell>
        </row>
        <row r="570">
          <cell r="C570" t="str">
            <v>NETMWQGGA00</v>
          </cell>
          <cell r="D570" t="str">
            <v>409 NETMED SDP</v>
          </cell>
          <cell r="E570" t="str">
            <v>Gobindo Chatterjee Rd Patulia Ghoshpara  , High School Khardah North 24 Pargana , Po Patulia Ps Khardah?Near Patulia Boys  , KOLKATA , 700119</v>
          </cell>
          <cell r="F570" t="str">
            <v>14. Dropped</v>
          </cell>
        </row>
        <row r="571">
          <cell r="C571"/>
          <cell r="D571" t="str">
            <v>409 NETMED SDP</v>
          </cell>
          <cell r="E571" t="str">
            <v>Khasra No280 7 P H N 43 Market Diversion  , Colony Khargone , Road Khargone Indore Hwy Vallabh Nagar  , KHARGONE , 451001</v>
          </cell>
          <cell r="F571" t="str">
            <v>14. Dropped</v>
          </cell>
        </row>
        <row r="572">
          <cell r="C572" t="str">
            <v>NETMYQEED00</v>
          </cell>
          <cell r="D572" t="str">
            <v>409 NETMED SDP</v>
          </cell>
          <cell r="E572" t="str">
            <v>SP Pharma MONMAYA COMPLEX KHLIEHRIAT</v>
          </cell>
          <cell r="F572" t="str">
            <v>14. Dropped</v>
          </cell>
        </row>
        <row r="573">
          <cell r="C573" t="str">
            <v>NETMAQB5V00</v>
          </cell>
          <cell r="D573" t="str">
            <v>409 NETMED SDP</v>
          </cell>
          <cell r="E573" t="str">
            <v>GF, Premises No 7-12-94/1,2,3  , Mandal - Repalle, Dist - Guntur , Sy No 68/3, Village - Isukapalli  , REPALLE , 522265</v>
          </cell>
          <cell r="F573" t="str">
            <v>9. EPC Ready</v>
          </cell>
        </row>
        <row r="574">
          <cell r="C574"/>
          <cell r="D574" t="str">
            <v>409 NETMED SDP</v>
          </cell>
          <cell r="E574" t="str">
            <v>GF SaiVandana Mangal KaryalayaMilkat  , Kinwat Distt Nanded , No 13 33 and 13 35 New26 Old Ward No13  , KINWAT , 431804</v>
          </cell>
          <cell r="F574" t="str">
            <v>14. Dropped</v>
          </cell>
        </row>
        <row r="575">
          <cell r="C575" t="str">
            <v>NETMTQBZG00</v>
          </cell>
          <cell r="D575" t="str">
            <v>409 NETMED SDP</v>
          </cell>
          <cell r="E575" t="str">
            <v>Danish Display No 70A Anna Salai  , Kodaikanal Dindigal , Bus Stand Back  , KODAIKANAL , 624101</v>
          </cell>
          <cell r="F575" t="str">
            <v>7. YTS</v>
          </cell>
        </row>
        <row r="576">
          <cell r="C576" t="str">
            <v>NETMWQB1F00</v>
          </cell>
          <cell r="D576" t="str">
            <v>409 NETMED SDP</v>
          </cell>
          <cell r="E576" t="str">
            <v>Mouza Madha Sahapur Jl 110 PO  , Uttar Dinajpur , Sahapur PS Gaolpukur Sahapur  , Sahapur , 733210</v>
          </cell>
          <cell r="F576" t="str">
            <v>9. EPC Ready</v>
          </cell>
        </row>
        <row r="577">
          <cell r="C577" t="str">
            <v>NETMLQBSL00</v>
          </cell>
          <cell r="D577" t="str">
            <v>409 NETMED SDP</v>
          </cell>
          <cell r="E577" t="str">
            <v>GF 03 Kezieke Colony  ,  , Dist - Kohima  , KOHIMA , 797001</v>
          </cell>
          <cell r="F577" t="str">
            <v>9. EPC Ready</v>
          </cell>
        </row>
        <row r="578">
          <cell r="C578" t="str">
            <v>NETMQQF4M00</v>
          </cell>
          <cell r="D578" t="str">
            <v>409 NETMED SDP</v>
          </cell>
          <cell r="E578" t="str">
            <v>GF, Mouza - Sarath, Thana No 132  , PS &amp; Dist - Deoghar , Plot No 1862, Jamabandi No 274 A  , SARATH , 814149</v>
          </cell>
          <cell r="F578" t="str">
            <v>9. EPC Ready</v>
          </cell>
        </row>
        <row r="579">
          <cell r="C579" t="str">
            <v>NETMVQBRO00</v>
          </cell>
          <cell r="D579" t="str">
            <v>409 NETMED SDP</v>
          </cell>
          <cell r="E579" t="str">
            <v>Ellikal Tower  , Po Kolathur Malappuram , Opposite Bus Stand Kolathur  , Kolathu , 679338</v>
          </cell>
          <cell r="F579" t="str">
            <v>14. Dropped</v>
          </cell>
        </row>
        <row r="580">
          <cell r="C580" t="str">
            <v>NETMWQ6OX00</v>
          </cell>
          <cell r="D580" t="str">
            <v>409 NETMED SDP</v>
          </cell>
          <cell r="E580" t="str">
            <v>GF, Atghara  , Madarat road, Baruipur, , Opp South Calcutta Polytechnique college , South 24 Paraganas , Kolkata , 743610</v>
          </cell>
          <cell r="F580" t="str">
            <v>14. Dropped</v>
          </cell>
        </row>
        <row r="581">
          <cell r="C581" t="str">
            <v>NETMVQB4Q00</v>
          </cell>
          <cell r="D581" t="str">
            <v>409 NETMED SDP</v>
          </cell>
          <cell r="E581" t="str">
            <v>Kadaottil Enclave Kollam  , Kollakadavu Alappuzha , Theni Highway Near Sanjivani Hospital  , KOLLAKADAVU , 690509</v>
          </cell>
          <cell r="F581" t="str">
            <v>9. EPC Ready</v>
          </cell>
        </row>
        <row r="582">
          <cell r="C582" t="str">
            <v>NETMVQC7J00</v>
          </cell>
          <cell r="D582" t="str">
            <v>409 NETMED SDP</v>
          </cell>
          <cell r="E582" t="str">
            <v>Sreekrishnajyothi Arcade  , Paravur Kollam , Near Sn Vrc Bank  , KOLLAM , 691301</v>
          </cell>
          <cell r="F582" t="str">
            <v>14. Dropped</v>
          </cell>
        </row>
        <row r="583">
          <cell r="C583" t="str">
            <v>NETMBQBMY00</v>
          </cell>
          <cell r="D583" t="str">
            <v>409 NETMED SDP</v>
          </cell>
          <cell r="E583" t="str">
            <v>GF Plot No 6008 Khata No 45  , Village &amp; PS - Jagdishpur, Dist-Sheohour , Jamabandi No 1348, Revenue Thana No 163  , SHEOHAR , 843316</v>
          </cell>
          <cell r="F583" t="str">
            <v>9. EPC Ready</v>
          </cell>
        </row>
        <row r="584">
          <cell r="C584" t="str">
            <v>NETMVQ30S00</v>
          </cell>
          <cell r="D584" t="str">
            <v>409 NETMED SDP</v>
          </cell>
          <cell r="E584" t="str">
            <v>Gf Shop No 20 364 A9 To 20 364 A19  , Musliyarangadi Po Nediyiruppu , Evvy Mall Near Sub Rto Kondotty  , KONDOTTY , 673638</v>
          </cell>
          <cell r="F584" t="str">
            <v>9. EPC Ready</v>
          </cell>
        </row>
        <row r="585">
          <cell r="C585" t="str">
            <v>NETMQQFXZ00</v>
          </cell>
          <cell r="D585" t="str">
            <v>409 NETMED SDP</v>
          </cell>
          <cell r="E585" t="str">
            <v>GF 92 Mouza Kudra Thana No 77  , Sisai Dist Gumla , Plot No 1104 Khata No 1 Thana  , SISAI , 835234</v>
          </cell>
          <cell r="F585" t="str">
            <v>9. EPC Ready</v>
          </cell>
        </row>
        <row r="586">
          <cell r="C586" t="str">
            <v>NETMWQBTQ00</v>
          </cell>
          <cell r="D586" t="str">
            <v>409 NETMED SDP</v>
          </cell>
          <cell r="E586" t="str">
            <v>GF  Ward 2 Holding No- N/636/442JLNo- 85  , &amp;ADSRO Sonamukhi Land Mark Municipality , L.R. Plot No 2631&amp;2632 P.O+P.S &amp; Block  , Sonamukhi , 722207</v>
          </cell>
          <cell r="F586" t="str">
            <v>9. EPC Ready</v>
          </cell>
        </row>
        <row r="587">
          <cell r="C587" t="str">
            <v>NETMUQLBB00</v>
          </cell>
          <cell r="D587" t="str">
            <v>409 NETMED SDP</v>
          </cell>
          <cell r="E587" t="str">
            <v>Gf House No 848 1 Plot No 2672  , Tehsil Chata Dist Mathura , Khasra No 846 Mauja Kosikalan  , KOSI KALAN , 281403</v>
          </cell>
          <cell r="F587" t="str">
            <v>9. EPC Ready</v>
          </cell>
        </row>
        <row r="588">
          <cell r="C588" t="str">
            <v>NETMQQB5G00</v>
          </cell>
          <cell r="D588" t="str">
            <v>409 NETMED SDP</v>
          </cell>
          <cell r="E588" t="str">
            <v>GF Mouza - Garilong Thana No. 59  ,  Dist - Chatra , Khata No. 48 Plot No.1106 Thana -Tandwa  , Tandwa , 825321</v>
          </cell>
          <cell r="F588" t="str">
            <v>9. EPC Ready</v>
          </cell>
        </row>
        <row r="589">
          <cell r="C589" t="str">
            <v>NETMNQEEU00</v>
          </cell>
          <cell r="D589" t="str">
            <v>409 NETMED SDP</v>
          </cell>
          <cell r="E589" t="str">
            <v>Sai Complex Sy No 333 HNo 18 155 6 Ragha  , L Kurnool Raod Kothakota Wanaparthi Dist , Vendra Colony Opposite Srirama Rice Mill  , KOTHAKOTA , 509381</v>
          </cell>
          <cell r="F589" t="str">
            <v>9. EPC Ready</v>
          </cell>
        </row>
        <row r="590">
          <cell r="C590" t="str">
            <v>NETMAQBOA00</v>
          </cell>
          <cell r="D590" t="str">
            <v>409 NETMED SDP</v>
          </cell>
          <cell r="E590" t="str">
            <v>GF Moorkuri Mansion D.No759-760-761-762  , Vizianagaram road Kothavalasa , Sy.Nos 116/4910-A11 13  , VIZAYANAGARAM , 535183</v>
          </cell>
          <cell r="F590" t="str">
            <v>9. EPC Ready</v>
          </cell>
        </row>
        <row r="591">
          <cell r="C591" t="str">
            <v>NETMVQCYI00</v>
          </cell>
          <cell r="D591" t="str">
            <v>409 NETMED SDP</v>
          </cell>
          <cell r="E591" t="str">
            <v>Daniel Building 8659 43  , Kottarakkara , Valakom  , KOLLAM , 691532</v>
          </cell>
          <cell r="F591" t="str">
            <v>14. Dropped</v>
          </cell>
        </row>
        <row r="592">
          <cell r="C592" t="str">
            <v>NETMVQ9TK00</v>
          </cell>
          <cell r="D592" t="str">
            <v>409 NETMED SDP</v>
          </cell>
          <cell r="E592" t="str">
            <v>Asset Chrisabelle NEAR PUTHANAGADI KIURI  , KOTTAYAM KERALA , SH PALLI PUITHANGADI  , KOTTAYAM , 686001</v>
          </cell>
          <cell r="F592" t="str">
            <v>14. Dropped</v>
          </cell>
        </row>
        <row r="593">
          <cell r="C593" t="str">
            <v>NETMAQBSK00</v>
          </cell>
          <cell r="D593" t="str">
            <v>409 NETMED SDP</v>
          </cell>
          <cell r="E593" t="str">
            <v>SP KVR Towers Kotturu</v>
          </cell>
          <cell r="F593" t="str">
            <v>9. EPC Ready</v>
          </cell>
        </row>
        <row r="594">
          <cell r="C594" t="str">
            <v>NETMWQBUA00</v>
          </cell>
          <cell r="D594" t="str">
            <v>409 NETMED SDP</v>
          </cell>
          <cell r="E594" t="str">
            <v>Vill Po Dashghara  , Hoogly , Ps Dhaniakhali  , Tarakeswar , 712402</v>
          </cell>
          <cell r="F594" t="str">
            <v>9. EPC Ready</v>
          </cell>
        </row>
        <row r="595">
          <cell r="C595" t="str">
            <v>NETMVQBQU00</v>
          </cell>
          <cell r="D595" t="str">
            <v>409 NETMED SDP</v>
          </cell>
          <cell r="E595" t="str">
            <v>Ground Floor Unit/ShopNo.8/215-BVengalil  , Church Maraman  Pathanamthitta , Galleria Nedumprayar Near St.Joseph  , KOZHENCHERRY , 679326</v>
          </cell>
          <cell r="F595" t="str">
            <v>9. EPC Ready</v>
          </cell>
        </row>
        <row r="596">
          <cell r="C596" t="str">
            <v>NETM4QBRU00</v>
          </cell>
          <cell r="D596" t="str">
            <v>409 NETMED SDP</v>
          </cell>
          <cell r="E596" t="str">
            <v>RANIBAZAR_AGARTALA_TRIPURA</v>
          </cell>
          <cell r="F596" t="str">
            <v>9. EPC Ready</v>
          </cell>
        </row>
        <row r="597">
          <cell r="C597" t="str">
            <v>NETMAQBRB00</v>
          </cell>
          <cell r="D597" t="str">
            <v>409 NETMED SDP</v>
          </cell>
          <cell r="E597" t="str">
            <v>GF Annapurna Complex D No 24 107 32  , Gajuwaka Mandal UDA Colony Dist Vizag   , Kantghi Road China Gantyada Village    , VIZAG , 530044</v>
          </cell>
          <cell r="F597" t="str">
            <v>9. EPC Ready</v>
          </cell>
        </row>
        <row r="598">
          <cell r="C598" t="str">
            <v>NETM4QDUM00</v>
          </cell>
          <cell r="D598" t="str">
            <v>409 NETMED SDP</v>
          </cell>
          <cell r="E598" t="str">
            <v>SP Pharma Brajandra Bhawan Kumarghat</v>
          </cell>
          <cell r="F598" t="str">
            <v>9. EPC Ready</v>
          </cell>
        </row>
        <row r="599">
          <cell r="C599" t="str">
            <v>NETMVQBMG00</v>
          </cell>
          <cell r="D599" t="str">
            <v>409 NETMED SDP</v>
          </cell>
          <cell r="E599" t="str">
            <v>Pulippara Tower Opposite Sbi Kummil  , Kadakkal Kollam , Branch Kadakkal Pangodu Road Kummil Po  , Kummil , 691536</v>
          </cell>
          <cell r="F599" t="str">
            <v>9. EPC Ready</v>
          </cell>
        </row>
        <row r="600">
          <cell r="C600" t="str">
            <v>NETMWQFYJ00</v>
          </cell>
          <cell r="D600" t="str">
            <v>409 NETMED SDP</v>
          </cell>
          <cell r="E600" t="str">
            <v>Vill Ragunathpur Po Nayasarai Ps Mogra  , Kuntighat Hoogly , Near Location Rayon Bus Stand  , KUNTIGHAT , 712513</v>
          </cell>
          <cell r="F600" t="str">
            <v>9. EPC Ready</v>
          </cell>
        </row>
        <row r="601">
          <cell r="C601" t="str">
            <v>NETMVQBRM00</v>
          </cell>
          <cell r="D601" t="str">
            <v>409 NETMED SDP</v>
          </cell>
          <cell r="E601" t="str">
            <v>D4 Tower Mandhiram Street Kurichy  , Kottayam , Po Mandhiram  , KURICHY , 686532</v>
          </cell>
          <cell r="F601" t="str">
            <v>9. EPC Ready</v>
          </cell>
        </row>
        <row r="602">
          <cell r="C602" t="str">
            <v>NETMRQCFT00</v>
          </cell>
          <cell r="D602" t="str">
            <v>409 NETMED SDP</v>
          </cell>
          <cell r="E602" t="str">
            <v>Gaurav Path Vishwakarma Road  ,  , Ladnun Nagar  , Ladnun , 341306</v>
          </cell>
          <cell r="F602" t="str">
            <v>14. Dropped</v>
          </cell>
        </row>
        <row r="603">
          <cell r="C603" t="str">
            <v>NETMRQB6J00</v>
          </cell>
          <cell r="D603" t="str">
            <v>409 NETMED SDP</v>
          </cell>
          <cell r="E603" t="str">
            <v>GF Khasra No1412 Plot No10  , Dist - Dausa , Purohit Ji Ka Tibara Lalsot  , LALSOT , 303503</v>
          </cell>
          <cell r="F603" t="str">
            <v>9. EPC Ready</v>
          </cell>
        </row>
        <row r="604">
          <cell r="C604" t="str">
            <v>NETMFQBJG00</v>
          </cell>
          <cell r="D604" t="str">
            <v>409 NETMED SDP</v>
          </cell>
          <cell r="E604" t="str">
            <v>Seba Singh Seba Singhs Property Word No  , Assam , 4 Lanka Patty Lanka Hojai  , LANKA , 782446</v>
          </cell>
          <cell r="F604" t="str">
            <v>9. EPC Ready</v>
          </cell>
        </row>
        <row r="605">
          <cell r="C605" t="str">
            <v>NETMUQBXQ00</v>
          </cell>
          <cell r="D605" t="str">
            <v>409 NETMED SDP</v>
          </cell>
          <cell r="E605" t="str">
            <v>Sinha Complex 274 374 2  , Lucknow , Rajendra Nagar Hospital  , LUCKNOW , 226004</v>
          </cell>
          <cell r="F605" t="str">
            <v>9. EPC Ready</v>
          </cell>
        </row>
        <row r="606">
          <cell r="C606" t="str">
            <v>NETMAQ4GN00</v>
          </cell>
          <cell r="D606" t="str">
            <v>409 NETMED SDP</v>
          </cell>
          <cell r="E606" t="str">
            <v>Door no 25 300 &amp; 25 301 ward no  , machilipatnam Krishna , 25 kojjilipet or buttaipeta  , MACHILIPATNAM , 521001</v>
          </cell>
          <cell r="F606" t="str">
            <v>14. Dropped</v>
          </cell>
        </row>
        <row r="607">
          <cell r="C607" t="str">
            <v>NETMWQGFP00</v>
          </cell>
          <cell r="D607" t="str">
            <v>409 NETMED SDP</v>
          </cell>
          <cell r="E607" t="str">
            <v>Vill Alaipur Jamadarpara Po  , Madanpur Nadia , Madanpur Ps Chakdaha  , MADANPUR , 741245</v>
          </cell>
          <cell r="F607" t="str">
            <v>9. EPC Ready</v>
          </cell>
        </row>
        <row r="608">
          <cell r="C608" t="str">
            <v>NETMQQB6W00</v>
          </cell>
          <cell r="D608" t="str">
            <v>409 NETMED SDP</v>
          </cell>
          <cell r="E608" t="str">
            <v>Ekhlaque Hussain Bherwa Rd Amtalla  , Madhupur Deoghar , Bherwa Near Red Carpet High School  , MADHUPUR , 815353</v>
          </cell>
          <cell r="F608" t="str">
            <v>14. Dropped</v>
          </cell>
        </row>
        <row r="609">
          <cell r="C609" t="str">
            <v>NETMWQBYI00</v>
          </cell>
          <cell r="D609" t="str">
            <v>409 NETMED SDP</v>
          </cell>
          <cell r="E609" t="str">
            <v>Magrahat Station Road Purbo Belaria  , Magrahat South 24 Pgs , Po Magrahat Ps  , MAGRAHAT , 743355</v>
          </cell>
          <cell r="F609" t="str">
            <v>9. EPC Ready</v>
          </cell>
        </row>
        <row r="610">
          <cell r="C610" t="str">
            <v>NETMSQBYU00</v>
          </cell>
          <cell r="D610" t="str">
            <v>409 NETMED SDP</v>
          </cell>
          <cell r="E610" t="str">
            <v>Pushpa Sharma Majhitar  , Majhitar East , Near Sikkim Manipal University  , Majhitar , 737136</v>
          </cell>
          <cell r="F610" t="str">
            <v>9. EPC Ready</v>
          </cell>
        </row>
        <row r="611">
          <cell r="C611" t="str">
            <v>NETMRQBRV00</v>
          </cell>
          <cell r="D611" t="str">
            <v>409 NETMED SDP</v>
          </cell>
          <cell r="E611" t="str">
            <v>444 11 Gopiram Complex Maliya  , Jusari Road Makrana , Maliya Ki Dhani  , MAKRANA , 341505</v>
          </cell>
          <cell r="F611" t="str">
            <v>9. EPC Ready</v>
          </cell>
        </row>
        <row r="612">
          <cell r="C612" t="str">
            <v>NETMKQF4O00</v>
          </cell>
          <cell r="D612" t="str">
            <v>409 NETMED SDP</v>
          </cell>
          <cell r="E612" t="str">
            <v>Dhanu Thyagraja  , Mandya , Fort Road Malavalli  , MALAVALLI , 571430</v>
          </cell>
          <cell r="F612" t="str">
            <v>9. EPC Ready</v>
          </cell>
        </row>
        <row r="613">
          <cell r="C613"/>
          <cell r="D613" t="str">
            <v>409 NETMED SDP</v>
          </cell>
          <cell r="E613" t="str">
            <v>Gat No 1 2 3 Plot No 01 Nira Baramati  , Malegaon Budruk Pune , Road Near Ss Computers  , MALEGAON , 413115</v>
          </cell>
          <cell r="F613" t="str">
            <v>13. NRFC</v>
          </cell>
        </row>
        <row r="614">
          <cell r="C614" t="str">
            <v>NETMOQC8R00</v>
          </cell>
          <cell r="D614" t="str">
            <v>409 NETMED SDP</v>
          </cell>
          <cell r="E614" t="str">
            <v>Main Road Infront Of Lic Building  , Malkangiri , P O P S Malkangiri  , MALKANGIRI , 764045</v>
          </cell>
          <cell r="F614" t="str">
            <v>9. EPC Ready</v>
          </cell>
        </row>
        <row r="615">
          <cell r="C615" t="str">
            <v>NETMVQC8F00</v>
          </cell>
          <cell r="D615" t="str">
            <v>409 NETMED SDP</v>
          </cell>
          <cell r="E615" t="str">
            <v>GF  Shop no.1/177-IJKLMNO  ERUVELIKUNNEL  , OPP ST. JOSEPH HIGH SCHOOL PIZHAKU (PO) , SHOP COMPLEX Pala ThodpuzhaStateHighway  , MANATHOOR , 686651</v>
          </cell>
          <cell r="F615" t="str">
            <v>14. Dropped</v>
          </cell>
        </row>
        <row r="616">
          <cell r="C616" t="str">
            <v>NETMVQC6G00</v>
          </cell>
          <cell r="D616" t="str">
            <v>409 NETMED SDP</v>
          </cell>
          <cell r="E616" t="str">
            <v>Ground Floor Shop No. VII/180-A  , Puthupally Kottayam , Pattarmadathil building Madathilpady PO  , MANNARGHAT , 686011</v>
          </cell>
          <cell r="F616" t="str">
            <v>9. EPC Ready</v>
          </cell>
        </row>
        <row r="617">
          <cell r="C617" t="str">
            <v>NETMVQ9SA00</v>
          </cell>
          <cell r="D617" t="str">
            <v>409 NETMED SDP</v>
          </cell>
          <cell r="E617" t="str">
            <v>Shopping Mall Near Bharat Petrol Pump  , MANNARGHAT Kerala , Thachampara Village Office  , PALAKKAD , 678596</v>
          </cell>
          <cell r="F617" t="str">
            <v>14. Dropped</v>
          </cell>
        </row>
        <row r="618">
          <cell r="C618" t="str">
            <v>NETMBQBXB00</v>
          </cell>
          <cell r="D618" t="str">
            <v>409 NETMED SDP</v>
          </cell>
          <cell r="E618" t="str">
            <v>GF Parvati Commercial Complex  , Thana &amp; Mauza - Mashrakh Thana No 139 , Khata No 299, Kh No 5705 Tauzi No 2556 , Dist - Saran , MASRAKH , 841417</v>
          </cell>
          <cell r="F618" t="str">
            <v>9. EPC Ready</v>
          </cell>
        </row>
        <row r="619">
          <cell r="C619" t="str">
            <v>NETMFQB5Y00</v>
          </cell>
          <cell r="D619" t="str">
            <v>409 NETMED SDP</v>
          </cell>
          <cell r="E619" t="str">
            <v>GF Namati Kha Mazbat Mazbat Town  , Dist Udalguri , Mouza Orang Mazbat Revenue Circle BTR  , MAZBAT TOWN , 784507</v>
          </cell>
          <cell r="F619" t="str">
            <v>14. Dropped</v>
          </cell>
        </row>
        <row r="620">
          <cell r="C620" t="str">
            <v>NETMWQBSU00</v>
          </cell>
          <cell r="D620" t="str">
            <v>409 NETMED SDP</v>
          </cell>
          <cell r="E620" t="str">
            <v>Milan Setu Kunja Vill Lakshya  , Purba Medinipur , Po Kumarara Ps Mahisadal  , Mah , 721628</v>
          </cell>
          <cell r="F620" t="str">
            <v>9. EPC Ready</v>
          </cell>
        </row>
        <row r="621">
          <cell r="C621" t="str">
            <v>NETMWQBTR00</v>
          </cell>
          <cell r="D621" t="str">
            <v>409 NETMED SDP</v>
          </cell>
          <cell r="E621" t="str">
            <v>SP Pharma WARD NO 8 MEKHLIGANJ</v>
          </cell>
          <cell r="F621" t="str">
            <v>9. EPC Ready</v>
          </cell>
        </row>
        <row r="622">
          <cell r="C622" t="str">
            <v>NETMGQ1U700</v>
          </cell>
          <cell r="D622" t="str">
            <v>409 NETMED SDP</v>
          </cell>
          <cell r="E622" t="str">
            <v>Shop No 95 To 100  , Ganeshpura Modasa , Gf Opp Anjanta Complex  , SABARKANTHA , 383315</v>
          </cell>
          <cell r="F622" t="str">
            <v>9. EPC Ready</v>
          </cell>
        </row>
        <row r="623">
          <cell r="C623" t="str">
            <v>NETMAQBMM00</v>
          </cell>
          <cell r="D623" t="str">
            <v>409 NETMED SDP</v>
          </cell>
          <cell r="E623" t="str">
            <v> Ground Floor SRI VENKATESWARA COMPLEX  , Office Main Road Dist - West Godavari , D.No:  9-11 Beside Mogalthuru Panchayath  ,  MOGALTURU , 534281</v>
          </cell>
          <cell r="F623" t="str">
            <v>9. EPC Ready</v>
          </cell>
        </row>
        <row r="624">
          <cell r="C624" t="str">
            <v>NETMBQEDH00</v>
          </cell>
          <cell r="D624" t="str">
            <v>409 NETMED SDP</v>
          </cell>
          <cell r="E624" t="str">
            <v>GF S V Complex Plot 2361 1010 1106 1110  , Revenue thana no 131 Vill &amp; PS Mohania , Khata no 307 662 Jamabandi no 159 , Dist Kaimur , MOHANIA , 821109</v>
          </cell>
          <cell r="F624" t="str">
            <v>9. EPC Ready</v>
          </cell>
        </row>
        <row r="625">
          <cell r="C625" t="str">
            <v>NETMTQB4K00</v>
          </cell>
          <cell r="D625" t="str">
            <v>409 NETMED SDP</v>
          </cell>
          <cell r="E625" t="str">
            <v>Mr A Palanisami Sri Kumaran Mahal Door  , Cooperative Bank Aundipatty Theni , 6 1 306 Madurai To Theni Main Rd Nearby  , ANDIPATTI JAKK , 625512</v>
          </cell>
          <cell r="F625" t="str">
            <v>9. EPC Ready</v>
          </cell>
        </row>
        <row r="626">
          <cell r="C626" t="str">
            <v>NETMBQGGQ00</v>
          </cell>
          <cell r="D626" t="str">
            <v>409 NETMED SDP</v>
          </cell>
          <cell r="E626" t="str">
            <v>GF Mahesh Market Plot No 1109  , Nakched Mauza, PS &amp; Dist - Motihari , Khata No 408, Revenue Thana No 122  , MOTIHARI , 845401</v>
          </cell>
          <cell r="F626" t="str">
            <v>9. EPC Ready</v>
          </cell>
        </row>
        <row r="627">
          <cell r="C627" t="str">
            <v>NETMBQZBP00</v>
          </cell>
          <cell r="D627" t="str">
            <v>409 NETMED SDP</v>
          </cell>
          <cell r="E627" t="str">
            <v>RRL GF Agarwal Market Plot No 16 &amp; 17  , Village Shayampur Bazar P S Adapur Dist , Khata 134 Jamabandi 1348 Revenue Thana99 , East Champaran , ADAPUR , 845301</v>
          </cell>
          <cell r="F627" t="str">
            <v>9. EPC Ready</v>
          </cell>
        </row>
        <row r="628">
          <cell r="C628" t="str">
            <v>NETMKQEHI00</v>
          </cell>
          <cell r="D628" t="str">
            <v>409 NETMED SDP</v>
          </cell>
          <cell r="E628" t="str">
            <v>GF Sy 44 1 Old No 44 Village Hesarghatta  , Petrol Bunk Adjecent To St Anns School , No 44 Hesarghatta Main Road Opp Indian , Petrol Bunk Near St Anns School , BANGALORE , 560088</v>
          </cell>
          <cell r="F628" t="str">
            <v>9. EPC Ready</v>
          </cell>
        </row>
        <row r="629">
          <cell r="C629" t="str">
            <v>NETMKQBNF00</v>
          </cell>
          <cell r="D629" t="str">
            <v>409 NETMED SDP</v>
          </cell>
          <cell r="E629" t="str">
            <v>Fortune Highway 2 24 8 116 Opp Badaga  , Road Moodbidri Dakshina Kannada , Basadi Jain Pete Moodbidri Karkala Main  , MUDBIDRI , 574227</v>
          </cell>
          <cell r="F629" t="str">
            <v>8. WIP</v>
          </cell>
        </row>
        <row r="630">
          <cell r="C630"/>
          <cell r="D630" t="str">
            <v>409 NETMED SDP</v>
          </cell>
          <cell r="E630" t="str">
            <v>Unit No A 1 To A 7 Dev Aangan Devchand  , Bhayandar West Thane , Nagar Sanghvi Devchandjethalal Marg  , MUMBAI , 401101</v>
          </cell>
          <cell r="F630" t="str">
            <v>14. Dropped</v>
          </cell>
        </row>
        <row r="631">
          <cell r="C631" t="str">
            <v>NETMKQ3H800</v>
          </cell>
          <cell r="D631" t="str">
            <v>409 NETMED SDP</v>
          </cell>
          <cell r="E631" t="str">
            <v>GF  Khata no. 2768/2706 Site No 11/A782  , Hobli Taluk- Bangalore east , Property no. 44/1 Village-Bidarahalli  , BANGALORE , 560049</v>
          </cell>
          <cell r="F631" t="str">
            <v>9. EPC Ready</v>
          </cell>
        </row>
        <row r="632">
          <cell r="C632" t="str">
            <v>NETMKQB6G00</v>
          </cell>
          <cell r="D632" t="str">
            <v>409 NETMED SDP</v>
          </cell>
          <cell r="E632" t="str">
            <v>RG Tower Near Masjid Taleem Chaubara Roa  , To Masjid Taleem Bidar , Siddi Shah Chaubara Road Diagonally Opp  , BIDAR , 585401</v>
          </cell>
          <cell r="F632" t="str">
            <v>9. EPC Ready</v>
          </cell>
        </row>
        <row r="633">
          <cell r="C633" t="str">
            <v>NETMBQOWF00</v>
          </cell>
          <cell r="D633" t="str">
            <v>409 NETMED SDP</v>
          </cell>
          <cell r="E633" t="str">
            <v>Mahendra Prasad Singh M Complex Khesra  , Ramdyalu Ngr Rd Ward N31 Opp Canara Bank , N90 91 Kh N245 Jamabandi N1700 Thana 342  , MUZAFFARPUR , 842002</v>
          </cell>
          <cell r="F633" t="str">
            <v>9. EPC Ready</v>
          </cell>
        </row>
        <row r="634">
          <cell r="C634" t="str">
            <v>NETMBQWAA00</v>
          </cell>
          <cell r="D634" t="str">
            <v>409 NETMED SDP</v>
          </cell>
          <cell r="E634" t="str">
            <v>Gr Floor Khata No 495 Khesri No186  , Faridpur Urf Shakra Dholi Dist , 7 1870 Thana No 863  , FARIDPUR URF S , 843105</v>
          </cell>
          <cell r="F634" t="str">
            <v>9. EPC Ready</v>
          </cell>
        </row>
        <row r="635">
          <cell r="C635" t="str">
            <v>NETMKQB6L00</v>
          </cell>
          <cell r="D635" t="str">
            <v>409 NETMED SDP</v>
          </cell>
          <cell r="E635" t="str">
            <v>Site Bearing Nos 7687 And 7688 Situated  , Devaraj Mohalla Mysore , At 2nd Phase 4Th Stage Vijayanagar  , MYSORE , 570001</v>
          </cell>
          <cell r="F635" t="str">
            <v>9. EPC Ready</v>
          </cell>
        </row>
        <row r="636">
          <cell r="C636" t="str">
            <v>NETMWQGFZ00</v>
          </cell>
          <cell r="D636" t="str">
            <v>409 NETMED SDP</v>
          </cell>
          <cell r="E636" t="str">
            <v>GF Mayapur Bamunpukur II MunicipalityJL5  , 29403 &amp; 5526 Block Nabadwip ADSRO Nadia , Mouza Rudrapura LR Plot 2924 &amp; Khatian  , NABADWIP , 741313</v>
          </cell>
          <cell r="F636" t="str">
            <v>9. EPC Ready</v>
          </cell>
        </row>
        <row r="637">
          <cell r="C637" t="str">
            <v>NETMWQGIQ00</v>
          </cell>
          <cell r="D637" t="str">
            <v>409 NETMED SDP</v>
          </cell>
          <cell r="E637" t="str">
            <v>Swarup Bhavan Matapur Road Vill Kapali  , Nabadwip Hospital Nabadwip Nadia , Para Ward No 4 Po &amp; Ps Nabadwip Near  , NABADWIP , 741302</v>
          </cell>
          <cell r="F637" t="str">
            <v>14. Dropped</v>
          </cell>
        </row>
        <row r="638">
          <cell r="C638" t="str">
            <v>NETMKQF4N00</v>
          </cell>
          <cell r="D638" t="str">
            <v>409 NETMED SDP</v>
          </cell>
          <cell r="E638" t="str">
            <v>Rafiq Star Complex Bazar Road  , Ramanagar , Ramu Circle Channapatna  , CHANNAPATNA , 562160</v>
          </cell>
          <cell r="F638" t="str">
            <v>9. EPC Ready</v>
          </cell>
        </row>
        <row r="639">
          <cell r="C639" t="str">
            <v>NETMMQBRQ00</v>
          </cell>
          <cell r="D639" t="str">
            <v>409 NETMED SDP</v>
          </cell>
          <cell r="E639" t="str">
            <v>GF Sy No 1030 Sheet No 89 PH No 11  , Takli in Majisainik Swatantra CHS , Ward No 253 Plot No 1 Mouza Zingabai  , NAGPUR , 440013</v>
          </cell>
          <cell r="F639" t="str">
            <v>9. EPC Ready</v>
          </cell>
        </row>
        <row r="640">
          <cell r="C640" t="str">
            <v>NETMVQDZM00</v>
          </cell>
          <cell r="D640" t="str">
            <v>409 NETMED SDP</v>
          </cell>
          <cell r="E640" t="str">
            <v>Ms Alikaa Private Limited Kgm Plaza Opp  , Chittur Palakkad Kerala , Mini Civil Station Kacherimedu Po  , CHITTUR-THATHA , 678101</v>
          </cell>
          <cell r="F640" t="str">
            <v>9. EPC Ready</v>
          </cell>
        </row>
        <row r="641">
          <cell r="C641" t="str">
            <v>NETMFQ3I200</v>
          </cell>
          <cell r="D641" t="str">
            <v>409 NETMED SDP</v>
          </cell>
          <cell r="E641" t="str">
            <v>Gf Dag No 449 &amp; 450  , Town Iv Part Mouza Joypur Naharkatia , Under Patta No 266 Village Naharkatia  , DIBRUGARH , 786610</v>
          </cell>
          <cell r="F641" t="str">
            <v>9. EPC Ready</v>
          </cell>
        </row>
        <row r="642">
          <cell r="C642" t="str">
            <v>NETMAQ8FT00</v>
          </cell>
          <cell r="D642" t="str">
            <v>409 NETMED SDP</v>
          </cell>
          <cell r="E642" t="str">
            <v>GF, Ward No. 1, Brahmin street  , Dist: ellore , Nayudupeta Town &amp; mandal  , Nellore , 524126</v>
          </cell>
          <cell r="F642" t="str">
            <v>9. EPC Ready</v>
          </cell>
        </row>
        <row r="643">
          <cell r="C643" t="str">
            <v>NETMMQF3H00</v>
          </cell>
          <cell r="D643" t="str">
            <v>409 NETMED SDP</v>
          </cell>
          <cell r="E643" t="str">
            <v>Ground Floor CTS No425/B Laxshmi Nagar  , Nandurbar , Tal &amp; dist. Nandurbar  , Nandurbar , 425412</v>
          </cell>
          <cell r="F643" t="str">
            <v>9. EPC Ready</v>
          </cell>
        </row>
        <row r="644">
          <cell r="C644" t="str">
            <v>NETMTQB4O00</v>
          </cell>
          <cell r="D644" t="str">
            <v>409 NETMED SDP</v>
          </cell>
          <cell r="E644" t="str">
            <v>GF Xaviers Building Medavilagam  ,  , Kollamcode Choozhat Kanyakumari  , CHOOZHAL , 629160</v>
          </cell>
          <cell r="F644" t="str">
            <v>9. EPC Ready</v>
          </cell>
        </row>
        <row r="645">
          <cell r="C645" t="str">
            <v>NETMVQC6C00</v>
          </cell>
          <cell r="D645" t="str">
            <v>409 NETMED SDP</v>
          </cell>
          <cell r="E645" t="str">
            <v>Loveshore 20 937  , P O Charala Kottayam , Erumeli  , ERUMELI SOUTH , 686509</v>
          </cell>
          <cell r="F645" t="str">
            <v>9. EPC Ready</v>
          </cell>
        </row>
        <row r="646">
          <cell r="C646" t="str">
            <v>NETMKQBUU00</v>
          </cell>
          <cell r="D646" t="str">
            <v>409 NETMED SDP</v>
          </cell>
          <cell r="E646" t="str">
            <v>Property No 13 1 28 32 1 Cmc No 850209  , Malipatil Nursing Home Opp Kle School , Cs No 6677 9 1 Opp Jt College Rd Nr  , Gadag , 582101</v>
          </cell>
          <cell r="F646" t="str">
            <v>8. WIP</v>
          </cell>
        </row>
        <row r="647">
          <cell r="C647" t="str">
            <v>NETMKQB3X00</v>
          </cell>
          <cell r="D647" t="str">
            <v>409 NETMED SDP</v>
          </cell>
          <cell r="E647" t="str">
            <v>Sadashiv Nadavalagudda Complex  , Gadag Betageri , Kalasapura Nandishwar Nagatr  , Gadag , 582103</v>
          </cell>
          <cell r="F647" t="str">
            <v>7. YTS</v>
          </cell>
        </row>
        <row r="648">
          <cell r="C648" t="str">
            <v>NETMTQBXT00</v>
          </cell>
          <cell r="D648" t="str">
            <v>409 NETMED SDP</v>
          </cell>
          <cell r="E648" t="str">
            <v>Husain Building 1St Cross Road Ezhil  , Medicals Hosur Krishnagiri , Nagar Begepalli Sri Vinayaka  , HOSUR , 635109</v>
          </cell>
          <cell r="F648" t="str">
            <v>9. EPC Ready</v>
          </cell>
        </row>
        <row r="649">
          <cell r="C649" t="str">
            <v>NETMKQECT00</v>
          </cell>
          <cell r="D649" t="str">
            <v>409 NETMED SDP</v>
          </cell>
          <cell r="E649" t="str">
            <v>Ms Al Znk Aprtment Katha No29 5005 06 07  , Park Bengeri Off Sulla road Hubli , Plot No 279 280 281 Rs No 10 11 Manoj  , HUBLI , 580023</v>
          </cell>
          <cell r="F649" t="str">
            <v>9. EPC Ready</v>
          </cell>
        </row>
        <row r="650">
          <cell r="C650" t="str">
            <v>NETMTQB2A00</v>
          </cell>
          <cell r="D650" t="str">
            <v>409 NETMED SDP</v>
          </cell>
          <cell r="E650" t="str">
            <v>GF, PSK Nagar, Vandavasi Main Road  , Dist - Kancheepuram , Collector Office Line, Sevillimedu  , KANCHEEPURAM , 631502</v>
          </cell>
          <cell r="F650" t="str">
            <v>9. EPC Ready</v>
          </cell>
        </row>
        <row r="651">
          <cell r="C651" t="str">
            <v>NETMMQD1I00</v>
          </cell>
          <cell r="D651" t="str">
            <v>409 NETMED SDP</v>
          </cell>
          <cell r="E651" t="str">
            <v>GF Plot No 2 3 4 Survey No 309 AB  , Opp Indo Line Furniture , Ambad link Road Near Inda line Furniture , Nashik , Nashik , 422008</v>
          </cell>
          <cell r="F651" t="str">
            <v>9. EPC Ready</v>
          </cell>
        </row>
        <row r="652">
          <cell r="C652" t="str">
            <v>NETMMQBIR00</v>
          </cell>
          <cell r="D652" t="str">
            <v>409 NETMED SDP</v>
          </cell>
          <cell r="E652" t="str">
            <v>Plot No 21 Survey No 29 4 Kalpatru Nagar  , Ashoka Marg Nashik , Near Idbi Bank Atm  , Nashik , 422009</v>
          </cell>
          <cell r="F652" t="str">
            <v>9. EPC Ready</v>
          </cell>
        </row>
        <row r="653">
          <cell r="C653" t="str">
            <v>NETMRQBPA00</v>
          </cell>
          <cell r="D653" t="str">
            <v>409 NETMED SDP</v>
          </cell>
          <cell r="E653" t="str">
            <v>Miraj Developers Ltd Plot No 1  , Nathdwara , Ajmer Road Near Lal Bagh  , NATHDWARA , 313301</v>
          </cell>
          <cell r="F653" t="str">
            <v>9. EPC Ready</v>
          </cell>
        </row>
        <row r="654">
          <cell r="C654" t="str">
            <v>NETMVQB1G00</v>
          </cell>
          <cell r="D654" t="str">
            <v>409 NETMED SDP</v>
          </cell>
          <cell r="E654" t="str">
            <v>Satvikam Arcade Opp to Siva Parvathy  , Kottayam , Temple Mariapalli Natakom PO  , Nattakom , 686013</v>
          </cell>
          <cell r="F654" t="str">
            <v>13. NRFC</v>
          </cell>
        </row>
        <row r="655">
          <cell r="C655" t="str">
            <v>NETMFQGQM00</v>
          </cell>
          <cell r="D655" t="str">
            <v>409 NETMED SDP</v>
          </cell>
          <cell r="E655" t="str">
            <v>Gf Dag No 30 Under Patta No 5  , Revenue Circle Mouza Dhupabor , Simaluguri Town Bordowarmukh Revenu  , NAZIRA , 785685</v>
          </cell>
          <cell r="F655" t="str">
            <v>9. EPC Ready</v>
          </cell>
        </row>
        <row r="656">
          <cell r="C656" t="str">
            <v>NETMVQB7U00</v>
          </cell>
          <cell r="D656" t="str">
            <v>409 NETMED SDP</v>
          </cell>
          <cell r="E656" t="str">
            <v>Rj Complex Keeliyode Perumazhuthoor  , Thiruvananthapuram , Po Neyyattinkara  , NEYYATTINKARA , 695126</v>
          </cell>
          <cell r="F656" t="str">
            <v>14. Dropped</v>
          </cell>
        </row>
        <row r="657">
          <cell r="C657" t="str">
            <v>NETMAQ6RF00</v>
          </cell>
          <cell r="D657" t="str">
            <v>409 NETMED SDP</v>
          </cell>
          <cell r="E657" t="str">
            <v>GF FF RRR Complex Sy No791 2 OppDSP  , Dist Prakasam , Office Podili Road Darsi  , DARSI , 523247</v>
          </cell>
          <cell r="F657" t="str">
            <v>9. EPC Ready</v>
          </cell>
        </row>
        <row r="658">
          <cell r="C658" t="str">
            <v>NETMAQCXP00</v>
          </cell>
          <cell r="D658" t="str">
            <v>409 NETMED SDP</v>
          </cell>
          <cell r="E658" t="str">
            <v>Sri Lakshmi Talkies  , Medarmetla , Near Ysr Circle  , Medarametla , 523212</v>
          </cell>
          <cell r="F658" t="str">
            <v>11. HOLD</v>
          </cell>
        </row>
        <row r="659">
          <cell r="C659" t="str">
            <v>NETMAQ7Z800</v>
          </cell>
          <cell r="D659" t="str">
            <v>409 NETMED SDP</v>
          </cell>
          <cell r="E659" t="str">
            <v>Murali Complex Pakala  ,  , Andhra Pradesh  , PAKALA , 517112</v>
          </cell>
          <cell r="F659" t="str">
            <v>11. HOLD</v>
          </cell>
        </row>
        <row r="660">
          <cell r="C660" t="str">
            <v>NETMVQBMJ00</v>
          </cell>
          <cell r="D660" t="str">
            <v>409 NETMED SDP</v>
          </cell>
          <cell r="E660" t="str">
            <v>Sanafa Complex Building No Xi 490 507  , Po Palakkad , Mannarkad Main Road Mannarkad  , MANNARKAD-I , 678582</v>
          </cell>
          <cell r="F660" t="str">
            <v>14. Dropped</v>
          </cell>
        </row>
        <row r="661">
          <cell r="C661" t="str">
            <v>NETMVQC6B00</v>
          </cell>
          <cell r="D661" t="str">
            <v>409 NETMED SDP</v>
          </cell>
          <cell r="E661" t="str">
            <v>Kunnummal Tower  , Pandikkad Po Pandikkad , Opposite Indian Oil Pump  , Pandikkad , 676521</v>
          </cell>
          <cell r="F661" t="str">
            <v>14. Dropped</v>
          </cell>
        </row>
        <row r="662">
          <cell r="C662" t="str">
            <v>NETMWQBOF00</v>
          </cell>
          <cell r="D662" t="str">
            <v>409 NETMED SDP</v>
          </cell>
          <cell r="E662" t="str">
            <v>GF Panskura Municipality JL No 86 Mouza  , Khatian No1401 PS Block &amp; ADSRO Panskura , Balidangri LR Plot No 1381 &amp; 1383 LR  , Panskura , 721152</v>
          </cell>
          <cell r="F662" t="str">
            <v>9. EPC Ready</v>
          </cell>
        </row>
        <row r="663">
          <cell r="C663" t="str">
            <v>NETMOQBQF00</v>
          </cell>
          <cell r="D663" t="str">
            <v>409 NETMED SDP</v>
          </cell>
          <cell r="E663" t="str">
            <v>Old Sbi Building Keshab Nagar Lanjipalli  , Ganjam , Main Road Near Sbi Berhampur Ganjam  , BRAHMAPUR , 761200</v>
          </cell>
          <cell r="F663" t="str">
            <v>9. EPC Ready</v>
          </cell>
        </row>
        <row r="664">
          <cell r="C664" t="str">
            <v>NETMVQ9X500</v>
          </cell>
          <cell r="D664" t="str">
            <v>409 NETMED SDP</v>
          </cell>
          <cell r="E664" t="str">
            <v>Opp South Indian Bank Pullad Road  , Pathanamthitta District 689544 , Vennikkulam Junction Vennikulam Po  , PATHANAMTHITTA , 689544</v>
          </cell>
          <cell r="F664" t="str">
            <v>9. EPC Ready</v>
          </cell>
        </row>
        <row r="665">
          <cell r="C665" t="str">
            <v>NETMVQ9X600</v>
          </cell>
          <cell r="D665" t="str">
            <v>409 NETMED SDP</v>
          </cell>
          <cell r="E665" t="str">
            <v>SP Pharma PKD Commercial Pathanamthitta</v>
          </cell>
          <cell r="F665" t="str">
            <v>9. EPC Ready</v>
          </cell>
        </row>
        <row r="666">
          <cell r="C666" t="str">
            <v>NETM9QB4F00</v>
          </cell>
          <cell r="D666" t="str">
            <v>409 NETMED SDP</v>
          </cell>
          <cell r="E666" t="str">
            <v>Sco No 8 14 15 Near Lic Office Saili  , Pathankot , Road Near Income Tax Office  , PATHANKOT , 145001</v>
          </cell>
          <cell r="F666" t="str">
            <v>9. EPC Ready</v>
          </cell>
        </row>
        <row r="667">
          <cell r="C667" t="str">
            <v>NETMBQ4EV00</v>
          </cell>
          <cell r="D667" t="str">
            <v>409 NETMED SDP</v>
          </cell>
          <cell r="E667" t="str">
            <v>GF, Kamla Kishori Market, Bilozpura  , Khata No 110/20/26, Revenue Thana No 17 , Plot No 2433/2434/2435/318 , Sadikpur, PS - Alamganj, Dist - Patna , PATNA , 800007</v>
          </cell>
          <cell r="F667" t="str">
            <v>9. EPC Ready</v>
          </cell>
        </row>
        <row r="668">
          <cell r="C668" t="str">
            <v>NETMBQDPA00</v>
          </cell>
          <cell r="D668" t="str">
            <v>409 NETMED SDP</v>
          </cell>
          <cell r="E668" t="str">
            <v>GF Manoram Niwas Plot No 323 324 Khata  , Gaya , No 121 Revenue Thana No 301 Village , Jaynandan Bigha PS Tekari Dist Gaya , TIKARI , 824236</v>
          </cell>
          <cell r="F668" t="str">
            <v>9. EPC Ready</v>
          </cell>
        </row>
        <row r="669">
          <cell r="C669" t="str">
            <v>NETMKQB3Z00</v>
          </cell>
          <cell r="D669" t="str">
            <v>409 NETMED SDP</v>
          </cell>
          <cell r="E669" t="str">
            <v>Property bearing No 7 482BB Bearing Asse  , No 7 Oppsite To MGSV Engineer College , sment No 1697 Kollegala City South Ward  , KOLLEGAL , 571440</v>
          </cell>
          <cell r="F669" t="str">
            <v>9. EPC Ready</v>
          </cell>
        </row>
        <row r="670">
          <cell r="C670" t="str">
            <v>NETMBQLCC00</v>
          </cell>
          <cell r="D670" t="str">
            <v>409 NETMED SDP</v>
          </cell>
          <cell r="E670" t="str">
            <v>Gf Pandooi Prasth Plot No 1045 Khata  , Saidpur Pulwarisharif Dist Patna , No 358 Revenue Thana No 51 Mauza  , PHULWARIA , 801501</v>
          </cell>
          <cell r="F670" t="str">
            <v>9. EPC Ready</v>
          </cell>
        </row>
        <row r="671">
          <cell r="C671" t="str">
            <v>NETMBQ3M400</v>
          </cell>
          <cell r="D671" t="str">
            <v>409 NETMED SDP</v>
          </cell>
          <cell r="E671" t="str">
            <v>Gf Plot No 1227 Khata No 105  , Kumrahar P S , Revenue Thana No 12 Mauza  , SULTANGANJ , 800026</v>
          </cell>
          <cell r="F671" t="str">
            <v>9. EPC Ready</v>
          </cell>
        </row>
        <row r="672">
          <cell r="C672" t="str">
            <v>NETMWQB1C00</v>
          </cell>
          <cell r="D672" t="str">
            <v>409 NETMED SDP</v>
          </cell>
          <cell r="E672" t="str">
            <v>Payradanga Main Road Vill PO Pritinagar  , Nadia , PS Ranaghat Payradanga  , Payradanga , 741247</v>
          </cell>
          <cell r="F672" t="str">
            <v>14. Dropped</v>
          </cell>
        </row>
        <row r="673">
          <cell r="C673" t="str">
            <v>NETMAQ7Z300</v>
          </cell>
          <cell r="D673" t="str">
            <v>409 NETMED SDP</v>
          </cell>
          <cell r="E673" t="str">
            <v>Old Sbi Building Old Govt Hospital Road  , Peddapuram , Near Hanuman Temple Junction  , PEDDAPURAM , 533437</v>
          </cell>
          <cell r="F673" t="str">
            <v>9. EPC Ready</v>
          </cell>
        </row>
        <row r="674">
          <cell r="C674" t="str">
            <v>NETMVQCEZ00</v>
          </cell>
          <cell r="D674" t="str">
            <v>409 NETMED SDP</v>
          </cell>
          <cell r="E674" t="str">
            <v>Shamil Tower Opposite Federal Bank  ,  , Kizhakethala Karuvarukund Malappuram  , PERINTHALMANNA , 676523</v>
          </cell>
          <cell r="F674" t="str">
            <v>13. NRFC</v>
          </cell>
        </row>
        <row r="675">
          <cell r="C675" t="str">
            <v>NETMTQB8E00</v>
          </cell>
          <cell r="D675" t="str">
            <v>409 NETMED SDP</v>
          </cell>
          <cell r="E675" t="str">
            <v>GF Reliance Smart Point No 215/33  , Dist - Erode , Bhavani Road Vadapuram Perundurai  , ERODE , 638052</v>
          </cell>
          <cell r="F675" t="str">
            <v>9. EPC Ready</v>
          </cell>
        </row>
        <row r="676">
          <cell r="C676" t="str">
            <v>NETMKQB3O00</v>
          </cell>
          <cell r="D676" t="str">
            <v>409 NETMED SDP</v>
          </cell>
          <cell r="E676" t="str">
            <v>Gavisiddappa Banikatti Gadag Road  , Koppal , Ward No 21 Next To Patanjali  , KOPPAL , 583231</v>
          </cell>
          <cell r="F676" t="str">
            <v>7. YTS</v>
          </cell>
        </row>
        <row r="677">
          <cell r="C677" t="str">
            <v>NETMVQDCH00</v>
          </cell>
          <cell r="D677" t="str">
            <v>409 NETMED SDP</v>
          </cell>
          <cell r="E677" t="str">
            <v>Cs Building  , Vilapisala Trivandrum , Market Junction  , Thiruvananthap , 695573</v>
          </cell>
          <cell r="F677" t="str">
            <v>14. Dropped</v>
          </cell>
        </row>
        <row r="678">
          <cell r="C678" t="str">
            <v>NETMTQ3M100</v>
          </cell>
          <cell r="D678" t="str">
            <v>409 NETMED SDP</v>
          </cell>
          <cell r="E678" t="str">
            <v>Gf Chinnathambi Nadar Thottam  , Dist Thoothukudi , Manthithoppu Road Kovilpatti  , KOVILPATTI , 628501</v>
          </cell>
          <cell r="F678" t="str">
            <v>9. EPC Ready</v>
          </cell>
        </row>
        <row r="679">
          <cell r="C679" t="str">
            <v>NETMTQOQL00</v>
          </cell>
          <cell r="D679" t="str">
            <v>409 NETMED SDP</v>
          </cell>
          <cell r="E679" t="str">
            <v>Ground Floor S R Bulding Nol351/3 Reddy  , Kurinjipadi Cuddalore , Street Kurinjipadi Cuddalore  , Kurinijipadi , 607302</v>
          </cell>
          <cell r="F679" t="str">
            <v>9. EPC Ready</v>
          </cell>
        </row>
        <row r="680">
          <cell r="C680" t="str">
            <v>NETMHQGIB00</v>
          </cell>
          <cell r="D680" t="str">
            <v>409 NETMED SDP</v>
          </cell>
          <cell r="E680" t="str">
            <v>Singh Building Sk Road  , Yamunanagar , Near Pwd Office Radaur  , RADAUR , 135133</v>
          </cell>
          <cell r="F680" t="str">
            <v>10. Launched</v>
          </cell>
        </row>
        <row r="681">
          <cell r="C681" t="str">
            <v>NETMTQBWW00</v>
          </cell>
          <cell r="D681" t="str">
            <v>409 NETMED SDP</v>
          </cell>
          <cell r="E681" t="str">
            <v>Mrs M Santhi Ms Towers Door No 4 Koranad  , Mayiladuthurai , Bazzar Street East Mg Road Kavara Street  , MAYILADUTHURAI , 609001</v>
          </cell>
          <cell r="F681" t="str">
            <v>9. EPC Ready</v>
          </cell>
        </row>
        <row r="682">
          <cell r="C682" t="str">
            <v>NETMTQB2U00</v>
          </cell>
          <cell r="D682" t="str">
            <v>409 NETMED SDP</v>
          </cell>
          <cell r="E682" t="str">
            <v>GF, Reliance Smart Point, Vishnu Arcade  , Bothside Buildings, Rajapalayam , No 80, Mudangiar Road , Dist - Virudhunagar , RAJAPALAYAM , 626117</v>
          </cell>
          <cell r="F682" t="str">
            <v>9. EPC Ready</v>
          </cell>
        </row>
        <row r="683">
          <cell r="C683" t="str">
            <v>NETM9QB2F00</v>
          </cell>
          <cell r="D683" t="str">
            <v>409 NETMED SDP</v>
          </cell>
          <cell r="E683" t="str">
            <v>GF Batheja Complex Plot No 16 17 18 Opp  , No 194347 Vill Nelpur Tehsil Rajpura , New Grain Market Khasra No 291322 Khatta , Dist Patiala , RAJPURA , 140401</v>
          </cell>
          <cell r="F683" t="str">
            <v>9. EPC Ready</v>
          </cell>
        </row>
        <row r="684">
          <cell r="C684" t="str">
            <v>NETM9QFZJ00</v>
          </cell>
          <cell r="D684" t="str">
            <v>409 NETMED SDP</v>
          </cell>
          <cell r="E684" t="str">
            <v>Jasvinder Complex Block No 14 F7 9  , Road Rajpura Patiala , Gurudwara Singh Sabha  , RAJPURA , 140401</v>
          </cell>
          <cell r="F684" t="str">
            <v>9. EPC Ready</v>
          </cell>
        </row>
        <row r="685">
          <cell r="C685" t="str">
            <v>NETMBQEDC00</v>
          </cell>
          <cell r="D685" t="str">
            <v>409 NETMED SDP</v>
          </cell>
          <cell r="E685" t="str">
            <v>Ashfaque Ahmad Brm Complex City  , West Champaran , Ramnagar Dist  , RAMNAGAR KARAR , 845106</v>
          </cell>
          <cell r="F685" t="str">
            <v>9. EPC Ready</v>
          </cell>
        </row>
        <row r="686">
          <cell r="C686" t="str">
            <v>NETMTQECS00</v>
          </cell>
          <cell r="D686" t="str">
            <v>409 NETMED SDP</v>
          </cell>
          <cell r="E686" t="str">
            <v>Aj Complex Door No 5 574A2  , Mettupalayam Coimbatore District , Chickadasampalayam  , METTUPALAYAM , 641301</v>
          </cell>
          <cell r="F686" t="str">
            <v>9. EPC Ready</v>
          </cell>
        </row>
        <row r="687">
          <cell r="C687" t="str">
            <v>NETMWQF5I00</v>
          </cell>
          <cell r="D687" t="str">
            <v>409 NETMED SDP</v>
          </cell>
          <cell r="E687" t="str">
            <v>Sucha Singh Building Punjabi More Po  , Paschim Burdwan , Searsol Rajbari Ps Raniganj Raniganj  , RANIGANJ , 713358</v>
          </cell>
          <cell r="F687" t="str">
            <v>14. Dropped</v>
          </cell>
        </row>
        <row r="688">
          <cell r="C688" t="str">
            <v>NETMTQB2P00</v>
          </cell>
          <cell r="D688" t="str">
            <v>409 NETMED SDP</v>
          </cell>
          <cell r="E688" t="str">
            <v>S F No 1 2De3 Thuraiyur Main Road Near  , Bunk Musiri Trichy , Sadasivam Pillai Petrol  , MUSIRI , 621211</v>
          </cell>
          <cell r="F688" t="str">
            <v>9. EPC Ready</v>
          </cell>
        </row>
        <row r="689">
          <cell r="C689" t="str">
            <v>NETMVQ8XD00</v>
          </cell>
          <cell r="D689" t="str">
            <v>409 NETMED SDP</v>
          </cell>
          <cell r="E689" t="str">
            <v>Chooralil Buildingpambakuda  ,  , Muvattupuzha  , ERNAKULAM , 682016</v>
          </cell>
          <cell r="F689" t="str">
            <v>9. EPC Ready</v>
          </cell>
        </row>
        <row r="690">
          <cell r="C690" t="str">
            <v>NETMBQBMU00</v>
          </cell>
          <cell r="D690" t="str">
            <v>409 NETMED SDP</v>
          </cell>
          <cell r="E690" t="str">
            <v>GF Abdul Matin Market Plot No 88 - 92  , Mauza-Pandarpur, PS-Rauta, Dist-Purnea , Khata No 18, Revenue Thana No 67  , RAUTA , 854315</v>
          </cell>
          <cell r="F690" t="str">
            <v>9. EPC Ready</v>
          </cell>
        </row>
        <row r="691">
          <cell r="C691" t="str">
            <v>NETMFQFWM00</v>
          </cell>
          <cell r="D691" t="str">
            <v>409 NETMED SDP</v>
          </cell>
          <cell r="E691" t="str">
            <v>GF, Dag No142, Under Patta No 68  , Mouza - Saidoria, Dist - Nagaon , Phakoli, Revenue Circle Rupohi,  , RUPAHI TOWN , 782125</v>
          </cell>
          <cell r="F691" t="str">
            <v>9. EPC Ready</v>
          </cell>
        </row>
        <row r="692">
          <cell r="C692" t="str">
            <v>NETMWQBSH00</v>
          </cell>
          <cell r="D692" t="str">
            <v>409 NETMED SDP</v>
          </cell>
          <cell r="E692" t="str">
            <v>Kandi Katwa Road  , Mursidabad , Village Po Ps Salar  , SALAR , 742401</v>
          </cell>
          <cell r="F692" t="str">
            <v>9. EPC Ready</v>
          </cell>
        </row>
        <row r="693">
          <cell r="C693" t="str">
            <v>NETMWQGFU00</v>
          </cell>
          <cell r="D693" t="str">
            <v>409 NETMED SDP</v>
          </cell>
          <cell r="E693" t="str">
            <v>GF  Plot no 1/480 khatian No30/3 in  , SalboniADSR -Anandpur under sabloni , Mouza- Chakatrini  JL -401 Block&amp; PO &amp;PS  , Salboni , 721147</v>
          </cell>
          <cell r="F693" t="str">
            <v>9. EPC Ready</v>
          </cell>
        </row>
        <row r="694">
          <cell r="C694" t="str">
            <v>NETMBQ8E200</v>
          </cell>
          <cell r="D694" t="str">
            <v>409 NETMED SDP</v>
          </cell>
          <cell r="E694" t="str">
            <v>GF Khata No 572 New Khesra No 9184  , Bibhutipur Samastipur , Shivnathpur Singhia Buzurg Singhiaghat  , SAMASTIPUR , 848236</v>
          </cell>
          <cell r="F694" t="str">
            <v>14. Dropped</v>
          </cell>
        </row>
        <row r="695">
          <cell r="C695" t="str">
            <v>NETMOQ6MH00</v>
          </cell>
          <cell r="D695" t="str">
            <v>409 NETMED SDP</v>
          </cell>
          <cell r="E695" t="str">
            <v>GF  Plot no  1785 1786 &amp; 1787 2160  , Tahasil &amp; PS  Kuchinda  Mouza , Khata no 404 548  Near Canara bank , Bypass road Dist Sambalpur Kuchinda town , SAMBALPUR , 768222</v>
          </cell>
          <cell r="F695" t="str">
            <v>14. Dropped</v>
          </cell>
        </row>
        <row r="696">
          <cell r="C696" t="str">
            <v>NETMOQC8N00</v>
          </cell>
          <cell r="D696" t="str">
            <v>409 NETMED SDP</v>
          </cell>
          <cell r="E696" t="str">
            <v>GF, Koshal Imperial, At khetrarajpur,   , Mouza- Sambalpur town unit 9 Talabhata , plot no. 1067, Khata no. 122,  , Near HDFC bank PO,PS,Tahasil &amp; Dist. , SAMBALPUR , 768003</v>
          </cell>
          <cell r="F696" t="str">
            <v>9. EPC Ready</v>
          </cell>
        </row>
        <row r="697">
          <cell r="C697" t="str">
            <v>NETMGQ1U800</v>
          </cell>
          <cell r="D697" t="str">
            <v>409 NETMED SDP</v>
          </cell>
          <cell r="E697" t="str">
            <v>Eklingji Parisar Shop No Gf 5 To 17  , Sanand , Near Eklingji Temple Eklingji Road  , AHMEDABAD , 382110</v>
          </cell>
          <cell r="F697" t="str">
            <v>9. EPC Ready</v>
          </cell>
        </row>
        <row r="698">
          <cell r="C698" t="str">
            <v>NETMMQEDY00</v>
          </cell>
          <cell r="D698" t="str">
            <v>409 NETMED SDP</v>
          </cell>
          <cell r="E698" t="str">
            <v>GF Sr No 2557 1 To 9  , Miraj Dist Sangli , Miraj Taluka  , Miraj , 416410</v>
          </cell>
          <cell r="F698" t="str">
            <v>9. EPC Ready</v>
          </cell>
        </row>
        <row r="699">
          <cell r="C699" t="str">
            <v>NETM9QGQH00</v>
          </cell>
          <cell r="D699" t="str">
            <v>409 NETMED SDP</v>
          </cell>
          <cell r="E699" t="str">
            <v>Gf Verma Complex Collage Road  , SANGRUR , Opp Bullet Agency  , SANGRUR , 148001</v>
          </cell>
          <cell r="F699" t="str">
            <v>9. EPC Ready</v>
          </cell>
        </row>
        <row r="700">
          <cell r="C700" t="str">
            <v>NETMWQBVS00</v>
          </cell>
          <cell r="D700" t="str">
            <v>409 NETMED SDP</v>
          </cell>
          <cell r="E700" t="str">
            <v>Anandamoyee Para  , Nadia , Po Santipur Ps Santipur  , SANTIPUR , 741404</v>
          </cell>
          <cell r="F700" t="str">
            <v>14. Dropped</v>
          </cell>
        </row>
        <row r="701">
          <cell r="C701" t="str">
            <v>NETMMQEEL00</v>
          </cell>
          <cell r="D701" t="str">
            <v>409 NETMED SDP</v>
          </cell>
          <cell r="E701" t="str">
            <v>Plot No.4 and 9 Survey No.230 Pawade  , Distt Parbhani , complex Vill-selu Tal-Selu Dist-Parbhani  ,  Selu , 431503</v>
          </cell>
          <cell r="F701" t="str">
            <v>9. EPC Ready</v>
          </cell>
        </row>
        <row r="702">
          <cell r="C702" t="str">
            <v>NETMVQDCM00</v>
          </cell>
          <cell r="D702" t="str">
            <v>409 NETMED SDP</v>
          </cell>
          <cell r="E702" t="str">
            <v>SP PHARMA Durga Tower Peyadu</v>
          </cell>
          <cell r="F702" t="str">
            <v>9. EPC Ready</v>
          </cell>
        </row>
        <row r="703">
          <cell r="C703" t="str">
            <v>NETMTQBYF00</v>
          </cell>
          <cell r="D703" t="str">
            <v>409 NETMED SDP</v>
          </cell>
          <cell r="E703" t="str">
            <v>Ganesh Building Pallipattu Main Road  , Podhaturpettai Tiruvallur , Savottur Bus Stop  , PODHATURPETTAI , 631208</v>
          </cell>
          <cell r="F703" t="str">
            <v>9. EPC Ready</v>
          </cell>
        </row>
        <row r="704">
          <cell r="C704" t="str">
            <v>NETMIQSEE00</v>
          </cell>
          <cell r="D704" t="str">
            <v>409 NETMED SDP</v>
          </cell>
          <cell r="E704" t="str">
            <v>Parashar Complex Rehlu Road  , Shahpur Kangra , Near Mini Secretariat  , SHAHPUR , 176206</v>
          </cell>
          <cell r="F704" t="str">
            <v>9. EPC Ready</v>
          </cell>
        </row>
        <row r="705">
          <cell r="C705" t="str">
            <v>NETM8QBVD00</v>
          </cell>
          <cell r="D705" t="str">
            <v>409 NETMED SDP</v>
          </cell>
          <cell r="E705" t="str">
            <v>Om Sakthi Complex Lawspet Main Road  , Devasthanam Pondicherry , Srimath Guru Sithanandha Swamikal  , Pondicherry , 605008</v>
          </cell>
          <cell r="F705" t="str">
            <v>9. EPC Ready</v>
          </cell>
        </row>
        <row r="706">
          <cell r="C706" t="str">
            <v>NETMWQGIK00</v>
          </cell>
          <cell r="D706" t="str">
            <v>409 NETMED SDP</v>
          </cell>
          <cell r="E706" t="str">
            <v>Ornate Complex Na Vill Bidhan Nagar Po  , Siliguri Darjeeling , Bidhan Nagar Ps Phansidewa  , SILIGURI , 734425</v>
          </cell>
          <cell r="F706" t="str">
            <v>9. EPC Ready</v>
          </cell>
        </row>
        <row r="707">
          <cell r="C707" t="str">
            <v>NETMQQBWO00</v>
          </cell>
          <cell r="D707" t="str">
            <v>409 NETMED SDP</v>
          </cell>
          <cell r="E707" t="str">
            <v>Koushar Complex Rourkela Gumla Road  , Simdega , Main Rd Khairantoli Near Petrol Pump  , SIMDEGA , 835223</v>
          </cell>
          <cell r="F707" t="str">
            <v>14. Dropped</v>
          </cell>
        </row>
        <row r="708">
          <cell r="C708" t="str">
            <v>NETM9QB7J00</v>
          </cell>
          <cell r="D708" t="str">
            <v>409 NETMED SDP</v>
          </cell>
          <cell r="E708" t="str">
            <v>SP Pharma Jaggi Complex Sirhind</v>
          </cell>
          <cell r="F708" t="str">
            <v>9. EPC Ready</v>
          </cell>
        </row>
        <row r="709">
          <cell r="C709" t="str">
            <v>NETMTQFYM00</v>
          </cell>
          <cell r="D709" t="str">
            <v>409 NETMED SDP</v>
          </cell>
          <cell r="E709" t="str">
            <v>GF Annai Fatima Complex East Coast Raod  , Pudupattinam Chengalpattu , Opp To Peter England Showroom  , PUDUPATTINAM , 603102</v>
          </cell>
          <cell r="F709" t="str">
            <v>9. EPC Ready</v>
          </cell>
        </row>
        <row r="710">
          <cell r="C710" t="str">
            <v>NETMKQF4P00</v>
          </cell>
          <cell r="D710" t="str">
            <v>409 NETMED SDP</v>
          </cell>
          <cell r="E710" t="str">
            <v>Shankar Reddy  , Raichur , Vasavi Nagar Near Bustand  , RAICHUR , 584101</v>
          </cell>
          <cell r="F710" t="str">
            <v>9. EPC Ready</v>
          </cell>
        </row>
        <row r="711">
          <cell r="C711" t="str">
            <v>NETMBQDPZ00</v>
          </cell>
          <cell r="D711" t="str">
            <v>409 NETMED SDP</v>
          </cell>
          <cell r="E711" t="str">
            <v>Chandrakant Sharma Sanjay Sharma Parsaur  , Parsauni Sitamarhi , Mairwa Nh 104 Shivhar Sitamarhi Road  , SITAMARHI , 843314</v>
          </cell>
          <cell r="F711" t="str">
            <v>9. EPC Ready</v>
          </cell>
        </row>
        <row r="712">
          <cell r="C712" t="str">
            <v>NETMBQORQ00</v>
          </cell>
          <cell r="D712" t="str">
            <v>409 NETMED SDP</v>
          </cell>
          <cell r="E712" t="str">
            <v>GF Sundarkabhawan Khata No 294 SyNo 889  , Thana No 315 Circle Dumra Thana &amp; , Tauzi No 8287 Rakba 10 Mouza - Rajopatti , Dist - Sitamarhi , SITAMARHI , 843302</v>
          </cell>
          <cell r="F712" t="str">
            <v>14. Dropped</v>
          </cell>
        </row>
        <row r="713">
          <cell r="C713" t="str">
            <v>NETMBQCTM00</v>
          </cell>
          <cell r="D713" t="str">
            <v>409 NETMED SDP</v>
          </cell>
          <cell r="E713" t="str">
            <v>Byahut Bhavan Koat Bazar  ,  , Ward No 15 Sitamarhi Chakmahial  , SITAMARHI , 843302</v>
          </cell>
          <cell r="F713" t="str">
            <v>9. EPC Ready</v>
          </cell>
        </row>
        <row r="714">
          <cell r="C714" t="str">
            <v>NETMTQBPK00</v>
          </cell>
          <cell r="D714" t="str">
            <v>409 NETMED SDP</v>
          </cell>
          <cell r="E714" t="str">
            <v>SP Pharma PCN Complex Rasipuram</v>
          </cell>
          <cell r="F714" t="str">
            <v>9. EPC Ready</v>
          </cell>
        </row>
        <row r="715">
          <cell r="C715" t="str">
            <v>NETMTQ3I700</v>
          </cell>
          <cell r="D715" t="str">
            <v>409 NETMED SDP</v>
          </cell>
          <cell r="E715" t="str">
            <v>Gf No 4 197 1 Salem Road  , Dist Salem Tamil Nadu , Near Indian Oil Petrol Bunk  , SALEM , 636201</v>
          </cell>
          <cell r="F715" t="str">
            <v>9. EPC Ready</v>
          </cell>
        </row>
        <row r="716">
          <cell r="C716" t="str">
            <v>NETMKQEZF00</v>
          </cell>
          <cell r="D716" t="str">
            <v>409 NETMED SDP</v>
          </cell>
          <cell r="E716" t="str">
            <v>Property No 20 161 Old No 4 7 72  , Shahabad Chitapur Gulbarga , At Bharth Chowk Road Shahabad Rural  , SHAHABAD , 585228</v>
          </cell>
          <cell r="F716" t="str">
            <v>9. EPC Ready</v>
          </cell>
        </row>
        <row r="717">
          <cell r="C717" t="str">
            <v>NETMKQB4W00</v>
          </cell>
          <cell r="D717" t="str">
            <v>409 NETMED SDP</v>
          </cell>
          <cell r="E717" t="str">
            <v>GF Unit/shop OM VIJAYASHANKARA ARCADE  , Sury 82/1BBidar BengaRd Shahpur Yadgiri , Property Bearing 35-4-148(old No.64-74)  , SHAHPUR , 585223</v>
          </cell>
          <cell r="F717" t="str">
            <v>9. EPC Ready</v>
          </cell>
        </row>
        <row r="718">
          <cell r="C718" t="str">
            <v>NETMTQBYL00</v>
          </cell>
          <cell r="D718" t="str">
            <v>409 NETMED SDP</v>
          </cell>
          <cell r="E718" t="str">
            <v>Nirmala Arcade No 58 59  , Sirkali Mayiladurthurai , Thadalan South Street  , SIRKALI , 609110</v>
          </cell>
          <cell r="F718" t="str">
            <v>9. EPC Ready</v>
          </cell>
        </row>
        <row r="719">
          <cell r="C719" t="str">
            <v>NETMTQBZK00</v>
          </cell>
          <cell r="D719" t="str">
            <v>409 NETMED SDP</v>
          </cell>
          <cell r="E719" t="str">
            <v>Gk Complex Door No 452A East Mundakan  , Virudhunagar , Nadar Street Jakkamal Kovil Sivakasi  , SIVAKASI , 626123</v>
          </cell>
          <cell r="F719" t="str">
            <v>9. EPC Ready</v>
          </cell>
        </row>
        <row r="720">
          <cell r="C720" t="str">
            <v>NETMTQGFN00</v>
          </cell>
          <cell r="D720" t="str">
            <v>409 NETMED SDP</v>
          </cell>
          <cell r="E720" t="str">
            <v>SP Pharma 3H Enterprise THIRUKAZHIKUNDRA</v>
          </cell>
          <cell r="F720" t="str">
            <v>9. EPC Ready</v>
          </cell>
        </row>
        <row r="721">
          <cell r="C721" t="str">
            <v>NETMBQ6IL00</v>
          </cell>
          <cell r="D721" t="str">
            <v>409 NETMED SDP</v>
          </cell>
          <cell r="E721" t="str">
            <v>GF Khata no  3532  , Thana  Bajpatti  Dist  Sitamarhi , Village  Bangaon bazar  Thana no  108  , SITAMARHI , 843314</v>
          </cell>
          <cell r="F721" t="str">
            <v>9. EPC Ready</v>
          </cell>
        </row>
        <row r="722">
          <cell r="C722" t="str">
            <v>NETMTQBYO00</v>
          </cell>
          <cell r="D722" t="str">
            <v>409 NETMED SDP</v>
          </cell>
          <cell r="E722" t="str">
            <v>Rajeshwari Hotel No 879  , Thiruvotriyur Chennai , T H Road Rajakadai  , TIRUVOTTIYUR , 600019</v>
          </cell>
          <cell r="F722" t="str">
            <v>9. EPC Ready</v>
          </cell>
        </row>
        <row r="723">
          <cell r="C723" t="str">
            <v>NETMFQGQN00</v>
          </cell>
          <cell r="D723" t="str">
            <v>409 NETMED SDP</v>
          </cell>
          <cell r="E723" t="str">
            <v>Gf Dag No1239 Under Patta No 2  , Mahal Mouza West Jamuna Rd Revenue , 675 Vlg Sivasagar Town Oart 2 Under Ngr  , Sivasagar , 785640</v>
          </cell>
          <cell r="F723" t="str">
            <v>9. EPC Ready</v>
          </cell>
        </row>
        <row r="724">
          <cell r="C724" t="str">
            <v>NETMVQC7C00</v>
          </cell>
          <cell r="D724" t="str">
            <v>409 NETMED SDP</v>
          </cell>
          <cell r="E724" t="str">
            <v>Nv Mall Pariyapuram Po  , Tanur Malappuram , Near Tanur Bus Stand  , TANUR , 676302</v>
          </cell>
          <cell r="F724" t="str">
            <v>9. EPC Ready</v>
          </cell>
        </row>
        <row r="725">
          <cell r="C725" t="str">
            <v>NETMBQGIH00</v>
          </cell>
          <cell r="D725" t="str">
            <v>409 NETMED SDP</v>
          </cell>
          <cell r="E725" t="str">
            <v>Amrendra Niraj Gyanendra Niraj Shreeyati  , Mandir Pokhar Ke Pas Sonbarsa Sitamarhi , Anand Brothers Main Road Sonbarsa Ram  , SONBARSA , 843330</v>
          </cell>
          <cell r="F725" t="str">
            <v>14. Dropped</v>
          </cell>
        </row>
        <row r="726">
          <cell r="C726" t="str">
            <v>NETMOQBKB00</v>
          </cell>
          <cell r="D726" t="str">
            <v>409 NETMED SDP</v>
          </cell>
          <cell r="E726" t="str">
            <v>Center Point Soro  , Dist Balasore , Tahasil Asoro Po Ps Soro  , SORO , 756045</v>
          </cell>
          <cell r="F726" t="str">
            <v>9. EPC Ready</v>
          </cell>
        </row>
        <row r="727">
          <cell r="C727" t="str">
            <v>NETMOQBKG00</v>
          </cell>
          <cell r="D727" t="str">
            <v>409 NETMED SDP</v>
          </cell>
          <cell r="E727" t="str">
            <v>Saraswati Complex Behera Market Near  , Mahesdihi Po Ps Sundargarh , Jagannath Temple Infront Of Theame Park  , SUNDERGARH , 770001</v>
          </cell>
          <cell r="F727" t="str">
            <v>9. EPC Ready</v>
          </cell>
        </row>
        <row r="728">
          <cell r="C728" t="str">
            <v>NETMAQOWH00</v>
          </cell>
          <cell r="D728" t="str">
            <v>409 NETMED SDP</v>
          </cell>
          <cell r="E728" t="str">
            <v>Vijaya Lakshmi Property Opp Taluka  , Tadipatri Anantapur , Office RF Road  , TADPATRI , 515411</v>
          </cell>
          <cell r="F728" t="str">
            <v>9. EPC Ready</v>
          </cell>
        </row>
        <row r="729">
          <cell r="C729" t="str">
            <v>NETMBQ4FA00</v>
          </cell>
          <cell r="D729" t="str">
            <v>409 NETMED SDP</v>
          </cell>
          <cell r="E729" t="str">
            <v>Gf Plot No 1010 347 Khata No 45 278  , Ps Bangara Dist Samastipur , Revenue Thana No76 Mauza Harishankarp  , SAMASTIPUR , 848130</v>
          </cell>
          <cell r="F729" t="str">
            <v>9. EPC Ready</v>
          </cell>
        </row>
        <row r="730">
          <cell r="C730" t="str">
            <v>NETMAQ6KF00</v>
          </cell>
          <cell r="D730" t="str">
            <v>409 NETMED SDP</v>
          </cell>
          <cell r="E730" t="str">
            <v>SP Pharma Devi Mahal Tallarevu</v>
          </cell>
          <cell r="F730" t="str">
            <v>9. EPC Ready</v>
          </cell>
        </row>
        <row r="731">
          <cell r="C731" t="str">
            <v>NETMTQB7O00</v>
          </cell>
          <cell r="D731" t="str">
            <v>409 NETMED SDP</v>
          </cell>
          <cell r="E731" t="str">
            <v>GF, Nandha Arcade, No 6, 6/1,   , Near Punjab National Bank, Udumalpet,  , Yasodha Ramalingam Layout,  , Dist - Tiruppur, Tamil Nadu , UDUMALPET , 642126</v>
          </cell>
          <cell r="F731" t="str">
            <v>9. EPC Ready</v>
          </cell>
        </row>
        <row r="732">
          <cell r="C732" t="str">
            <v>NETMAQCXF00</v>
          </cell>
          <cell r="D732" t="str">
            <v>409 NETMED SDP</v>
          </cell>
          <cell r="E732" t="str">
            <v>Atyam Building 24 56 Main Road  , West Godavari , West Godavari  , PENUGONDA , 534320</v>
          </cell>
          <cell r="F732" t="str">
            <v>9. EPC Ready</v>
          </cell>
        </row>
        <row r="733">
          <cell r="C733" t="str">
            <v>NETMTQBRN00</v>
          </cell>
          <cell r="D733" t="str">
            <v>409 NETMED SDP</v>
          </cell>
          <cell r="E733" t="str">
            <v>SP Dolphin Tower Vedasandur</v>
          </cell>
          <cell r="F733" t="str">
            <v>9. EPC Ready</v>
          </cell>
        </row>
        <row r="734">
          <cell r="C734" t="str">
            <v>NETMFQB5W00</v>
          </cell>
          <cell r="D734" t="str">
            <v>409 NETMED SDP</v>
          </cell>
          <cell r="E734" t="str">
            <v>GF Dekar Gaon Mouza  ,  , Bhairawapad Tezpur Dist Sonitpur  , TEZPUR , 784001</v>
          </cell>
          <cell r="F734" t="str">
            <v>9. EPC Ready</v>
          </cell>
        </row>
        <row r="735">
          <cell r="C735" t="str">
            <v>NETMTQVKK00</v>
          </cell>
          <cell r="D735" t="str">
            <v>409 NETMED SDP</v>
          </cell>
          <cell r="E735" t="str">
            <v>Santhipriya Thirumana Mandabam Door No25  , Nagar Thanjavur , 1 156 157 Nanchikottai Road Arokium  , THANJAVUR , 613006</v>
          </cell>
          <cell r="F735" t="str">
            <v>9. EPC Ready</v>
          </cell>
        </row>
        <row r="736">
          <cell r="C736" t="str">
            <v>NETMTQB8C00</v>
          </cell>
          <cell r="D736" t="str">
            <v>409 NETMED SDP</v>
          </cell>
          <cell r="E736" t="str">
            <v>Karmegam Kalayana Mandapam  , Vellakoil Tiruppur , Door No 56 Uppupalayam Road  , TIRUPPUR , 638111</v>
          </cell>
          <cell r="F736" t="str">
            <v>9. EPC Ready</v>
          </cell>
        </row>
        <row r="737">
          <cell r="C737" t="str">
            <v>NETMVQC8Y00</v>
          </cell>
          <cell r="D737" t="str">
            <v>409 NETMED SDP</v>
          </cell>
          <cell r="E737" t="str">
            <v>Pazhanchira Devi Trust Building  , Thiruvananthapuram , Pazhanchira Ambalathara Poonthurai  , Thiruvananthap , 695026</v>
          </cell>
          <cell r="F737" t="str">
            <v>14. Dropped</v>
          </cell>
        </row>
        <row r="738">
          <cell r="C738" t="str">
            <v>NETMVQ7ZY00</v>
          </cell>
          <cell r="D738" t="str">
            <v>409 NETMED SDP</v>
          </cell>
          <cell r="E738" t="str">
            <v>GF  Sy No 1246 1 57  Baazmo Tower  , TL  Thalapilly PO  Thiruvilwamala , Near HP Petrol Pump  Kaniyarkode , Dist  Thissur , THIRUVILWAMALA , 680588</v>
          </cell>
          <cell r="F738" t="str">
            <v>9. EPC Ready</v>
          </cell>
        </row>
        <row r="739">
          <cell r="C739" t="str">
            <v>NETMUQFYS00</v>
          </cell>
          <cell r="D739" t="str">
            <v>409 NETMED SDP</v>
          </cell>
          <cell r="E739" t="str">
            <v>SP PHARMA Bachpan Play School</v>
          </cell>
          <cell r="F739" t="str">
            <v>9. EPC Ready</v>
          </cell>
        </row>
        <row r="740">
          <cell r="C740" t="str">
            <v>NETMAQBWG00</v>
          </cell>
          <cell r="D740" t="str">
            <v>409 NETMED SDP</v>
          </cell>
          <cell r="E740" t="str">
            <v>Sy No 35 1 Block No6 Nearest Door No 6 1  , Tirrumala West Godavari Dist , 22 Ratham Veedhi By Passroad Dwaraka  , Dwaraka Tiruma , 534426</v>
          </cell>
          <cell r="F740" t="str">
            <v>9. EPC Ready</v>
          </cell>
        </row>
        <row r="741">
          <cell r="C741" t="str">
            <v>NETMAQ3H300</v>
          </cell>
          <cell r="D741" t="str">
            <v>409 NETMED SDP</v>
          </cell>
          <cell r="E741" t="str">
            <v>Gf Sy No 142  , Avilala Tirupati Rural , B1G Vani Nagar Rc Main Road  , TIRUPATI , 517507</v>
          </cell>
          <cell r="F741" t="str">
            <v>9. EPC Ready</v>
          </cell>
        </row>
        <row r="742">
          <cell r="C742" t="str">
            <v>NETMAQ3I300</v>
          </cell>
          <cell r="D742" t="str">
            <v>409 NETMED SDP</v>
          </cell>
          <cell r="E742" t="str">
            <v>Gf Sy No 261 3 &amp; 264 1  , Near Avilala , Andhra Bank Colony Near Avilala  , TIRUPATI , 517507</v>
          </cell>
          <cell r="F742" t="str">
            <v>9. EPC Ready</v>
          </cell>
        </row>
        <row r="743">
          <cell r="C743" t="str">
            <v>NETMAQ7Z900</v>
          </cell>
          <cell r="D743" t="str">
            <v>409 NETMED SDP</v>
          </cell>
          <cell r="E743" t="str">
            <v>SP Pharma SRINIVASAPURAM PROPERTY</v>
          </cell>
          <cell r="F743" t="str">
            <v>11. HOLD</v>
          </cell>
        </row>
        <row r="744">
          <cell r="C744"/>
          <cell r="D744" t="str">
            <v>409 NETMED SDP</v>
          </cell>
          <cell r="E744" t="str">
            <v>Shop No 1 To 7 Shivalik Residency Fp No  , Road Una , 4 7 48 Near Dayanand Society Gir Gadhada  , Una , 362560</v>
          </cell>
          <cell r="F744" t="str">
            <v>13. NRFC</v>
          </cell>
        </row>
        <row r="745">
          <cell r="C745" t="str">
            <v>NETMVQDNZ00</v>
          </cell>
          <cell r="D745" t="str">
            <v>409 NETMED SDP</v>
          </cell>
          <cell r="E745" t="str">
            <v>Aiswarya Shopping Complex Parlikad Near  , Highway Wadakkanchery Thrissur , Vyasa College Bus Stop Thrissur Shornur  , WADAKKANCHERY , 680623</v>
          </cell>
          <cell r="F745" t="str">
            <v>9. EPC Ready</v>
          </cell>
        </row>
        <row r="746">
          <cell r="C746" t="str">
            <v>NETMVQBUB00</v>
          </cell>
          <cell r="D746" t="str">
            <v>409 NETMED SDP</v>
          </cell>
          <cell r="E746" t="str">
            <v>GF, Unit/Shop No. 4/978/A,B,C &amp; D  , Stop, PO. Vadasserikkara, Pathanamthitta , Universal  Tower,Opp.Vadasserikkara Bus  , Vadasserikkara , 689662</v>
          </cell>
          <cell r="F746" t="str">
            <v>13. NRFC</v>
          </cell>
        </row>
        <row r="747">
          <cell r="C747" t="str">
            <v>NETMVQDPQ00</v>
          </cell>
          <cell r="D747" t="str">
            <v>409 NETMED SDP</v>
          </cell>
          <cell r="E747" t="str">
            <v>Premier Tower Opp Moothedam  , Mudikal Po Ernakulam Kerala , Waigh Bridge Nedumthode  , ERNAKULAM , 683547</v>
          </cell>
          <cell r="F747" t="str">
            <v>9. EPC Ready</v>
          </cell>
        </row>
        <row r="748">
          <cell r="C748" t="str">
            <v>NETMAQB7P00</v>
          </cell>
          <cell r="D748" t="str">
            <v>409 NETMED SDP</v>
          </cell>
          <cell r="E748" t="str">
            <v>SP Pharma NRT Road Vinukonda</v>
          </cell>
          <cell r="F748" t="str">
            <v>9. EPC Ready</v>
          </cell>
        </row>
        <row r="749">
          <cell r="C749" t="str">
            <v>NETMMQ8OZ00</v>
          </cell>
          <cell r="D749" t="str">
            <v>409 NETMED SDP</v>
          </cell>
          <cell r="E749" t="str">
            <v>Shop No 19 to 28 Grounf Floor  , Survey No 164 Gokul Town Ships , Gokul Kshitij Co op Housing Society , Agashi Road , thane , 401303</v>
          </cell>
          <cell r="F749" t="str">
            <v>14. Dropped</v>
          </cell>
        </row>
        <row r="750">
          <cell r="C750" t="str">
            <v>NETMNQEDM00</v>
          </cell>
          <cell r="D750" t="str">
            <v>409 NETMED SDP</v>
          </cell>
          <cell r="E750" t="str">
            <v>Gopal Reddy Complex Situated At Sy No 51  , Warangal , E Beemaram Hasanparthy Mandal  , WARANGAL , 506015</v>
          </cell>
          <cell r="F750" t="str">
            <v>14. Dropped</v>
          </cell>
        </row>
        <row r="751">
          <cell r="C751" t="str">
            <v>NETMAQ6KH00</v>
          </cell>
          <cell r="D751" t="str">
            <v>409 NETMED SDP</v>
          </cell>
          <cell r="E751" t="str">
            <v>Srinivas Complex Lingamparthi Main Road  ,  , Besides Apsrtc Bus Stand Yeleswaram  , YELESWARAM , 533429</v>
          </cell>
          <cell r="F751" t="str">
            <v>11. HOLD</v>
          </cell>
        </row>
        <row r="752">
          <cell r="C752" t="str">
            <v>NETMGQIKK00</v>
          </cell>
          <cell r="D752" t="str">
            <v>NETMED COCO</v>
          </cell>
          <cell r="E752" t="str">
            <v xml:space="preserve">ShreeNidhi Gallary- Tandalja, Vadodara, Gujarat </v>
          </cell>
          <cell r="F752" t="str">
            <v>9. EPC Ready</v>
          </cell>
        </row>
        <row r="753">
          <cell r="C753"/>
          <cell r="D753" t="str">
            <v>NETMED COCO</v>
          </cell>
          <cell r="E753" t="str">
            <v>Banomalipur,Barasaat</v>
          </cell>
          <cell r="F753" t="str">
            <v>13. NRFC</v>
          </cell>
        </row>
        <row r="754">
          <cell r="C754" t="str">
            <v>NETMKQHTT00</v>
          </cell>
          <cell r="D754" t="str">
            <v>NETMED COCO</v>
          </cell>
          <cell r="E754" t="str">
            <v>Anand Patil Property – BIET Collage Rd – Davanagere</v>
          </cell>
          <cell r="F754" t="str">
            <v>13. NRFC</v>
          </cell>
        </row>
        <row r="755">
          <cell r="C755"/>
          <cell r="D755" t="str">
            <v>NETMED COCO</v>
          </cell>
          <cell r="E755" t="str">
            <v>Sathyanarayan property - RR Nagar</v>
          </cell>
          <cell r="F755" t="str">
            <v>13. NRFC</v>
          </cell>
        </row>
        <row r="756">
          <cell r="C756"/>
          <cell r="D756" t="str">
            <v>NETMED COCO</v>
          </cell>
          <cell r="E756" t="str">
            <v>VI Store &amp; Om Dhababa</v>
          </cell>
          <cell r="F756" t="str">
            <v>13. NRFC</v>
          </cell>
        </row>
        <row r="757">
          <cell r="C757" t="str">
            <v>NETMKQ3T200</v>
          </cell>
          <cell r="D757" t="str">
            <v>NETMED COCO</v>
          </cell>
          <cell r="E757" t="str">
            <v>Arun Kumar -NO 10/2 9th Cross Jp nagar 1st phase Bangalore 560078</v>
          </cell>
          <cell r="F757" t="str">
            <v>13. NRFC</v>
          </cell>
        </row>
        <row r="758">
          <cell r="C758" t="str">
            <v>NETMTQH1F00</v>
          </cell>
          <cell r="D758" t="str">
            <v>NETMED COCO</v>
          </cell>
          <cell r="E758" t="str">
            <v>Mr.Jahir Hussain &amp; Others, No.1-B, Srinivasa Nagar, 1st Main Road, Srinivasa Nagar, Kolathur, Chennai  - 600 099</v>
          </cell>
          <cell r="F758" t="str">
            <v>13. NRFC</v>
          </cell>
        </row>
        <row r="759">
          <cell r="C759"/>
          <cell r="D759" t="str">
            <v>NETMED COCO</v>
          </cell>
          <cell r="E759" t="str">
            <v>SBS Colony</v>
          </cell>
          <cell r="F759" t="str">
            <v>13. NRFC</v>
          </cell>
        </row>
        <row r="760">
          <cell r="C760"/>
          <cell r="D760" t="str">
            <v>NETMED COCO</v>
          </cell>
          <cell r="E760" t="str">
            <v>Arunbakkam</v>
          </cell>
          <cell r="F760" t="str">
            <v>13. NRFC</v>
          </cell>
        </row>
        <row r="761">
          <cell r="C761" t="str">
            <v>NETMGQIJJ00</v>
          </cell>
          <cell r="D761" t="str">
            <v>NETMED COCO</v>
          </cell>
          <cell r="E761" t="str">
            <v>Grace business park, sola road,ahmedabad</v>
          </cell>
          <cell r="F761" t="str">
            <v>13. NRFC</v>
          </cell>
        </row>
        <row r="762">
          <cell r="C762"/>
          <cell r="D762" t="str">
            <v>NETMED COCO</v>
          </cell>
          <cell r="E762" t="str">
            <v>Neelsidhi Amrante, Roadpali ,Kalamboli,Navi Mumbai</v>
          </cell>
          <cell r="F762" t="str">
            <v>13. NRFC</v>
          </cell>
        </row>
        <row r="763">
          <cell r="C763"/>
          <cell r="D763" t="str">
            <v>NETMED COCO</v>
          </cell>
          <cell r="E763" t="str">
            <v xml:space="preserve">Ganraya Krupa Bldg - Next to Wellness Pharmacy, Katrap, Badlapur </v>
          </cell>
          <cell r="F763" t="str">
            <v>13. NRFC</v>
          </cell>
        </row>
        <row r="764">
          <cell r="C764"/>
          <cell r="D764" t="str">
            <v>NETMED COCO</v>
          </cell>
          <cell r="E764" t="str">
            <v>Reliance Mansi Office-Vastrapura</v>
          </cell>
          <cell r="F764" t="str">
            <v>13. NRFC</v>
          </cell>
        </row>
        <row r="765">
          <cell r="C765" t="str">
            <v>NETMMQCPE00</v>
          </cell>
          <cell r="D765" t="str">
            <v>NETMED COCO</v>
          </cell>
          <cell r="E765" t="str">
            <v xml:space="preserve">JWD, Bandra Kurla Complex, Bandra </v>
          </cell>
          <cell r="F765" t="str">
            <v>11. HOLD</v>
          </cell>
        </row>
        <row r="766">
          <cell r="C766"/>
          <cell r="D766" t="str">
            <v>NETMED COCO</v>
          </cell>
          <cell r="E766" t="str">
            <v xml:space="preserve"> Arina Phase – 1-Mira Road Thane</v>
          </cell>
          <cell r="F766" t="str">
            <v>13. NRFC</v>
          </cell>
        </row>
        <row r="767">
          <cell r="C767"/>
          <cell r="D767" t="str">
            <v>NETMED COCO</v>
          </cell>
          <cell r="E767" t="str">
            <v>HN Hospital, Girgaon, Mumbai</v>
          </cell>
          <cell r="F767" t="str">
            <v>13. NRFC</v>
          </cell>
        </row>
        <row r="768">
          <cell r="C768"/>
          <cell r="D768" t="str">
            <v>NETMED COCO</v>
          </cell>
          <cell r="E768" t="str">
            <v>Varachcha Mall-SIS Store</v>
          </cell>
          <cell r="F768" t="str">
            <v>14. Dropped</v>
          </cell>
        </row>
        <row r="769">
          <cell r="C769"/>
          <cell r="D769" t="str">
            <v>NETMED COCO</v>
          </cell>
          <cell r="E769" t="str">
            <v xml:space="preserve">Thanekar Paradise, Sirgaon, Badlapur </v>
          </cell>
          <cell r="F769" t="str">
            <v>13. NRFC</v>
          </cell>
        </row>
        <row r="770">
          <cell r="C770"/>
          <cell r="D770" t="str">
            <v>NETMED COCO</v>
          </cell>
          <cell r="E770" t="str">
            <v xml:space="preserve"> Sun Pharma,Vadodara</v>
          </cell>
          <cell r="F770" t="str">
            <v>13. NRFC</v>
          </cell>
        </row>
        <row r="771">
          <cell r="C771"/>
          <cell r="D771" t="str">
            <v>NETMED COCO</v>
          </cell>
          <cell r="E771" t="str">
            <v xml:space="preserve">,The Emperor Abbas Taiyabji Road, Jayesh Colony, Fatehganj, Vadodara </v>
          </cell>
          <cell r="F771" t="str">
            <v>13. NRFC</v>
          </cell>
        </row>
        <row r="772">
          <cell r="C772"/>
          <cell r="D772" t="str">
            <v>NETMED COCO</v>
          </cell>
          <cell r="E772" t="str">
            <v>Barasaat Taki Road</v>
          </cell>
          <cell r="F772" t="str">
            <v>13. NRFC</v>
          </cell>
        </row>
        <row r="773">
          <cell r="C773" t="str">
            <v>NETMGQ7CC00</v>
          </cell>
          <cell r="D773" t="str">
            <v>NETMED COCO</v>
          </cell>
          <cell r="E773" t="str">
            <v>Jamnagar</v>
          </cell>
          <cell r="F773" t="str">
            <v>13. NRFC</v>
          </cell>
        </row>
        <row r="774">
          <cell r="C774" t="str">
            <v>SMPTFQC9O00</v>
          </cell>
          <cell r="D774" t="str">
            <v xml:space="preserve">Pharma SIS </v>
          </cell>
          <cell r="E774" t="str">
            <v>Gaurisagar</v>
          </cell>
          <cell r="F774" t="str">
            <v>10. Launched</v>
          </cell>
        </row>
        <row r="775">
          <cell r="C775" t="str">
            <v>SMPTFQ8S800</v>
          </cell>
          <cell r="D775" t="str">
            <v xml:space="preserve">Pharma SIS </v>
          </cell>
          <cell r="E775" t="str">
            <v>Titabor</v>
          </cell>
          <cell r="F775" t="str">
            <v>10. Launched</v>
          </cell>
        </row>
        <row r="776">
          <cell r="C776" t="str">
            <v>SBPHTQL1M00</v>
          </cell>
          <cell r="D776" t="str">
            <v xml:space="preserve">Pharma SIS </v>
          </cell>
          <cell r="E776" t="str">
            <v xml:space="preserve">sivaganga </v>
          </cell>
          <cell r="F776" t="str">
            <v>14. Dropped</v>
          </cell>
        </row>
        <row r="777">
          <cell r="C777" t="str">
            <v>SBPHAQG4F00</v>
          </cell>
          <cell r="D777" t="str">
            <v xml:space="preserve">Pharma SIS </v>
          </cell>
          <cell r="E777" t="str">
            <v>Chittoor</v>
          </cell>
          <cell r="F777" t="str">
            <v>14. Dropped</v>
          </cell>
        </row>
        <row r="778">
          <cell r="C778" t="str">
            <v>SMPTFQCQR00</v>
          </cell>
          <cell r="D778" t="str">
            <v xml:space="preserve">Pharma SIS </v>
          </cell>
          <cell r="E778" t="str">
            <v>Guwahati</v>
          </cell>
          <cell r="F778" t="str">
            <v>10. Launched</v>
          </cell>
        </row>
        <row r="779">
          <cell r="C779" t="str">
            <v>SMPTFQ6EO00</v>
          </cell>
          <cell r="D779" t="str">
            <v xml:space="preserve">Pharma SIS </v>
          </cell>
          <cell r="E779" t="str">
            <v>Guwahati</v>
          </cell>
          <cell r="F779" t="str">
            <v>10. Launched</v>
          </cell>
        </row>
        <row r="780">
          <cell r="C780" t="str">
            <v>SMPTQQAZU00</v>
          </cell>
          <cell r="D780" t="str">
            <v xml:space="preserve">Pharma SIS </v>
          </cell>
          <cell r="E780" t="str">
            <v>Ranchi</v>
          </cell>
          <cell r="F780" t="str">
            <v>10. Launched</v>
          </cell>
        </row>
        <row r="781">
          <cell r="C781" t="str">
            <v>SMPTDQFAR00</v>
          </cell>
          <cell r="D781" t="str">
            <v xml:space="preserve">Pharma SIS </v>
          </cell>
          <cell r="E781" t="str">
            <v>North West Delhi</v>
          </cell>
          <cell r="F781" t="str">
            <v>10. Launched</v>
          </cell>
        </row>
        <row r="782">
          <cell r="C782" t="str">
            <v>SMPTDQFAV00</v>
          </cell>
          <cell r="D782" t="str">
            <v xml:space="preserve">Pharma SIS </v>
          </cell>
          <cell r="E782" t="str">
            <v>NAJAFGARH  DELHI</v>
          </cell>
          <cell r="F782" t="str">
            <v>10. Launched</v>
          </cell>
        </row>
        <row r="783">
          <cell r="C783" t="str">
            <v>SMPTIQFKR00</v>
          </cell>
          <cell r="D783" t="str">
            <v xml:space="preserve">Pharma SIS </v>
          </cell>
          <cell r="E783" t="str">
            <v>Una</v>
          </cell>
          <cell r="F783" t="str">
            <v>10. Launched</v>
          </cell>
        </row>
        <row r="784">
          <cell r="C784" t="str">
            <v>SMPTDQFJE00</v>
          </cell>
          <cell r="D784" t="str">
            <v xml:space="preserve">Pharma SIS </v>
          </cell>
          <cell r="E784" t="str">
            <v>South West Delhi</v>
          </cell>
          <cell r="F784" t="str">
            <v>10. Launched</v>
          </cell>
        </row>
        <row r="785">
          <cell r="C785" t="str">
            <v>SMPTDQE8B00</v>
          </cell>
          <cell r="D785" t="str">
            <v xml:space="preserve">Pharma SIS </v>
          </cell>
          <cell r="E785" t="str">
            <v>West Delhi</v>
          </cell>
          <cell r="F785" t="str">
            <v>10. Launched</v>
          </cell>
        </row>
        <row r="786">
          <cell r="C786" t="str">
            <v xml:space="preserve">
SMRTHND3001</v>
          </cell>
          <cell r="D786" t="str">
            <v xml:space="preserve">Pharma SIS </v>
          </cell>
          <cell r="E786" t="str">
            <v>Rohtak</v>
          </cell>
          <cell r="F786" t="str">
            <v>10. Launched</v>
          </cell>
        </row>
        <row r="787">
          <cell r="C787" t="str">
            <v>SMPTTQDJT00 / SMPTTQDJT01</v>
          </cell>
          <cell r="D787" t="str">
            <v xml:space="preserve">Pharma SIS </v>
          </cell>
          <cell r="E787" t="str">
            <v>Minjur</v>
          </cell>
          <cell r="F787" t="str">
            <v>10. Launched</v>
          </cell>
        </row>
        <row r="788">
          <cell r="C788" t="str">
            <v>SMPTTQCPK00/ SMPTTQCPK01</v>
          </cell>
          <cell r="D788" t="str">
            <v xml:space="preserve">Pharma SIS </v>
          </cell>
          <cell r="E788" t="str">
            <v>Tiruchirapalli</v>
          </cell>
          <cell r="F788" t="str">
            <v>10. Launched</v>
          </cell>
        </row>
        <row r="789">
          <cell r="C789" t="str">
            <v>SMPT5QFJJ00</v>
          </cell>
          <cell r="D789" t="str">
            <v xml:space="preserve">Pharma SIS </v>
          </cell>
          <cell r="E789" t="str">
            <v>Dehradun</v>
          </cell>
          <cell r="F789" t="str">
            <v>10. Launched</v>
          </cell>
        </row>
        <row r="790">
          <cell r="C790" t="str">
            <v>SMPTNQC7L00</v>
          </cell>
          <cell r="D790" t="str">
            <v xml:space="preserve">Pharma SIS </v>
          </cell>
          <cell r="E790" t="str">
            <v xml:space="preserve">Nizamabad </v>
          </cell>
          <cell r="F790" t="str">
            <v>10. Launched</v>
          </cell>
        </row>
        <row r="791">
          <cell r="C791" t="str">
            <v>SMPTANG5100</v>
          </cell>
          <cell r="D791" t="str">
            <v xml:space="preserve">Pharma SIS </v>
          </cell>
          <cell r="E791" t="str">
            <v>GUNTUR</v>
          </cell>
          <cell r="F791" t="str">
            <v>10. Launched</v>
          </cell>
        </row>
        <row r="792">
          <cell r="C792" t="str">
            <v>SMRTAQQT800</v>
          </cell>
          <cell r="D792" t="str">
            <v xml:space="preserve">Pharma SIS </v>
          </cell>
          <cell r="E792" t="str">
            <v>Vijaywada</v>
          </cell>
          <cell r="F792" t="str">
            <v>10. Launched</v>
          </cell>
        </row>
        <row r="793">
          <cell r="C793" t="str">
            <v>SMPT5QFIP00</v>
          </cell>
          <cell r="D793" t="str">
            <v xml:space="preserve">Pharma SIS </v>
          </cell>
          <cell r="E793" t="str">
            <v>Haridwar</v>
          </cell>
          <cell r="F793" t="str">
            <v>14. Dropped</v>
          </cell>
        </row>
        <row r="794">
          <cell r="C794" t="str">
            <v>SMPT5QFED00</v>
          </cell>
          <cell r="D794" t="str">
            <v xml:space="preserve">Pharma SIS </v>
          </cell>
          <cell r="E794" t="str">
            <v>Bazpur</v>
          </cell>
          <cell r="F794" t="str">
            <v>10. Launched</v>
          </cell>
        </row>
        <row r="795">
          <cell r="C795" t="str">
            <v>SMPTRQFAY00</v>
          </cell>
          <cell r="D795" t="str">
            <v xml:space="preserve">Pharma SIS </v>
          </cell>
          <cell r="E795" t="str">
            <v>Jaipur</v>
          </cell>
          <cell r="F795" t="str">
            <v>14. Dropped</v>
          </cell>
        </row>
        <row r="796">
          <cell r="C796" t="str">
            <v xml:space="preserve">
SMRTENAI501/SMRTENAI502</v>
          </cell>
          <cell r="D796" t="str">
            <v xml:space="preserve">Pharma SIS </v>
          </cell>
          <cell r="E796" t="str">
            <v>Burhanpur</v>
          </cell>
          <cell r="F796" t="str">
            <v>10. Launched</v>
          </cell>
        </row>
        <row r="797">
          <cell r="C797" t="str">
            <v>SMPTEQBEZ00</v>
          </cell>
          <cell r="D797" t="str">
            <v xml:space="preserve">Pharma SIS </v>
          </cell>
          <cell r="E797" t="str">
            <v>Dhanpur</v>
          </cell>
          <cell r="F797" t="str">
            <v>10. Launched</v>
          </cell>
        </row>
        <row r="798">
          <cell r="C798" t="str">
            <v>SBPH9QDVO00</v>
          </cell>
          <cell r="D798" t="str">
            <v xml:space="preserve">Pharma SIS </v>
          </cell>
          <cell r="E798" t="str">
            <v>Guwahati</v>
          </cell>
          <cell r="F798" t="str">
            <v>14. Dropped</v>
          </cell>
        </row>
        <row r="799">
          <cell r="C799" t="str">
            <v>SMRTMQCOI00</v>
          </cell>
          <cell r="D799" t="str">
            <v xml:space="preserve">Pharma SIS </v>
          </cell>
          <cell r="E799" t="str">
            <v>Sangli</v>
          </cell>
          <cell r="F799" t="str">
            <v>10. Launched</v>
          </cell>
        </row>
        <row r="800">
          <cell r="C800" t="str">
            <v>NETMNQ8HH00</v>
          </cell>
          <cell r="D800" t="str">
            <v>409 NETMED SDP</v>
          </cell>
          <cell r="E800" t="str">
            <v>Plot No141 &amp; 143 Partin Syno62 Block  , Hyderabad , 4Swaroopanagaruppal Village &amp; Mandal  , HYDERABAD , 500039</v>
          </cell>
          <cell r="F800" t="str">
            <v>9. EPC Ready</v>
          </cell>
        </row>
        <row r="801">
          <cell r="C801" t="str">
            <v>SMPTNQE2S00</v>
          </cell>
          <cell r="D801" t="str">
            <v>409 NETMED SDP</v>
          </cell>
          <cell r="E801" t="str">
            <v>GROUND FLR HNO-8-43/5/3/A  BALAJI NIVAS ,   BALAJI HILLS COLONY  BODUPPAL  , HYDERABAD , 500039</v>
          </cell>
          <cell r="F801" t="str">
            <v>9. EPC Ready</v>
          </cell>
        </row>
        <row r="802">
          <cell r="C802" t="str">
            <v>NETMNQNDS00</v>
          </cell>
          <cell r="D802" t="str">
            <v>409 NETMED SDP</v>
          </cell>
          <cell r="E802" t="str">
            <v>WARD # 2  BLOCK # 4  ARUNODAYA NAGAR ,   NAGOLE VILLAGE  RR DIST  , HYDERABAD , 500068</v>
          </cell>
          <cell r="F802" t="str">
            <v>9. EPC Ready</v>
          </cell>
        </row>
        <row r="803">
          <cell r="C803" t="str">
            <v>NETMNQKCL00</v>
          </cell>
          <cell r="D803" t="str">
            <v>409 NETMED SDP</v>
          </cell>
          <cell r="E803" t="str">
            <v>SRY # 10  ALKAPUR  , MANDAL  R R DIST , RAMAKRISHAPURAM-SAROOR NAGAR  , HYDERABAD , 500035</v>
          </cell>
          <cell r="F803" t="str">
            <v>9. EPC Ready</v>
          </cell>
        </row>
        <row r="804">
          <cell r="C804" t="str">
            <v>NETMNQLDR00</v>
          </cell>
          <cell r="D804" t="str">
            <v>409 NETMED SDP</v>
          </cell>
          <cell r="E804" t="str">
            <v>GROUND FLOOR  HNO: 9-2-83 AND 9-2-83/4 ,   VEMULAWADA TOWN AND MANDAL  , VEMULAWADA , 505302</v>
          </cell>
          <cell r="F804" t="str">
            <v>10. Launched</v>
          </cell>
        </row>
        <row r="805">
          <cell r="C805" t="str">
            <v>NETMNQKFI00</v>
          </cell>
          <cell r="D805" t="str">
            <v>409 NETMED SDP</v>
          </cell>
          <cell r="E805" t="str">
            <v>Ground floor,Plot No 12&amp;13,  , vani Nagar Jagatiyal Revenue Mandal, , Survey  409/A Sivar Mothe Village  , Karimnagar , 505327</v>
          </cell>
          <cell r="F805" t="str">
            <v>10. Launched</v>
          </cell>
        </row>
        <row r="806">
          <cell r="C806" t="str">
            <v>NETMNQ2WT00</v>
          </cell>
          <cell r="D806" t="str">
            <v>409 NETMED SDP</v>
          </cell>
          <cell r="E806" t="str">
            <v>S # 85  WARD#8  BLOCK 2  KARMANGHAT VILL ,   SAROOR NAGAR MANDAL  RR DIST  , HYDERABAD , 500079</v>
          </cell>
          <cell r="F806" t="str">
            <v>9. EPC Ready</v>
          </cell>
        </row>
        <row r="807">
          <cell r="C807" t="str">
            <v>NETMAQKDN00</v>
          </cell>
          <cell r="D807" t="str">
            <v>409 NETMED SDP</v>
          </cell>
          <cell r="E807" t="str">
            <v>Ground floor,Sy.no.13/2,  , Rajam , Ward 5 Palakonda Road  , Srikakulam , 532127</v>
          </cell>
          <cell r="F807" t="str">
            <v>9. EPC Ready</v>
          </cell>
        </row>
        <row r="808">
          <cell r="C808" t="str">
            <v>SMPTEQ1AI00</v>
          </cell>
          <cell r="D808" t="str">
            <v>409 NETMED SDP</v>
          </cell>
          <cell r="E808" t="str">
            <v>GF, New Era - Ankur Colony, Khasra No.  , Tehsil - Sagar Nagar, Dist - Sagar , 196/17/1, PH. 77, Vill-Halka Rajakhedi  , Sagar , 470004</v>
          </cell>
          <cell r="F808" t="str">
            <v>10. Launched</v>
          </cell>
        </row>
        <row r="809">
          <cell r="C809" t="str">
            <v>NETMGQGQU00</v>
          </cell>
          <cell r="D809" t="str">
            <v>409 NETMED SDP</v>
          </cell>
          <cell r="E809" t="str">
            <v>Hall No 01 To 03 Shop No 05 To 10  , Tower Station Road Dist Bhavnagar , Gautam Corner Near Central Bank Of India  , BOTAD , 364710</v>
          </cell>
          <cell r="F809" t="str">
            <v>9. EPC Ready</v>
          </cell>
        </row>
        <row r="810">
          <cell r="C810" t="str">
            <v>SMPTGQF9C00</v>
          </cell>
          <cell r="D810" t="str">
            <v>409 NETMED SDP</v>
          </cell>
          <cell r="E810" t="str">
            <v>Gf Shashwat Square Shop No G33 To G50 Sy  , Industries Unjha Patan Highway Vill , No 376 Khata No 1894 Near Shriji  , PATAN , 384265</v>
          </cell>
          <cell r="F810" t="str">
            <v>9. EPC Ready</v>
          </cell>
        </row>
      </sheetData>
      <sheetData sheetId="4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83.814963078701" createdVersion="6" refreshedVersion="6" minRefreshableVersion="3" recordCount="102" xr:uid="{00000000-000A-0000-FFFF-FFFF2D010000}">
  <cacheSource type="worksheet">
    <worksheetSource ref="B1:AL1048576" sheet="Backup"/>
  </cacheSource>
  <cacheFields count="37">
    <cacheField name="Apex ID" numFmtId="0">
      <sharedItems containsBlank="1"/>
    </cacheField>
    <cacheField name="Sl. No." numFmtId="0">
      <sharedItems containsString="0" containsBlank="1" containsNumber="1" containsInteger="1" minValue="1" maxValue="51"/>
    </cacheField>
    <cacheField name="Business Format" numFmtId="0">
      <sharedItems containsBlank="1"/>
    </cacheField>
    <cacheField name="Format" numFmtId="0">
      <sharedItems containsBlank="1"/>
    </cacheField>
    <cacheField name="Sub Format" numFmtId="0">
      <sharedItems containsBlank="1" count="48">
        <s v="Petro-Terminal Aug"/>
        <s v="Petro-Consumer Pump"/>
        <s v="Petro-Mini Depo - Aug"/>
        <m/>
        <s v="POS Migration" u="1"/>
        <s v="Ancestry" u="1"/>
        <s v="Beauty" u="1"/>
        <s v="Terminal Aug" u="1"/>
        <s v="Urban Ladder -Dehiring" u="1"/>
        <s v="IBC-Office" u="1"/>
        <s v="Clovia" u="1"/>
        <s v="Urban Ladder -SIS- Dehiring" u="1"/>
        <s v="Office" u="1"/>
        <s v="Additional Work-NETMED COCO" u="1"/>
        <s v="Urban Ladder-NSO" u="1"/>
        <s v="Furniture - Mid Premium Store (UL)-Dehire" u="1"/>
        <s v="JioMart digital" u="1"/>
        <s v="Beauty (TIRA)-MISC" u="1"/>
        <s v="Zivame-POS Migration" u="1"/>
        <s v="Beauty (TIRA)" u="1"/>
        <s v="Zivame Dehire" u="1"/>
        <s v="Urban Ladder -SIS" u="1"/>
        <s v="Cover Story" u="1"/>
        <s v="Petro consumer pump" u="1"/>
        <s v="Zivame in Smart Bazar" u="1"/>
        <s v="Ancestry Dehire" u="1"/>
        <s v="Mini Depo - Aug" u="1"/>
        <s v="Zivame EBO" u="1"/>
        <s v="NSO 7-Eleven" u="1"/>
        <s v="Misc - Dehire" u="1"/>
        <s v="7-Eleven" u="1"/>
        <s v="NSO 7-Eleven-Dehire" u="1"/>
        <s v="Pharma COCO Store (SP Fix Setup)" u="1"/>
        <s v="TDSC" u="1"/>
        <s v="Amante" u="1"/>
        <s v="Ancestry SIS" u="1"/>
        <s v="Jio Mart - Kirana" u="1"/>
        <s v="Jio mart digital" u="1"/>
        <s v="Pharma SKDS - Refit" u="1"/>
        <s v="Furniture - Mid Premium Store (UL)" u="1"/>
        <s v="Dehire" u="1"/>
        <s v="Pharma-Partition Modi. Work (Refit)" u="1"/>
        <s v="Amante - Pos Migration" u="1"/>
        <s v="7 Eleven in Smart Bazar" u="1"/>
        <s v="Coverstory Dehire" u="1"/>
        <s v="Admin Office (Corporate Services)" u="1"/>
        <s v="Netmed" u="1"/>
        <s v="Consumer Pump" u="1"/>
      </sharedItems>
    </cacheField>
    <cacheField name="Site Type" numFmtId="0">
      <sharedItems containsBlank="1"/>
    </cacheField>
    <cacheField name="Zone" numFmtId="0">
      <sharedItems containsBlank="1"/>
    </cacheField>
    <cacheField name="ZH" numFmtId="0">
      <sharedItems containsBlank="1"/>
    </cacheField>
    <cacheField name="State" numFmtId="0">
      <sharedItems containsBlank="1"/>
    </cacheField>
    <cacheField name="Site Name" numFmtId="0">
      <sharedItems containsBlank="1"/>
    </cacheField>
    <cacheField name="City" numFmtId="0">
      <sharedItems containsBlank="1"/>
    </cacheField>
    <cacheField name="Area (Sqft)" numFmtId="0">
      <sharedItems containsString="0" containsBlank="1" containsNumber="1" containsInteger="1" minValue="1500" maxValue="20000"/>
    </cacheField>
    <cacheField name="PD" numFmtId="0">
      <sharedItems containsBlank="1"/>
    </cacheField>
    <cacheField name="EIC" numFmtId="0">
      <sharedItems containsBlank="1"/>
    </cacheField>
    <cacheField name="RFC Date" numFmtId="0">
      <sharedItems containsNonDate="0" containsDate="1" containsString="0" containsBlank="1" minDate="2024-04-01T00:00:00" maxDate="2025-12-02T00:00:00"/>
    </cacheField>
    <cacheField name="RFC Weekwise Bucket" numFmtId="0">
      <sharedItems containsBlank="1"/>
    </cacheField>
    <cacheField name="Actual Start Date" numFmtId="0">
      <sharedItems containsNonDate="0" containsDate="1" containsString="0" containsBlank="1" minDate="2024-04-29T00:00:00" maxDate="2026-03-01T00:00:00"/>
    </cacheField>
    <cacheField name="Actual Start Weekwise" numFmtId="0">
      <sharedItems containsBlank="1"/>
    </cacheField>
    <cacheField name="Standard Duration" numFmtId="0">
      <sharedItems containsString="0" containsBlank="1" containsNumber="1" containsInteger="1" minValue="15" maxValue="180"/>
    </cacheField>
    <cacheField name="Planned Finish Date" numFmtId="0">
      <sharedItems containsNonDate="0" containsDate="1" containsString="0" containsBlank="1" minDate="1899-12-30T00:00:00" maxDate="2026-05-28T00:00:00"/>
    </cacheField>
    <cacheField name="Planned Finish Weekwise Bucket" numFmtId="0">
      <sharedItems containsBlank="1"/>
    </cacheField>
    <cacheField name="Actual Finish Date" numFmtId="0">
      <sharedItems containsNonDate="0" containsDate="1" containsString="0" containsBlank="1" minDate="2025-04-16T00:00:00" maxDate="2026-02-05T00:00:00"/>
    </cacheField>
    <cacheField name="Actual Finish Weekwise Bucket" numFmtId="0">
      <sharedItems containsBlank="1"/>
    </cacheField>
    <cacheField name="Forecasted Finish Date" numFmtId="0">
      <sharedItems containsNonDate="0" containsDate="1" containsString="0" containsBlank="1" minDate="2025-04-16T00:00:00" maxDate="2026-05-28T00:00:00"/>
    </cacheField>
    <cacheField name="Forecasted Finish Weekwise" numFmtId="0">
      <sharedItems containsBlank="1"/>
    </cacheField>
    <cacheField name="Launched Date" numFmtId="0">
      <sharedItems containsNonDate="0" containsString="0" containsBlank="1"/>
    </cacheField>
    <cacheField name="Planned (Month) Bucket" numFmtId="0">
      <sharedItems containsBlank="1"/>
    </cacheField>
    <cacheField name="Actual (Month) Bucket" numFmtId="0">
      <sharedItems containsBlank="1"/>
    </cacheField>
    <cacheField name="Plan % Completion" numFmtId="0">
      <sharedItems containsString="0" containsBlank="1" containsNumber="1" minValue="0.02" maxValue="1"/>
    </cacheField>
    <cacheField name="Actual % completed" numFmtId="0">
      <sharedItems containsString="0" containsBlank="1" containsNumber="1" minValue="0.02" maxValue="1"/>
    </cacheField>
    <cacheField name="EPC Status" numFmtId="0">
      <sharedItems containsBlank="1" count="35">
        <s v="EPC Ready"/>
        <s v="WIP"/>
        <s v="Vendor finalization - In Process"/>
        <s v="NRFC"/>
        <s v="Budget Approved WO - On Hold"/>
        <s v="Budget Submitted - Approval Awaited"/>
        <s v="WIP - On Hold"/>
        <s v="NOA - In Process"/>
        <s v="YTS"/>
        <m/>
        <s v="SDR Done- ML Awaited" u="1"/>
        <s v="SDR Done - ML Pending" u="1"/>
        <s v="SDR in progres" u="1"/>
        <s v="Hold" u="1"/>
        <s v="Budget Approved - RFC Awaited" u="1"/>
        <s v="WO - On Hold" u="1"/>
        <s v="RFC Offered" u="1"/>
        <s v="YTS - On Hold" u="1"/>
        <s v="W.O Issued - YTS" u="1"/>
        <s v="Dropped" u="1"/>
        <s v="WO - In Process" u="1"/>
        <s v="Site is not ready for SDR" u="1"/>
        <s v="Partial WIP" u="1"/>
        <s v="Site not ready for SDR" u="1"/>
        <s v="ML Received - Design WIP" u="1"/>
        <s v="Vendor finalization in process" u="1"/>
        <s v="Design validation - In Process" u="1"/>
        <s v="Design WIP With Business Team" u="1"/>
        <s v="17. Vendor finalization in process" u="1"/>
        <s v="On Hold" u="1"/>
        <s v="SDR in progress" u="1"/>
        <s v="Future RFC" u="1"/>
        <s v="Budget Approved RFC Awaited" u="1"/>
        <s v="Design in Progress" u="1"/>
        <s v="EPC Ready Previous FY" u="1"/>
      </sharedItems>
    </cacheField>
    <cacheField name="EPC Status - PM" numFmtId="0">
      <sharedItems containsNonDate="0" containsString="0" containsBlank="1"/>
    </cacheField>
    <cacheField name="EPC Status - PM2" numFmtId="0">
      <sharedItems containsNonDate="0" containsString="0" containsBlank="1"/>
    </cacheField>
    <cacheField name="YTS Remarks" numFmtId="0">
      <sharedItems containsBlank="1"/>
    </cacheField>
    <cacheField name="Column3" numFmtId="0">
      <sharedItems containsBlank="1"/>
    </cacheField>
    <cacheField name="Plan Start Date" numFmtId="0">
      <sharedItems containsDate="1" containsBlank="1" containsMixedTypes="1" minDate="2024-04-04T00:00:00" maxDate="2025-12-05T00:00:00"/>
    </cacheField>
    <cacheField name="Mobilization Ageing" numFmtId="0">
      <sharedItems containsBlank="1" containsMixedTypes="1" containsNumber="1" containsInteger="1" minValue="-45980" maxValue="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26.547400115742" createdVersion="6" refreshedVersion="6" minRefreshableVersion="3" recordCount="110" xr:uid="{00000000-000A-0000-FFFF-FFFF2C010000}">
  <cacheSource type="worksheet">
    <worksheetSource ref="B1:AM1048576" sheet="Backup"/>
  </cacheSource>
  <cacheFields count="38">
    <cacheField name="Apex ID" numFmtId="0">
      <sharedItems containsBlank="1"/>
    </cacheField>
    <cacheField name="Sl. No." numFmtId="0">
      <sharedItems containsString="0" containsBlank="1" containsNumber="1" containsInteger="1" minValue="1" maxValue="51"/>
    </cacheField>
    <cacheField name="Business Format" numFmtId="0">
      <sharedItems containsBlank="1"/>
    </cacheField>
    <cacheField name="Format" numFmtId="0">
      <sharedItems containsBlank="1"/>
    </cacheField>
    <cacheField name="Sub Format" numFmtId="0">
      <sharedItems containsBlank="1" count="42">
        <s v="Petro-Terminal Aug"/>
        <s v="Petro-Consumer Pump"/>
        <s v="Petro-Mini Depo - Aug"/>
        <m/>
        <s v="POS Migration" u="1"/>
        <s v="Ancestry" u="1"/>
        <s v="Beauty" u="1"/>
        <s v="Terminal Aug" u="1"/>
        <s v="Urban Ladder -Dehiring" u="1"/>
        <s v="IBC-Office" u="1"/>
        <s v="Clovia" u="1"/>
        <s v="Urban Ladder -SIS- Dehiring" u="1"/>
        <s v="Office" u="1"/>
        <s v="Additional Work-NETMED COCO" u="1"/>
        <s v="Urban Ladder-NSO" u="1"/>
        <s v="Furniture - Mid Premium Store (UL)-Dehire" u="1"/>
        <s v="JioMart digital" u="1"/>
        <s v="Beauty (TIRA)-MISC" u="1"/>
        <s v="Zivame-POS Migration" u="1"/>
        <s v="Beauty (TIRA)" u="1"/>
        <s v="Zivame Dehire" u="1"/>
        <s v="Urban Ladder -SIS" u="1"/>
        <s v="Cover Story" u="1"/>
        <s v="Petro consumer pump" u="1"/>
        <s v="Ancestry Dehire" u="1"/>
        <s v="Mini Depo - Aug" u="1"/>
        <s v="Zivame EBO" u="1"/>
        <s v="NSO 7-Eleven" u="1"/>
        <s v="7-Eleven" u="1"/>
        <s v="NSO 7-Eleven-Dehire" u="1"/>
        <s v="Pharma COCO Store (SP Fix Setup)" u="1"/>
        <s v="TDSC" u="1"/>
        <s v="Amante" u="1"/>
        <s v="Jio mart digital" u="1"/>
        <s v="Furniture - Mid Premium Store (UL)" u="1"/>
        <s v="Dehire" u="1"/>
        <s v="Amante - Pos Migration" u="1"/>
        <s v="7 Eleven in Smart Bazar" u="1"/>
        <s v="Coverstory Dehire" u="1"/>
        <s v="Admin Office (Corporate Services)" u="1"/>
        <s v="Netmed" u="1"/>
        <s v="Consumer Pump" u="1"/>
      </sharedItems>
    </cacheField>
    <cacheField name="Site Type" numFmtId="0">
      <sharedItems containsBlank="1"/>
    </cacheField>
    <cacheField name="Zone" numFmtId="0">
      <sharedItems containsBlank="1"/>
    </cacheField>
    <cacheField name="ZH" numFmtId="0">
      <sharedItems containsBlank="1" count="9">
        <s v="KC"/>
        <s v="AK"/>
        <m/>
        <s v="NKK" u="1"/>
        <s v="AS" u="1"/>
        <s v="BK" u="1"/>
        <s v="JD" u="1"/>
        <s v="SD" u="1"/>
        <s v="RT" u="1"/>
      </sharedItems>
    </cacheField>
    <cacheField name="State" numFmtId="0">
      <sharedItems containsBlank="1"/>
    </cacheField>
    <cacheField name="Site Name" numFmtId="0">
      <sharedItems containsBlank="1"/>
    </cacheField>
    <cacheField name="City" numFmtId="0">
      <sharedItems containsBlank="1"/>
    </cacheField>
    <cacheField name="Area (Sqft)" numFmtId="0">
      <sharedItems containsString="0" containsBlank="1" containsNumber="1" minValue="172.16" maxValue="20000"/>
    </cacheField>
    <cacheField name="PD" numFmtId="0">
      <sharedItems containsBlank="1"/>
    </cacheField>
    <cacheField name="EIC" numFmtId="0">
      <sharedItems containsBlank="1"/>
    </cacheField>
    <cacheField name="RFC Date" numFmtId="0">
      <sharedItems containsNonDate="0" containsDate="1" containsString="0" containsBlank="1" minDate="2024-04-01T00:00:00" maxDate="2025-12-02T00:00:00"/>
    </cacheField>
    <cacheField name="RFC Weekwise Bucket" numFmtId="0">
      <sharedItems containsBlank="1"/>
    </cacheField>
    <cacheField name="Actual Start Date" numFmtId="0">
      <sharedItems containsNonDate="0" containsDate="1" containsString="0" containsBlank="1" minDate="2024-04-29T00:00:00" maxDate="2026-03-31T00:00:00"/>
    </cacheField>
    <cacheField name="Actual Start Weekwise" numFmtId="0">
      <sharedItems containsBlank="1"/>
    </cacheField>
    <cacheField name="Standard Duration" numFmtId="0">
      <sharedItems containsString="0" containsBlank="1" containsNumber="1" containsInteger="1" minValue="15" maxValue="180"/>
    </cacheField>
    <cacheField name="Planned Finish Date" numFmtId="0">
      <sharedItems containsNonDate="0" containsDate="1" containsString="0" containsBlank="1" minDate="1899-12-30T00:00:00" maxDate="2026-06-17T00:00:00"/>
    </cacheField>
    <cacheField name="Planned Finish Weekwise Bucket" numFmtId="0">
      <sharedItems containsBlank="1"/>
    </cacheField>
    <cacheField name="Actual Finish Date" numFmtId="0">
      <sharedItems containsNonDate="0" containsDate="1" containsString="0" containsBlank="1" minDate="2025-04-16T00:00:00" maxDate="2026-04-01T00:00:00"/>
    </cacheField>
    <cacheField name="Actual Finish Weekwise Bucket" numFmtId="0">
      <sharedItems containsBlank="1"/>
    </cacheField>
    <cacheField name="Forecasted Finish Date" numFmtId="0">
      <sharedItems containsNonDate="0" containsDate="1" containsString="0" containsBlank="1" minDate="2025-04-16T00:00:00" maxDate="2026-06-17T00:00:00"/>
    </cacheField>
    <cacheField name="Forecasted Finish Weekwise" numFmtId="0">
      <sharedItems containsBlank="1"/>
    </cacheField>
    <cacheField name="Launched Date" numFmtId="0">
      <sharedItems containsNonDate="0" containsString="0" containsBlank="1"/>
    </cacheField>
    <cacheField name="Planned (Month) Bucket" numFmtId="0">
      <sharedItems containsBlank="1"/>
    </cacheField>
    <cacheField name="Actual (Month) Bucket" numFmtId="0">
      <sharedItems containsBlank="1"/>
    </cacheField>
    <cacheField name="Plan % Completion" numFmtId="0">
      <sharedItems containsString="0" containsBlank="1" containsNumber="1" minValue="7.0000000000000007E-2" maxValue="1"/>
    </cacheField>
    <cacheField name="Actual % completed" numFmtId="0">
      <sharedItems containsString="0" containsBlank="1" containsNumber="1" minValue="2.35E-2" maxValue="1"/>
    </cacheField>
    <cacheField name="EPC Status" numFmtId="0">
      <sharedItems containsBlank="1" count="33">
        <s v="EPC Ready"/>
        <s v="WIP"/>
        <s v="Vendor finalization - In Process"/>
        <s v="NRFC"/>
        <s v="Budget Submitted - Approval Awaited"/>
        <s v="WIP - On Hold"/>
        <s v="NOA - In Process"/>
        <s v="YTS"/>
        <m/>
        <s v="SDR Done- ML Awaited" u="1"/>
        <s v="SDR Done - ML Pending" u="1"/>
        <s v="SDR in progres" u="1"/>
        <s v="Hold" u="1"/>
        <s v="Budget Approved - RFC Awaited" u="1"/>
        <s v="RFC Offered" u="1"/>
        <s v="W.O Issued - YTS" u="1"/>
        <s v="Budget Approved WO - On Hold" u="1"/>
        <s v="Dropped" u="1"/>
        <s v="WO - In Process" u="1"/>
        <s v="Site is not ready for SDR" u="1"/>
        <s v="Partial WIP" u="1"/>
        <s v="Site not ready for SDR" u="1"/>
        <s v="ML Received - Design WIP" u="1"/>
        <s v="Vendor finalization in process" u="1"/>
        <s v="Design validation - In Process" u="1"/>
        <s v="Design WIP With Business Team" u="1"/>
        <s v="17. Vendor finalization in process" u="1"/>
        <s v="On Hold" u="1"/>
        <s v="SDR in progress" u="1"/>
        <s v="Future RFC" u="1"/>
        <s v="Budget Approved RFC Awaited" u="1"/>
        <s v="Design in Progress" u="1"/>
        <s v="EPC Ready Previous FY" u="1"/>
      </sharedItems>
    </cacheField>
    <cacheField name="EPC Status - PM" numFmtId="0">
      <sharedItems containsNonDate="0" containsString="0" containsBlank="1"/>
    </cacheField>
    <cacheField name="EPC Status - PM2" numFmtId="0">
      <sharedItems containsNonDate="0" containsString="0" containsBlank="1"/>
    </cacheField>
    <cacheField name="YTS Remarks" numFmtId="0">
      <sharedItems containsBlank="1"/>
    </cacheField>
    <cacheField name="Column3" numFmtId="0">
      <sharedItems containsBlank="1"/>
    </cacheField>
    <cacheField name="Plan Start Date" numFmtId="0">
      <sharedItems containsDate="1" containsBlank="1" containsMixedTypes="1" minDate="2024-04-04T00:00:00" maxDate="2025-12-05T00:00:00"/>
    </cacheField>
    <cacheField name="Mobilization Ageing" numFmtId="0">
      <sharedItems containsBlank="1" containsMixedTypes="1" containsNumber="1" containsInteger="1" minValue="-45980" maxValue="54"/>
    </cacheField>
    <cacheField name="Column2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2">
  <r>
    <s v="TEAGKC13679"/>
    <n v="19"/>
    <s v="I. Petro"/>
    <s v="Petro"/>
    <x v="0"/>
    <s v="NSO"/>
    <s v="West"/>
    <s v="KC"/>
    <s v="Madhya Pradesh"/>
    <s v="Bhopal - 3 Porta Cabin"/>
    <s v="Bhopal"/>
    <n v="3390"/>
    <m/>
    <s v="Umesh Yadav"/>
    <m/>
    <s v=""/>
    <d v="2025-05-28T00:00:00"/>
    <s v="May 25 Week 4"/>
    <n v="30"/>
    <d v="2025-06-27T00:00:00"/>
    <s v="June 25 Week 4"/>
    <d v="2025-07-09T00:00:00"/>
    <s v="July 25 Week 2"/>
    <m/>
    <s v=""/>
    <m/>
    <s v="JUNE 25 PLANNED"/>
    <s v="JULY 25"/>
    <n v="1"/>
    <n v="1"/>
    <x v="0"/>
    <m/>
    <m/>
    <m/>
    <e v="#N/A"/>
    <s v=""/>
    <s v=""/>
  </r>
  <r>
    <s v="TEAGKC11588"/>
    <n v="20"/>
    <s v="I. Petro"/>
    <s v="Petro"/>
    <x v="0"/>
    <s v="NSO"/>
    <s v="West"/>
    <s v="KC"/>
    <s v="Madhya Pradesh"/>
    <s v="Bhopal - Additional works in Ethanol 20% Phase II"/>
    <s v="Bhopal"/>
    <n v="20000"/>
    <m/>
    <s v="Umesh Yadav"/>
    <m/>
    <s v=""/>
    <d v="2025-04-07T00:00:00"/>
    <s v="April 25 Week 1"/>
    <n v="60"/>
    <d v="2025-06-06T00:00:00"/>
    <s v="June 25 Week 1"/>
    <d v="2025-08-20T00:00:00"/>
    <s v="August 25 Week 3"/>
    <d v="2025-08-25T00:00:00"/>
    <s v="August 25 Week 4"/>
    <m/>
    <s v="JUNE 25 PLANNED"/>
    <s v="AUGUST 25"/>
    <n v="1"/>
    <n v="1"/>
    <x v="0"/>
    <m/>
    <m/>
    <m/>
    <m/>
    <s v=""/>
    <s v=""/>
  </r>
  <r>
    <s v="TEAGKC13450"/>
    <n v="21"/>
    <s v="I. Petro"/>
    <s v="Petro"/>
    <x v="0"/>
    <s v="NSO"/>
    <s v="West"/>
    <s v="KC"/>
    <s v="Madhya Pradesh"/>
    <s v="Bhopal - Cement Concrete paving under pipeline manifold area "/>
    <s v="Bhopal"/>
    <n v="20000"/>
    <m/>
    <s v="Umesh Yadav"/>
    <m/>
    <s v=""/>
    <d v="2026-01-27T00:00:00"/>
    <s v="January 26 Week 4"/>
    <n v="120"/>
    <d v="2026-05-27T00:00:00"/>
    <s v="May 26 Week 4"/>
    <m/>
    <s v=""/>
    <d v="2026-05-27T00:00:00"/>
    <s v="May 26 Week 4"/>
    <m/>
    <s v="MAY 26 PLANNED"/>
    <m/>
    <n v="0.3"/>
    <n v="0.3"/>
    <x v="1"/>
    <m/>
    <m/>
    <m/>
    <e v="#N/A"/>
    <s v=""/>
    <s v=""/>
  </r>
  <r>
    <s v="TEAGKC12180"/>
    <n v="22"/>
    <s v="I. Petro"/>
    <s v="Petro"/>
    <x v="0"/>
    <s v="NSO"/>
    <s v="West"/>
    <s v="KC"/>
    <s v="Madhya Pradesh"/>
    <s v="Bhopal - Enhancing Illumination of Boundary wall works "/>
    <s v="Bhopal"/>
    <n v="20000"/>
    <m/>
    <s v="Umesh Yadav"/>
    <m/>
    <s v=""/>
    <d v="2025-02-12T00:00:00"/>
    <s v="February 25 Week 2"/>
    <n v="120"/>
    <d v="2025-06-12T00:00:00"/>
    <s v="June 25 Week 2"/>
    <d v="2025-06-30T00:00:00"/>
    <s v="June 25 Week 5"/>
    <d v="2025-06-12T00:00:00"/>
    <s v="June 25 Week 2"/>
    <m/>
    <s v="JUNE 25 PLANNED"/>
    <s v="JUNE 25"/>
    <n v="1"/>
    <n v="1"/>
    <x v="0"/>
    <m/>
    <m/>
    <m/>
    <m/>
    <s v=""/>
    <s v=""/>
  </r>
  <r>
    <s v="TEAGKC13451"/>
    <n v="23"/>
    <s v="I. Petro"/>
    <s v="Petro"/>
    <x v="0"/>
    <s v="NSO"/>
    <s v="West"/>
    <s v="KC"/>
    <s v="Madhya Pradesh"/>
    <s v="Bhopal- Earthing grid additional 50mm strip provision at all 5 OTs in line with Earthing adequacy study recommendations."/>
    <s v="Bhopal"/>
    <n v="5000"/>
    <m/>
    <s v="Umesh Yadav"/>
    <m/>
    <s v=""/>
    <d v="2025-11-10T00:00:00"/>
    <s v="November 25 Week 2"/>
    <n v="90"/>
    <d v="2026-02-08T00:00:00"/>
    <s v="February 26 Week 2"/>
    <m/>
    <s v=""/>
    <d v="2026-02-08T00:00:00"/>
    <s v="February 26 Week 2"/>
    <m/>
    <s v="FEBRUARY 26 PLANNED"/>
    <m/>
    <n v="1"/>
    <n v="1"/>
    <x v="0"/>
    <m/>
    <m/>
    <m/>
    <e v="#N/A"/>
    <s v=""/>
    <s v=""/>
  </r>
  <r>
    <s v="TEAGAK13669"/>
    <n v="24"/>
    <s v="I. Petro"/>
    <s v="Petro"/>
    <x v="0"/>
    <s v="NSO"/>
    <s v="South"/>
    <s v="AK"/>
    <s v="Tamil Nadu"/>
    <s v="Chennai - Additional works Phase II"/>
    <s v="Chennai"/>
    <m/>
    <m/>
    <s v="Vasanth A"/>
    <m/>
    <s v=""/>
    <d v="2025-05-05T00:00:00"/>
    <s v="May 25 Week 1"/>
    <n v="30"/>
    <d v="2025-06-04T00:00:00"/>
    <s v="June 25 Week 1"/>
    <d v="2025-06-16T00:00:00"/>
    <s v="June 25 Week 3"/>
    <d v="2025-06-04T00:00:00"/>
    <s v="June 25 Week 1"/>
    <m/>
    <s v="JUNE 25 PLANNED"/>
    <s v="JUNE 25"/>
    <n v="1"/>
    <n v="1"/>
    <x v="0"/>
    <m/>
    <m/>
    <m/>
    <e v="#N/A"/>
    <s v=""/>
    <s v=""/>
  </r>
  <r>
    <s v="TEAGAK13453"/>
    <n v="28"/>
    <s v="I. Petro"/>
    <s v="Petro"/>
    <x v="0"/>
    <s v="NSO"/>
    <s v="South"/>
    <s v="AK"/>
    <s v="Tamil Nadu"/>
    <s v="Chennai - Cement Concrete paving under pipeline manifold area"/>
    <s v="Chennai"/>
    <m/>
    <m/>
    <s v="Vasanth A"/>
    <m/>
    <s v=""/>
    <m/>
    <s v=""/>
    <m/>
    <m/>
    <s v=""/>
    <m/>
    <s v=""/>
    <m/>
    <s v=""/>
    <m/>
    <s v=" "/>
    <m/>
    <m/>
    <m/>
    <x v="2"/>
    <m/>
    <m/>
    <m/>
    <e v="#N/A"/>
    <s v=""/>
    <s v=""/>
  </r>
  <r>
    <s v="TEAGAK13452"/>
    <n v="26"/>
    <s v="I. Petro"/>
    <s v="Petro"/>
    <x v="0"/>
    <s v="NSO"/>
    <s v="South"/>
    <s v="AK"/>
    <s v="Tamil Nadu"/>
    <s v="Chennai - Drivers Amenity Block to be constructed to provide basic facilities for drivers and cleaners."/>
    <s v="Chennai"/>
    <n v="20000"/>
    <m/>
    <s v="Vasanth A"/>
    <m/>
    <s v=""/>
    <d v="2025-05-19T00:00:00"/>
    <s v="May 25 Week 3"/>
    <n v="120"/>
    <d v="2025-09-16T00:00:00"/>
    <s v="September 25 Week 3"/>
    <m/>
    <s v=""/>
    <d v="2025-12-06T00:00:00"/>
    <s v="December 25 Week 1"/>
    <m/>
    <s v="SEPTEMBER 25 PLANNED"/>
    <m/>
    <n v="1"/>
    <n v="0.77"/>
    <x v="1"/>
    <m/>
    <m/>
    <m/>
    <e v="#N/A"/>
    <s v=""/>
    <s v=""/>
  </r>
  <r>
    <s v="TEAGAK13817"/>
    <n v="49"/>
    <s v="I. Petro"/>
    <s v="Petro"/>
    <x v="0"/>
    <s v="NSO"/>
    <s v="South"/>
    <s v="AK"/>
    <s v="Tamil Nadu"/>
    <s v="Chennai - Grating over Strom water drain"/>
    <s v="Chennai"/>
    <n v="20000"/>
    <m/>
    <s v="Vasanth A"/>
    <m/>
    <s v=""/>
    <d v="2025-07-10T00:00:00"/>
    <s v="July 25 Week 2"/>
    <n v="45"/>
    <d v="2025-08-24T00:00:00"/>
    <s v="August 25 Week 4"/>
    <d v="2025-09-13T00:00:00"/>
    <s v="September 25 Week 2"/>
    <d v="2025-08-24T00:00:00"/>
    <s v="August 25 Week 4"/>
    <m/>
    <s v="AUGUST 25 PLANNED"/>
    <s v="SEPTEMBER 25"/>
    <n v="1"/>
    <n v="1"/>
    <x v="0"/>
    <m/>
    <m/>
    <e v="#N/A"/>
    <e v="#N/A"/>
    <s v=""/>
    <s v=""/>
  </r>
  <r>
    <s v="TEAGAK13678"/>
    <n v="30"/>
    <s v="I. Petro"/>
    <s v="Petro"/>
    <x v="0"/>
    <s v="NSO"/>
    <s v="South"/>
    <s v="AK"/>
    <s v="Tamil Nadu"/>
    <s v="Chennai - Schematic for Tank 6A &amp; 6B - Recirculation Line "/>
    <s v="Chennai"/>
    <n v="20000"/>
    <m/>
    <s v="Vasanth A"/>
    <m/>
    <s v=""/>
    <m/>
    <s v=""/>
    <m/>
    <m/>
    <s v=""/>
    <m/>
    <s v=""/>
    <m/>
    <s v=""/>
    <m/>
    <s v=" "/>
    <s v=" "/>
    <m/>
    <m/>
    <x v="3"/>
    <m/>
    <m/>
    <m/>
    <e v="#N/A"/>
    <s v=""/>
    <s v=""/>
  </r>
  <r>
    <s v="TEAGAK13454"/>
    <n v="27"/>
    <s v="I. Petro"/>
    <s v="Petro"/>
    <x v="0"/>
    <s v="NSO"/>
    <s v="South"/>
    <s v="AK"/>
    <s v="Tamil Nadu"/>
    <s v="Chennai- Earthing grid additional 50mm strip provision at all 5 OTs in line with Earthing adequacy study recommendations."/>
    <s v="Chennai"/>
    <n v="5000"/>
    <m/>
    <s v="Vasanth A"/>
    <m/>
    <s v=""/>
    <d v="2025-08-11T00:00:00"/>
    <s v="August 25 Week 2"/>
    <n v="45"/>
    <d v="2025-09-25T00:00:00"/>
    <s v="September 25 Week 4"/>
    <m/>
    <s v=""/>
    <d v="2025-10-30T00:00:00"/>
    <s v="October 25 Week 5"/>
    <m/>
    <s v="SEPTEMBER 25 PLANNED"/>
    <m/>
    <n v="1"/>
    <n v="0.73"/>
    <x v="1"/>
    <m/>
    <m/>
    <m/>
    <e v="#N/A"/>
    <s v=""/>
    <s v=""/>
  </r>
  <r>
    <s v="COPUKC12917"/>
    <n v="1"/>
    <s v="I. Petro"/>
    <s v="Petro"/>
    <x v="1"/>
    <s v="NSO"/>
    <s v="North"/>
    <s v="KC"/>
    <s v="Maharashtra"/>
    <s v="CP - 2 x 30 KL Consumer Pump,M/s LLYODS METAL &amp; ENERGY LIMTED,Gadchiroli, MH"/>
    <s v="Gadchiroli"/>
    <m/>
    <m/>
    <m/>
    <m/>
    <s v=""/>
    <m/>
    <s v=""/>
    <m/>
    <m/>
    <s v=""/>
    <m/>
    <s v=""/>
    <m/>
    <s v=""/>
    <m/>
    <s v=" "/>
    <s v=" "/>
    <m/>
    <m/>
    <x v="3"/>
    <m/>
    <m/>
    <m/>
    <m/>
    <s v=""/>
    <s v=""/>
  </r>
  <r>
    <s v="COPUAK11571"/>
    <n v="2"/>
    <s v="I. Petro"/>
    <s v="Petro"/>
    <x v="1"/>
    <s v="NSO"/>
    <s v="East"/>
    <s v="AK"/>
    <s v="Jharkhand"/>
    <s v="CP - 30 KL - ABCI- SCPL-SIPS (JV) - Dhanbad - Mouza – Nagrikala"/>
    <s v="Dhanbad"/>
    <n v="6725"/>
    <m/>
    <s v="Avinandan Kumar "/>
    <m/>
    <s v=""/>
    <d v="2025-04-14T00:00:00"/>
    <s v="April 25 Week 2"/>
    <n v="60"/>
    <d v="2025-06-13T00:00:00"/>
    <s v="June 25 Week 2"/>
    <d v="2025-06-03T00:00:00"/>
    <s v="June 25 Week 1"/>
    <d v="2025-06-13T00:00:00"/>
    <s v="June 25 Week 2"/>
    <m/>
    <s v="JUNE 25 PLANNED"/>
    <s v="JUNE 25"/>
    <n v="1"/>
    <n v="1"/>
    <x v="0"/>
    <m/>
    <m/>
    <m/>
    <e v="#N/A"/>
    <s v=""/>
    <s v=""/>
  </r>
  <r>
    <s v="COPUKC13447"/>
    <n v="8"/>
    <s v="I. Petro"/>
    <s v="Petro"/>
    <x v="1"/>
    <s v="NSO"/>
    <s v="North"/>
    <s v="KC"/>
    <s v="Uttar Pradesh"/>
    <s v="CP - BANDA,UP"/>
    <s v="Kanpur"/>
    <m/>
    <s v="PETRO-CP-UPCTR02"/>
    <s v="Manmohan Nautiyal"/>
    <m/>
    <s v=""/>
    <m/>
    <s v=""/>
    <m/>
    <m/>
    <s v=""/>
    <m/>
    <s v=""/>
    <m/>
    <s v=""/>
    <m/>
    <s v=" "/>
    <s v=" "/>
    <m/>
    <m/>
    <x v="3"/>
    <m/>
    <m/>
    <m/>
    <e v="#N/A"/>
    <s v=""/>
    <s v=""/>
  </r>
  <r>
    <s v="COPUKC13923"/>
    <n v="13"/>
    <s v="I. Petro"/>
    <s v="Petro"/>
    <x v="1"/>
    <s v="NSO"/>
    <s v="West"/>
    <s v="KC"/>
    <s v="Maharashtra"/>
    <s v="CP - BPSP - Hindustan Construction Company Ltd, Karjat, Raigad"/>
    <s v="Karjat"/>
    <m/>
    <m/>
    <m/>
    <m/>
    <s v=""/>
    <m/>
    <s v=""/>
    <m/>
    <m/>
    <s v=""/>
    <m/>
    <s v=""/>
    <m/>
    <s v=""/>
    <m/>
    <s v=" "/>
    <s v=" "/>
    <m/>
    <m/>
    <x v="3"/>
    <m/>
    <m/>
    <e v="#N/A"/>
    <e v="#N/A"/>
    <s v=""/>
    <s v=""/>
  </r>
  <r>
    <s v="COPUKC13575"/>
    <n v="3"/>
    <s v="I. Petro"/>
    <s v="Petro"/>
    <x v="1"/>
    <s v="NSO"/>
    <s v="West"/>
    <s v="KC"/>
    <s v="Chattisgarh"/>
    <s v="CP - Coal India SECL, Gevra Phase II"/>
    <s v="Korba"/>
    <n v="4304"/>
    <m/>
    <s v="Abhay Shrivastava"/>
    <m/>
    <s v=""/>
    <d v="2025-04-11T00:00:00"/>
    <s v="April 25 Week 2"/>
    <n v="30"/>
    <d v="2025-05-11T00:00:00"/>
    <s v="May 25 Week 2"/>
    <d v="2025-05-11T00:00:00"/>
    <s v="May 25 Week 2"/>
    <d v="2025-05-11T00:00:00"/>
    <s v="May 25 Week 2"/>
    <m/>
    <s v="MAY 25 PLANNED"/>
    <s v="MAY 25"/>
    <n v="1"/>
    <n v="1"/>
    <x v="0"/>
    <m/>
    <m/>
    <m/>
    <e v="#N/A"/>
    <s v=""/>
    <s v=""/>
  </r>
  <r>
    <s v="COPUKC13449"/>
    <n v="10"/>
    <s v="I. Petro"/>
    <s v="Petro"/>
    <x v="1"/>
    <s v="NSO"/>
    <s v="North"/>
    <s v="KC"/>
    <s v="Uttar Pradesh"/>
    <s v="CP - GOLA,UP"/>
    <s v="Kanpur"/>
    <n v="3000"/>
    <s v="PETRO-CP-UPCTR07"/>
    <s v="Manmohan Nautiyal"/>
    <m/>
    <s v=""/>
    <d v="2025-08-29T00:00:00"/>
    <s v="August 25 Week 5"/>
    <n v="16"/>
    <d v="2025-09-14T00:00:00"/>
    <s v="September 25 Week 2"/>
    <d v="2025-09-19T00:00:00"/>
    <s v="September 25 Week 3"/>
    <d v="2025-09-14T00:00:00"/>
    <s v="September 25 Week 2"/>
    <m/>
    <s v="SEPTEMBER 25 PLANNED"/>
    <s v="SEPTEMBER 25"/>
    <n v="1"/>
    <n v="1"/>
    <x v="0"/>
    <m/>
    <m/>
    <m/>
    <e v="#N/A"/>
    <s v=""/>
    <s v=""/>
  </r>
  <r>
    <s v="COPUKC13448"/>
    <n v="9"/>
    <s v="I. Petro"/>
    <s v="Petro"/>
    <x v="1"/>
    <s v="NSO"/>
    <s v="North"/>
    <s v="KC"/>
    <s v="Uttar Pradesh"/>
    <s v="CP - HARDOI,UP"/>
    <s v="Kanpur"/>
    <n v="8000"/>
    <s v="PETRO-CP-UPCTR06"/>
    <s v="Manmohan Nautiyal"/>
    <m/>
    <s v=""/>
    <d v="2025-06-23T00:00:00"/>
    <s v="June 25 Week 4"/>
    <n v="70"/>
    <d v="2025-09-01T00:00:00"/>
    <s v="September 25 Week 1"/>
    <d v="2025-09-01T00:00:00"/>
    <s v="September 25 Week 1"/>
    <d v="2025-08-01T00:00:00"/>
    <s v="August 25 Week 1"/>
    <m/>
    <s v="SEPTEMBER 25 PLANNED"/>
    <s v="SEPTEMBER 25"/>
    <n v="1"/>
    <n v="1"/>
    <x v="0"/>
    <m/>
    <m/>
    <m/>
    <e v="#N/A"/>
    <s v=""/>
    <s v=""/>
  </r>
  <r>
    <s v="COPUKC13576"/>
    <n v="12"/>
    <s v="I. Petro"/>
    <s v="Petro"/>
    <x v="1"/>
    <s v="NSO"/>
    <s v="West"/>
    <s v="KC"/>
    <s v="Chattisgarh"/>
    <s v="CP - JSPL Gare IV/6(Mines) _ CG"/>
    <s v="Raigarh"/>
    <m/>
    <m/>
    <m/>
    <m/>
    <s v=""/>
    <m/>
    <s v=""/>
    <m/>
    <m/>
    <s v=""/>
    <m/>
    <s v=""/>
    <m/>
    <s v=""/>
    <m/>
    <s v=" "/>
    <s v=" "/>
    <m/>
    <m/>
    <x v="3"/>
    <m/>
    <m/>
    <m/>
    <e v="#N/A"/>
    <s v=""/>
    <s v=""/>
  </r>
  <r>
    <s v="COPUKC13446"/>
    <n v="11"/>
    <s v="I. Petro"/>
    <s v="Petro"/>
    <x v="1"/>
    <s v="NSO"/>
    <s v="North"/>
    <s v="KC"/>
    <s v="Uttar Pradesh"/>
    <s v="CP - MAHOBA,UP"/>
    <s v="Kanpur"/>
    <n v="8000"/>
    <s v="PETRO-CP-UPCTR03"/>
    <s v="Manmohan Nautiyal"/>
    <m/>
    <s v=""/>
    <d v="2025-06-23T00:00:00"/>
    <s v="June 25 Week 4"/>
    <n v="70"/>
    <d v="2025-09-01T00:00:00"/>
    <s v="September 25 Week 1"/>
    <d v="2025-09-01T00:00:00"/>
    <s v="September 25 Week 1"/>
    <d v="2025-08-01T00:00:00"/>
    <s v="August 25 Week 1"/>
    <m/>
    <s v="SEPTEMBER 25 PLANNED"/>
    <s v="SEPTEMBER 25"/>
    <n v="1"/>
    <n v="1"/>
    <x v="0"/>
    <m/>
    <m/>
    <m/>
    <e v="#N/A"/>
    <s v=""/>
    <s v=""/>
  </r>
  <r>
    <s v="COPUAK13993"/>
    <n v="14"/>
    <s v="I. Petro"/>
    <s v="Petro"/>
    <x v="1"/>
    <s v="NSO"/>
    <s v="East"/>
    <s v="AK"/>
    <s v="Telangana"/>
    <s v="CP - Manuguru"/>
    <s v="Manuguru"/>
    <n v="1892"/>
    <s v="PETRO-CP-TGCCM11"/>
    <s v="Ranjit Sinha"/>
    <m/>
    <s v=""/>
    <d v="2025-08-25T00:00:00"/>
    <s v="August 25 Week 4"/>
    <n v="45"/>
    <d v="2025-10-09T00:00:00"/>
    <s v="October 25 Week 2"/>
    <d v="2025-12-22T00:00:00"/>
    <s v="December 25 Week 4"/>
    <d v="2025-09-20T00:00:00"/>
    <s v="September 25 Week 3"/>
    <m/>
    <s v="OCTOBER 25 PLANNED"/>
    <s v="DECEMBER 25"/>
    <n v="1"/>
    <n v="1"/>
    <x v="0"/>
    <m/>
    <m/>
    <e v="#N/A"/>
    <e v="#N/A"/>
    <s v=""/>
    <s v=""/>
  </r>
  <r>
    <s v="COPUKC13445"/>
    <n v="7"/>
    <s v="I. Petro"/>
    <s v="Petro"/>
    <x v="1"/>
    <s v="NSO"/>
    <s v="North"/>
    <s v="KC"/>
    <s v="Uttar Pradesh"/>
    <s v="CP - ORAI,UP"/>
    <s v="Kanpur"/>
    <m/>
    <s v="PETRO-CP-UPCTR01"/>
    <s v="Manmohan Nautiyal"/>
    <m/>
    <s v=""/>
    <m/>
    <s v=""/>
    <m/>
    <m/>
    <s v=""/>
    <m/>
    <s v=""/>
    <m/>
    <s v=""/>
    <m/>
    <s v=" "/>
    <s v=" "/>
    <m/>
    <m/>
    <x v="3"/>
    <m/>
    <m/>
    <m/>
    <e v="#N/A"/>
    <s v=""/>
    <s v=""/>
  </r>
  <r>
    <s v="COPUKC13443"/>
    <n v="5"/>
    <s v="I. Petro"/>
    <s v="Petro"/>
    <x v="1"/>
    <s v="NSO"/>
    <s v="North"/>
    <s v="KC"/>
    <s v="Uttar Pradesh"/>
    <s v="CP - SAHIBABAD,UP"/>
    <s v="Kanpur"/>
    <m/>
    <s v="PETRO-CP-UPCTR04"/>
    <s v="Manmohan Nautiyal"/>
    <m/>
    <s v=""/>
    <m/>
    <s v=""/>
    <m/>
    <m/>
    <s v=""/>
    <m/>
    <s v=""/>
    <m/>
    <s v=""/>
    <m/>
    <s v=" "/>
    <s v=" "/>
    <m/>
    <m/>
    <x v="3"/>
    <m/>
    <m/>
    <m/>
    <e v="#N/A"/>
    <s v=""/>
    <s v=""/>
  </r>
  <r>
    <s v="COPUKC13444"/>
    <n v="6"/>
    <s v="I. Petro"/>
    <s v="Petro"/>
    <x v="1"/>
    <s v="NSO"/>
    <s v="North"/>
    <s v="KC"/>
    <s v="Uttar Pradesh"/>
    <s v="CP - SIDDHARTHNAGAR,UP"/>
    <s v="Kanpur"/>
    <m/>
    <s v="PETRO-CP-UPCTR08"/>
    <s v="Manmohan Nautiyal"/>
    <m/>
    <s v=""/>
    <m/>
    <s v=""/>
    <m/>
    <m/>
    <s v=""/>
    <m/>
    <s v=""/>
    <m/>
    <s v=""/>
    <m/>
    <s v=" "/>
    <s v=" "/>
    <m/>
    <m/>
    <x v="3"/>
    <m/>
    <m/>
    <m/>
    <e v="#N/A"/>
    <s v=""/>
    <s v=""/>
  </r>
  <r>
    <s v="TEAGAK13493"/>
    <n v="32"/>
    <s v="I. Petro"/>
    <s v="Petro"/>
    <x v="0"/>
    <s v="NSO"/>
    <s v="East"/>
    <s v="AK"/>
    <s v="West Bengal"/>
    <s v="Haldia - Additional works in Ethanol 20% Phase III_x000a_ "/>
    <s v="Haldia"/>
    <n v="8000"/>
    <m/>
    <s v="Arifur Rehman"/>
    <m/>
    <s v=""/>
    <d v="2025-02-25T00:00:00"/>
    <s v="February 25 Week 4"/>
    <n v="60"/>
    <d v="2025-04-26T00:00:00"/>
    <s v="April 25 Week 4"/>
    <d v="2025-07-16T00:00:00"/>
    <s v="July 25 Week 3"/>
    <d v="2025-07-25T00:00:00"/>
    <s v="July 25 Week 4"/>
    <m/>
    <s v="APRIL 25 PLANNED"/>
    <s v="JULY 25"/>
    <n v="1"/>
    <n v="1"/>
    <x v="0"/>
    <m/>
    <m/>
    <m/>
    <e v="#N/A"/>
    <s v=""/>
    <s v=""/>
  </r>
  <r>
    <s v="TEAGAK13458"/>
    <n v="31"/>
    <s v="I. Petro"/>
    <s v="Petro"/>
    <x v="0"/>
    <s v="NSO"/>
    <s v="East"/>
    <s v="AK"/>
    <s v="West Bengal"/>
    <s v="Haldia - Cement Concrete paving under pipeline manifold area "/>
    <s v="Haldia"/>
    <m/>
    <m/>
    <s v="Arifur Rehman"/>
    <m/>
    <s v=""/>
    <m/>
    <s v=""/>
    <m/>
    <m/>
    <s v=""/>
    <m/>
    <s v=""/>
    <m/>
    <s v=""/>
    <m/>
    <s v=" "/>
    <s v=" "/>
    <m/>
    <m/>
    <x v="3"/>
    <m/>
    <m/>
    <m/>
    <e v="#N/A"/>
    <s v=""/>
    <s v=""/>
  </r>
  <r>
    <s v="TEAGAK13455"/>
    <n v="33"/>
    <s v="I. Petro"/>
    <s v="Petro"/>
    <x v="0"/>
    <s v="NSO"/>
    <s v="East"/>
    <s v="AK"/>
    <s v="West Bengal"/>
    <s v="Haldia - Drivers Amenity Block to be constructed to provide basic facilities for drivers and cleaners."/>
    <s v="Haldia"/>
    <n v="5000"/>
    <m/>
    <s v="Arifur Rehman"/>
    <m/>
    <s v=""/>
    <d v="2025-05-15T00:00:00"/>
    <s v="May 25 Week 3"/>
    <n v="120"/>
    <d v="2025-09-12T00:00:00"/>
    <s v="September 25 Week 2"/>
    <d v="2026-02-04T00:00:00"/>
    <s v="February 26 Week 1"/>
    <d v="2025-11-06T00:00:00"/>
    <s v="November 25 Week 1"/>
    <m/>
    <s v="SEPTEMBER 25 PLANNED"/>
    <s v="FEBRUARY 26"/>
    <n v="1"/>
    <n v="1"/>
    <x v="0"/>
    <m/>
    <m/>
    <m/>
    <e v="#N/A"/>
    <s v=""/>
    <s v=""/>
  </r>
  <r>
    <s v="TEAGAK13457"/>
    <n v="41"/>
    <s v="I. Petro"/>
    <s v="Petro"/>
    <x v="0"/>
    <s v="NSO"/>
    <s v="East"/>
    <s v="AK"/>
    <s v="West Bengal"/>
    <s v="Haldia - Expansion of TT Parking P3 &amp; development of approach Road from HPL Link Rd to TT Parking area"/>
    <s v="Haldia"/>
    <n v="6350"/>
    <m/>
    <s v="Arifur Rehman"/>
    <m/>
    <s v=""/>
    <d v="2025-08-04T00:00:00"/>
    <s v="August 25 Week 1"/>
    <n v="90"/>
    <d v="2025-11-02T00:00:00"/>
    <s v="November 25 Week 1"/>
    <d v="2025-12-17T00:00:00"/>
    <s v="December 25 Week 3"/>
    <d v="2025-11-14T00:00:00"/>
    <s v="November 25 Week 2"/>
    <m/>
    <s v="NOVEMBER 25 PLANNED"/>
    <s v="DECEMBER 25"/>
    <n v="1"/>
    <n v="1"/>
    <x v="0"/>
    <m/>
    <m/>
    <m/>
    <e v="#N/A"/>
    <s v=""/>
    <s v=""/>
  </r>
  <r>
    <s v="TEAGAK13818"/>
    <n v="37"/>
    <s v="I. Petro"/>
    <s v="Petro"/>
    <x v="0"/>
    <s v="NSO"/>
    <s v="East"/>
    <s v="AK"/>
    <s v="West Bengal"/>
    <s v="Haldia - Grating over Strom water drain"/>
    <s v="Haldia"/>
    <n v="5000"/>
    <m/>
    <s v="Arifur Rehman"/>
    <m/>
    <s v=""/>
    <d v="2025-06-02T00:00:00"/>
    <s v="June 25 Week 1"/>
    <n v="45"/>
    <d v="2025-07-17T00:00:00"/>
    <s v="July 25 Week 3"/>
    <d v="2025-07-23T00:00:00"/>
    <s v="July 25 Week 4"/>
    <d v="2025-07-16T00:00:00"/>
    <s v="July 25 Week 3"/>
    <m/>
    <s v="JULY 25 PLANNED"/>
    <s v="JULY 25"/>
    <n v="1"/>
    <n v="1"/>
    <x v="0"/>
    <m/>
    <m/>
    <e v="#N/A"/>
    <e v="#N/A"/>
    <s v=""/>
    <s v=""/>
  </r>
  <r>
    <s v="TEAGAK13456"/>
    <n v="29"/>
    <s v="I. Petro"/>
    <s v="Petro"/>
    <x v="0"/>
    <s v="NSO"/>
    <s v="East"/>
    <s v="AK"/>
    <s v="West Bengal"/>
    <s v="Haldia - Paving below DP Vessel area "/>
    <s v="Haldia"/>
    <n v="4250"/>
    <m/>
    <s v="Arifur Rehman"/>
    <m/>
    <s v=""/>
    <d v="2025-09-22T00:00:00"/>
    <s v="September 25 Week 4"/>
    <n v="120"/>
    <d v="2026-01-20T00:00:00"/>
    <s v="January 26 Week 3"/>
    <m/>
    <s v=""/>
    <d v="2026-01-20T00:00:00"/>
    <s v="January 26 Week 3"/>
    <m/>
    <s v="JANUARY 26 PLANNED"/>
    <s v=" "/>
    <n v="1"/>
    <n v="0.63429999999999997"/>
    <x v="1"/>
    <m/>
    <m/>
    <m/>
    <e v="#N/A"/>
    <s v=""/>
    <s v=""/>
  </r>
  <r>
    <s v="TEAGAK13568"/>
    <n v="38"/>
    <s v="I. Petro"/>
    <s v="Petro"/>
    <x v="0"/>
    <s v="NSO"/>
    <s v="East"/>
    <s v="AK"/>
    <s v="West Bengal"/>
    <s v="Haldia - Wind Girder &amp; MVWSS Replacement - Haldia - Tk 1A, 1B , 7A &amp; 7B "/>
    <s v="Haldia"/>
    <n v="5000"/>
    <m/>
    <s v="Arifur Rehman"/>
    <m/>
    <s v=""/>
    <d v="2025-06-12T00:00:00"/>
    <s v="June 25 Week 2"/>
    <n v="152"/>
    <d v="2025-11-11T00:00:00"/>
    <s v="November 25 Week 2"/>
    <m/>
    <s v=""/>
    <d v="2025-11-11T00:00:00"/>
    <s v="November 25 Week 2"/>
    <m/>
    <s v="NOVEMBER 25 PLANNED"/>
    <s v=" "/>
    <n v="1"/>
    <n v="0.622"/>
    <x v="1"/>
    <m/>
    <m/>
    <m/>
    <e v="#N/A"/>
    <s v=""/>
    <s v=""/>
  </r>
  <r>
    <s v="TEAGAK13459"/>
    <n v="39"/>
    <s v="I. Petro"/>
    <s v="Petro"/>
    <x v="0"/>
    <s v="NSO"/>
    <s v="East"/>
    <s v="AK"/>
    <s v="West Bengal"/>
    <s v="Haldia- Earthing grid additional 50mm strip provision at all 5 OTs in line with Earthing adequacy study recommendations."/>
    <s v="Haldia"/>
    <n v="5000"/>
    <m/>
    <s v="Arifur Rehman"/>
    <d v="2025-04-21T00:00:00"/>
    <s v="April 25 Week 3"/>
    <d v="2025-04-21T00:00:00"/>
    <s v="April 25 Week 3"/>
    <n v="45"/>
    <d v="2025-06-05T00:00:00"/>
    <s v="June 25 Week 1"/>
    <d v="2025-08-18T00:00:00"/>
    <s v="August 25 Week 3"/>
    <d v="2025-07-25T00:00:00"/>
    <s v="July 25 Week 4"/>
    <m/>
    <s v="JUNE 25 PLANNED"/>
    <s v="AUGUST 25"/>
    <n v="1"/>
    <n v="1"/>
    <x v="0"/>
    <m/>
    <m/>
    <m/>
    <e v="#N/A"/>
    <d v="2025-04-24T00:00:00"/>
    <n v="-3"/>
  </r>
  <r>
    <s v="MIAGAK12873"/>
    <n v="16"/>
    <s v="I. Petro"/>
    <s v="Petro"/>
    <x v="2"/>
    <s v="NSO"/>
    <s v="East"/>
    <s v="AK"/>
    <s v="Telangana"/>
    <s v="Huzurnagar Mini Depo - Boundary Wall"/>
    <s v="Huzurnagar"/>
    <n v="20000"/>
    <s v="PETRO-MDTGHU1"/>
    <s v="Ranjit Sinha"/>
    <m/>
    <s v=""/>
    <d v="2025-03-17T00:00:00"/>
    <s v="March 25 Week 3"/>
    <n v="180"/>
    <d v="2025-09-13T00:00:00"/>
    <s v="September 25 Week 2"/>
    <m/>
    <s v=""/>
    <d v="2025-10-17T00:00:00"/>
    <s v="October 25 Week 3"/>
    <m/>
    <s v="SEPTEMBER 25 PLANNED"/>
    <s v=" "/>
    <n v="1"/>
    <n v="0.98"/>
    <x v="1"/>
    <m/>
    <m/>
    <m/>
    <m/>
    <s v=""/>
    <s v=""/>
  </r>
  <r>
    <s v="MIAGAK13851"/>
    <n v="15"/>
    <s v="K. Other Office Infrastructure"/>
    <s v="Office"/>
    <x v="2"/>
    <s v="NSO"/>
    <s v="East"/>
    <s v="AK"/>
    <s v="Telangana"/>
    <s v="Huzurnagar Mini Depo - Phase I Works"/>
    <s v="Huzurnagar"/>
    <n v="20000"/>
    <s v="PETRO-MDTGHU2"/>
    <s v="Ranjit Sinha"/>
    <m/>
    <s v=""/>
    <d v="2025-09-22T00:00:00"/>
    <s v="September 25 Week 4"/>
    <n v="120"/>
    <d v="2026-01-20T00:00:00"/>
    <s v="January 26 Week 3"/>
    <m/>
    <s v=""/>
    <d v="2026-01-20T00:00:00"/>
    <s v="January 26 Week 3"/>
    <m/>
    <s v="JANUARY 26 PLANNED"/>
    <s v=" "/>
    <n v="1"/>
    <n v="0.53"/>
    <x v="1"/>
    <m/>
    <m/>
    <e v="#N/A"/>
    <e v="#N/A"/>
    <s v=""/>
    <s v=""/>
  </r>
  <r>
    <s v="TEAGKC11575"/>
    <n v="36"/>
    <s v="I. Petro"/>
    <s v="Petro"/>
    <x v="0"/>
    <s v="NSO"/>
    <s v="North"/>
    <s v="KC"/>
    <s v="Uttar Pradesh"/>
    <s v="Kanpur - Additional works in Ethanol 20% Phase II"/>
    <s v="Kanpur"/>
    <n v="20000"/>
    <m/>
    <s v="Manmohan Nautiyal"/>
    <m/>
    <s v=""/>
    <d v="2025-01-22T00:00:00"/>
    <s v="January 25 Week 4"/>
    <n v="60"/>
    <d v="2025-03-23T00:00:00"/>
    <s v="March 25 Week 4"/>
    <d v="2025-04-16T00:00:00"/>
    <s v="April 25 Week 3"/>
    <d v="2025-04-16T00:00:00"/>
    <s v="April 25 Week 3"/>
    <m/>
    <s v="MARCH 25 PLANNED"/>
    <s v="APRIL 25"/>
    <n v="1"/>
    <n v="1"/>
    <x v="0"/>
    <m/>
    <m/>
    <m/>
    <m/>
    <s v=""/>
    <s v=""/>
  </r>
  <r>
    <s v="TEAGKC13463"/>
    <n v="40"/>
    <s v="I. Petro"/>
    <s v="Petro"/>
    <x v="0"/>
    <s v="NSO"/>
    <s v="North"/>
    <s v="KC"/>
    <s v="Uttar Pradesh"/>
    <s v="Kanpur - Borewell Structure Works"/>
    <s v="Kanpur"/>
    <n v="8000"/>
    <m/>
    <s v="Manmohan Nautiyal"/>
    <m/>
    <s v=""/>
    <d v="2025-09-05T00:00:00"/>
    <s v="September 25 Week 1"/>
    <n v="45"/>
    <d v="2025-10-20T00:00:00"/>
    <s v="October 25 Week 3"/>
    <d v="2025-11-08T00:00:00"/>
    <s v="November 25 Week 2"/>
    <d v="2025-10-25T00:00:00"/>
    <s v="October 25 Week 4"/>
    <m/>
    <s v="OCTOBER 25 PLANNED"/>
    <s v="NOVEMBER 25"/>
    <n v="1"/>
    <n v="1"/>
    <x v="0"/>
    <m/>
    <m/>
    <m/>
    <e v="#N/A"/>
    <s v=""/>
    <s v=""/>
  </r>
  <r>
    <s v="TEAGKC13668"/>
    <n v="34"/>
    <s v="I. Petro"/>
    <s v="Petro"/>
    <x v="0"/>
    <s v="NSO"/>
    <s v="North"/>
    <s v="KC"/>
    <s v="Uttar Pradesh"/>
    <s v="Kanpur - Cement Concrete paving under pipeline manifold area "/>
    <s v="Kanpur"/>
    <m/>
    <m/>
    <s v="Manmohan Nautiyal"/>
    <m/>
    <s v=""/>
    <m/>
    <s v=""/>
    <m/>
    <m/>
    <s v=""/>
    <m/>
    <s v=""/>
    <m/>
    <s v=""/>
    <m/>
    <s v=" "/>
    <s v=" "/>
    <m/>
    <m/>
    <x v="4"/>
    <m/>
    <m/>
    <m/>
    <e v="#N/A"/>
    <s v=""/>
    <s v=""/>
  </r>
  <r>
    <s v="TEAGKC13460"/>
    <n v="42"/>
    <s v="I. Petro"/>
    <s v="Petro"/>
    <x v="0"/>
    <s v="NSO"/>
    <s v="North"/>
    <s v="KC"/>
    <s v="Uttar Pradesh"/>
    <s v="Kanpur - Drivers Amenity Block to be constructed to provide basic facilities for drivers and cleaners."/>
    <s v="Kanpur"/>
    <n v="20000"/>
    <m/>
    <s v="Manmohan Nautiyal"/>
    <m/>
    <s v=""/>
    <d v="2025-04-04T00:00:00"/>
    <s v="April 25 Week 1"/>
    <n v="120"/>
    <d v="2025-08-02T00:00:00"/>
    <s v="August 25 Week 1"/>
    <m/>
    <s v=""/>
    <d v="2025-11-15T00:00:00"/>
    <s v="November 25 Week 3"/>
    <m/>
    <s v="AUGUST 25 PLANNED"/>
    <s v=" "/>
    <n v="1"/>
    <n v="0.92"/>
    <x v="1"/>
    <m/>
    <m/>
    <m/>
    <e v="#N/A"/>
    <s v=""/>
    <s v=""/>
  </r>
  <r>
    <s v="TEAGKC13852"/>
    <m/>
    <m/>
    <m/>
    <x v="0"/>
    <s v="NSO"/>
    <s v="North"/>
    <s v="KC"/>
    <s v="Uttar Pradesh"/>
    <s v="Kanpur - Grating on Storm Water Drains "/>
    <s v="Kanpur"/>
    <n v="20000"/>
    <m/>
    <s v="Manmohan Nautiyal"/>
    <m/>
    <s v=""/>
    <d v="2025-09-30T00:00:00"/>
    <s v="September 25 Week 5"/>
    <n v="60"/>
    <d v="2025-11-29T00:00:00"/>
    <s v="November 25 Week 5"/>
    <d v="2025-12-24T00:00:00"/>
    <s v="December 25 Week 4"/>
    <d v="2025-11-29T00:00:00"/>
    <s v="November 25 Week 5"/>
    <m/>
    <s v="NOVEMBER 25 PLANNED"/>
    <s v="DECEMBER 25"/>
    <n v="1"/>
    <n v="1"/>
    <x v="0"/>
    <m/>
    <m/>
    <e v="#N/A"/>
    <e v="#N/A"/>
    <s v=""/>
    <s v=""/>
  </r>
  <r>
    <s v="TEAGKC13816"/>
    <n v="48"/>
    <s v="I. Petro"/>
    <s v="Petro"/>
    <x v="0"/>
    <s v="NSO"/>
    <s v="North"/>
    <s v="KC"/>
    <s v="Uttar Pradesh"/>
    <s v="Kanpur - Implementing Rainwater Harvesting"/>
    <s v="Kanpur"/>
    <n v="20000"/>
    <m/>
    <s v="Manmohan Nautiyal"/>
    <m/>
    <s v=""/>
    <m/>
    <s v=""/>
    <m/>
    <m/>
    <s v=""/>
    <m/>
    <s v=""/>
    <m/>
    <s v=""/>
    <m/>
    <s v=" "/>
    <s v=" "/>
    <m/>
    <m/>
    <x v="4"/>
    <m/>
    <m/>
    <e v="#N/A"/>
    <e v="#N/A"/>
    <s v=""/>
    <s v=""/>
  </r>
  <r>
    <s v="TEAGKC13462"/>
    <n v="35"/>
    <s v="I. Petro"/>
    <s v="Petro"/>
    <x v="0"/>
    <s v="NSO"/>
    <s v="North"/>
    <s v="KC"/>
    <s v="Uttar Pradesh"/>
    <s v="Kanpur- Earthing grid additional 50mm strip provision at all 5 OTs in line with Earthing adequacy study recommendations."/>
    <s v="Kanpur"/>
    <n v="5000"/>
    <m/>
    <s v="Manmohan Nautiyal"/>
    <m/>
    <s v=""/>
    <m/>
    <s v=""/>
    <m/>
    <m/>
    <s v=""/>
    <m/>
    <s v=""/>
    <m/>
    <s v=""/>
    <m/>
    <s v=" "/>
    <s v=" "/>
    <m/>
    <m/>
    <x v="5"/>
    <m/>
    <m/>
    <m/>
    <e v="#N/A"/>
    <s v=""/>
    <s v=""/>
  </r>
  <r>
    <s v="TEAGKC13680"/>
    <n v="45"/>
    <s v="I. Petro"/>
    <s v="Petro"/>
    <x v="0"/>
    <s v="NSO"/>
    <s v="North"/>
    <s v="KC"/>
    <s v="Uttar Pradesh"/>
    <s v="Kanpur-Safety Shower at Rail unloading Gantry (3 Nos) - Instrumentation works"/>
    <s v="Kanpur"/>
    <m/>
    <m/>
    <s v="Manmohan Nautiyal"/>
    <m/>
    <s v=""/>
    <d v="2025-05-05T00:00:00"/>
    <s v="May 25 Week 1"/>
    <n v="45"/>
    <d v="2025-06-19T00:00:00"/>
    <s v="June 25 Week 3"/>
    <d v="2025-06-11T00:00:00"/>
    <s v="June 25 Week 2"/>
    <d v="2025-06-06T00:00:00"/>
    <s v="June 25 Week 1"/>
    <m/>
    <s v="JUNE 25 PLANNED"/>
    <s v="JUNE 25"/>
    <n v="1"/>
    <n v="1"/>
    <x v="0"/>
    <m/>
    <m/>
    <m/>
    <e v="#N/A"/>
    <s v=""/>
    <s v=""/>
  </r>
  <r>
    <s v="TEAGKC11574"/>
    <n v="44"/>
    <s v="I. Petro"/>
    <s v="Petro"/>
    <x v="0"/>
    <s v="NSO"/>
    <s v="North"/>
    <s v="KC"/>
    <s v="Delhi NCR"/>
    <s v="Rewari - Additional works in Ethanol 20% Phase II"/>
    <s v="Rewari"/>
    <n v="20000"/>
    <m/>
    <s v="Anand Singh"/>
    <m/>
    <s v=""/>
    <d v="2025-05-23T00:00:00"/>
    <s v="May 25 Week 4"/>
    <n v="135"/>
    <d v="2025-10-05T00:00:00"/>
    <s v="October 25 Week 1"/>
    <d v="2025-10-02T00:00:00"/>
    <s v="October 25 Week 1"/>
    <d v="2025-10-05T00:00:00"/>
    <s v="October 25 Week 1"/>
    <m/>
    <s v="OCTOBER 25 PLANNED"/>
    <s v="OCTOBER 25"/>
    <n v="1"/>
    <n v="1"/>
    <x v="0"/>
    <m/>
    <m/>
    <m/>
    <e v="#N/A"/>
    <s v=""/>
    <s v=""/>
  </r>
  <r>
    <s v="TEAGKC13464"/>
    <n v="46"/>
    <s v="I. Petro"/>
    <s v="Petro"/>
    <x v="0"/>
    <s v="NSO"/>
    <s v="North"/>
    <s v="KC"/>
    <s v="Delhi NCR"/>
    <s v="Rewari - Area paving behind  Rail siding"/>
    <s v="Rewari"/>
    <n v="7825"/>
    <m/>
    <s v="Anand Singh"/>
    <m/>
    <s v=""/>
    <d v="2025-05-28T00:00:00"/>
    <s v="May 25 Week 4"/>
    <n v="90"/>
    <d v="2025-08-26T00:00:00"/>
    <s v="August 25 Week 4"/>
    <d v="2025-10-02T00:00:00"/>
    <s v="October 25 Week 1"/>
    <d v="2025-08-26T00:00:00"/>
    <s v="August 25 Week 4"/>
    <m/>
    <s v="AUGUST 25 PLANNED"/>
    <s v="OCTOBER 25"/>
    <n v="1"/>
    <n v="1"/>
    <x v="0"/>
    <m/>
    <m/>
    <m/>
    <e v="#N/A"/>
    <s v=""/>
    <s v=""/>
  </r>
  <r>
    <s v="TEAGKC13465"/>
    <n v="43"/>
    <s v="I. Petro"/>
    <s v="Petro"/>
    <x v="0"/>
    <s v="NSO"/>
    <s v="North"/>
    <s v="KC"/>
    <s v="Delhi NCR"/>
    <s v="Rewari - Cement Concrete paving under pipeline manifold area "/>
    <s v="Rewari"/>
    <n v="2500"/>
    <m/>
    <s v="Anand Singh"/>
    <m/>
    <s v=""/>
    <d v="2026-01-03T00:00:00"/>
    <s v="January 26 Week 1"/>
    <n v="90"/>
    <d v="2026-04-03T00:00:00"/>
    <s v="April 26 Week 1"/>
    <m/>
    <s v=""/>
    <d v="2026-01-20T00:00:00"/>
    <s v="January 26 Week 3"/>
    <m/>
    <s v=" "/>
    <s v=" "/>
    <n v="0.28000000000000003"/>
    <n v="0.09"/>
    <x v="6"/>
    <m/>
    <m/>
    <m/>
    <e v="#N/A"/>
    <s v=""/>
    <s v=""/>
  </r>
  <r>
    <s v="TEAGKC13819"/>
    <n v="51"/>
    <s v="I. Petro"/>
    <s v="Petro"/>
    <x v="0"/>
    <s v="NSO"/>
    <s v="North"/>
    <s v="KC"/>
    <s v="Delhi NCR"/>
    <s v="Rewari - Grating over Strom water drain"/>
    <s v="Rewari"/>
    <n v="5500"/>
    <m/>
    <s v="Anand Singh"/>
    <m/>
    <s v=""/>
    <d v="2025-07-21T00:00:00"/>
    <s v="July 25 Week 3"/>
    <n v="60"/>
    <d v="2025-09-19T00:00:00"/>
    <s v="September 25 Week 3"/>
    <d v="2025-10-18T00:00:00"/>
    <s v="October 25 Week 3"/>
    <d v="2025-10-18T00:00:00"/>
    <s v="October 25 Week 3"/>
    <m/>
    <s v="SEPTEMBER 25 PLANNED"/>
    <s v="OCTOBER 25"/>
    <n v="1"/>
    <n v="1"/>
    <x v="0"/>
    <m/>
    <m/>
    <e v="#N/A"/>
    <e v="#N/A"/>
    <s v=""/>
    <s v=""/>
  </r>
  <r>
    <s v="TEAGKC13803"/>
    <n v="47"/>
    <s v="I. Petro"/>
    <s v="Petro"/>
    <x v="0"/>
    <s v="NSO"/>
    <s v="North"/>
    <s v="KC"/>
    <s v="Delhi NCR"/>
    <s v="Rewari - Implementing Rainwater Harvesting"/>
    <s v="Rewari"/>
    <n v="5500"/>
    <m/>
    <s v="Anand Singh"/>
    <m/>
    <s v=""/>
    <m/>
    <s v=""/>
    <m/>
    <m/>
    <s v=""/>
    <m/>
    <s v=""/>
    <m/>
    <s v=""/>
    <m/>
    <s v=" "/>
    <s v=" "/>
    <m/>
    <m/>
    <x v="5"/>
    <m/>
    <m/>
    <e v="#N/A"/>
    <e v="#N/A"/>
    <s v=""/>
    <s v=""/>
  </r>
  <r>
    <s v="TEAGKC13466"/>
    <n v="50"/>
    <s v="I. Petro"/>
    <s v="Petro"/>
    <x v="0"/>
    <s v="NSO"/>
    <s v="North"/>
    <s v="KC"/>
    <s v="Delhi NCR"/>
    <s v="Rewari- Earthing grid additional 50mm strip provision at all 5 OTs in line with Earthing adequacy study recommendations."/>
    <s v="Rewari"/>
    <n v="5500"/>
    <m/>
    <s v="Anand Singh"/>
    <m/>
    <s v=""/>
    <d v="2025-06-18T00:00:00"/>
    <s v="June 25 Week 3"/>
    <n v="60"/>
    <d v="2025-08-17T00:00:00"/>
    <s v="August 25 Week 3"/>
    <d v="2025-08-14T00:00:00"/>
    <s v="August 25 Week 2"/>
    <d v="2025-08-17T00:00:00"/>
    <s v="August 25 Week 3"/>
    <m/>
    <s v="AUGUST 25 PLANNED"/>
    <s v="AUGUST 25"/>
    <n v="1"/>
    <n v="1"/>
    <x v="0"/>
    <m/>
    <m/>
    <m/>
    <e v="#N/A"/>
    <s v=""/>
    <s v=""/>
  </r>
  <r>
    <s v="COPUKC13442"/>
    <n v="4"/>
    <s v="I. Petro"/>
    <s v="Petro"/>
    <x v="1"/>
    <s v="NSO"/>
    <s v="East"/>
    <s v="AK"/>
    <s v="West Bengal"/>
    <s v="Setup a petrol pump at RIL (Shyam Sel Group), Kharagpur site"/>
    <s v="Kharagpur"/>
    <m/>
    <m/>
    <m/>
    <m/>
    <s v=""/>
    <m/>
    <s v=""/>
    <m/>
    <m/>
    <s v=""/>
    <m/>
    <s v=""/>
    <m/>
    <s v=""/>
    <m/>
    <s v=" "/>
    <s v=" "/>
    <m/>
    <m/>
    <x v="3"/>
    <m/>
    <m/>
    <m/>
    <e v="#N/A"/>
    <s v=""/>
    <s v=""/>
  </r>
  <r>
    <s v="MIAGKC12175"/>
    <n v="17"/>
    <s v="I. Petro"/>
    <s v="Petro"/>
    <x v="2"/>
    <s v="Refit"/>
    <s v="North"/>
    <s v="KC"/>
    <s v="Uttar Pradesh"/>
    <s v="Tilbegampur-Transformer replacement at (7 Mini Depots ) with statutory approvals"/>
    <s v="Tilbegumpur"/>
    <n v="8000"/>
    <s v="PETRO-MDUPTI4"/>
    <s v="Neeraj Kumar"/>
    <d v="2024-11-04T00:00:00"/>
    <s v="November 24 Week 1"/>
    <d v="2024-11-04T00:00:00"/>
    <s v="November 24 Week 1"/>
    <n v="30"/>
    <d v="2024-12-04T00:00:00"/>
    <s v="December 24 Week 1"/>
    <m/>
    <s v=""/>
    <d v="2025-04-30T00:00:00"/>
    <s v="April 25 Week 5"/>
    <m/>
    <s v=" "/>
    <s v=" "/>
    <n v="1"/>
    <n v="0.9"/>
    <x v="6"/>
    <m/>
    <m/>
    <m/>
    <m/>
    <d v="2024-11-04T00:00:00"/>
    <n v="0"/>
  </r>
  <r>
    <s v="MIAGKC70"/>
    <n v="18"/>
    <s v="I. Petro"/>
    <s v="Petro"/>
    <x v="2"/>
    <s v="Refit"/>
    <s v="North"/>
    <s v="KC"/>
    <s v="Uttar Pradesh"/>
    <s v="Tilbegumpur - Additional works in Phase II project"/>
    <s v="Tilbegumpur"/>
    <n v="1500"/>
    <s v="TER_2020_21_TILBEGUMPUR"/>
    <s v="Neeraj Kumar"/>
    <d v="2024-04-01T00:00:00"/>
    <s v="April 24 Week 1"/>
    <d v="2024-04-29T00:00:00"/>
    <s v="April 24 Week 5"/>
    <n v="60"/>
    <d v="2024-06-28T00:00:00"/>
    <s v="June 24 Week 4"/>
    <d v="2025-05-30T00:00:00"/>
    <s v="May 25 Week 5"/>
    <d v="2025-05-15T00:00:00"/>
    <s v="May 25 Week 3"/>
    <m/>
    <s v="JUNE 24 PLANNED"/>
    <s v="MAY 25"/>
    <n v="1"/>
    <n v="1"/>
    <x v="0"/>
    <m/>
    <m/>
    <m/>
    <m/>
    <d v="2024-04-04T00:00:00"/>
    <n v="25"/>
  </r>
  <r>
    <s v="COPUAK14536"/>
    <m/>
    <m/>
    <m/>
    <x v="1"/>
    <s v="NSO"/>
    <s v="East"/>
    <s v="AK"/>
    <s v="Telangana"/>
    <s v="CP - BHADRACHALAM"/>
    <s v="Hyderabad"/>
    <n v="1892"/>
    <m/>
    <s v="Rohin Chand"/>
    <d v="2025-10-01T00:00:00"/>
    <s v="October 25 Week 1"/>
    <d v="2025-10-05T00:00:00"/>
    <s v="October 25 Week 1"/>
    <n v="45"/>
    <d v="2025-11-19T00:00:00"/>
    <s v="November 25 Week 3"/>
    <d v="2025-11-13T00:00:00"/>
    <s v="November 25 Week 2"/>
    <d v="2025-11-19T00:00:00"/>
    <s v="November 25 Week 3"/>
    <m/>
    <s v="NOVEMBER 25 PLANNED"/>
    <s v="NOVEMBER 25"/>
    <n v="1"/>
    <n v="1"/>
    <x v="0"/>
    <m/>
    <m/>
    <e v="#N/A"/>
    <e v="#N/A"/>
    <d v="2025-10-04T00:00:00"/>
    <n v="1"/>
  </r>
  <r>
    <s v="COPUAK14537"/>
    <m/>
    <m/>
    <m/>
    <x v="1"/>
    <s v="NSO"/>
    <s v="East"/>
    <s v="AK"/>
    <s v="Telangana"/>
    <s v="CP - DEVARAKONDA"/>
    <s v="Hyderabad"/>
    <n v="1892"/>
    <m/>
    <s v="Rohin Chand"/>
    <d v="2025-10-01T00:00:00"/>
    <s v="October 25 Week 1"/>
    <d v="2025-11-05T00:00:00"/>
    <s v="November 25 Week 1"/>
    <n v="45"/>
    <d v="2025-12-20T00:00:00"/>
    <s v="December 25 Week 3"/>
    <d v="2025-11-21T00:00:00"/>
    <s v="November 25 Week 3"/>
    <d v="2025-12-25T00:00:00"/>
    <s v="December 25 Week 4"/>
    <m/>
    <s v="DECEMBER 25 PLANNED"/>
    <s v="NOVEMBER 25"/>
    <n v="1"/>
    <n v="1"/>
    <x v="0"/>
    <m/>
    <m/>
    <e v="#N/A"/>
    <e v="#N/A"/>
    <d v="2025-10-04T00:00:00"/>
    <n v="32"/>
  </r>
  <r>
    <s v="COPUAK14538"/>
    <m/>
    <m/>
    <m/>
    <x v="1"/>
    <s v="NSO"/>
    <s v="East"/>
    <s v="AK"/>
    <s v="Telangana"/>
    <s v="CP - SATTUPALLI"/>
    <s v="Hyderabad"/>
    <n v="1892"/>
    <m/>
    <s v="Rohin Chand"/>
    <d v="2025-10-01T00:00:00"/>
    <s v="October 25 Week 1"/>
    <d v="2025-10-10T00:00:00"/>
    <s v="October 25 Week 2"/>
    <n v="45"/>
    <d v="2025-11-24T00:00:00"/>
    <s v="November 25 Week 4"/>
    <d v="2025-11-13T00:00:00"/>
    <s v="November 25 Week 2"/>
    <d v="2025-11-24T00:00:00"/>
    <s v="November 25 Week 4"/>
    <m/>
    <s v="NOVEMBER 25 PLANNED"/>
    <s v="NOVEMBER 25"/>
    <n v="1"/>
    <n v="1"/>
    <x v="0"/>
    <m/>
    <m/>
    <e v="#N/A"/>
    <e v="#N/A"/>
    <d v="2025-10-04T00:00:00"/>
    <n v="6"/>
  </r>
  <r>
    <s v="TEAGKC14563"/>
    <m/>
    <m/>
    <m/>
    <x v="0"/>
    <s v="NSO"/>
    <s v="West"/>
    <s v="KC"/>
    <s v="Madhya Pradesh"/>
    <s v="Bhopal - Grating over Strom water drain"/>
    <s v="Bhopal"/>
    <n v="5500"/>
    <m/>
    <s v="Umesh Yadav"/>
    <d v="2025-10-01T00:00:00"/>
    <s v="October 25 Week 1"/>
    <d v="2025-11-03T00:00:00"/>
    <s v="November 25 Week 1"/>
    <n v="75"/>
    <d v="2026-01-17T00:00:00"/>
    <s v="January 26 Week 3"/>
    <d v="2026-01-09T00:00:00"/>
    <s v="January 26 Week 2"/>
    <d v="2026-01-17T00:00:00"/>
    <s v="January 26 Week 3"/>
    <m/>
    <s v="JANUARY 26 PLANNED"/>
    <s v="JANUARY 26"/>
    <n v="1"/>
    <n v="1"/>
    <x v="0"/>
    <m/>
    <m/>
    <e v="#N/A"/>
    <e v="#N/A"/>
    <d v="2025-10-04T00:00:00"/>
    <n v="30"/>
  </r>
  <r>
    <s v="TEAGAK14564"/>
    <m/>
    <m/>
    <m/>
    <x v="0"/>
    <s v="NSO"/>
    <s v="South"/>
    <s v="AK"/>
    <s v="Tamil Nadu"/>
    <s v="Chennai - Enhancing Water Management with Garland Drain Installation Along Boundary Walls."/>
    <s v="Chennai"/>
    <n v="5000"/>
    <m/>
    <s v="Vasant A"/>
    <m/>
    <s v=""/>
    <m/>
    <s v=""/>
    <m/>
    <m/>
    <s v=""/>
    <m/>
    <s v=""/>
    <m/>
    <s v=""/>
    <m/>
    <s v=" "/>
    <s v=" "/>
    <m/>
    <m/>
    <x v="2"/>
    <m/>
    <m/>
    <e v="#N/A"/>
    <e v="#N/A"/>
    <s v=""/>
    <s v=""/>
  </r>
  <r>
    <s v="TEAGAK14565"/>
    <m/>
    <m/>
    <m/>
    <x v="0"/>
    <s v="NSO"/>
    <s v="South"/>
    <s v="AK"/>
    <s v="Tamil Nadu"/>
    <s v="Shifting of ROSOV LCS (24 No’s) at Chennai from Dyke area to area near Tank Farm approach Road along with FLP Distribution Box"/>
    <s v="Chennai"/>
    <m/>
    <m/>
    <s v="Vasant A"/>
    <m/>
    <s v=""/>
    <m/>
    <s v=""/>
    <m/>
    <m/>
    <s v=""/>
    <m/>
    <s v=""/>
    <m/>
    <s v=""/>
    <m/>
    <s v=" "/>
    <s v=" "/>
    <m/>
    <m/>
    <x v="2"/>
    <m/>
    <m/>
    <e v="#N/A"/>
    <e v="#N/A"/>
    <s v=""/>
    <s v=""/>
  </r>
  <r>
    <s v="MIAGAK14566"/>
    <m/>
    <m/>
    <m/>
    <x v="2"/>
    <s v="NSO"/>
    <s v="East"/>
    <s v="AK"/>
    <s v="Telangana"/>
    <s v="Huzurnagar Mini Depo - Admin Building"/>
    <s v="Huzurnagar"/>
    <n v="20000"/>
    <m/>
    <s v="Ranjit Sinha"/>
    <m/>
    <s v=""/>
    <m/>
    <s v=""/>
    <m/>
    <m/>
    <s v=""/>
    <m/>
    <s v=""/>
    <m/>
    <s v=""/>
    <m/>
    <s v=" "/>
    <s v=" "/>
    <m/>
    <m/>
    <x v="4"/>
    <m/>
    <m/>
    <e v="#N/A"/>
    <e v="#N/A"/>
    <s v=""/>
    <s v=""/>
  </r>
  <r>
    <s v="TEAGAK14567"/>
    <m/>
    <m/>
    <m/>
    <x v="0"/>
    <s v="NSO"/>
    <s v="East"/>
    <s v="AK"/>
    <s v="West Bengal"/>
    <s v="Haldia - Implementing Rainwater Harvesting"/>
    <s v="Haldia"/>
    <m/>
    <m/>
    <s v="Arifur Rehman"/>
    <m/>
    <s v=""/>
    <m/>
    <s v=""/>
    <m/>
    <m/>
    <s v=""/>
    <m/>
    <s v=""/>
    <m/>
    <s v=""/>
    <m/>
    <s v=" "/>
    <s v=" "/>
    <m/>
    <m/>
    <x v="4"/>
    <m/>
    <m/>
    <e v="#N/A"/>
    <e v="#N/A"/>
    <s v=""/>
    <s v=""/>
  </r>
  <r>
    <s v="TEAGAK14681"/>
    <m/>
    <m/>
    <m/>
    <x v="0"/>
    <s v="NSO"/>
    <s v="South"/>
    <s v="AK"/>
    <s v="Tamil Nadu"/>
    <s v="Chennai - Grating on strom water Drain Phase II"/>
    <s v="Chennai"/>
    <m/>
    <m/>
    <s v="Vasant A"/>
    <m/>
    <s v=""/>
    <m/>
    <s v=""/>
    <m/>
    <m/>
    <s v=""/>
    <m/>
    <s v=""/>
    <m/>
    <s v=""/>
    <m/>
    <s v=" "/>
    <s v=" "/>
    <m/>
    <m/>
    <x v="2"/>
    <m/>
    <m/>
    <e v="#N/A"/>
    <e v="#N/A"/>
    <s v=""/>
    <s v=""/>
  </r>
  <r>
    <s v="MIAGKC14705"/>
    <m/>
    <m/>
    <m/>
    <x v="0"/>
    <s v="NSO"/>
    <s v="West"/>
    <s v="KC"/>
    <s v="Madhya Pradesh"/>
    <s v="Bhopal - Additional Bay of Mix load works "/>
    <s v="Bhopal"/>
    <n v="5500"/>
    <m/>
    <s v="Umesh Yadav"/>
    <d v="2025-12-01T00:00:00"/>
    <s v="December 25 Week 1"/>
    <d v="2026-01-27T00:00:00"/>
    <s v="January 26 Week 4"/>
    <n v="75"/>
    <d v="2026-04-12T00:00:00"/>
    <s v="April 26 Week 2"/>
    <m/>
    <s v=""/>
    <d v="2026-04-12T00:00:00"/>
    <s v="April 26 Week 2"/>
    <m/>
    <s v="APRIL 26 PLANNED"/>
    <s v=" "/>
    <n v="0.37"/>
    <n v="0.32"/>
    <x v="1"/>
    <m/>
    <m/>
    <e v="#N/A"/>
    <e v="#N/A"/>
    <d v="2025-12-04T00:00:00"/>
    <n v="54"/>
  </r>
  <r>
    <s v="COPUAK14706"/>
    <m/>
    <m/>
    <m/>
    <x v="1"/>
    <s v="NSO"/>
    <s v="East"/>
    <s v="AK"/>
    <s v="Odissa"/>
    <s v="CP - M/s Shivam Condev Pvt Ltd, Korput, OD"/>
    <s v="Bhubaneswar"/>
    <m/>
    <m/>
    <s v="Rohin Chand"/>
    <d v="2025-11-16T00:00:00"/>
    <s v="November 25 Week 3"/>
    <m/>
    <s v=""/>
    <m/>
    <d v="1899-12-30T00:00:00"/>
    <s v=""/>
    <m/>
    <s v=""/>
    <m/>
    <s v=""/>
    <m/>
    <s v=" "/>
    <s v=" "/>
    <m/>
    <m/>
    <x v="7"/>
    <m/>
    <m/>
    <e v="#N/A"/>
    <e v="#N/A"/>
    <d v="2025-11-19T00:00:00"/>
    <n v="-45980"/>
  </r>
  <r>
    <s v="COPUKC14707"/>
    <m/>
    <m/>
    <m/>
    <x v="1"/>
    <s v="NSO"/>
    <s v="West"/>
    <s v="KC"/>
    <s v="Maharashtra"/>
    <s v="CP - M/s Ankush Rao Tope, Jalna, MH"/>
    <s v="Jalna"/>
    <n v="1892"/>
    <m/>
    <s v="Sushanta Behera"/>
    <d v="2025-11-16T00:00:00"/>
    <s v="November 25 Week 3"/>
    <d v="2025-12-15T00:00:00"/>
    <s v="December 25 Week 3"/>
    <n v="45"/>
    <d v="2026-01-29T00:00:00"/>
    <s v="January 26 Week 5"/>
    <m/>
    <s v=""/>
    <d v="2026-01-29T00:00:00"/>
    <s v="January 26 Week 5"/>
    <m/>
    <s v="JANUARY 26 PLANNED"/>
    <s v=" "/>
    <n v="1"/>
    <n v="0.8"/>
    <x v="1"/>
    <m/>
    <m/>
    <e v="#N/A"/>
    <e v="#N/A"/>
    <d v="2025-11-19T00:00:00"/>
    <n v="26"/>
  </r>
  <r>
    <s v="COPUAK14791"/>
    <m/>
    <m/>
    <m/>
    <x v="1"/>
    <s v="NSO"/>
    <s v="East"/>
    <s v="AK"/>
    <s v="Jharkhand"/>
    <s v="CP - Installation of Single Nozzle DU "/>
    <s v="Ramgarh"/>
    <m/>
    <m/>
    <s v="Avinandan Kumar "/>
    <m/>
    <s v=""/>
    <m/>
    <s v=""/>
    <m/>
    <d v="1899-12-30T00:00:00"/>
    <s v=""/>
    <m/>
    <s v=""/>
    <m/>
    <s v=""/>
    <m/>
    <e v="#N/A"/>
    <s v=" "/>
    <m/>
    <m/>
    <x v="8"/>
    <m/>
    <m/>
    <e v="#N/A"/>
    <e v="#N/A"/>
    <s v=""/>
    <s v=""/>
  </r>
  <r>
    <s v="MIAGAK14792"/>
    <m/>
    <m/>
    <m/>
    <x v="2"/>
    <s v="NSO"/>
    <s v="East"/>
    <s v="AK"/>
    <s v="Orissa"/>
    <s v="Girisola - Provision of Hazardous waste Shed."/>
    <s v="Girisol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793"/>
    <m/>
    <m/>
    <m/>
    <x v="2"/>
    <s v="NSO"/>
    <s v="East"/>
    <s v="AK"/>
    <s v="Orissa"/>
    <s v="Girisola- - Exhaust Stack to be provided for DG 82.5 KVA"/>
    <s v="Girisol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794"/>
    <m/>
    <m/>
    <m/>
    <x v="2"/>
    <s v="NSO"/>
    <s v="East"/>
    <s v="AK"/>
    <s v="Orissa"/>
    <s v="Girisola - Louvers on FW Ph shed. Phase I (6 Depot’s)"/>
    <s v="Girisol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795"/>
    <m/>
    <m/>
    <m/>
    <x v="2"/>
    <s v="NSO"/>
    <s v="East"/>
    <s v="AK"/>
    <s v="Bihar"/>
    <s v="Dobhi- Provision of Hazardous waste Shed."/>
    <s v="Dobh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796"/>
    <m/>
    <m/>
    <m/>
    <x v="2"/>
    <s v="NSO"/>
    <s v="East"/>
    <s v="AK"/>
    <s v="Bihar"/>
    <s v="Dobhi- Exhaust Stack to be provided for DG 82.5 KVA"/>
    <s v="Dobh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797"/>
    <m/>
    <m/>
    <m/>
    <x v="2"/>
    <s v="NSO"/>
    <s v="East"/>
    <s v="AK"/>
    <s v="Bihar"/>
    <s v="Dobhi - Louvers on FW Ph shed. Phase I (6 Depot’s)"/>
    <s v="Dobh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798"/>
    <m/>
    <m/>
    <m/>
    <x v="2"/>
    <s v="NSO"/>
    <s v="East"/>
    <s v="AK"/>
    <s v="Bihar"/>
    <s v="Dobhi - Borewell Head Protection"/>
    <s v="Dobh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799"/>
    <m/>
    <m/>
    <m/>
    <x v="2"/>
    <s v="NSO"/>
    <s v="East"/>
    <s v="AK"/>
    <s v="Jharkhand"/>
    <s v="Bahargora - Provision of Hazardous waste Shed."/>
    <s v="Baharagor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800"/>
    <m/>
    <m/>
    <m/>
    <x v="2"/>
    <s v="NSO"/>
    <s v="East"/>
    <s v="AK"/>
    <s v="Jharkhand"/>
    <s v="Bharagoda- Exhaust Stack to be provided for DG 82.5 KVA"/>
    <s v="Baharagor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801"/>
    <m/>
    <m/>
    <m/>
    <x v="2"/>
    <s v="NSO"/>
    <s v="East"/>
    <s v="AK"/>
    <s v="Jharkhand"/>
    <s v="Bharagoda - Louvers on FW Ph shed. Phase I (6 Depot’s)"/>
    <s v="Baharagor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802"/>
    <m/>
    <m/>
    <m/>
    <x v="2"/>
    <s v="NSO"/>
    <s v="East"/>
    <s v="AK"/>
    <s v="Jharkhand"/>
    <s v="Baharagora - Borewell Head Protection"/>
    <s v="Baharagor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803"/>
    <m/>
    <m/>
    <m/>
    <x v="2"/>
    <s v="NSO"/>
    <s v="South"/>
    <s v="AK"/>
    <s v="Tamil Nadu"/>
    <s v="Pollachi - Provision of Hazardous waste Shed."/>
    <s v="Pollach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804"/>
    <m/>
    <m/>
    <m/>
    <x v="2"/>
    <s v="NSO"/>
    <s v="South"/>
    <s v="AK"/>
    <s v="Tamil Nadu"/>
    <s v="Pollachi - Louvers on FW Ph shed. Phase II (4 Depot’s)"/>
    <s v="Pollach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805"/>
    <m/>
    <m/>
    <m/>
    <x v="2"/>
    <s v="NSO"/>
    <s v="South"/>
    <s v="AK"/>
    <s v="Tamil Nadu"/>
    <s v="Pollachi - Borewell Head Protection"/>
    <s v="Pollach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806"/>
    <m/>
    <m/>
    <m/>
    <x v="2"/>
    <s v="NSO"/>
    <s v="East"/>
    <s v="AK"/>
    <s v="Andhra Pradesh"/>
    <s v="Tada - Provision of Hazardous waste Shed."/>
    <s v="Tad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807"/>
    <m/>
    <m/>
    <m/>
    <x v="2"/>
    <s v="NSO"/>
    <s v="East"/>
    <s v="AK"/>
    <s v="Andhra Pradesh"/>
    <s v="Tada- Exhaust Stack to be provided for DG 82.5 KVA"/>
    <s v="Tad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808"/>
    <m/>
    <m/>
    <m/>
    <x v="2"/>
    <s v="NSO"/>
    <s v="East"/>
    <s v="AK"/>
    <s v="Andhra Pradesh"/>
    <s v="Tada - Louvers on FW Ph shed. Phase I (6 Depot’s)"/>
    <s v="Tad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KC14809"/>
    <m/>
    <m/>
    <m/>
    <x v="2"/>
    <s v="NSO"/>
    <s v="North"/>
    <s v="KC"/>
    <s v="Punjab"/>
    <s v="Patran - Provision of Hazardous waste Shed."/>
    <s v="Patran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KC14810"/>
    <m/>
    <m/>
    <m/>
    <x v="2"/>
    <s v="NSO"/>
    <s v="North"/>
    <s v="KC"/>
    <s v="Punjab"/>
    <s v="Patran - Louvers on FW Ph shed. Phase II (4 Depot’s)"/>
    <s v="Patran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KC14811"/>
    <m/>
    <m/>
    <m/>
    <x v="2"/>
    <s v="NSO"/>
    <s v="North"/>
    <s v="KC"/>
    <s v="Punjab"/>
    <s v="Patran - Borewell Head Protection"/>
    <s v="Patran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KC14812"/>
    <m/>
    <m/>
    <m/>
    <x v="2"/>
    <s v="NSO"/>
    <s v="North"/>
    <s v="KC"/>
    <s v="Rajasthan"/>
    <s v="Mandar - Provision of Hazardous waste Shed."/>
    <s v="Mandar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KC14813"/>
    <m/>
    <m/>
    <m/>
    <x v="2"/>
    <s v="NSO"/>
    <s v="North"/>
    <s v="KC"/>
    <s v="Rajasthan"/>
    <s v="Mandar - Exhaust Stack to be provided for DG 82.5 KVA"/>
    <s v="Mandar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KC14814"/>
    <m/>
    <m/>
    <m/>
    <x v="2"/>
    <s v="NSO"/>
    <s v="North"/>
    <s v="KC"/>
    <s v="Rajasthan"/>
    <s v="Mandar - Louvers on FW Ph shed. Phase I (6 Depot’s)"/>
    <s v="Mandar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815"/>
    <m/>
    <m/>
    <m/>
    <x v="2"/>
    <s v="NSO"/>
    <s v="East"/>
    <s v="AK"/>
    <s v="Telangana"/>
    <s v="Huzurnagar - Provision of Hazardous waste Shed."/>
    <s v="Huzurnagar"/>
    <n v="20000"/>
    <m/>
    <s v="Ranjit Sinha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816"/>
    <m/>
    <m/>
    <m/>
    <x v="2"/>
    <s v="NSO"/>
    <s v="East"/>
    <s v="AK"/>
    <s v="Telangana"/>
    <s v="Huzurnagar - Exhaust Stack to be provided for DG 82.5 KVA"/>
    <s v="Huzurnagar"/>
    <n v="20000"/>
    <m/>
    <s v="Ranjit Sinha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817"/>
    <m/>
    <m/>
    <m/>
    <x v="2"/>
    <s v="NSO"/>
    <s v="East"/>
    <s v="AK"/>
    <s v="Telangana"/>
    <s v="Huzurnagar - Louvers on FW Ph shed. Phase II (4 Depot’s)"/>
    <s v="Huzurnagar"/>
    <n v="20000"/>
    <m/>
    <s v="Ranjit Sinha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AK14818"/>
    <m/>
    <m/>
    <m/>
    <x v="2"/>
    <s v="NSO"/>
    <s v="East"/>
    <s v="AK"/>
    <s v="Telangana"/>
    <s v="Huzurnagar - Borewell Head Protection"/>
    <s v="Huzurnagar"/>
    <n v="20000"/>
    <m/>
    <s v="Ranjit Sinha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KC14819"/>
    <m/>
    <m/>
    <m/>
    <x v="2"/>
    <s v="NSO"/>
    <s v="North"/>
    <s v="KC"/>
    <s v="Uttar Pradesh"/>
    <s v="Tilbegumpur - Provision of Hazardous waste Shed."/>
    <s v="Tilbegumpur"/>
    <m/>
    <m/>
    <s v="Atul3 Garg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KC14820"/>
    <m/>
    <m/>
    <m/>
    <x v="2"/>
    <s v="NSO"/>
    <s v="North"/>
    <s v="KC"/>
    <s v="Uttar Pradesh"/>
    <s v="Tilbegumpur- Exhaust Stack to be provided for DG 82.5 KVA"/>
    <s v="Tilbegumpur"/>
    <m/>
    <m/>
    <s v="Atul3 Garg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MIAGKC14821"/>
    <m/>
    <m/>
    <m/>
    <x v="2"/>
    <s v="NSO"/>
    <s v="North"/>
    <s v="KC"/>
    <s v="Uttar Pradesh"/>
    <s v="Tilbegumpur - Louvers on FW Ph shed. Phase I (6 Depot’s)"/>
    <s v="Tilbegumpur"/>
    <m/>
    <m/>
    <s v="Atul3 Garg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TEAGKC14845"/>
    <m/>
    <m/>
    <m/>
    <x v="0"/>
    <s v="NSO"/>
    <s v="West"/>
    <s v="KC"/>
    <s v="Madhya Pradesh"/>
    <s v="Bhopal - Provision of engineered pipeline supports (120 locations) "/>
    <s v="Bhopal"/>
    <m/>
    <m/>
    <s v="Umesh Yadav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s v="TEAGKC14846"/>
    <m/>
    <m/>
    <m/>
    <x v="0"/>
    <s v="NSO"/>
    <s v="North"/>
    <s v="KC"/>
    <s v="Uttar Pradesh"/>
    <s v="Kanpur - Emergency Exit (Staircase) for Control Room"/>
    <s v="Kanpur"/>
    <m/>
    <m/>
    <s v="Manmohan Nautiyal"/>
    <m/>
    <s v=""/>
    <m/>
    <s v=""/>
    <m/>
    <d v="1899-12-30T00:00:00"/>
    <s v=""/>
    <m/>
    <s v=""/>
    <m/>
    <s v=""/>
    <m/>
    <s v=" "/>
    <s v=" "/>
    <m/>
    <m/>
    <x v="7"/>
    <m/>
    <m/>
    <e v="#N/A"/>
    <e v="#N/A"/>
    <s v=""/>
    <s v=""/>
  </r>
  <r>
    <s v="COPUAK14847"/>
    <m/>
    <m/>
    <m/>
    <x v="1"/>
    <s v="NSO"/>
    <s v="East"/>
    <s v="AK"/>
    <s v="Andhra Pradesh"/>
    <s v="CP – M/s Rashtriya Ispat Nigam Ltd, Vizag Steel, AP"/>
    <s v="Vishakhapatnam"/>
    <m/>
    <m/>
    <s v="Rohin Chand"/>
    <m/>
    <s v=""/>
    <m/>
    <s v=""/>
    <m/>
    <d v="1899-12-30T00:00:00"/>
    <s v=""/>
    <m/>
    <s v=""/>
    <m/>
    <s v=""/>
    <m/>
    <s v=" "/>
    <s v=" "/>
    <m/>
    <m/>
    <x v="7"/>
    <m/>
    <m/>
    <e v="#N/A"/>
    <e v="#N/A"/>
    <s v=""/>
    <s v=""/>
  </r>
  <r>
    <s v="COPUKC15009"/>
    <m/>
    <m/>
    <m/>
    <x v="1"/>
    <s v="NSO"/>
    <s v="North"/>
    <s v="KC"/>
    <s v="Uttar Pradesh"/>
    <s v="CP –UPSRTC depot, Loni, UP"/>
    <s v="Lon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</r>
  <r>
    <m/>
    <m/>
    <m/>
    <m/>
    <x v="1"/>
    <s v="NSO"/>
    <s v="East"/>
    <s v="AK"/>
    <s v="Odissa"/>
    <s v="CP - Tank Exhuming works, Gadibrahma, OD"/>
    <s v="Gadibrahma"/>
    <m/>
    <m/>
    <s v="Avinandan Kumar"/>
    <m/>
    <s v=""/>
    <d v="2026-02-28T00:00:00"/>
    <s v="February 26 Week 4"/>
    <n v="15"/>
    <d v="2026-03-15T00:00:00"/>
    <s v="March 26 Week 3"/>
    <m/>
    <s v=""/>
    <d v="2026-03-10T00:00:00"/>
    <s v="March 26 Week 2"/>
    <m/>
    <s v="MARCH 26 PLANNED"/>
    <s v=" "/>
    <n v="0.05"/>
    <n v="0.04"/>
    <x v="1"/>
    <m/>
    <m/>
    <e v="#N/A"/>
    <e v="#N/A"/>
    <s v=""/>
    <s v=""/>
  </r>
  <r>
    <m/>
    <m/>
    <m/>
    <m/>
    <x v="2"/>
    <s v="NSO"/>
    <s v="East"/>
    <s v="AK"/>
    <s v="Telangana"/>
    <s v="HUZURNAGAR MINI DEPO_Phase I Piping works"/>
    <s v="Huzurnagar"/>
    <n v="20000"/>
    <m/>
    <s v="Rohin Chand"/>
    <m/>
    <s v=""/>
    <d v="2026-02-25T00:00:00"/>
    <s v="February 26 Week 4"/>
    <n v="60"/>
    <d v="2026-04-26T00:00:00"/>
    <s v="April 26 Week 4"/>
    <m/>
    <s v=""/>
    <d v="2026-04-26T00:00:00"/>
    <s v="April 26 Week 4"/>
    <m/>
    <s v="APRIL 26 PLANNED"/>
    <s v=" "/>
    <n v="0.02"/>
    <n v="0.02"/>
    <x v="1"/>
    <m/>
    <m/>
    <e v="#N/A"/>
    <e v="#N/A"/>
    <s v=""/>
    <s v=""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x v="9"/>
    <m/>
    <m/>
    <m/>
    <m/>
    <m/>
    <m/>
  </r>
  <r>
    <m/>
    <m/>
    <m/>
    <m/>
    <x v="3"/>
    <m/>
    <m/>
    <m/>
    <m/>
    <m/>
    <m/>
    <m/>
    <m/>
    <m/>
    <m/>
    <m/>
    <m/>
    <m/>
    <m/>
    <m/>
    <m/>
    <m/>
    <m/>
    <m/>
    <m/>
    <m/>
    <m/>
    <m/>
    <m/>
    <m/>
    <x v="9"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s v="TEAGKC13679"/>
    <n v="19"/>
    <s v="I. Petro"/>
    <s v="Petro"/>
    <x v="0"/>
    <s v="NSO"/>
    <s v="West"/>
    <x v="0"/>
    <s v="Madhya Pradesh"/>
    <s v="Bhopal - 3 Porta Cabin"/>
    <s v="Bhopal"/>
    <n v="3390"/>
    <m/>
    <s v="Umesh Yadav"/>
    <m/>
    <s v=""/>
    <d v="2025-05-28T00:00:00"/>
    <s v="May 25 Week 4"/>
    <n v="30"/>
    <d v="2025-06-27T00:00:00"/>
    <s v="June 25 Week 4"/>
    <d v="2025-07-09T00:00:00"/>
    <s v="July 25 Week 2"/>
    <m/>
    <s v=""/>
    <m/>
    <s v="JUNE 25 PLANNED"/>
    <s v="JULY 25"/>
    <n v="1"/>
    <n v="1"/>
    <x v="0"/>
    <m/>
    <m/>
    <m/>
    <e v="#N/A"/>
    <s v=""/>
    <s v=""/>
    <m/>
  </r>
  <r>
    <s v="TEAGKC11588"/>
    <n v="20"/>
    <s v="I. Petro"/>
    <s v="Petro"/>
    <x v="0"/>
    <s v="NSO"/>
    <s v="West"/>
    <x v="0"/>
    <s v="Madhya Pradesh"/>
    <s v="Bhopal - Additional works in Ethanol 20% Phase II"/>
    <s v="Bhopal"/>
    <n v="20000"/>
    <m/>
    <s v="Umesh Yadav"/>
    <m/>
    <s v=""/>
    <d v="2025-04-07T00:00:00"/>
    <s v="April 25 Week 1"/>
    <n v="60"/>
    <d v="2025-06-06T00:00:00"/>
    <s v="June 25 Week 1"/>
    <d v="2025-08-20T00:00:00"/>
    <s v="August 25 Week 3"/>
    <d v="2025-08-25T00:00:00"/>
    <s v="August 25 Week 4"/>
    <m/>
    <s v="JUNE 25 PLANNED"/>
    <s v="AUGUST 25"/>
    <n v="1"/>
    <n v="1"/>
    <x v="0"/>
    <m/>
    <m/>
    <m/>
    <m/>
    <s v=""/>
    <s v=""/>
    <m/>
  </r>
  <r>
    <s v="TEAGKC13450"/>
    <n v="21"/>
    <s v="I. Petro"/>
    <s v="Petro"/>
    <x v="0"/>
    <s v="NSO"/>
    <s v="West"/>
    <x v="0"/>
    <s v="Madhya Pradesh"/>
    <s v="Bhopal - Cement Concrete paving under pipeline manifold area "/>
    <s v="Bhopal"/>
    <n v="20000"/>
    <m/>
    <s v="Umesh Yadav"/>
    <m/>
    <s v=""/>
    <d v="2026-01-27T00:00:00"/>
    <s v="January 26 Week 4"/>
    <n v="120"/>
    <d v="2026-05-27T00:00:00"/>
    <s v="May 26 Week 4"/>
    <m/>
    <s v=""/>
    <d v="2026-05-27T00:00:00"/>
    <s v="May 26 Week 4"/>
    <m/>
    <s v="MAY 26 PLANNED"/>
    <m/>
    <n v="0.6"/>
    <n v="0.56000000000000005"/>
    <x v="1"/>
    <m/>
    <m/>
    <m/>
    <e v="#N/A"/>
    <s v=""/>
    <s v=""/>
    <m/>
  </r>
  <r>
    <s v="TEAGKC12180"/>
    <n v="22"/>
    <s v="I. Petro"/>
    <s v="Petro"/>
    <x v="0"/>
    <s v="NSO"/>
    <s v="West"/>
    <x v="0"/>
    <s v="Madhya Pradesh"/>
    <s v="Bhopal - Enhancing Illumination of Boundary wall works "/>
    <s v="Bhopal"/>
    <n v="20000"/>
    <m/>
    <s v="Umesh Yadav"/>
    <m/>
    <s v=""/>
    <d v="2025-02-12T00:00:00"/>
    <s v="February 25 Week 2"/>
    <n v="120"/>
    <d v="2025-06-12T00:00:00"/>
    <s v="June 25 Week 2"/>
    <d v="2025-06-30T00:00:00"/>
    <s v="June 25 Week 5"/>
    <d v="2025-06-12T00:00:00"/>
    <s v="June 25 Week 2"/>
    <m/>
    <s v="JUNE 25 PLANNED"/>
    <s v="JUNE 25"/>
    <n v="1"/>
    <n v="1"/>
    <x v="0"/>
    <m/>
    <m/>
    <m/>
    <m/>
    <s v=""/>
    <s v=""/>
    <m/>
  </r>
  <r>
    <s v="TEAGKC13451"/>
    <n v="23"/>
    <s v="I. Petro"/>
    <s v="Petro"/>
    <x v="0"/>
    <s v="NSO"/>
    <s v="West"/>
    <x v="0"/>
    <s v="Madhya Pradesh"/>
    <s v="Bhopal- Earthing grid additional 50mm strip provision at all 5 OTs in line with Earthing adequacy study recommendations."/>
    <s v="Bhopal"/>
    <n v="5000"/>
    <m/>
    <s v="Umesh Yadav"/>
    <m/>
    <s v=""/>
    <d v="2025-11-10T00:00:00"/>
    <s v="November 25 Week 2"/>
    <n v="90"/>
    <d v="2026-02-08T00:00:00"/>
    <s v="February 26 Week 2"/>
    <m/>
    <s v=""/>
    <d v="2026-02-08T00:00:00"/>
    <s v="February 26 Week 2"/>
    <m/>
    <s v="FEBRUARY 26 PLANNED"/>
    <m/>
    <n v="1"/>
    <n v="1"/>
    <x v="0"/>
    <m/>
    <m/>
    <m/>
    <e v="#N/A"/>
    <s v=""/>
    <s v=""/>
    <m/>
  </r>
  <r>
    <s v="TEAGAK13669"/>
    <n v="24"/>
    <s v="I. Petro"/>
    <s v="Petro"/>
    <x v="0"/>
    <s v="NSO"/>
    <s v="South"/>
    <x v="1"/>
    <s v="Tamil Nadu"/>
    <s v="Chennai - Additional works Phase II"/>
    <s v="Chennai"/>
    <m/>
    <m/>
    <s v="Vasanth A"/>
    <m/>
    <s v=""/>
    <d v="2025-05-05T00:00:00"/>
    <s v="May 25 Week 1"/>
    <n v="30"/>
    <d v="2025-06-04T00:00:00"/>
    <s v="June 25 Week 1"/>
    <d v="2025-06-16T00:00:00"/>
    <s v="June 25 Week 3"/>
    <d v="2025-06-04T00:00:00"/>
    <s v="June 25 Week 1"/>
    <m/>
    <s v="JUNE 25 PLANNED"/>
    <s v="JUNE 25"/>
    <n v="1"/>
    <n v="1"/>
    <x v="0"/>
    <m/>
    <m/>
    <m/>
    <e v="#N/A"/>
    <s v=""/>
    <s v=""/>
    <m/>
  </r>
  <r>
    <s v="TEAGAK13453"/>
    <n v="28"/>
    <s v="I. Petro"/>
    <s v="Petro"/>
    <x v="0"/>
    <s v="NSO"/>
    <s v="South"/>
    <x v="1"/>
    <s v="Tamil Nadu"/>
    <s v="Chennai - Cement Concrete paving under pipeline manifold area"/>
    <s v="Chennai"/>
    <m/>
    <m/>
    <s v="Vasanth A"/>
    <m/>
    <s v=""/>
    <m/>
    <s v=""/>
    <m/>
    <m/>
    <s v=""/>
    <m/>
    <s v=""/>
    <m/>
    <s v=""/>
    <m/>
    <s v=" "/>
    <m/>
    <m/>
    <m/>
    <x v="2"/>
    <m/>
    <m/>
    <m/>
    <e v="#N/A"/>
    <s v=""/>
    <s v=""/>
    <m/>
  </r>
  <r>
    <s v="TEAGAK13452"/>
    <n v="26"/>
    <s v="I. Petro"/>
    <s v="Petro"/>
    <x v="0"/>
    <s v="NSO"/>
    <s v="South"/>
    <x v="1"/>
    <s v="Tamil Nadu"/>
    <s v="Chennai - Drivers Amenity Block to be constructed to provide basic facilities for drivers and cleaners."/>
    <s v="Chennai"/>
    <n v="20000"/>
    <m/>
    <s v="Vasanth A"/>
    <m/>
    <s v=""/>
    <d v="2025-05-19T00:00:00"/>
    <s v="May 25 Week 3"/>
    <n v="120"/>
    <d v="2025-09-16T00:00:00"/>
    <s v="September 25 Week 3"/>
    <m/>
    <s v=""/>
    <d v="2026-04-30T00:00:00"/>
    <s v="April 26 Week 5"/>
    <m/>
    <s v="SEPTEMBER 25 PLANNED"/>
    <m/>
    <n v="1"/>
    <n v="0.82399999999999995"/>
    <x v="1"/>
    <m/>
    <m/>
    <m/>
    <e v="#N/A"/>
    <s v=""/>
    <s v=""/>
    <m/>
  </r>
  <r>
    <s v="TEAGAK13817"/>
    <n v="49"/>
    <s v="I. Petro"/>
    <s v="Petro"/>
    <x v="0"/>
    <s v="NSO"/>
    <s v="South"/>
    <x v="1"/>
    <s v="Tamil Nadu"/>
    <s v="Chennai - Grating over Strom water drain"/>
    <s v="Chennai"/>
    <n v="20000"/>
    <m/>
    <s v="Vasanth A"/>
    <m/>
    <s v=""/>
    <d v="2025-07-10T00:00:00"/>
    <s v="July 25 Week 2"/>
    <n v="45"/>
    <d v="2025-08-24T00:00:00"/>
    <s v="August 25 Week 4"/>
    <d v="2025-09-13T00:00:00"/>
    <s v="September 25 Week 2"/>
    <d v="2025-08-24T00:00:00"/>
    <s v="August 25 Week 4"/>
    <m/>
    <s v="AUGUST 25 PLANNED"/>
    <s v="SEPTEMBER 25"/>
    <n v="1"/>
    <n v="1"/>
    <x v="0"/>
    <m/>
    <m/>
    <e v="#N/A"/>
    <e v="#N/A"/>
    <s v=""/>
    <s v=""/>
    <m/>
  </r>
  <r>
    <s v="TEAGAK13678"/>
    <n v="30"/>
    <s v="I. Petro"/>
    <s v="Petro"/>
    <x v="0"/>
    <s v="NSO"/>
    <s v="South"/>
    <x v="1"/>
    <s v="Tamil Nadu"/>
    <s v="Chennai - Schematic for Tank 6A &amp; 6B - Recirculation Line "/>
    <s v="Chennai"/>
    <n v="20000"/>
    <m/>
    <s v="Vasanth A"/>
    <m/>
    <s v=""/>
    <m/>
    <s v=""/>
    <m/>
    <m/>
    <s v=""/>
    <m/>
    <s v=""/>
    <m/>
    <s v=""/>
    <m/>
    <s v=" "/>
    <s v=" "/>
    <m/>
    <m/>
    <x v="3"/>
    <m/>
    <m/>
    <m/>
    <e v="#N/A"/>
    <s v=""/>
    <s v=""/>
    <m/>
  </r>
  <r>
    <s v="TEAGAK13454"/>
    <n v="27"/>
    <s v="I. Petro"/>
    <s v="Petro"/>
    <x v="0"/>
    <s v="NSO"/>
    <s v="South"/>
    <x v="1"/>
    <s v="Tamil Nadu"/>
    <s v="Chennai- Earthing grid additional 50mm strip provision at all 5 OTs in line with Earthing adequacy study recommendations."/>
    <s v="Chennai"/>
    <n v="5000"/>
    <m/>
    <s v="Vasanth A"/>
    <m/>
    <s v=""/>
    <d v="2025-08-11T00:00:00"/>
    <s v="August 25 Week 2"/>
    <n v="45"/>
    <d v="2025-09-25T00:00:00"/>
    <s v="September 25 Week 4"/>
    <m/>
    <s v=""/>
    <d v="2026-04-30T00:00:00"/>
    <s v="April 26 Week 5"/>
    <m/>
    <s v="SEPTEMBER 25 PLANNED"/>
    <m/>
    <n v="1"/>
    <n v="0.85"/>
    <x v="1"/>
    <m/>
    <m/>
    <m/>
    <e v="#N/A"/>
    <s v=""/>
    <s v=""/>
    <m/>
  </r>
  <r>
    <s v="COPUKC12917"/>
    <n v="1"/>
    <s v="I. Petro"/>
    <s v="Petro"/>
    <x v="1"/>
    <s v="NSO"/>
    <s v="North"/>
    <x v="0"/>
    <s v="Maharashtra"/>
    <s v="CP - 2 x 30 KL Consumer Pump,M/s LLYODS METAL &amp; ENERGY LIMTED,Gadchiroli, MH"/>
    <s v="Gadchiroli"/>
    <m/>
    <m/>
    <m/>
    <m/>
    <s v=""/>
    <m/>
    <s v=""/>
    <m/>
    <m/>
    <s v=""/>
    <m/>
    <s v=""/>
    <m/>
    <s v=""/>
    <m/>
    <s v=" "/>
    <s v=" "/>
    <m/>
    <m/>
    <x v="3"/>
    <m/>
    <m/>
    <m/>
    <m/>
    <s v=""/>
    <s v=""/>
    <m/>
  </r>
  <r>
    <s v="COPUAK11571"/>
    <n v="2"/>
    <s v="I. Petro"/>
    <s v="Petro"/>
    <x v="1"/>
    <s v="NSO"/>
    <s v="East"/>
    <x v="1"/>
    <s v="Jharkhand"/>
    <s v="CP - 30 KL - ABCI- SCPL-SIPS (JV) - Dhanbad - Mouza – Nagrikala"/>
    <s v="Dhanbad"/>
    <n v="6725"/>
    <m/>
    <s v="Avinandan Kumar "/>
    <m/>
    <s v=""/>
    <d v="2025-04-14T00:00:00"/>
    <s v="April 25 Week 2"/>
    <n v="60"/>
    <d v="2025-06-13T00:00:00"/>
    <s v="June 25 Week 2"/>
    <d v="2025-06-03T00:00:00"/>
    <s v="June 25 Week 1"/>
    <d v="2025-06-13T00:00:00"/>
    <s v="June 25 Week 2"/>
    <m/>
    <s v="JUNE 25 PLANNED"/>
    <s v="JUNE 25"/>
    <n v="1"/>
    <n v="1"/>
    <x v="0"/>
    <m/>
    <m/>
    <m/>
    <e v="#N/A"/>
    <s v=""/>
    <s v=""/>
    <m/>
  </r>
  <r>
    <s v="COPUKC13447"/>
    <n v="8"/>
    <s v="I. Petro"/>
    <s v="Petro"/>
    <x v="1"/>
    <s v="NSO"/>
    <s v="North"/>
    <x v="0"/>
    <s v="Uttar Pradesh"/>
    <s v="CP - BANDA,UP"/>
    <s v="Kanpur"/>
    <m/>
    <s v="PETRO-CP-UPCTR02"/>
    <s v="Manmohan Nautiyal"/>
    <m/>
    <s v=""/>
    <m/>
    <s v=""/>
    <m/>
    <m/>
    <s v=""/>
    <m/>
    <s v=""/>
    <m/>
    <s v=""/>
    <m/>
    <s v=" "/>
    <s v=" "/>
    <m/>
    <m/>
    <x v="3"/>
    <m/>
    <m/>
    <m/>
    <e v="#N/A"/>
    <s v=""/>
    <s v=""/>
    <m/>
  </r>
  <r>
    <s v="COPUKC13923"/>
    <n v="13"/>
    <s v="I. Petro"/>
    <s v="Petro"/>
    <x v="1"/>
    <s v="NSO"/>
    <s v="West"/>
    <x v="0"/>
    <s v="Maharashtra"/>
    <s v="CP - BPSP - Hindustan Construction Company Ltd, Karjat, Raigad"/>
    <s v="Karjat"/>
    <m/>
    <m/>
    <m/>
    <m/>
    <s v=""/>
    <m/>
    <s v=""/>
    <m/>
    <m/>
    <s v=""/>
    <m/>
    <s v=""/>
    <m/>
    <s v=""/>
    <m/>
    <s v=" "/>
    <s v=" "/>
    <m/>
    <m/>
    <x v="3"/>
    <m/>
    <m/>
    <e v="#N/A"/>
    <e v="#N/A"/>
    <s v=""/>
    <s v=""/>
    <m/>
  </r>
  <r>
    <s v="COPUKC13575"/>
    <n v="3"/>
    <s v="I. Petro"/>
    <s v="Petro"/>
    <x v="1"/>
    <s v="NSO"/>
    <s v="West"/>
    <x v="0"/>
    <s v="Chattisgarh"/>
    <s v="CP - Coal India SECL, Gevra Phase II"/>
    <s v="Korba"/>
    <n v="4304"/>
    <m/>
    <s v="Abhay Shrivastava"/>
    <m/>
    <s v=""/>
    <d v="2025-04-11T00:00:00"/>
    <s v="April 25 Week 2"/>
    <n v="30"/>
    <d v="2025-05-11T00:00:00"/>
    <s v="May 25 Week 2"/>
    <d v="2025-05-11T00:00:00"/>
    <s v="May 25 Week 2"/>
    <d v="2025-05-11T00:00:00"/>
    <s v="May 25 Week 2"/>
    <m/>
    <s v="MAY 25 PLANNED"/>
    <s v="MAY 25"/>
    <n v="1"/>
    <n v="1"/>
    <x v="0"/>
    <m/>
    <m/>
    <m/>
    <e v="#N/A"/>
    <s v=""/>
    <s v=""/>
    <m/>
  </r>
  <r>
    <s v="COPUKC13449"/>
    <n v="10"/>
    <s v="I. Petro"/>
    <s v="Petro"/>
    <x v="1"/>
    <s v="NSO"/>
    <s v="North"/>
    <x v="0"/>
    <s v="Uttar Pradesh"/>
    <s v="CP - GOLA,UP"/>
    <s v="Kanpur"/>
    <n v="3000"/>
    <s v="PETRO-CP-UPCTR07"/>
    <s v="Manmohan Nautiyal"/>
    <m/>
    <s v=""/>
    <d v="2025-08-29T00:00:00"/>
    <s v="August 25 Week 5"/>
    <n v="16"/>
    <d v="2025-09-14T00:00:00"/>
    <s v="September 25 Week 2"/>
    <d v="2025-09-19T00:00:00"/>
    <s v="September 25 Week 3"/>
    <d v="2025-09-14T00:00:00"/>
    <s v="September 25 Week 2"/>
    <m/>
    <s v="SEPTEMBER 25 PLANNED"/>
    <s v="SEPTEMBER 25"/>
    <n v="1"/>
    <n v="1"/>
    <x v="0"/>
    <m/>
    <m/>
    <m/>
    <e v="#N/A"/>
    <s v=""/>
    <s v=""/>
    <m/>
  </r>
  <r>
    <s v="COPUKC13448"/>
    <n v="9"/>
    <s v="I. Petro"/>
    <s v="Petro"/>
    <x v="1"/>
    <s v="NSO"/>
    <s v="North"/>
    <x v="0"/>
    <s v="Uttar Pradesh"/>
    <s v="CP - HARDOI,UP"/>
    <s v="Kanpur"/>
    <n v="8000"/>
    <s v="PETRO-CP-UPCTR06"/>
    <s v="Manmohan Nautiyal"/>
    <m/>
    <s v=""/>
    <d v="2025-06-23T00:00:00"/>
    <s v="June 25 Week 4"/>
    <n v="70"/>
    <d v="2025-09-01T00:00:00"/>
    <s v="September 25 Week 1"/>
    <d v="2025-09-01T00:00:00"/>
    <s v="September 25 Week 1"/>
    <d v="2025-08-01T00:00:00"/>
    <s v="August 25 Week 1"/>
    <m/>
    <s v="SEPTEMBER 25 PLANNED"/>
    <s v="SEPTEMBER 25"/>
    <n v="1"/>
    <n v="1"/>
    <x v="0"/>
    <m/>
    <m/>
    <m/>
    <e v="#N/A"/>
    <s v=""/>
    <s v=""/>
    <m/>
  </r>
  <r>
    <s v="COPUKC13576"/>
    <n v="12"/>
    <s v="I. Petro"/>
    <s v="Petro"/>
    <x v="1"/>
    <s v="NSO"/>
    <s v="West"/>
    <x v="0"/>
    <s v="Chattisgarh"/>
    <s v="CP - JSPL Gare IV/6(Mines) _ CG"/>
    <s v="Raigarh"/>
    <m/>
    <m/>
    <m/>
    <m/>
    <s v=""/>
    <m/>
    <s v=""/>
    <m/>
    <m/>
    <s v=""/>
    <m/>
    <s v=""/>
    <m/>
    <s v=""/>
    <m/>
    <s v=" "/>
    <s v=" "/>
    <m/>
    <m/>
    <x v="3"/>
    <m/>
    <m/>
    <m/>
    <e v="#N/A"/>
    <s v=""/>
    <s v=""/>
    <m/>
  </r>
  <r>
    <s v="COPUKC13446"/>
    <n v="11"/>
    <s v="I. Petro"/>
    <s v="Petro"/>
    <x v="1"/>
    <s v="NSO"/>
    <s v="North"/>
    <x v="0"/>
    <s v="Uttar Pradesh"/>
    <s v="CP - MAHOBA,UP"/>
    <s v="Kanpur"/>
    <n v="8000"/>
    <s v="PETRO-CP-UPCTR03"/>
    <s v="Manmohan Nautiyal"/>
    <m/>
    <s v=""/>
    <d v="2025-06-23T00:00:00"/>
    <s v="June 25 Week 4"/>
    <n v="70"/>
    <d v="2025-09-01T00:00:00"/>
    <s v="September 25 Week 1"/>
    <d v="2025-09-01T00:00:00"/>
    <s v="September 25 Week 1"/>
    <d v="2025-08-01T00:00:00"/>
    <s v="August 25 Week 1"/>
    <m/>
    <s v="SEPTEMBER 25 PLANNED"/>
    <s v="SEPTEMBER 25"/>
    <n v="1"/>
    <n v="1"/>
    <x v="0"/>
    <m/>
    <m/>
    <m/>
    <e v="#N/A"/>
    <s v=""/>
    <s v=""/>
    <m/>
  </r>
  <r>
    <s v="COPUAK13993"/>
    <n v="14"/>
    <s v="I. Petro"/>
    <s v="Petro"/>
    <x v="1"/>
    <s v="NSO"/>
    <s v="East"/>
    <x v="1"/>
    <s v="Telangana"/>
    <s v="CP - Manuguru"/>
    <s v="Manuguru"/>
    <n v="1892"/>
    <s v="PETRO-CP-TGCCM11"/>
    <s v="Ranjit Sinha"/>
    <m/>
    <s v=""/>
    <d v="2025-08-25T00:00:00"/>
    <s v="August 25 Week 4"/>
    <n v="45"/>
    <d v="2025-10-09T00:00:00"/>
    <s v="October 25 Week 2"/>
    <d v="2025-12-22T00:00:00"/>
    <s v="December 25 Week 4"/>
    <d v="2025-09-20T00:00:00"/>
    <s v="September 25 Week 3"/>
    <m/>
    <s v="OCTOBER 25 PLANNED"/>
    <s v="DECEMBER 25"/>
    <n v="1"/>
    <n v="1"/>
    <x v="0"/>
    <m/>
    <m/>
    <e v="#N/A"/>
    <e v="#N/A"/>
    <s v=""/>
    <s v=""/>
    <m/>
  </r>
  <r>
    <s v="COPUKC13445"/>
    <n v="7"/>
    <s v="I. Petro"/>
    <s v="Petro"/>
    <x v="1"/>
    <s v="NSO"/>
    <s v="North"/>
    <x v="0"/>
    <s v="Uttar Pradesh"/>
    <s v="CP - ORAI,UP"/>
    <s v="Kanpur"/>
    <m/>
    <s v="PETRO-CP-UPCTR01"/>
    <s v="Manmohan Nautiyal"/>
    <m/>
    <s v=""/>
    <m/>
    <s v=""/>
    <m/>
    <m/>
    <s v=""/>
    <m/>
    <s v=""/>
    <m/>
    <s v=""/>
    <m/>
    <s v=" "/>
    <s v=" "/>
    <m/>
    <m/>
    <x v="3"/>
    <m/>
    <m/>
    <m/>
    <e v="#N/A"/>
    <s v=""/>
    <s v=""/>
    <m/>
  </r>
  <r>
    <s v="COPUKC13443"/>
    <n v="5"/>
    <s v="I. Petro"/>
    <s v="Petro"/>
    <x v="1"/>
    <s v="NSO"/>
    <s v="North"/>
    <x v="0"/>
    <s v="Uttar Pradesh"/>
    <s v="CP - SAHIBABAD,UP"/>
    <s v="Kanpur"/>
    <m/>
    <s v="PETRO-CP-UPCTR04"/>
    <s v="Manmohan Nautiyal"/>
    <m/>
    <s v=""/>
    <m/>
    <s v=""/>
    <m/>
    <m/>
    <s v=""/>
    <m/>
    <s v=""/>
    <m/>
    <s v=""/>
    <m/>
    <s v=" "/>
    <s v=" "/>
    <m/>
    <m/>
    <x v="3"/>
    <m/>
    <m/>
    <m/>
    <e v="#N/A"/>
    <s v=""/>
    <s v=""/>
    <m/>
  </r>
  <r>
    <s v="COPUKC13444"/>
    <n v="6"/>
    <s v="I. Petro"/>
    <s v="Petro"/>
    <x v="1"/>
    <s v="NSO"/>
    <s v="North"/>
    <x v="0"/>
    <s v="Uttar Pradesh"/>
    <s v="CP - SIDDHARTHNAGAR,UP"/>
    <s v="Kanpur"/>
    <m/>
    <s v="PETRO-CP-UPCTR08"/>
    <s v="Manmohan Nautiyal"/>
    <m/>
    <s v=""/>
    <m/>
    <s v=""/>
    <m/>
    <m/>
    <s v=""/>
    <m/>
    <s v=""/>
    <m/>
    <s v=""/>
    <m/>
    <s v=" "/>
    <s v=" "/>
    <m/>
    <m/>
    <x v="3"/>
    <m/>
    <m/>
    <m/>
    <e v="#N/A"/>
    <s v=""/>
    <s v=""/>
    <m/>
  </r>
  <r>
    <s v="TEAGAK13493"/>
    <n v="32"/>
    <s v="I. Petro"/>
    <s v="Petro"/>
    <x v="0"/>
    <s v="NSO"/>
    <s v="East"/>
    <x v="1"/>
    <s v="West Bengal"/>
    <s v="Haldia - Additional works in Ethanol 20% Phase III_x000a_ "/>
    <s v="Haldia"/>
    <n v="8000"/>
    <m/>
    <s v="Arifur Rehman"/>
    <m/>
    <s v=""/>
    <d v="2025-02-25T00:00:00"/>
    <s v="February 25 Week 4"/>
    <n v="60"/>
    <d v="2025-04-26T00:00:00"/>
    <s v="April 25 Week 4"/>
    <d v="2025-07-16T00:00:00"/>
    <s v="July 25 Week 3"/>
    <d v="2025-07-25T00:00:00"/>
    <s v="July 25 Week 4"/>
    <m/>
    <s v="APRIL 25 PLANNED"/>
    <s v="JULY 25"/>
    <n v="1"/>
    <n v="1"/>
    <x v="0"/>
    <m/>
    <m/>
    <m/>
    <e v="#N/A"/>
    <s v=""/>
    <s v=""/>
    <m/>
  </r>
  <r>
    <s v="TEAGAK13458"/>
    <n v="31"/>
    <s v="I. Petro"/>
    <s v="Petro"/>
    <x v="0"/>
    <s v="NSO"/>
    <s v="East"/>
    <x v="1"/>
    <s v="West Bengal"/>
    <s v="Haldia - Cement Concrete paving under pipeline manifold area "/>
    <s v="Haldia"/>
    <m/>
    <m/>
    <s v="Arifur Rehman"/>
    <m/>
    <s v=""/>
    <m/>
    <s v=""/>
    <m/>
    <m/>
    <s v=""/>
    <m/>
    <s v=""/>
    <m/>
    <s v=""/>
    <m/>
    <s v=" "/>
    <s v=" "/>
    <m/>
    <m/>
    <x v="3"/>
    <m/>
    <m/>
    <m/>
    <e v="#N/A"/>
    <s v=""/>
    <s v=""/>
    <m/>
  </r>
  <r>
    <s v="TEAGAK13455"/>
    <n v="33"/>
    <s v="I. Petro"/>
    <s v="Petro"/>
    <x v="0"/>
    <s v="NSO"/>
    <s v="East"/>
    <x v="1"/>
    <s v="West Bengal"/>
    <s v="Haldia - Drivers Amenity Block to be constructed to provide basic facilities for drivers and cleaners."/>
    <s v="Haldia"/>
    <n v="5000"/>
    <m/>
    <s v="Arifur Rehman"/>
    <m/>
    <s v=""/>
    <d v="2025-05-15T00:00:00"/>
    <s v="May 25 Week 3"/>
    <n v="120"/>
    <d v="2025-09-12T00:00:00"/>
    <s v="September 25 Week 2"/>
    <d v="2026-02-04T00:00:00"/>
    <s v="February 26 Week 1"/>
    <d v="2025-11-06T00:00:00"/>
    <s v="November 25 Week 1"/>
    <m/>
    <s v="SEPTEMBER 25 PLANNED"/>
    <s v="FEBRUARY 26"/>
    <n v="1"/>
    <n v="1"/>
    <x v="0"/>
    <m/>
    <m/>
    <m/>
    <e v="#N/A"/>
    <s v=""/>
    <s v=""/>
    <m/>
  </r>
  <r>
    <s v="TEAGAK13457"/>
    <n v="41"/>
    <s v="I. Petro"/>
    <s v="Petro"/>
    <x v="0"/>
    <s v="NSO"/>
    <s v="East"/>
    <x v="1"/>
    <s v="West Bengal"/>
    <s v="Haldia - Expansion of TT Parking P3 &amp; development of approach Road from HPL Link Rd to TT Parking area"/>
    <s v="Haldia"/>
    <n v="6350"/>
    <m/>
    <s v="Arifur Rehman"/>
    <m/>
    <s v=""/>
    <d v="2025-08-04T00:00:00"/>
    <s v="August 25 Week 1"/>
    <n v="90"/>
    <d v="2025-11-02T00:00:00"/>
    <s v="November 25 Week 1"/>
    <d v="2025-12-17T00:00:00"/>
    <s v="December 25 Week 3"/>
    <d v="2025-11-14T00:00:00"/>
    <s v="November 25 Week 2"/>
    <m/>
    <s v="NOVEMBER 25 PLANNED"/>
    <s v="DECEMBER 25"/>
    <n v="1"/>
    <n v="1"/>
    <x v="0"/>
    <m/>
    <m/>
    <m/>
    <e v="#N/A"/>
    <s v=""/>
    <s v=""/>
    <m/>
  </r>
  <r>
    <s v="TEAGAK13818"/>
    <n v="37"/>
    <s v="I. Petro"/>
    <s v="Petro"/>
    <x v="0"/>
    <s v="NSO"/>
    <s v="East"/>
    <x v="1"/>
    <s v="West Bengal"/>
    <s v="Haldia - Grating over Strom water drain"/>
    <s v="Haldia"/>
    <n v="5000"/>
    <m/>
    <s v="Arifur Rehman"/>
    <m/>
    <s v=""/>
    <d v="2025-06-02T00:00:00"/>
    <s v="June 25 Week 1"/>
    <n v="45"/>
    <d v="2025-07-17T00:00:00"/>
    <s v="July 25 Week 3"/>
    <d v="2025-07-23T00:00:00"/>
    <s v="July 25 Week 4"/>
    <d v="2025-07-16T00:00:00"/>
    <s v="July 25 Week 3"/>
    <m/>
    <s v="JULY 25 PLANNED"/>
    <s v="JULY 25"/>
    <n v="1"/>
    <n v="1"/>
    <x v="0"/>
    <m/>
    <m/>
    <e v="#N/A"/>
    <e v="#N/A"/>
    <s v=""/>
    <s v=""/>
    <m/>
  </r>
  <r>
    <s v="TEAGAK13456"/>
    <n v="29"/>
    <s v="I. Petro"/>
    <s v="Petro"/>
    <x v="0"/>
    <s v="NSO"/>
    <s v="East"/>
    <x v="1"/>
    <s v="West Bengal"/>
    <s v="Haldia - Paving below DP Vessel area "/>
    <s v="Haldia"/>
    <n v="4250"/>
    <m/>
    <s v="Arifur Rehman"/>
    <m/>
    <s v=""/>
    <d v="2025-09-22T00:00:00"/>
    <s v="September 25 Week 4"/>
    <n v="120"/>
    <d v="2026-01-20T00:00:00"/>
    <s v="January 26 Week 3"/>
    <m/>
    <s v=""/>
    <d v="2026-04-30T00:00:00"/>
    <s v="April 26 Week 5"/>
    <m/>
    <s v="JANUARY 26 PLANNED"/>
    <s v=" "/>
    <n v="1"/>
    <n v="0.63429999999999997"/>
    <x v="1"/>
    <m/>
    <m/>
    <m/>
    <e v="#N/A"/>
    <s v=""/>
    <s v=""/>
    <m/>
  </r>
  <r>
    <s v="TEAGAK13568"/>
    <n v="38"/>
    <s v="I. Petro"/>
    <s v="Petro"/>
    <x v="0"/>
    <s v="NSO"/>
    <s v="East"/>
    <x v="1"/>
    <s v="West Bengal"/>
    <s v="Haldia - Wind Girder &amp; MVWSS Replacement - Haldia - Tk 1A, 1B , 7A &amp; 7B "/>
    <s v="Haldia"/>
    <n v="5000"/>
    <m/>
    <s v="Arifur Rehman"/>
    <m/>
    <s v=""/>
    <d v="2025-06-12T00:00:00"/>
    <s v="June 25 Week 2"/>
    <n v="152"/>
    <d v="2025-11-11T00:00:00"/>
    <s v="November 25 Week 2"/>
    <m/>
    <s v=""/>
    <d v="2026-04-30T00:00:00"/>
    <s v="April 26 Week 5"/>
    <m/>
    <s v="NOVEMBER 25 PLANNED"/>
    <s v=" "/>
    <n v="1"/>
    <n v="0.7"/>
    <x v="1"/>
    <m/>
    <m/>
    <m/>
    <e v="#N/A"/>
    <s v=""/>
    <s v=""/>
    <m/>
  </r>
  <r>
    <s v="TEAGAK13459"/>
    <n v="39"/>
    <s v="I. Petro"/>
    <s v="Petro"/>
    <x v="0"/>
    <s v="NSO"/>
    <s v="East"/>
    <x v="1"/>
    <s v="West Bengal"/>
    <s v="Haldia- Earthing grid additional 50mm strip provision at all 5 OTs in line with Earthing adequacy study recommendations."/>
    <s v="Haldia"/>
    <n v="5000"/>
    <m/>
    <s v="Arifur Rehman"/>
    <d v="2025-04-21T00:00:00"/>
    <s v="April 25 Week 3"/>
    <d v="2025-04-21T00:00:00"/>
    <s v="April 25 Week 3"/>
    <n v="45"/>
    <d v="2025-06-05T00:00:00"/>
    <s v="June 25 Week 1"/>
    <d v="2025-08-18T00:00:00"/>
    <s v="August 25 Week 3"/>
    <d v="2025-07-25T00:00:00"/>
    <s v="July 25 Week 4"/>
    <m/>
    <s v="JUNE 25 PLANNED"/>
    <s v="AUGUST 25"/>
    <n v="1"/>
    <n v="1"/>
    <x v="0"/>
    <m/>
    <m/>
    <m/>
    <e v="#N/A"/>
    <d v="2025-04-24T00:00:00"/>
    <n v="-3"/>
    <m/>
  </r>
  <r>
    <s v="MIAGAK12873"/>
    <n v="16"/>
    <s v="I. Petro"/>
    <s v="Petro"/>
    <x v="2"/>
    <s v="NSO"/>
    <s v="East"/>
    <x v="1"/>
    <s v="Telangana"/>
    <s v="Huzurnagar Mini Depo - Boundary Wall"/>
    <s v="Huzurnagar"/>
    <n v="20000"/>
    <s v="PETRO-MDTGHU1"/>
    <s v="Ranjit Sinha"/>
    <m/>
    <s v=""/>
    <d v="2025-03-17T00:00:00"/>
    <s v="March 25 Week 3"/>
    <n v="180"/>
    <d v="2025-09-13T00:00:00"/>
    <s v="September 25 Week 2"/>
    <d v="2026-03-20T00:00:00"/>
    <s v="March 26 Week 3"/>
    <d v="2026-03-31T00:00:00"/>
    <s v="March 26 Week 5"/>
    <m/>
    <s v="SEPTEMBER 25 PLANNED"/>
    <s v="MARCH 26"/>
    <n v="1"/>
    <n v="1"/>
    <x v="0"/>
    <m/>
    <m/>
    <m/>
    <m/>
    <s v=""/>
    <s v=""/>
    <m/>
  </r>
  <r>
    <s v="MIAGAK13851"/>
    <n v="15"/>
    <s v="K. Other Office Infrastructure"/>
    <s v="Office"/>
    <x v="2"/>
    <s v="NSO"/>
    <s v="East"/>
    <x v="1"/>
    <s v="Telangana"/>
    <s v="Huzurnagar Mini Depo - Phase I Works"/>
    <s v="Huzurnagar"/>
    <n v="20000"/>
    <s v="PETRO-MDTGHU2"/>
    <s v="Ranjit Sinha"/>
    <m/>
    <s v=""/>
    <d v="2025-09-22T00:00:00"/>
    <s v="September 25 Week 4"/>
    <n v="120"/>
    <d v="2026-01-20T00:00:00"/>
    <s v="January 26 Week 3"/>
    <m/>
    <s v=""/>
    <d v="2026-04-30T00:00:00"/>
    <s v="April 26 Week 5"/>
    <m/>
    <s v="JANUARY 26 PLANNED"/>
    <s v=" "/>
    <n v="1"/>
    <n v="0.65"/>
    <x v="1"/>
    <m/>
    <m/>
    <e v="#N/A"/>
    <e v="#N/A"/>
    <s v=""/>
    <s v=""/>
    <m/>
  </r>
  <r>
    <s v="TEAGKC11575"/>
    <n v="36"/>
    <s v="I. Petro"/>
    <s v="Petro"/>
    <x v="0"/>
    <s v="NSO"/>
    <s v="North"/>
    <x v="0"/>
    <s v="Uttar Pradesh"/>
    <s v="Kanpur - Additional works in Ethanol 20% Phase II"/>
    <s v="Kanpur"/>
    <n v="20000"/>
    <m/>
    <s v="Manmohan Nautiyal"/>
    <m/>
    <s v=""/>
    <d v="2025-01-22T00:00:00"/>
    <s v="January 25 Week 4"/>
    <n v="60"/>
    <d v="2025-03-23T00:00:00"/>
    <s v="March 25 Week 4"/>
    <d v="2025-04-16T00:00:00"/>
    <s v="April 25 Week 3"/>
    <d v="2025-04-16T00:00:00"/>
    <s v="April 25 Week 3"/>
    <m/>
    <s v="MARCH 25 PLANNED"/>
    <s v="APRIL 25"/>
    <n v="1"/>
    <n v="1"/>
    <x v="0"/>
    <m/>
    <m/>
    <m/>
    <m/>
    <s v=""/>
    <s v=""/>
    <m/>
  </r>
  <r>
    <s v="TEAGKC13463"/>
    <n v="40"/>
    <s v="I. Petro"/>
    <s v="Petro"/>
    <x v="0"/>
    <s v="NSO"/>
    <s v="North"/>
    <x v="0"/>
    <s v="Uttar Pradesh"/>
    <s v="Kanpur - Borewell Structure Works"/>
    <s v="Kanpur"/>
    <n v="8000"/>
    <m/>
    <s v="Manmohan Nautiyal"/>
    <m/>
    <s v=""/>
    <d v="2025-09-05T00:00:00"/>
    <s v="September 25 Week 1"/>
    <n v="45"/>
    <d v="2025-10-20T00:00:00"/>
    <s v="October 25 Week 3"/>
    <d v="2025-11-08T00:00:00"/>
    <s v="November 25 Week 2"/>
    <d v="2025-10-25T00:00:00"/>
    <s v="October 25 Week 4"/>
    <m/>
    <s v="OCTOBER 25 PLANNED"/>
    <s v="NOVEMBER 25"/>
    <n v="1"/>
    <n v="1"/>
    <x v="0"/>
    <m/>
    <m/>
    <m/>
    <e v="#N/A"/>
    <s v=""/>
    <s v=""/>
    <m/>
  </r>
  <r>
    <s v="TEAGKC13668"/>
    <n v="34"/>
    <s v="I. Petro"/>
    <s v="Petro"/>
    <x v="0"/>
    <s v="NSO"/>
    <s v="North"/>
    <x v="0"/>
    <s v="Uttar Pradesh"/>
    <s v="Kanpur - Cement Concrete paving under pipeline manifold area "/>
    <s v="Kanpur"/>
    <m/>
    <m/>
    <s v="Manmohan Nautiyal"/>
    <m/>
    <s v=""/>
    <m/>
    <s v=""/>
    <m/>
    <m/>
    <s v=""/>
    <m/>
    <s v=""/>
    <m/>
    <s v=""/>
    <m/>
    <s v=" "/>
    <s v=" "/>
    <m/>
    <m/>
    <x v="3"/>
    <m/>
    <m/>
    <m/>
    <e v="#N/A"/>
    <s v=""/>
    <s v=""/>
    <m/>
  </r>
  <r>
    <s v="TEAGKC13460"/>
    <n v="42"/>
    <s v="I. Petro"/>
    <s v="Petro"/>
    <x v="0"/>
    <s v="NSO"/>
    <s v="North"/>
    <x v="0"/>
    <s v="Uttar Pradesh"/>
    <s v="Kanpur - Drivers Amenity Block to be constructed to provide basic facilities for drivers and cleaners."/>
    <s v="Kanpur"/>
    <n v="20000"/>
    <m/>
    <s v="Manmohan Nautiyal"/>
    <m/>
    <s v=""/>
    <d v="2025-04-04T00:00:00"/>
    <s v="April 25 Week 1"/>
    <n v="120"/>
    <d v="2025-08-02T00:00:00"/>
    <s v="August 25 Week 1"/>
    <d v="2026-03-31T00:00:00"/>
    <s v="March 26 Week 5"/>
    <d v="2026-03-31T00:00:00"/>
    <s v="March 26 Week 5"/>
    <m/>
    <s v="AUGUST 25 PLANNED"/>
    <s v="MARCH 26"/>
    <n v="1"/>
    <n v="1"/>
    <x v="0"/>
    <m/>
    <m/>
    <m/>
    <e v="#N/A"/>
    <s v=""/>
    <s v=""/>
    <m/>
  </r>
  <r>
    <s v="TEAGKC13852"/>
    <m/>
    <m/>
    <m/>
    <x v="0"/>
    <s v="NSO"/>
    <s v="North"/>
    <x v="0"/>
    <s v="Uttar Pradesh"/>
    <s v="Kanpur - Grating on Storm Water Drains "/>
    <s v="Kanpur"/>
    <n v="20000"/>
    <m/>
    <s v="Manmohan Nautiyal"/>
    <m/>
    <s v=""/>
    <d v="2025-09-30T00:00:00"/>
    <s v="September 25 Week 5"/>
    <n v="60"/>
    <d v="2025-11-29T00:00:00"/>
    <s v="November 25 Week 5"/>
    <d v="2025-12-24T00:00:00"/>
    <s v="December 25 Week 4"/>
    <d v="2025-11-29T00:00:00"/>
    <s v="November 25 Week 5"/>
    <m/>
    <s v="NOVEMBER 25 PLANNED"/>
    <s v="DECEMBER 25"/>
    <n v="1"/>
    <n v="1"/>
    <x v="0"/>
    <m/>
    <m/>
    <e v="#N/A"/>
    <e v="#N/A"/>
    <s v=""/>
    <s v=""/>
    <m/>
  </r>
  <r>
    <s v="TEAGKC13816"/>
    <n v="48"/>
    <s v="I. Petro"/>
    <s v="Petro"/>
    <x v="0"/>
    <s v="NSO"/>
    <s v="North"/>
    <x v="0"/>
    <s v="Uttar Pradesh"/>
    <s v="Kanpur - Implementing Rainwater Harvesting"/>
    <s v="Kanpur"/>
    <n v="20000"/>
    <m/>
    <s v="Manmohan Nautiyal"/>
    <m/>
    <s v=""/>
    <m/>
    <s v=""/>
    <m/>
    <m/>
    <s v=""/>
    <m/>
    <s v=""/>
    <m/>
    <s v=""/>
    <m/>
    <s v=" "/>
    <s v=" "/>
    <m/>
    <m/>
    <x v="3"/>
    <m/>
    <m/>
    <e v="#N/A"/>
    <e v="#N/A"/>
    <s v=""/>
    <s v=""/>
    <m/>
  </r>
  <r>
    <s v="TEAGKC13462"/>
    <n v="35"/>
    <s v="I. Petro"/>
    <s v="Petro"/>
    <x v="0"/>
    <s v="NSO"/>
    <s v="North"/>
    <x v="0"/>
    <s v="Uttar Pradesh"/>
    <s v="Kanpur- Earthing grid additional 50mm strip provision at all 5 OTs in line with Earthing adequacy study recommendations."/>
    <s v="Kanpur"/>
    <n v="5000"/>
    <m/>
    <s v="Manmohan Nautiyal"/>
    <m/>
    <s v=""/>
    <m/>
    <s v=""/>
    <m/>
    <m/>
    <s v=""/>
    <m/>
    <s v=""/>
    <m/>
    <s v=""/>
    <m/>
    <s v=" "/>
    <s v=" "/>
    <m/>
    <m/>
    <x v="4"/>
    <m/>
    <m/>
    <m/>
    <e v="#N/A"/>
    <s v=""/>
    <s v=""/>
    <m/>
  </r>
  <r>
    <s v="TEAGKC13680"/>
    <n v="45"/>
    <s v="I. Petro"/>
    <s v="Petro"/>
    <x v="0"/>
    <s v="NSO"/>
    <s v="North"/>
    <x v="0"/>
    <s v="Uttar Pradesh"/>
    <s v="Kanpur-Safety Shower at Rail unloading Gantry (3 Nos) - Instrumentation works"/>
    <s v="Kanpur"/>
    <m/>
    <m/>
    <s v="Manmohan Nautiyal"/>
    <m/>
    <s v=""/>
    <d v="2025-05-05T00:00:00"/>
    <s v="May 25 Week 1"/>
    <n v="45"/>
    <d v="2025-06-19T00:00:00"/>
    <s v="June 25 Week 3"/>
    <d v="2025-06-11T00:00:00"/>
    <s v="June 25 Week 2"/>
    <d v="2025-06-06T00:00:00"/>
    <s v="June 25 Week 1"/>
    <m/>
    <s v="JUNE 25 PLANNED"/>
    <s v="JUNE 25"/>
    <n v="1"/>
    <n v="1"/>
    <x v="0"/>
    <m/>
    <m/>
    <m/>
    <e v="#N/A"/>
    <s v=""/>
    <s v=""/>
    <m/>
  </r>
  <r>
    <s v="TEAGKC11574"/>
    <n v="44"/>
    <s v="I. Petro"/>
    <s v="Petro"/>
    <x v="0"/>
    <s v="NSO"/>
    <s v="North"/>
    <x v="0"/>
    <s v="Delhi NCR"/>
    <s v="Rewari - Additional works in Ethanol 20% Phase II"/>
    <s v="Rewari"/>
    <n v="20000"/>
    <m/>
    <s v="Anand Singh"/>
    <m/>
    <s v=""/>
    <d v="2025-05-23T00:00:00"/>
    <s v="May 25 Week 4"/>
    <n v="135"/>
    <d v="2025-10-05T00:00:00"/>
    <s v="October 25 Week 1"/>
    <d v="2025-10-02T00:00:00"/>
    <s v="October 25 Week 1"/>
    <d v="2025-10-05T00:00:00"/>
    <s v="October 25 Week 1"/>
    <m/>
    <s v="OCTOBER 25 PLANNED"/>
    <s v="OCTOBER 25"/>
    <n v="1"/>
    <n v="1"/>
    <x v="0"/>
    <m/>
    <m/>
    <m/>
    <e v="#N/A"/>
    <s v=""/>
    <s v=""/>
    <m/>
  </r>
  <r>
    <s v="TEAGKC13464"/>
    <n v="46"/>
    <s v="I. Petro"/>
    <s v="Petro"/>
    <x v="0"/>
    <s v="NSO"/>
    <s v="North"/>
    <x v="0"/>
    <s v="Delhi NCR"/>
    <s v="Rewari - Area paving behind  Rail siding"/>
    <s v="Rewari"/>
    <n v="7825"/>
    <m/>
    <s v="Anand Singh"/>
    <m/>
    <s v=""/>
    <d v="2025-05-28T00:00:00"/>
    <s v="May 25 Week 4"/>
    <n v="90"/>
    <d v="2025-08-26T00:00:00"/>
    <s v="August 25 Week 4"/>
    <d v="2025-10-02T00:00:00"/>
    <s v="October 25 Week 1"/>
    <d v="2025-08-26T00:00:00"/>
    <s v="August 25 Week 4"/>
    <m/>
    <s v="AUGUST 25 PLANNED"/>
    <s v="OCTOBER 25"/>
    <n v="1"/>
    <n v="1"/>
    <x v="0"/>
    <m/>
    <m/>
    <m/>
    <e v="#N/A"/>
    <s v=""/>
    <s v=""/>
    <m/>
  </r>
  <r>
    <s v="TEAGKC13465"/>
    <n v="43"/>
    <s v="I. Petro"/>
    <s v="Petro"/>
    <x v="0"/>
    <s v="NSO"/>
    <s v="North"/>
    <x v="0"/>
    <s v="Delhi NCR"/>
    <s v="Rewari - Cement Concrete paving under pipeline manifold area "/>
    <s v="Rewari"/>
    <n v="2500"/>
    <m/>
    <s v="Anand Singh"/>
    <m/>
    <s v=""/>
    <d v="2026-03-18T00:00:00"/>
    <s v="March 26 Week 3"/>
    <n v="90"/>
    <d v="2026-06-16T00:00:00"/>
    <s v="June 26 Week 3"/>
    <m/>
    <s v=""/>
    <d v="2026-06-16T00:00:00"/>
    <s v="June 26 Week 3"/>
    <m/>
    <s v="JUNE 26 PLANNED"/>
    <s v=" "/>
    <n v="0.15"/>
    <n v="0.12"/>
    <x v="1"/>
    <m/>
    <m/>
    <m/>
    <e v="#N/A"/>
    <s v=""/>
    <s v=""/>
    <m/>
  </r>
  <r>
    <s v="TEAGKC13819"/>
    <n v="51"/>
    <s v="I. Petro"/>
    <s v="Petro"/>
    <x v="0"/>
    <s v="NSO"/>
    <s v="North"/>
    <x v="0"/>
    <s v="Delhi NCR"/>
    <s v="Rewari - Grating over Strom water drain"/>
    <s v="Rewari"/>
    <n v="5500"/>
    <m/>
    <s v="Anand Singh"/>
    <m/>
    <s v=""/>
    <d v="2025-07-21T00:00:00"/>
    <s v="July 25 Week 3"/>
    <n v="60"/>
    <d v="2025-09-19T00:00:00"/>
    <s v="September 25 Week 3"/>
    <d v="2025-10-18T00:00:00"/>
    <s v="October 25 Week 3"/>
    <d v="2025-10-18T00:00:00"/>
    <s v="October 25 Week 3"/>
    <m/>
    <s v="SEPTEMBER 25 PLANNED"/>
    <s v="OCTOBER 25"/>
    <n v="1"/>
    <n v="1"/>
    <x v="0"/>
    <m/>
    <m/>
    <e v="#N/A"/>
    <e v="#N/A"/>
    <s v=""/>
    <s v=""/>
    <m/>
  </r>
  <r>
    <s v="TEAGKC13803"/>
    <n v="47"/>
    <s v="I. Petro"/>
    <s v="Petro"/>
    <x v="0"/>
    <s v="NSO"/>
    <s v="North"/>
    <x v="0"/>
    <s v="Delhi NCR"/>
    <s v="Rewari - Implementing Rainwater Harvesting"/>
    <s v="Rewari"/>
    <n v="5500"/>
    <m/>
    <s v="Anand Singh"/>
    <m/>
    <s v=""/>
    <m/>
    <s v=""/>
    <m/>
    <m/>
    <s v=""/>
    <m/>
    <s v=""/>
    <m/>
    <s v=""/>
    <m/>
    <s v=" "/>
    <s v=" "/>
    <m/>
    <m/>
    <x v="4"/>
    <m/>
    <m/>
    <e v="#N/A"/>
    <e v="#N/A"/>
    <s v=""/>
    <s v=""/>
    <m/>
  </r>
  <r>
    <s v="TEAGKC13466"/>
    <n v="50"/>
    <s v="I. Petro"/>
    <s v="Petro"/>
    <x v="0"/>
    <s v="NSO"/>
    <s v="North"/>
    <x v="0"/>
    <s v="Delhi NCR"/>
    <s v="Rewari- Earthing grid additional 50mm strip provision at all 5 OTs in line with Earthing adequacy study recommendations."/>
    <s v="Rewari"/>
    <n v="5500"/>
    <m/>
    <s v="Anand Singh"/>
    <m/>
    <s v=""/>
    <d v="2025-06-18T00:00:00"/>
    <s v="June 25 Week 3"/>
    <n v="60"/>
    <d v="2025-08-17T00:00:00"/>
    <s v="August 25 Week 3"/>
    <d v="2025-08-14T00:00:00"/>
    <s v="August 25 Week 2"/>
    <d v="2025-08-17T00:00:00"/>
    <s v="August 25 Week 3"/>
    <m/>
    <s v="AUGUST 25 PLANNED"/>
    <s v="AUGUST 25"/>
    <n v="1"/>
    <n v="1"/>
    <x v="0"/>
    <m/>
    <m/>
    <m/>
    <e v="#N/A"/>
    <s v=""/>
    <s v=""/>
    <m/>
  </r>
  <r>
    <s v="COPUKC13442"/>
    <n v="4"/>
    <s v="I. Petro"/>
    <s v="Petro"/>
    <x v="1"/>
    <s v="NSO"/>
    <s v="East"/>
    <x v="1"/>
    <s v="West Bengal"/>
    <s v="Setup a petrol pump at RIL (Shyam Sel Group), Kharagpur site"/>
    <s v="Kharagpur"/>
    <m/>
    <m/>
    <m/>
    <m/>
    <s v=""/>
    <m/>
    <s v=""/>
    <m/>
    <m/>
    <s v=""/>
    <m/>
    <s v=""/>
    <m/>
    <s v=""/>
    <m/>
    <s v=" "/>
    <s v=" "/>
    <m/>
    <m/>
    <x v="3"/>
    <m/>
    <m/>
    <m/>
    <e v="#N/A"/>
    <s v=""/>
    <s v=""/>
    <m/>
  </r>
  <r>
    <s v="MIAGKC12175"/>
    <n v="17"/>
    <s v="I. Petro"/>
    <s v="Petro"/>
    <x v="2"/>
    <s v="Refit"/>
    <s v="North"/>
    <x v="0"/>
    <s v="Uttar Pradesh"/>
    <s v="Tilbegampur-Transformer replacement at (7 Mini Depots ) with statutory approvals"/>
    <s v="Tilbegumpur"/>
    <n v="8000"/>
    <s v="PETRO-MDUPTI4"/>
    <s v="Neeraj Kumar"/>
    <d v="2024-11-04T00:00:00"/>
    <s v="November 24 Week 1"/>
    <d v="2024-11-04T00:00:00"/>
    <s v="November 24 Week 1"/>
    <n v="30"/>
    <d v="2024-12-04T00:00:00"/>
    <s v="December 24 Week 1"/>
    <m/>
    <s v=""/>
    <d v="2025-04-30T00:00:00"/>
    <s v="April 25 Week 5"/>
    <m/>
    <s v=" "/>
    <s v=" "/>
    <n v="1"/>
    <n v="0.9"/>
    <x v="5"/>
    <m/>
    <m/>
    <m/>
    <m/>
    <d v="2024-11-04T00:00:00"/>
    <n v="0"/>
    <m/>
  </r>
  <r>
    <s v="MIAGKC70"/>
    <n v="18"/>
    <s v="I. Petro"/>
    <s v="Petro"/>
    <x v="2"/>
    <s v="Refit"/>
    <s v="North"/>
    <x v="0"/>
    <s v="Uttar Pradesh"/>
    <s v="Tilbegumpur - Additional works in Phase II project"/>
    <s v="Tilbegumpur"/>
    <n v="1500"/>
    <s v="TER_2020_21_TILBEGUMPUR"/>
    <s v="Neeraj Kumar"/>
    <d v="2024-04-01T00:00:00"/>
    <s v="April 24 Week 1"/>
    <d v="2024-04-29T00:00:00"/>
    <s v="April 24 Week 5"/>
    <n v="60"/>
    <d v="2024-06-28T00:00:00"/>
    <s v="June 24 Week 4"/>
    <d v="2025-05-30T00:00:00"/>
    <s v="May 25 Week 5"/>
    <d v="2025-05-15T00:00:00"/>
    <s v="May 25 Week 3"/>
    <m/>
    <s v="JUNE 24 PLANNED"/>
    <s v="MAY 25"/>
    <n v="1"/>
    <n v="1"/>
    <x v="0"/>
    <m/>
    <m/>
    <m/>
    <m/>
    <d v="2024-04-04T00:00:00"/>
    <n v="25"/>
    <m/>
  </r>
  <r>
    <s v="COPUAK14536"/>
    <m/>
    <m/>
    <m/>
    <x v="1"/>
    <s v="NSO"/>
    <s v="East"/>
    <x v="1"/>
    <s v="Telangana"/>
    <s v="CP - BHADRACHALAM"/>
    <s v="Hyderabad"/>
    <n v="1892"/>
    <m/>
    <s v="Rohin Chand"/>
    <d v="2025-10-01T00:00:00"/>
    <s v="October 25 Week 1"/>
    <d v="2025-10-05T00:00:00"/>
    <s v="October 25 Week 1"/>
    <n v="45"/>
    <d v="2025-11-19T00:00:00"/>
    <s v="November 25 Week 3"/>
    <d v="2025-11-13T00:00:00"/>
    <s v="November 25 Week 2"/>
    <d v="2025-11-19T00:00:00"/>
    <s v="November 25 Week 3"/>
    <m/>
    <s v="NOVEMBER 25 PLANNED"/>
    <s v="NOVEMBER 25"/>
    <n v="1"/>
    <n v="1"/>
    <x v="0"/>
    <m/>
    <m/>
    <e v="#N/A"/>
    <e v="#N/A"/>
    <d v="2025-10-04T00:00:00"/>
    <n v="1"/>
    <m/>
  </r>
  <r>
    <s v="COPUAK14537"/>
    <m/>
    <m/>
    <m/>
    <x v="1"/>
    <s v="NSO"/>
    <s v="East"/>
    <x v="1"/>
    <s v="Telangana"/>
    <s v="CP - DEVARAKONDA"/>
    <s v="Hyderabad"/>
    <n v="1892"/>
    <m/>
    <s v="Rohin Chand"/>
    <d v="2025-10-01T00:00:00"/>
    <s v="October 25 Week 1"/>
    <d v="2025-11-05T00:00:00"/>
    <s v="November 25 Week 1"/>
    <n v="45"/>
    <d v="2025-12-20T00:00:00"/>
    <s v="December 25 Week 3"/>
    <d v="2025-11-21T00:00:00"/>
    <s v="November 25 Week 3"/>
    <d v="2025-12-25T00:00:00"/>
    <s v="December 25 Week 4"/>
    <m/>
    <s v="DECEMBER 25 PLANNED"/>
    <s v="NOVEMBER 25"/>
    <n v="1"/>
    <n v="1"/>
    <x v="0"/>
    <m/>
    <m/>
    <e v="#N/A"/>
    <e v="#N/A"/>
    <d v="2025-10-04T00:00:00"/>
    <n v="32"/>
    <m/>
  </r>
  <r>
    <s v="COPUAK14538"/>
    <m/>
    <m/>
    <m/>
    <x v="1"/>
    <s v="NSO"/>
    <s v="East"/>
    <x v="1"/>
    <s v="Telangana"/>
    <s v="CP - SATTUPALLI"/>
    <s v="Hyderabad"/>
    <n v="1892"/>
    <m/>
    <s v="Rohin Chand"/>
    <d v="2025-10-01T00:00:00"/>
    <s v="October 25 Week 1"/>
    <d v="2025-10-10T00:00:00"/>
    <s v="October 25 Week 2"/>
    <n v="45"/>
    <d v="2025-11-24T00:00:00"/>
    <s v="November 25 Week 4"/>
    <d v="2025-11-13T00:00:00"/>
    <s v="November 25 Week 2"/>
    <d v="2025-11-24T00:00:00"/>
    <s v="November 25 Week 4"/>
    <m/>
    <s v="NOVEMBER 25 PLANNED"/>
    <s v="NOVEMBER 25"/>
    <n v="1"/>
    <n v="1"/>
    <x v="0"/>
    <m/>
    <m/>
    <e v="#N/A"/>
    <e v="#N/A"/>
    <d v="2025-10-04T00:00:00"/>
    <n v="6"/>
    <m/>
  </r>
  <r>
    <s v="TEAGKC14563"/>
    <m/>
    <m/>
    <m/>
    <x v="0"/>
    <s v="NSO"/>
    <s v="West"/>
    <x v="0"/>
    <s v="Madhya Pradesh"/>
    <s v="Bhopal - Grating over Strom water drain"/>
    <s v="Bhopal"/>
    <n v="5500"/>
    <m/>
    <s v="Umesh Yadav"/>
    <d v="2025-10-01T00:00:00"/>
    <s v="October 25 Week 1"/>
    <d v="2025-11-03T00:00:00"/>
    <s v="November 25 Week 1"/>
    <n v="75"/>
    <d v="2026-01-17T00:00:00"/>
    <s v="January 26 Week 3"/>
    <d v="2026-01-09T00:00:00"/>
    <s v="January 26 Week 2"/>
    <d v="2026-01-17T00:00:00"/>
    <s v="January 26 Week 3"/>
    <m/>
    <s v="JANUARY 26 PLANNED"/>
    <s v="JANUARY 26"/>
    <n v="1"/>
    <n v="1"/>
    <x v="0"/>
    <m/>
    <m/>
    <e v="#N/A"/>
    <e v="#N/A"/>
    <d v="2025-10-04T00:00:00"/>
    <n v="30"/>
    <m/>
  </r>
  <r>
    <s v="TEAGAK14564"/>
    <m/>
    <m/>
    <m/>
    <x v="0"/>
    <s v="NSO"/>
    <s v="South"/>
    <x v="1"/>
    <s v="Tamil Nadu"/>
    <s v="Chennai - Enhancing Water Management with Garland Drain Installation Along Boundary Walls."/>
    <s v="Chennai"/>
    <n v="5000"/>
    <m/>
    <s v="Vasant A"/>
    <m/>
    <s v=""/>
    <m/>
    <s v=""/>
    <m/>
    <m/>
    <s v=""/>
    <m/>
    <s v=""/>
    <m/>
    <s v=""/>
    <m/>
    <s v=" "/>
    <s v=" "/>
    <m/>
    <m/>
    <x v="2"/>
    <m/>
    <m/>
    <e v="#N/A"/>
    <e v="#N/A"/>
    <s v=""/>
    <s v=""/>
    <m/>
  </r>
  <r>
    <s v="TEAGAK14565"/>
    <m/>
    <m/>
    <m/>
    <x v="0"/>
    <s v="NSO"/>
    <s v="South"/>
    <x v="1"/>
    <s v="Tamil Nadu"/>
    <s v="Shifting of ROSOV LCS (24 No’s) at Chennai from Dyke area to area near Tank Farm approach Road along with FLP Distribution Box"/>
    <s v="Chennai"/>
    <m/>
    <m/>
    <s v="Vasant A"/>
    <m/>
    <s v=""/>
    <m/>
    <s v=""/>
    <m/>
    <m/>
    <s v=""/>
    <m/>
    <s v=""/>
    <m/>
    <s v=""/>
    <m/>
    <s v=" "/>
    <s v=" "/>
    <m/>
    <m/>
    <x v="2"/>
    <m/>
    <m/>
    <e v="#N/A"/>
    <e v="#N/A"/>
    <s v=""/>
    <s v=""/>
    <m/>
  </r>
  <r>
    <s v="MIAGAK14566"/>
    <m/>
    <m/>
    <m/>
    <x v="2"/>
    <s v="NSO"/>
    <s v="East"/>
    <x v="1"/>
    <s v="Telangana"/>
    <s v="Huzurnagar Mini Depo - Admin Building"/>
    <s v="Huzurnagar"/>
    <n v="20000"/>
    <m/>
    <s v="Ranjit Sinha"/>
    <m/>
    <s v=""/>
    <m/>
    <s v=""/>
    <m/>
    <m/>
    <s v=""/>
    <m/>
    <s v=""/>
    <m/>
    <s v=""/>
    <m/>
    <s v=" "/>
    <s v=" "/>
    <m/>
    <m/>
    <x v="3"/>
    <m/>
    <m/>
    <e v="#N/A"/>
    <e v="#N/A"/>
    <s v=""/>
    <s v=""/>
    <m/>
  </r>
  <r>
    <s v="TEAGAK14567"/>
    <m/>
    <m/>
    <m/>
    <x v="0"/>
    <s v="NSO"/>
    <s v="East"/>
    <x v="1"/>
    <s v="West Bengal"/>
    <s v="Haldia - Implementing Rainwater Harvesting"/>
    <s v="Haldia"/>
    <m/>
    <m/>
    <s v="Arifur Rehman"/>
    <m/>
    <s v=""/>
    <m/>
    <s v=""/>
    <m/>
    <m/>
    <s v=""/>
    <m/>
    <s v=""/>
    <m/>
    <s v=""/>
    <m/>
    <s v=" "/>
    <s v=" "/>
    <m/>
    <m/>
    <x v="3"/>
    <m/>
    <m/>
    <e v="#N/A"/>
    <e v="#N/A"/>
    <s v=""/>
    <s v=""/>
    <m/>
  </r>
  <r>
    <s v="TEAGAK14681"/>
    <m/>
    <m/>
    <m/>
    <x v="0"/>
    <s v="NSO"/>
    <s v="South"/>
    <x v="1"/>
    <s v="Tamil Nadu"/>
    <s v="Chennai - Grating on strom water Drain Phase II"/>
    <s v="Chennai"/>
    <m/>
    <m/>
    <s v="Vasant A"/>
    <m/>
    <s v=""/>
    <m/>
    <s v=""/>
    <m/>
    <m/>
    <s v=""/>
    <m/>
    <s v=""/>
    <m/>
    <s v=""/>
    <m/>
    <s v=" "/>
    <s v=" "/>
    <m/>
    <m/>
    <x v="2"/>
    <m/>
    <m/>
    <e v="#N/A"/>
    <e v="#N/A"/>
    <s v=""/>
    <s v=""/>
    <m/>
  </r>
  <r>
    <s v="MIAGKC14705"/>
    <m/>
    <m/>
    <m/>
    <x v="0"/>
    <s v="NSO"/>
    <s v="West"/>
    <x v="0"/>
    <s v="Madhya Pradesh"/>
    <s v="Bhopal - Additional Bay of Mix load works "/>
    <s v="Bhopal"/>
    <n v="5500"/>
    <m/>
    <s v="Umesh Yadav"/>
    <d v="2025-12-01T00:00:00"/>
    <s v="December 25 Week 1"/>
    <d v="2026-01-27T00:00:00"/>
    <s v="January 26 Week 4"/>
    <n v="75"/>
    <d v="2026-04-12T00:00:00"/>
    <s v="April 26 Week 2"/>
    <m/>
    <s v=""/>
    <d v="2026-05-15T00:00:00"/>
    <s v="May 26 Week 3"/>
    <m/>
    <s v="APRIL 26 PLANNED"/>
    <s v=" "/>
    <n v="0.65"/>
    <n v="0.61"/>
    <x v="1"/>
    <m/>
    <m/>
    <e v="#N/A"/>
    <e v="#N/A"/>
    <d v="2025-12-04T00:00:00"/>
    <n v="54"/>
    <m/>
  </r>
  <r>
    <s v="COPUAK14706"/>
    <m/>
    <m/>
    <m/>
    <x v="1"/>
    <s v="NSO"/>
    <s v="East"/>
    <x v="1"/>
    <s v="Odissa"/>
    <s v="CP - M/s Shivam Condev Pvt Ltd, Korput, OD"/>
    <s v="Bhubaneswar"/>
    <m/>
    <m/>
    <s v="Rohin Chand"/>
    <d v="2025-11-16T00:00:00"/>
    <s v="November 25 Week 3"/>
    <m/>
    <s v=""/>
    <m/>
    <d v="1899-12-30T00:00:00"/>
    <s v=""/>
    <m/>
    <s v=""/>
    <m/>
    <s v=""/>
    <m/>
    <s v=" "/>
    <s v=" "/>
    <m/>
    <m/>
    <x v="6"/>
    <m/>
    <m/>
    <e v="#N/A"/>
    <e v="#N/A"/>
    <d v="2025-11-19T00:00:00"/>
    <n v="-45980"/>
    <m/>
  </r>
  <r>
    <s v="COPUKC14707"/>
    <m/>
    <m/>
    <m/>
    <x v="1"/>
    <s v="NSO"/>
    <s v="West"/>
    <x v="0"/>
    <s v="Maharashtra"/>
    <s v="CP - M/s Ankush Rao Tope, Jalna, MH"/>
    <s v="Jalna"/>
    <n v="1892"/>
    <m/>
    <s v="Sushanta Behera"/>
    <d v="2025-11-16T00:00:00"/>
    <s v="November 25 Week 3"/>
    <d v="2025-12-15T00:00:00"/>
    <s v="December 25 Week 3"/>
    <n v="45"/>
    <d v="2026-01-29T00:00:00"/>
    <s v="January 26 Week 5"/>
    <d v="2026-03-13T00:00:00"/>
    <s v="March 26 Week 2"/>
    <d v="2026-03-13T00:00:00"/>
    <s v="March 26 Week 2"/>
    <m/>
    <s v="JANUARY 26 PLANNED"/>
    <s v="MARCH 26"/>
    <n v="1"/>
    <n v="1"/>
    <x v="0"/>
    <m/>
    <m/>
    <e v="#N/A"/>
    <e v="#N/A"/>
    <d v="2025-11-19T00:00:00"/>
    <n v="26"/>
    <m/>
  </r>
  <r>
    <s v="COPUAK14791"/>
    <m/>
    <m/>
    <m/>
    <x v="1"/>
    <s v="NSO"/>
    <s v="East"/>
    <x v="1"/>
    <s v="Jharkhand"/>
    <s v="CP - Installation of Single Nozzle DU "/>
    <s v="Ramgarh"/>
    <n v="4525"/>
    <m/>
    <s v="Avinandan Kumar "/>
    <m/>
    <s v=""/>
    <d v="2026-02-25T00:00:00"/>
    <s v="February 26 Week 4"/>
    <n v="15"/>
    <d v="2026-03-12T00:00:00"/>
    <s v="March 26 Week 2"/>
    <d v="2026-03-11T00:00:00"/>
    <s v="March 26 Week 2"/>
    <m/>
    <s v=""/>
    <m/>
    <s v="MARCH 26 PLANNED"/>
    <s v="MARCH 26"/>
    <n v="1"/>
    <n v="1"/>
    <x v="0"/>
    <m/>
    <m/>
    <e v="#N/A"/>
    <e v="#N/A"/>
    <s v=""/>
    <s v=""/>
    <m/>
  </r>
  <r>
    <s v="MIAGAK14792"/>
    <m/>
    <m/>
    <m/>
    <x v="2"/>
    <s v="NSO"/>
    <s v="East"/>
    <x v="1"/>
    <s v="Orissa"/>
    <s v="Girisola - Provision of Hazardous waste Shed."/>
    <s v="Girisol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793"/>
    <m/>
    <m/>
    <m/>
    <x v="2"/>
    <s v="NSO"/>
    <s v="East"/>
    <x v="1"/>
    <s v="Orissa"/>
    <s v="Girisola- - Exhaust Stack to be provided for DG 82.5 KVA"/>
    <s v="Girisol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794"/>
    <m/>
    <m/>
    <m/>
    <x v="2"/>
    <s v="NSO"/>
    <s v="East"/>
    <x v="1"/>
    <s v="Orissa"/>
    <s v="Girisola - Louvers on FW Ph shed. Phase I (6 Depot’s)"/>
    <s v="Girisol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795"/>
    <m/>
    <m/>
    <m/>
    <x v="2"/>
    <s v="NSO"/>
    <s v="East"/>
    <x v="1"/>
    <s v="Bihar"/>
    <s v="Dobhi- Provision of Hazardous waste Shed."/>
    <s v="Dobh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796"/>
    <m/>
    <m/>
    <m/>
    <x v="2"/>
    <s v="NSO"/>
    <s v="East"/>
    <x v="1"/>
    <s v="Bihar"/>
    <s v="Dobhi- Exhaust Stack to be provided for DG 82.5 KVA"/>
    <s v="Dobh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797"/>
    <m/>
    <m/>
    <m/>
    <x v="2"/>
    <s v="NSO"/>
    <s v="East"/>
    <x v="1"/>
    <s v="Bihar"/>
    <s v="Dobhi - Louvers on FW Ph shed. Phase I (6 Depot’s)"/>
    <s v="Dobh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798"/>
    <m/>
    <m/>
    <m/>
    <x v="2"/>
    <s v="NSO"/>
    <s v="East"/>
    <x v="1"/>
    <s v="Bihar"/>
    <s v="Dobhi - Borewell Head Protection"/>
    <s v="Dobh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799"/>
    <m/>
    <m/>
    <m/>
    <x v="2"/>
    <s v="NSO"/>
    <s v="East"/>
    <x v="1"/>
    <s v="Jharkhand"/>
    <s v="Bahargora - Provision of Hazardous waste Shed."/>
    <s v="Baharagor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800"/>
    <m/>
    <m/>
    <m/>
    <x v="2"/>
    <s v="NSO"/>
    <s v="East"/>
    <x v="1"/>
    <s v="Jharkhand"/>
    <s v="Bharagoda- Exhaust Stack to be provided for DG 82.5 KVA"/>
    <s v="Baharagor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801"/>
    <m/>
    <m/>
    <m/>
    <x v="2"/>
    <s v="NSO"/>
    <s v="East"/>
    <x v="1"/>
    <s v="Jharkhand"/>
    <s v="Bharagoda - Louvers on FW Ph shed. Phase I (6 Depot’s)"/>
    <s v="Baharagor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802"/>
    <m/>
    <m/>
    <m/>
    <x v="2"/>
    <s v="NSO"/>
    <s v="East"/>
    <x v="1"/>
    <s v="Jharkhand"/>
    <s v="Baharagora - Borewell Head Protection"/>
    <s v="Baharagor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803"/>
    <m/>
    <m/>
    <m/>
    <x v="2"/>
    <s v="NSO"/>
    <s v="South"/>
    <x v="1"/>
    <s v="Tamil Nadu"/>
    <s v="Pollachi - Provision of Hazardous waste Shed."/>
    <s v="Pollach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804"/>
    <m/>
    <m/>
    <m/>
    <x v="2"/>
    <s v="NSO"/>
    <s v="South"/>
    <x v="1"/>
    <s v="Tamil Nadu"/>
    <s v="Pollachi - Louvers on FW Ph shed. Phase II (4 Depot’s)"/>
    <s v="Pollach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805"/>
    <m/>
    <m/>
    <m/>
    <x v="2"/>
    <s v="NSO"/>
    <s v="South"/>
    <x v="1"/>
    <s v="Tamil Nadu"/>
    <s v="Pollachi - Borewell Head Protection"/>
    <s v="Pollach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806"/>
    <m/>
    <m/>
    <m/>
    <x v="2"/>
    <s v="NSO"/>
    <s v="East"/>
    <x v="1"/>
    <s v="Andhra Pradesh"/>
    <s v="Tada - Provision of Hazardous waste Shed."/>
    <s v="Tad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807"/>
    <m/>
    <m/>
    <m/>
    <x v="2"/>
    <s v="NSO"/>
    <s v="East"/>
    <x v="1"/>
    <s v="Andhra Pradesh"/>
    <s v="Tada- Exhaust Stack to be provided for DG 82.5 KVA"/>
    <s v="Tad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808"/>
    <m/>
    <m/>
    <m/>
    <x v="2"/>
    <s v="NSO"/>
    <s v="East"/>
    <x v="1"/>
    <s v="Andhra Pradesh"/>
    <s v="Tada - Louvers on FW Ph shed. Phase I (6 Depot’s)"/>
    <s v="Tad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KC14809"/>
    <m/>
    <m/>
    <m/>
    <x v="2"/>
    <s v="NSO"/>
    <s v="North"/>
    <x v="0"/>
    <s v="Punjab"/>
    <s v="Patran - Provision of Hazardous waste Shed."/>
    <s v="Patran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KC14810"/>
    <m/>
    <m/>
    <m/>
    <x v="2"/>
    <s v="NSO"/>
    <s v="North"/>
    <x v="0"/>
    <s v="Punjab"/>
    <s v="Patran - Louvers on FW Ph shed. Phase II (4 Depot’s)"/>
    <s v="Patran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KC14811"/>
    <m/>
    <m/>
    <m/>
    <x v="2"/>
    <s v="NSO"/>
    <s v="North"/>
    <x v="0"/>
    <s v="Punjab"/>
    <s v="Patran - Borewell Head Protection"/>
    <s v="Patran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KC14812"/>
    <m/>
    <m/>
    <m/>
    <x v="2"/>
    <s v="NSO"/>
    <s v="North"/>
    <x v="0"/>
    <s v="Rajasthan"/>
    <s v="Mandar - Provision of Hazardous waste Shed."/>
    <s v="Mandar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KC14813"/>
    <m/>
    <m/>
    <m/>
    <x v="2"/>
    <s v="NSO"/>
    <s v="North"/>
    <x v="0"/>
    <s v="Rajasthan"/>
    <s v="Mandar - Exhaust Stack to be provided for DG 82.5 KVA"/>
    <s v="Mandar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KC14814"/>
    <m/>
    <m/>
    <m/>
    <x v="2"/>
    <s v="NSO"/>
    <s v="North"/>
    <x v="0"/>
    <s v="Rajasthan"/>
    <s v="Mandar - Louvers on FW Ph shed. Phase I (6 Depot’s)"/>
    <s v="Mandar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815"/>
    <m/>
    <m/>
    <m/>
    <x v="2"/>
    <s v="NSO"/>
    <s v="East"/>
    <x v="1"/>
    <s v="Telangana"/>
    <s v="Huzurnagar - Provision of Hazardous waste Shed."/>
    <s v="Huzurnagar"/>
    <n v="20000"/>
    <m/>
    <s v="Ranjit Sinha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816"/>
    <m/>
    <m/>
    <m/>
    <x v="2"/>
    <s v="NSO"/>
    <s v="East"/>
    <x v="1"/>
    <s v="Telangana"/>
    <s v="Huzurnagar - Exhaust Stack to be provided for DG 82.5 KVA"/>
    <s v="Huzurnagar"/>
    <n v="20000"/>
    <m/>
    <s v="Ranjit Sinha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817"/>
    <m/>
    <m/>
    <m/>
    <x v="2"/>
    <s v="NSO"/>
    <s v="East"/>
    <x v="1"/>
    <s v="Telangana"/>
    <s v="Huzurnagar - Louvers on FW Ph shed. Phase II (4 Depot’s)"/>
    <s v="Huzurnagar"/>
    <n v="20000"/>
    <m/>
    <s v="Ranjit Sinha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AK14818"/>
    <m/>
    <m/>
    <m/>
    <x v="2"/>
    <s v="NSO"/>
    <s v="East"/>
    <x v="1"/>
    <s v="Telangana"/>
    <s v="Huzurnagar - Borewell Head Protection"/>
    <s v="Huzurnagar"/>
    <n v="20000"/>
    <m/>
    <s v="Ranjit Sinha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KC14819"/>
    <m/>
    <m/>
    <m/>
    <x v="2"/>
    <s v="NSO"/>
    <s v="North"/>
    <x v="0"/>
    <s v="Uttar Pradesh"/>
    <s v="Tilbegumpur - Provision of Hazardous waste Shed."/>
    <s v="Tilbegumpur"/>
    <m/>
    <m/>
    <s v="Atul3 Garg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KC14820"/>
    <m/>
    <m/>
    <m/>
    <x v="2"/>
    <s v="NSO"/>
    <s v="North"/>
    <x v="0"/>
    <s v="Uttar Pradesh"/>
    <s v="Tilbegumpur- Exhaust Stack to be provided for DG 82.5 KVA"/>
    <s v="Tilbegumpur"/>
    <m/>
    <m/>
    <s v="Atul3 Garg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MIAGKC14821"/>
    <m/>
    <m/>
    <m/>
    <x v="2"/>
    <s v="NSO"/>
    <s v="North"/>
    <x v="0"/>
    <s v="Uttar Pradesh"/>
    <s v="Tilbegumpur - Louvers on FW Ph shed. Phase I (6 Depot’s)"/>
    <s v="Tilbegumpur"/>
    <m/>
    <m/>
    <s v="Atul3 Garg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TEAGKC14845"/>
    <m/>
    <m/>
    <m/>
    <x v="0"/>
    <s v="NSO"/>
    <s v="West"/>
    <x v="0"/>
    <s v="Madhya Pradesh"/>
    <s v="Bhopal - Provision of engineered pipeline supports (120 locations) "/>
    <s v="Bhopal"/>
    <m/>
    <m/>
    <s v="Umesh Yadav"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TEAGKC14846"/>
    <m/>
    <m/>
    <m/>
    <x v="0"/>
    <s v="NSO"/>
    <s v="North"/>
    <x v="0"/>
    <s v="Uttar Pradesh"/>
    <s v="Kanpur - Emergency Exit (Staircase) for Control Room"/>
    <s v="Kanpur"/>
    <n v="172.16"/>
    <m/>
    <s v="Manmohan Nautiyal"/>
    <m/>
    <s v=""/>
    <d v="2026-03-09T00:00:00"/>
    <s v="March 26 Week 2"/>
    <n v="45"/>
    <d v="2026-04-23T00:00:00"/>
    <s v="April 26 Week 4"/>
    <m/>
    <s v=""/>
    <d v="2026-05-15T00:00:00"/>
    <s v="May 26 Week 3"/>
    <m/>
    <s v="APRIL 26 PLANNED"/>
    <s v=" "/>
    <n v="0.2"/>
    <n v="0.16"/>
    <x v="1"/>
    <m/>
    <m/>
    <e v="#N/A"/>
    <e v="#N/A"/>
    <s v=""/>
    <s v=""/>
    <m/>
  </r>
  <r>
    <s v="COPUAK14847"/>
    <m/>
    <m/>
    <m/>
    <x v="1"/>
    <s v="NSO"/>
    <s v="East"/>
    <x v="1"/>
    <s v="Andhra Pradesh"/>
    <s v="CP – M/s Rashtriya Ispat Nigam Ltd, Vizag Steel, AP"/>
    <s v="Vishakhapatnam"/>
    <m/>
    <m/>
    <s v="Rohin Chand"/>
    <m/>
    <s v=""/>
    <m/>
    <s v=""/>
    <m/>
    <d v="1899-12-30T00:00:00"/>
    <s v=""/>
    <m/>
    <s v=""/>
    <m/>
    <s v=""/>
    <m/>
    <s v=" "/>
    <s v=" "/>
    <m/>
    <m/>
    <x v="6"/>
    <m/>
    <m/>
    <e v="#N/A"/>
    <e v="#N/A"/>
    <s v=""/>
    <s v=""/>
    <m/>
  </r>
  <r>
    <s v="COPUKC15009"/>
    <m/>
    <m/>
    <m/>
    <x v="1"/>
    <s v="NSO"/>
    <s v="North"/>
    <x v="0"/>
    <s v="Uttar Pradesh"/>
    <s v="CP –UPSRTC depot, Loni, UP"/>
    <s v="Loni"/>
    <m/>
    <m/>
    <m/>
    <m/>
    <s v=""/>
    <m/>
    <s v=""/>
    <m/>
    <d v="1899-12-30T00:00:00"/>
    <s v=""/>
    <m/>
    <s v=""/>
    <m/>
    <s v=""/>
    <m/>
    <s v=" "/>
    <s v=" "/>
    <m/>
    <m/>
    <x v="6"/>
    <m/>
    <m/>
    <e v="#N/A"/>
    <e v="#N/A"/>
    <s v=""/>
    <s v=""/>
    <m/>
  </r>
  <r>
    <s v="COPUAK15905"/>
    <m/>
    <m/>
    <m/>
    <x v="1"/>
    <s v="NSO"/>
    <s v="East"/>
    <x v="1"/>
    <s v="Odissa"/>
    <s v="CP - Tank Exhuming works, Gadibrahma, OD"/>
    <s v="Gadibrahma"/>
    <m/>
    <m/>
    <s v="Avinandan Kumar"/>
    <m/>
    <s v=""/>
    <d v="2026-02-28T00:00:00"/>
    <s v="February 26 Week 4"/>
    <n v="15"/>
    <d v="2026-03-15T00:00:00"/>
    <s v="March 26 Week 3"/>
    <m/>
    <s v=""/>
    <d v="2026-03-10T00:00:00"/>
    <s v="March 26 Week 2"/>
    <m/>
    <s v="MARCH 26 PLANNED"/>
    <e v="#N/A"/>
    <n v="1"/>
    <n v="1"/>
    <x v="0"/>
    <m/>
    <m/>
    <e v="#N/A"/>
    <e v="#N/A"/>
    <s v=""/>
    <s v=""/>
    <m/>
  </r>
  <r>
    <s v="MIAGAK15906"/>
    <m/>
    <m/>
    <m/>
    <x v="2"/>
    <s v="NSO"/>
    <s v="East"/>
    <x v="1"/>
    <s v="Telangana"/>
    <s v="HUZURNAGAR MINI DEPO_Phase I Piping works"/>
    <s v="Huzurnagar"/>
    <n v="20000"/>
    <m/>
    <s v="Rohin Chand"/>
    <m/>
    <s v=""/>
    <d v="2026-02-25T00:00:00"/>
    <s v="February 26 Week 4"/>
    <n v="60"/>
    <d v="2026-04-26T00:00:00"/>
    <s v="April 26 Week 4"/>
    <m/>
    <s v=""/>
    <d v="2026-04-26T00:00:00"/>
    <s v="April 26 Week 4"/>
    <m/>
    <s v="APRIL 26 PLANNED"/>
    <s v=" "/>
    <n v="0.34"/>
    <n v="0.33"/>
    <x v="1"/>
    <m/>
    <m/>
    <e v="#N/A"/>
    <e v="#N/A"/>
    <s v=""/>
    <s v=""/>
    <m/>
  </r>
  <r>
    <s v="COPUAK16106"/>
    <m/>
    <m/>
    <m/>
    <x v="1"/>
    <s v="NSO"/>
    <s v="East"/>
    <x v="1"/>
    <s v="Telangana"/>
    <s v="CP - TSRTC - Bhadrachalam Canopy works"/>
    <s v="Bhadrachalam"/>
    <m/>
    <m/>
    <s v="Rohin Chand"/>
    <m/>
    <s v=""/>
    <d v="2026-03-30T00:00:00"/>
    <s v="March 26 Week 5"/>
    <n v="45"/>
    <d v="2026-05-14T00:00:00"/>
    <s v="May 26 Week 2"/>
    <m/>
    <s v=""/>
    <d v="2026-05-14T00:00:00"/>
    <s v="May 26 Week 2"/>
    <m/>
    <s v=" "/>
    <s v=" "/>
    <n v="7.0000000000000007E-2"/>
    <n v="2.35E-2"/>
    <x v="5"/>
    <m/>
    <m/>
    <e v="#N/A"/>
    <e v="#N/A"/>
    <s v=""/>
    <s v=""/>
    <m/>
  </r>
  <r>
    <s v="COPUAK16107"/>
    <m/>
    <m/>
    <m/>
    <x v="1"/>
    <s v="NSO"/>
    <s v="East"/>
    <x v="1"/>
    <s v="Telangana"/>
    <s v="CP - TSRTC - Sattupalli Canopy works"/>
    <s v="Sattupalli"/>
    <m/>
    <m/>
    <s v="Rohin Chand"/>
    <m/>
    <s v=""/>
    <d v="2026-03-30T00:00:00"/>
    <s v="March 26 Week 5"/>
    <n v="45"/>
    <d v="2026-05-14T00:00:00"/>
    <s v="May 26 Week 2"/>
    <m/>
    <s v=""/>
    <d v="2026-05-14T00:00:00"/>
    <s v="May 26 Week 2"/>
    <m/>
    <s v="MAY 26 PLANNED"/>
    <s v=" "/>
    <n v="0.17199999999999999"/>
    <n v="0.14599999999999999"/>
    <x v="1"/>
    <m/>
    <m/>
    <e v="#N/A"/>
    <e v="#N/A"/>
    <s v=""/>
    <s v=""/>
    <m/>
  </r>
  <r>
    <s v="COPUKC16108"/>
    <m/>
    <m/>
    <m/>
    <x v="1"/>
    <s v="NSO"/>
    <s v="North"/>
    <x v="0"/>
    <s v="Uttar Pradesh"/>
    <s v="CP - UPSRTC - Hardoi Canopy works"/>
    <s v="Hardoi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COPUKC16109"/>
    <m/>
    <m/>
    <m/>
    <x v="1"/>
    <s v="NSO"/>
    <s v="North"/>
    <x v="0"/>
    <s v="Uttar Pradesh"/>
    <s v="CP - UPSRTC - Gola Canopy works"/>
    <s v="Gol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COPUKC16110"/>
    <m/>
    <m/>
    <m/>
    <x v="1"/>
    <s v="NSO"/>
    <s v="North"/>
    <x v="0"/>
    <s v="Uttar Pradesh"/>
    <s v="CP - UPSRTC - Siddarthnagar Canopy works"/>
    <s v="Siddarthnagar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COPUKC16111"/>
    <m/>
    <m/>
    <m/>
    <x v="1"/>
    <s v="NSO"/>
    <s v="North"/>
    <x v="0"/>
    <s v="Uttar Pradesh"/>
    <s v="CP - UPSRTC - Banda Canopy works"/>
    <s v="Banda"/>
    <m/>
    <m/>
    <m/>
    <m/>
    <s v=""/>
    <m/>
    <s v=""/>
    <m/>
    <d v="1899-12-30T00:00:00"/>
    <s v=""/>
    <m/>
    <s v=""/>
    <m/>
    <s v=""/>
    <m/>
    <s v=" "/>
    <s v=" "/>
    <m/>
    <m/>
    <x v="2"/>
    <m/>
    <m/>
    <e v="#N/A"/>
    <e v="#N/A"/>
    <s v=""/>
    <s v=""/>
    <m/>
  </r>
  <r>
    <s v="COPUKC16112"/>
    <m/>
    <m/>
    <m/>
    <x v="1"/>
    <s v="NSO"/>
    <s v="North"/>
    <x v="0"/>
    <s v="Haryana"/>
    <s v="CP - HRTC - Palwal"/>
    <s v="Palwal"/>
    <m/>
    <m/>
    <m/>
    <m/>
    <s v=""/>
    <m/>
    <s v=""/>
    <n v="45"/>
    <d v="1900-02-13T00:00:00"/>
    <s v=""/>
    <m/>
    <s v=""/>
    <m/>
    <s v=""/>
    <m/>
    <e v="#N/A"/>
    <s v=" "/>
    <m/>
    <m/>
    <x v="7"/>
    <m/>
    <m/>
    <e v="#N/A"/>
    <e v="#N/A"/>
    <s v=""/>
    <s v=""/>
    <m/>
  </r>
  <r>
    <s v="COPUKC16113"/>
    <m/>
    <m/>
    <m/>
    <x v="1"/>
    <s v="NSO"/>
    <s v="North"/>
    <x v="0"/>
    <s v="Haryana"/>
    <s v="CP - HRTC - Asandh"/>
    <s v="Asandh"/>
    <m/>
    <m/>
    <m/>
    <m/>
    <s v=""/>
    <m/>
    <s v=""/>
    <n v="45"/>
    <d v="1900-02-13T00:00:00"/>
    <s v=""/>
    <m/>
    <s v=""/>
    <m/>
    <s v=""/>
    <m/>
    <e v="#N/A"/>
    <s v=" "/>
    <m/>
    <m/>
    <x v="7"/>
    <m/>
    <m/>
    <e v="#N/A"/>
    <e v="#N/A"/>
    <s v=""/>
    <s v=""/>
    <m/>
  </r>
  <r>
    <s v="COPUKC16114"/>
    <m/>
    <m/>
    <m/>
    <x v="1"/>
    <s v="NSO"/>
    <s v="North"/>
    <x v="0"/>
    <s v="Haryana"/>
    <s v="CP - HRTC - Rohtak"/>
    <s v="Rohtak"/>
    <m/>
    <m/>
    <m/>
    <m/>
    <s v=""/>
    <m/>
    <s v=""/>
    <n v="45"/>
    <d v="1900-02-13T00:00:00"/>
    <s v=""/>
    <m/>
    <s v=""/>
    <m/>
    <s v=""/>
    <m/>
    <e v="#N/A"/>
    <s v=" "/>
    <m/>
    <m/>
    <x v="7"/>
    <m/>
    <m/>
    <e v="#N/A"/>
    <e v="#N/A"/>
    <s v=""/>
    <s v=""/>
    <m/>
  </r>
  <r>
    <m/>
    <m/>
    <m/>
    <m/>
    <x v="3"/>
    <m/>
    <m/>
    <x v="2"/>
    <m/>
    <m/>
    <m/>
    <m/>
    <m/>
    <m/>
    <m/>
    <m/>
    <m/>
    <m/>
    <m/>
    <m/>
    <m/>
    <m/>
    <m/>
    <m/>
    <m/>
    <m/>
    <m/>
    <m/>
    <m/>
    <m/>
    <x v="8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rowHeaderCaption="ZH">
  <location ref="B4:K8" firstHeaderRow="1" firstDataRow="2" firstDataCol="1"/>
  <pivotFields count="38">
    <pivotField showAll="0"/>
    <pivotField showAll="0"/>
    <pivotField showAll="0"/>
    <pivotField showAll="0"/>
    <pivotField axis="axisRow" showAll="0">
      <items count="43">
        <item m="1" x="37"/>
        <item m="1" x="28"/>
        <item m="1" x="32"/>
        <item m="1" x="36"/>
        <item m="1" x="10"/>
        <item m="1" x="22"/>
        <item m="1" x="33"/>
        <item m="1" x="40"/>
        <item m="1" x="30"/>
        <item m="1" x="4"/>
        <item m="1" x="26"/>
        <item x="3"/>
        <item m="1" x="24"/>
        <item m="1" x="38"/>
        <item m="1" x="20"/>
        <item m="1" x="5"/>
        <item m="1" x="18"/>
        <item m="1" x="19"/>
        <item m="1" x="17"/>
        <item m="1" x="34"/>
        <item m="1" x="31"/>
        <item m="1" x="25"/>
        <item m="1" x="7"/>
        <item m="1" x="39"/>
        <item m="1" x="15"/>
        <item m="1" x="11"/>
        <item m="1" x="8"/>
        <item m="1" x="13"/>
        <item m="1" x="27"/>
        <item m="1" x="6"/>
        <item m="1" x="35"/>
        <item m="1" x="12"/>
        <item m="1" x="23"/>
        <item x="2"/>
        <item m="1" x="29"/>
        <item x="1"/>
        <item x="0"/>
        <item m="1" x="21"/>
        <item m="1" x="16"/>
        <item m="1" x="9"/>
        <item m="1" x="14"/>
        <item m="1" x="41"/>
        <item t="default"/>
      </items>
    </pivotField>
    <pivotField showAll="0"/>
    <pivotField showAll="0"/>
    <pivotField axis="axisRow" showAll="0">
      <items count="10">
        <item sd="0" m="1" x="3"/>
        <item sd="0" x="1"/>
        <item sd="0" m="1" x="4"/>
        <item sd="0" m="1" x="5"/>
        <item sd="0" m="1" x="6"/>
        <item sd="0" x="0"/>
        <item sd="0" m="1" x="8"/>
        <item sd="0" m="1" x="7"/>
        <item h="1"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34">
        <item m="1" x="32"/>
        <item x="0"/>
        <item x="1"/>
        <item x="5"/>
        <item m="1" x="20"/>
        <item x="7"/>
        <item m="1" x="14"/>
        <item m="1" x="13"/>
        <item x="4"/>
        <item m="1" x="22"/>
        <item x="8"/>
        <item m="1" x="31"/>
        <item m="1" x="10"/>
        <item m="1" x="29"/>
        <item m="1" x="27"/>
        <item m="1" x="25"/>
        <item m="1" x="19"/>
        <item m="1" x="9"/>
        <item m="1" x="28"/>
        <item m="1" x="21"/>
        <item m="1" x="12"/>
        <item m="1" x="17"/>
        <item x="3"/>
        <item m="1" x="26"/>
        <item m="1" x="11"/>
        <item m="1" x="23"/>
        <item m="1" x="30"/>
        <item m="1" x="24"/>
        <item m="1" x="18"/>
        <item x="2"/>
        <item x="6"/>
        <item m="1" x="15"/>
        <item m="1" x="16"/>
        <item t="default"/>
      </items>
    </pivotField>
    <pivotField showAll="0"/>
    <pivotField showAll="0"/>
    <pivotField showAll="0"/>
    <pivotField showAll="0"/>
    <pivotField showAll="0"/>
    <pivotField showAll="0"/>
    <pivotField showAll="0"/>
  </pivotFields>
  <rowFields count="2">
    <field x="7"/>
    <field x="4"/>
  </rowFields>
  <rowItems count="3">
    <i>
      <x v="1"/>
    </i>
    <i>
      <x v="5"/>
    </i>
    <i t="grand">
      <x/>
    </i>
  </rowItems>
  <colFields count="1">
    <field x="30"/>
  </colFields>
  <colItems count="9">
    <i>
      <x v="1"/>
    </i>
    <i>
      <x v="2"/>
    </i>
    <i>
      <x v="3"/>
    </i>
    <i>
      <x v="5"/>
    </i>
    <i>
      <x v="8"/>
    </i>
    <i>
      <x v="22"/>
    </i>
    <i>
      <x v="29"/>
    </i>
    <i>
      <x v="30"/>
    </i>
    <i t="grand">
      <x/>
    </i>
  </colItems>
  <dataFields count="1">
    <dataField name="Count of Site Name" fld="9" subtotal="count" baseField="0" baseItem="0"/>
  </dataFields>
  <formats count="188">
    <format dxfId="724">
      <pivotArea outline="0" collapsedLevelsAreSubtotals="1" fieldPosition="0"/>
    </format>
    <format dxfId="723">
      <pivotArea field="7" type="button" dataOnly="0" labelOnly="1" outline="0" axis="axisRow" fieldPosition="0"/>
    </format>
    <format dxfId="722">
      <pivotArea dataOnly="0" labelOnly="1" fieldPosition="0">
        <references count="1">
          <reference field="7" count="0"/>
        </references>
      </pivotArea>
    </format>
    <format dxfId="721">
      <pivotArea dataOnly="0" labelOnly="1" grandRow="1" outline="0" fieldPosition="0"/>
    </format>
    <format dxfId="720">
      <pivotArea dataOnly="0" labelOnly="1" fieldPosition="0">
        <references count="2">
          <reference field="4" count="2">
            <x v="6"/>
            <x v="8"/>
          </reference>
          <reference field="7" count="1" selected="0">
            <x v="1"/>
          </reference>
        </references>
      </pivotArea>
    </format>
    <format dxfId="719">
      <pivotArea dataOnly="0" labelOnly="1" fieldPosition="0">
        <references count="2">
          <reference field="4" count="6">
            <x v="2"/>
            <x v="3"/>
            <x v="7"/>
            <x v="8"/>
            <x v="9"/>
            <x v="10"/>
          </reference>
          <reference field="7" count="1" selected="0">
            <x v="2"/>
          </reference>
        </references>
      </pivotArea>
    </format>
    <format dxfId="718">
      <pivotArea dataOnly="0" labelOnly="1" fieldPosition="0">
        <references count="2">
          <reference field="4" count="7">
            <x v="0"/>
            <x v="1"/>
            <x v="4"/>
            <x v="5"/>
            <x v="7"/>
            <x v="8"/>
            <x v="9"/>
          </reference>
          <reference field="7" count="1" selected="0">
            <x v="3"/>
          </reference>
        </references>
      </pivotArea>
    </format>
    <format dxfId="717">
      <pivotArea dataOnly="0" labelOnly="1" fieldPosition="0">
        <references count="2">
          <reference field="4" count="2">
            <x v="8"/>
            <x v="10"/>
          </reference>
          <reference field="7" count="1" selected="0">
            <x v="4"/>
          </reference>
        </references>
      </pivotArea>
    </format>
    <format dxfId="716">
      <pivotArea dataOnly="0" labelOnly="1" fieldPosition="0">
        <references count="2">
          <reference field="4" count="2">
            <x v="6"/>
            <x v="8"/>
          </reference>
          <reference field="7" count="1" selected="0">
            <x v="5"/>
          </reference>
        </references>
      </pivotArea>
    </format>
    <format dxfId="715">
      <pivotArea dataOnly="0" labelOnly="1" fieldPosition="0">
        <references count="2">
          <reference field="4" count="5">
            <x v="2"/>
            <x v="3"/>
            <x v="5"/>
            <x v="9"/>
            <x v="10"/>
          </reference>
          <reference field="7" count="1" selected="0">
            <x v="6"/>
          </reference>
        </references>
      </pivotArea>
    </format>
    <format dxfId="714">
      <pivotArea dataOnly="0" labelOnly="1" fieldPosition="0">
        <references count="2">
          <reference field="4" count="6">
            <x v="3"/>
            <x v="4"/>
            <x v="5"/>
            <x v="7"/>
            <x v="8"/>
            <x v="9"/>
          </reference>
          <reference field="7" count="1" selected="0">
            <x v="7"/>
          </reference>
        </references>
      </pivotArea>
    </format>
    <format dxfId="713">
      <pivotArea dataOnly="0" labelOnly="1" fieldPosition="0">
        <references count="2">
          <reference field="4" count="1">
            <x v="11"/>
          </reference>
          <reference field="7" count="1" selected="0">
            <x v="8"/>
          </reference>
        </references>
      </pivotArea>
    </format>
    <format dxfId="712">
      <pivotArea dataOnly="0" labelOnly="1" grandCol="1" outline="0" fieldPosition="0"/>
    </format>
    <format dxfId="711">
      <pivotArea outline="0" collapsedLevelsAreSubtotals="1" fieldPosition="0"/>
    </format>
    <format dxfId="710">
      <pivotArea field="7" type="button" dataOnly="0" labelOnly="1" outline="0" axis="axisRow" fieldPosition="0"/>
    </format>
    <format dxfId="709">
      <pivotArea dataOnly="0" labelOnly="1" fieldPosition="0">
        <references count="1">
          <reference field="7" count="0"/>
        </references>
      </pivotArea>
    </format>
    <format dxfId="708">
      <pivotArea dataOnly="0" labelOnly="1" grandRow="1" outline="0" fieldPosition="0"/>
    </format>
    <format dxfId="707">
      <pivotArea dataOnly="0" labelOnly="1" fieldPosition="0">
        <references count="2">
          <reference field="4" count="2">
            <x v="6"/>
            <x v="8"/>
          </reference>
          <reference field="7" count="1" selected="0">
            <x v="1"/>
          </reference>
        </references>
      </pivotArea>
    </format>
    <format dxfId="706">
      <pivotArea dataOnly="0" labelOnly="1" fieldPosition="0">
        <references count="2">
          <reference field="4" count="6">
            <x v="2"/>
            <x v="3"/>
            <x v="7"/>
            <x v="8"/>
            <x v="9"/>
            <x v="10"/>
          </reference>
          <reference field="7" count="1" selected="0">
            <x v="2"/>
          </reference>
        </references>
      </pivotArea>
    </format>
    <format dxfId="705">
      <pivotArea dataOnly="0" labelOnly="1" fieldPosition="0">
        <references count="2">
          <reference field="4" count="7">
            <x v="0"/>
            <x v="1"/>
            <x v="4"/>
            <x v="5"/>
            <x v="7"/>
            <x v="8"/>
            <x v="9"/>
          </reference>
          <reference field="7" count="1" selected="0">
            <x v="3"/>
          </reference>
        </references>
      </pivotArea>
    </format>
    <format dxfId="704">
      <pivotArea dataOnly="0" labelOnly="1" fieldPosition="0">
        <references count="2">
          <reference field="4" count="2">
            <x v="8"/>
            <x v="10"/>
          </reference>
          <reference field="7" count="1" selected="0">
            <x v="4"/>
          </reference>
        </references>
      </pivotArea>
    </format>
    <format dxfId="703">
      <pivotArea dataOnly="0" labelOnly="1" fieldPosition="0">
        <references count="2">
          <reference field="4" count="2">
            <x v="6"/>
            <x v="8"/>
          </reference>
          <reference field="7" count="1" selected="0">
            <x v="5"/>
          </reference>
        </references>
      </pivotArea>
    </format>
    <format dxfId="702">
      <pivotArea dataOnly="0" labelOnly="1" fieldPosition="0">
        <references count="2">
          <reference field="4" count="5">
            <x v="2"/>
            <x v="3"/>
            <x v="5"/>
            <x v="9"/>
            <x v="10"/>
          </reference>
          <reference field="7" count="1" selected="0">
            <x v="6"/>
          </reference>
        </references>
      </pivotArea>
    </format>
    <format dxfId="701">
      <pivotArea dataOnly="0" labelOnly="1" fieldPosition="0">
        <references count="2">
          <reference field="4" count="6">
            <x v="3"/>
            <x v="4"/>
            <x v="5"/>
            <x v="7"/>
            <x v="8"/>
            <x v="9"/>
          </reference>
          <reference field="7" count="1" selected="0">
            <x v="7"/>
          </reference>
        </references>
      </pivotArea>
    </format>
    <format dxfId="700">
      <pivotArea dataOnly="0" labelOnly="1" fieldPosition="0">
        <references count="2">
          <reference field="4" count="1">
            <x v="11"/>
          </reference>
          <reference field="7" count="1" selected="0">
            <x v="8"/>
          </reference>
        </references>
      </pivotArea>
    </format>
    <format dxfId="699">
      <pivotArea dataOnly="0" labelOnly="1" grandCol="1" outline="0" fieldPosition="0"/>
    </format>
    <format dxfId="698">
      <pivotArea outline="0" collapsedLevelsAreSubtotals="1" fieldPosition="0"/>
    </format>
    <format dxfId="697">
      <pivotArea field="7" type="button" dataOnly="0" labelOnly="1" outline="0" axis="axisRow" fieldPosition="0"/>
    </format>
    <format dxfId="696">
      <pivotArea dataOnly="0" labelOnly="1" fieldPosition="0">
        <references count="1">
          <reference field="7" count="0"/>
        </references>
      </pivotArea>
    </format>
    <format dxfId="695">
      <pivotArea dataOnly="0" labelOnly="1" grandRow="1" outline="0" fieldPosition="0"/>
    </format>
    <format dxfId="694">
      <pivotArea dataOnly="0" labelOnly="1" fieldPosition="0">
        <references count="2">
          <reference field="4" count="2">
            <x v="6"/>
            <x v="8"/>
          </reference>
          <reference field="7" count="1" selected="0">
            <x v="1"/>
          </reference>
        </references>
      </pivotArea>
    </format>
    <format dxfId="693">
      <pivotArea dataOnly="0" labelOnly="1" fieldPosition="0">
        <references count="2">
          <reference field="4" count="6">
            <x v="2"/>
            <x v="3"/>
            <x v="7"/>
            <x v="8"/>
            <x v="9"/>
            <x v="10"/>
          </reference>
          <reference field="7" count="1" selected="0">
            <x v="2"/>
          </reference>
        </references>
      </pivotArea>
    </format>
    <format dxfId="692">
      <pivotArea dataOnly="0" labelOnly="1" fieldPosition="0">
        <references count="2">
          <reference field="4" count="7">
            <x v="0"/>
            <x v="1"/>
            <x v="4"/>
            <x v="5"/>
            <x v="7"/>
            <x v="8"/>
            <x v="9"/>
          </reference>
          <reference field="7" count="1" selected="0">
            <x v="3"/>
          </reference>
        </references>
      </pivotArea>
    </format>
    <format dxfId="691">
      <pivotArea dataOnly="0" labelOnly="1" fieldPosition="0">
        <references count="2">
          <reference field="4" count="2">
            <x v="8"/>
            <x v="10"/>
          </reference>
          <reference field="7" count="1" selected="0">
            <x v="4"/>
          </reference>
        </references>
      </pivotArea>
    </format>
    <format dxfId="690">
      <pivotArea dataOnly="0" labelOnly="1" fieldPosition="0">
        <references count="2">
          <reference field="4" count="2">
            <x v="6"/>
            <x v="8"/>
          </reference>
          <reference field="7" count="1" selected="0">
            <x v="5"/>
          </reference>
        </references>
      </pivotArea>
    </format>
    <format dxfId="689">
      <pivotArea dataOnly="0" labelOnly="1" fieldPosition="0">
        <references count="2">
          <reference field="4" count="5">
            <x v="2"/>
            <x v="3"/>
            <x v="5"/>
            <x v="9"/>
            <x v="10"/>
          </reference>
          <reference field="7" count="1" selected="0">
            <x v="6"/>
          </reference>
        </references>
      </pivotArea>
    </format>
    <format dxfId="688">
      <pivotArea dataOnly="0" labelOnly="1" fieldPosition="0">
        <references count="2">
          <reference field="4" count="6">
            <x v="3"/>
            <x v="4"/>
            <x v="5"/>
            <x v="7"/>
            <x v="8"/>
            <x v="9"/>
          </reference>
          <reference field="7" count="1" selected="0">
            <x v="7"/>
          </reference>
        </references>
      </pivotArea>
    </format>
    <format dxfId="687">
      <pivotArea dataOnly="0" labelOnly="1" fieldPosition="0">
        <references count="2">
          <reference field="4" count="1">
            <x v="11"/>
          </reference>
          <reference field="7" count="1" selected="0">
            <x v="8"/>
          </reference>
        </references>
      </pivotArea>
    </format>
    <format dxfId="686">
      <pivotArea dataOnly="0" labelOnly="1" grandCol="1" outline="0" fieldPosition="0"/>
    </format>
    <format dxfId="685">
      <pivotArea dataOnly="0" labelOnly="1" fieldPosition="0">
        <references count="1">
          <reference field="7" count="0"/>
        </references>
      </pivotArea>
    </format>
    <format dxfId="684">
      <pivotArea dataOnly="0" labelOnly="1" fieldPosition="0">
        <references count="1">
          <reference field="4" count="0"/>
        </references>
      </pivotArea>
    </format>
    <format dxfId="683">
      <pivotArea field="7" type="button" dataOnly="0" labelOnly="1" outline="0" axis="axisRow" fieldPosition="0"/>
    </format>
    <format dxfId="682">
      <pivotArea dataOnly="0" labelOnly="1" grandCol="1" outline="0" fieldPosition="0"/>
    </format>
    <format dxfId="681">
      <pivotArea grandRow="1" outline="0" collapsedLevelsAreSubtotals="1" fieldPosition="0"/>
    </format>
    <format dxfId="680">
      <pivotArea dataOnly="0" labelOnly="1" grandRow="1" outline="0" fieldPosition="0"/>
    </format>
    <format dxfId="679">
      <pivotArea field="7" type="button" dataOnly="0" labelOnly="1" outline="0" axis="axisRow" fieldPosition="0"/>
    </format>
    <format dxfId="678">
      <pivotArea dataOnly="0" labelOnly="1" grandCol="1" outline="0" fieldPosition="0"/>
    </format>
    <format dxfId="677">
      <pivotArea grandRow="1" outline="0" collapsedLevelsAreSubtotals="1" fieldPosition="0"/>
    </format>
    <format dxfId="676">
      <pivotArea dataOnly="0" labelOnly="1" grandRow="1" outline="0" fieldPosition="0"/>
    </format>
    <format dxfId="675">
      <pivotArea field="30" type="button" dataOnly="0" labelOnly="1" outline="0" axis="axisCol" fieldPosition="0"/>
    </format>
    <format dxfId="674">
      <pivotArea type="topRight" dataOnly="0" labelOnly="1" outline="0" fieldPosition="0"/>
    </format>
    <format dxfId="673">
      <pivotArea field="30" type="button" dataOnly="0" labelOnly="1" outline="0" axis="axisCol" fieldPosition="0"/>
    </format>
    <format dxfId="672">
      <pivotArea type="topRight" dataOnly="0" labelOnly="1" outline="0" fieldPosition="0"/>
    </format>
    <format dxfId="671">
      <pivotArea field="30" type="button" dataOnly="0" labelOnly="1" outline="0" axis="axisCol" fieldPosition="0"/>
    </format>
    <format dxfId="670">
      <pivotArea type="topRight" dataOnly="0" labelOnly="1" outline="0" fieldPosition="0"/>
    </format>
    <format dxfId="669">
      <pivotArea field="7" type="button" dataOnly="0" labelOnly="1" outline="0" axis="axisRow" fieldPosition="0"/>
    </format>
    <format dxfId="668">
      <pivotArea dataOnly="0" labelOnly="1" grandCol="1" outline="0" fieldPosition="0"/>
    </format>
    <format dxfId="667">
      <pivotArea grandRow="1" outline="0" collapsedLevelsAreSubtotals="1" fieldPosition="0"/>
    </format>
    <format dxfId="666">
      <pivotArea dataOnly="0" labelOnly="1" grandRow="1" outline="0" fieldPosition="0"/>
    </format>
    <format dxfId="665">
      <pivotArea field="7" type="button" dataOnly="0" labelOnly="1" outline="0" axis="axisRow" fieldPosition="0"/>
    </format>
    <format dxfId="664">
      <pivotArea dataOnly="0" labelOnly="1" grandCol="1" outline="0" fieldPosition="0"/>
    </format>
    <format dxfId="663">
      <pivotArea grandRow="1" outline="0" collapsedLevelsAreSubtotals="1" fieldPosition="0"/>
    </format>
    <format dxfId="662">
      <pivotArea dataOnly="0" labelOnly="1" grandRow="1" outline="0" fieldPosition="0"/>
    </format>
    <format dxfId="661">
      <pivotArea outline="0" collapsedLevelsAreSubtotals="1" fieldPosition="0"/>
    </format>
    <format dxfId="660">
      <pivotArea dataOnly="0" labelOnly="1" fieldPosition="0">
        <references count="1">
          <reference field="7" count="0"/>
        </references>
      </pivotArea>
    </format>
    <format dxfId="659">
      <pivotArea dataOnly="0" labelOnly="1" grandRow="1" outline="0" fieldPosition="0"/>
    </format>
    <format dxfId="658">
      <pivotArea field="7" type="button" dataOnly="0" labelOnly="1" outline="0" axis="axisRow" fieldPosition="0"/>
    </format>
    <format dxfId="657">
      <pivotArea dataOnly="0" labelOnly="1" grandCol="1" outline="0" fieldPosition="0"/>
    </format>
    <format dxfId="656">
      <pivotArea dataOnly="0" labelOnly="1" grandCol="1" outline="0" fieldPosition="0"/>
    </format>
    <format dxfId="655">
      <pivotArea dataOnly="0" labelOnly="1" grandCol="1" outline="0" fieldPosition="0"/>
    </format>
    <format dxfId="654">
      <pivotArea type="all" dataOnly="0" outline="0" fieldPosition="0"/>
    </format>
    <format dxfId="653">
      <pivotArea outline="0" collapsedLevelsAreSubtotals="1" fieldPosition="0"/>
    </format>
    <format dxfId="652">
      <pivotArea type="origin" dataOnly="0" labelOnly="1" outline="0" fieldPosition="0"/>
    </format>
    <format dxfId="651">
      <pivotArea field="30" type="button" dataOnly="0" labelOnly="1" outline="0" axis="axisCol" fieldPosition="0"/>
    </format>
    <format dxfId="650">
      <pivotArea type="topRight" dataOnly="0" labelOnly="1" outline="0" fieldPosition="0"/>
    </format>
    <format dxfId="649">
      <pivotArea field="7" type="button" dataOnly="0" labelOnly="1" outline="0" axis="axisRow" fieldPosition="0"/>
    </format>
    <format dxfId="648">
      <pivotArea dataOnly="0" labelOnly="1" fieldPosition="0">
        <references count="1">
          <reference field="7" count="0"/>
        </references>
      </pivotArea>
    </format>
    <format dxfId="647">
      <pivotArea dataOnly="0" labelOnly="1" grandRow="1" outline="0" fieldPosition="0"/>
    </format>
    <format dxfId="646">
      <pivotArea dataOnly="0" labelOnly="1" grandCol="1" outline="0" fieldPosition="0"/>
    </format>
    <format dxfId="645">
      <pivotArea dataOnly="0" labelOnly="1" fieldPosition="0">
        <references count="1">
          <reference field="30" count="0"/>
        </references>
      </pivotArea>
    </format>
    <format dxfId="644">
      <pivotArea dataOnly="0" labelOnly="1" fieldPosition="0">
        <references count="1">
          <reference field="30" count="9">
            <x v="0"/>
            <x v="1"/>
            <x v="2"/>
            <x v="3"/>
            <x v="5"/>
            <x v="7"/>
            <x v="8"/>
            <x v="9"/>
            <x v="12"/>
          </reference>
        </references>
      </pivotArea>
    </format>
    <format dxfId="643">
      <pivotArea outline="0" collapsedLevelsAreSubtotals="1" fieldPosition="0">
        <references count="1">
          <reference field="30" count="4" selected="0">
            <x v="7"/>
            <x v="8"/>
            <x v="9"/>
            <x v="12"/>
          </reference>
        </references>
      </pivotArea>
    </format>
    <format dxfId="642">
      <pivotArea outline="0" collapsedLevelsAreSubtotals="1" fieldPosition="0">
        <references count="1">
          <reference field="30" count="4" selected="0">
            <x v="7"/>
            <x v="8"/>
            <x v="9"/>
            <x v="12"/>
          </reference>
        </references>
      </pivotArea>
    </format>
    <format dxfId="641">
      <pivotArea outline="0" collapsedLevelsAreSubtotals="1" fieldPosition="0">
        <references count="1">
          <reference field="30" count="1" selected="0">
            <x v="0"/>
          </reference>
        </references>
      </pivotArea>
    </format>
    <format dxfId="640">
      <pivotArea field="30" type="button" dataOnly="0" labelOnly="1" outline="0" axis="axisCol" fieldPosition="0"/>
    </format>
    <format dxfId="639">
      <pivotArea dataOnly="0" labelOnly="1" fieldPosition="0">
        <references count="1">
          <reference field="30" count="1">
            <x v="0"/>
          </reference>
        </references>
      </pivotArea>
    </format>
    <format dxfId="638">
      <pivotArea outline="0" collapsedLevelsAreSubtotals="1" fieldPosition="0">
        <references count="1">
          <reference field="30" count="1" selected="0">
            <x v="0"/>
          </reference>
        </references>
      </pivotArea>
    </format>
    <format dxfId="637">
      <pivotArea field="30" type="button" dataOnly="0" labelOnly="1" outline="0" axis="axisCol" fieldPosition="0"/>
    </format>
    <format dxfId="636">
      <pivotArea dataOnly="0" labelOnly="1" fieldPosition="0">
        <references count="1">
          <reference field="30" count="1">
            <x v="0"/>
          </reference>
        </references>
      </pivotArea>
    </format>
    <format dxfId="635">
      <pivotArea collapsedLevelsAreSubtotals="1" fieldPosition="0">
        <references count="2">
          <reference field="7" count="1">
            <x v="1"/>
          </reference>
          <reference field="30" count="9" selected="0">
            <x v="0"/>
            <x v="1"/>
            <x v="2"/>
            <x v="3"/>
            <x v="5"/>
            <x v="7"/>
            <x v="8"/>
            <x v="9"/>
            <x v="12"/>
          </reference>
        </references>
      </pivotArea>
    </format>
    <format dxfId="634">
      <pivotArea dataOnly="0" labelOnly="1" fieldPosition="0">
        <references count="1">
          <reference field="30" count="9">
            <x v="0"/>
            <x v="1"/>
            <x v="2"/>
            <x v="3"/>
            <x v="5"/>
            <x v="7"/>
            <x v="8"/>
            <x v="9"/>
            <x v="12"/>
          </reference>
        </references>
      </pivotArea>
    </format>
    <format dxfId="633">
      <pivotArea collapsedLevelsAreSubtotals="1" fieldPosition="0">
        <references count="2">
          <reference field="7" count="1">
            <x v="1"/>
          </reference>
          <reference field="30" count="9" selected="0">
            <x v="0"/>
            <x v="1"/>
            <x v="2"/>
            <x v="3"/>
            <x v="5"/>
            <x v="7"/>
            <x v="8"/>
            <x v="9"/>
            <x v="12"/>
          </reference>
        </references>
      </pivotArea>
    </format>
    <format dxfId="632">
      <pivotArea dataOnly="0" labelOnly="1" fieldPosition="0">
        <references count="1">
          <reference field="30" count="9">
            <x v="0"/>
            <x v="1"/>
            <x v="2"/>
            <x v="3"/>
            <x v="5"/>
            <x v="7"/>
            <x v="8"/>
            <x v="9"/>
            <x v="12"/>
          </reference>
        </references>
      </pivotArea>
    </format>
    <format dxfId="631">
      <pivotArea collapsedLevelsAreSubtotals="1" fieldPosition="0">
        <references count="2">
          <reference field="7" count="1">
            <x v="1"/>
          </reference>
          <reference field="30" count="9" selected="0">
            <x v="0"/>
            <x v="1"/>
            <x v="2"/>
            <x v="3"/>
            <x v="5"/>
            <x v="7"/>
            <x v="8"/>
            <x v="9"/>
            <x v="12"/>
          </reference>
        </references>
      </pivotArea>
    </format>
    <format dxfId="630">
      <pivotArea dataOnly="0" labelOnly="1" fieldPosition="0">
        <references count="1">
          <reference field="30" count="9">
            <x v="0"/>
            <x v="1"/>
            <x v="2"/>
            <x v="3"/>
            <x v="5"/>
            <x v="7"/>
            <x v="8"/>
            <x v="9"/>
            <x v="12"/>
          </reference>
        </references>
      </pivotArea>
    </format>
    <format dxfId="629">
      <pivotArea dataOnly="0" labelOnly="1" fieldPosition="0">
        <references count="1">
          <reference field="30" count="2">
            <x v="20"/>
            <x v="21"/>
          </reference>
        </references>
      </pivotArea>
    </format>
    <format dxfId="628">
      <pivotArea dataOnly="0" labelOnly="1" fieldPosition="0">
        <references count="1">
          <reference field="30" count="1">
            <x v="4"/>
          </reference>
        </references>
      </pivotArea>
    </format>
    <format dxfId="627">
      <pivotArea dataOnly="0" labelOnly="1" fieldPosition="0">
        <references count="1">
          <reference field="30" count="1">
            <x v="11"/>
          </reference>
        </references>
      </pivotArea>
    </format>
    <format dxfId="626">
      <pivotArea outline="0" collapsedLevelsAreSubtotals="1" fieldPosition="0">
        <references count="1">
          <reference field="30" count="1" selected="0">
            <x v="11"/>
          </reference>
        </references>
      </pivotArea>
    </format>
    <format dxfId="625">
      <pivotArea outline="0" collapsedLevelsAreSubtotals="1" fieldPosition="0">
        <references count="1">
          <reference field="30" count="1" selected="0">
            <x v="11"/>
          </reference>
        </references>
      </pivotArea>
    </format>
    <format dxfId="624">
      <pivotArea dataOnly="0" outline="0" fieldPosition="0">
        <references count="1">
          <reference field="30" count="1">
            <x v="6"/>
          </reference>
        </references>
      </pivotArea>
    </format>
    <format dxfId="623">
      <pivotArea dataOnly="0" outline="0" fieldPosition="0">
        <references count="1">
          <reference field="30" count="1">
            <x v="7"/>
          </reference>
        </references>
      </pivotArea>
    </format>
    <format dxfId="622">
      <pivotArea dataOnly="0" labelOnly="1" fieldPosition="0">
        <references count="1">
          <reference field="30" count="1">
            <x v="11"/>
          </reference>
        </references>
      </pivotArea>
    </format>
    <format dxfId="621">
      <pivotArea dataOnly="0" labelOnly="1" fieldPosition="0">
        <references count="1">
          <reference field="30" count="1">
            <x v="13"/>
          </reference>
        </references>
      </pivotArea>
    </format>
    <format dxfId="620">
      <pivotArea dataOnly="0" labelOnly="1" fieldPosition="0">
        <references count="1">
          <reference field="30" count="1">
            <x v="11"/>
          </reference>
        </references>
      </pivotArea>
    </format>
    <format dxfId="619">
      <pivotArea dataOnly="0" labelOnly="1" fieldPosition="0">
        <references count="1">
          <reference field="30" count="3">
            <x v="15"/>
            <x v="17"/>
            <x v="19"/>
          </reference>
        </references>
      </pivotArea>
    </format>
    <format dxfId="618">
      <pivotArea outline="0" collapsedLevelsAreSubtotals="1" fieldPosition="0">
        <references count="1">
          <reference field="30" count="3" selected="0">
            <x v="15"/>
            <x v="17"/>
            <x v="19"/>
          </reference>
        </references>
      </pivotArea>
    </format>
    <format dxfId="617">
      <pivotArea outline="0" collapsedLevelsAreSubtotals="1" fieldPosition="0">
        <references count="1">
          <reference field="30" count="3" selected="0">
            <x v="15"/>
            <x v="17"/>
            <x v="19"/>
          </reference>
        </references>
      </pivotArea>
    </format>
    <format dxfId="616">
      <pivotArea outline="0" collapsedLevelsAreSubtotals="1" fieldPosition="0">
        <references count="1">
          <reference field="30" count="3" selected="0">
            <x v="15"/>
            <x v="17"/>
            <x v="19"/>
          </reference>
        </references>
      </pivotArea>
    </format>
    <format dxfId="615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614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613">
      <pivotArea outline="0" collapsedLevelsAreSubtotals="1" fieldPosition="0">
        <references count="1">
          <reference field="30" count="1" selected="0">
            <x v="19"/>
          </reference>
        </references>
      </pivotArea>
    </format>
    <format dxfId="612">
      <pivotArea outline="0" collapsedLevelsAreSubtotals="1" fieldPosition="0">
        <references count="1">
          <reference field="30" count="1" selected="0">
            <x v="19"/>
          </reference>
        </references>
      </pivotArea>
    </format>
    <format dxfId="611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610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609">
      <pivotArea outline="0" collapsedLevelsAreSubtotals="1" fieldPosition="0">
        <references count="1">
          <reference field="30" count="1" selected="0">
            <x v="19"/>
          </reference>
        </references>
      </pivotArea>
    </format>
    <format dxfId="608">
      <pivotArea outline="0" collapsedLevelsAreSubtotals="1" fieldPosition="0">
        <references count="1">
          <reference field="30" count="1" selected="0">
            <x v="19"/>
          </reference>
        </references>
      </pivotArea>
    </format>
    <format dxfId="607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606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605">
      <pivotArea dataOnly="0" labelOnly="1" fieldPosition="0">
        <references count="1">
          <reference field="30" count="1">
            <x v="19"/>
          </reference>
        </references>
      </pivotArea>
    </format>
    <format dxfId="604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603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602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601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600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599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598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597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596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595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594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593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592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591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590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589">
      <pivotArea outline="0" collapsedLevelsAreSubtotals="1" fieldPosition="0">
        <references count="1">
          <reference field="30" count="2" selected="0">
            <x v="15"/>
            <x v="17"/>
          </reference>
        </references>
      </pivotArea>
    </format>
    <format dxfId="588">
      <pivotArea outline="0" collapsedLevelsAreSubtotals="1" fieldPosition="0">
        <references count="1">
          <reference field="30" count="2" selected="0">
            <x v="11"/>
            <x v="17"/>
          </reference>
        </references>
      </pivotArea>
    </format>
    <format dxfId="587">
      <pivotArea outline="0" collapsedLevelsAreSubtotals="1" fieldPosition="0">
        <references count="1">
          <reference field="30" count="2" selected="0">
            <x v="11"/>
            <x v="17"/>
          </reference>
        </references>
      </pivotArea>
    </format>
    <format dxfId="586">
      <pivotArea dataOnly="0" labelOnly="1" fieldPosition="0">
        <references count="1">
          <reference field="30" count="1">
            <x v="18"/>
          </reference>
        </references>
      </pivotArea>
    </format>
    <format dxfId="585">
      <pivotArea dataOnly="0" labelOnly="1" fieldPosition="0">
        <references count="1">
          <reference field="30" count="1">
            <x v="17"/>
          </reference>
        </references>
      </pivotArea>
    </format>
    <format dxfId="584">
      <pivotArea outline="0" collapsedLevelsAreSubtotals="1" fieldPosition="0">
        <references count="1">
          <reference field="30" count="1" selected="0">
            <x v="18"/>
          </reference>
        </references>
      </pivotArea>
    </format>
    <format dxfId="583">
      <pivotArea outline="0" collapsedLevelsAreSubtotals="1" fieldPosition="0">
        <references count="1">
          <reference field="30" count="1" selected="0">
            <x v="18"/>
          </reference>
        </references>
      </pivotArea>
    </format>
    <format dxfId="582">
      <pivotArea dataOnly="0" labelOnly="1" fieldPosition="0">
        <references count="1">
          <reference field="30" count="14">
            <x v="0"/>
            <x v="1"/>
            <x v="2"/>
            <x v="3"/>
            <x v="5"/>
            <x v="7"/>
            <x v="8"/>
            <x v="11"/>
            <x v="17"/>
            <x v="20"/>
            <x v="21"/>
            <x v="22"/>
            <x v="23"/>
            <x v="24"/>
          </reference>
        </references>
      </pivotArea>
    </format>
    <format dxfId="581">
      <pivotArea dataOnly="0" labelOnly="1" fieldPosition="0">
        <references count="1">
          <reference field="30" count="2">
            <x v="24"/>
            <x v="25"/>
          </reference>
        </references>
      </pivotArea>
    </format>
    <format dxfId="580">
      <pivotArea dataOnly="0" labelOnly="1" fieldPosition="0">
        <references count="1">
          <reference field="30" count="13">
            <x v="0"/>
            <x v="1"/>
            <x v="2"/>
            <x v="3"/>
            <x v="5"/>
            <x v="7"/>
            <x v="8"/>
            <x v="9"/>
            <x v="12"/>
            <x v="14"/>
            <x v="21"/>
            <x v="22"/>
            <x v="25"/>
          </reference>
        </references>
      </pivotArea>
    </format>
    <format dxfId="579">
      <pivotArea dataOnly="0" labelOnly="1" fieldPosition="0">
        <references count="1">
          <reference field="30" count="1">
            <x v="25"/>
          </reference>
        </references>
      </pivotArea>
    </format>
    <format dxfId="578">
      <pivotArea dataOnly="0" labelOnly="1" fieldPosition="0">
        <references count="1">
          <reference field="30" count="1">
            <x v="14"/>
          </reference>
        </references>
      </pivotArea>
    </format>
    <format dxfId="577">
      <pivotArea field="7" type="button" dataOnly="0" labelOnly="1" outline="0" axis="axisRow" fieldPosition="0"/>
    </format>
    <format dxfId="576">
      <pivotArea dataOnly="0" labelOnly="1" fieldPosition="0">
        <references count="1">
          <reference field="30" count="9">
            <x v="0"/>
            <x v="1"/>
            <x v="2"/>
            <x v="3"/>
            <x v="5"/>
            <x v="8"/>
            <x v="22"/>
            <x v="27"/>
            <x v="28"/>
          </reference>
        </references>
      </pivotArea>
    </format>
    <format dxfId="575">
      <pivotArea dataOnly="0" labelOnly="1" grandCol="1" outline="0" fieldPosition="0"/>
    </format>
    <format dxfId="574">
      <pivotArea collapsedLevelsAreSubtotals="1" fieldPosition="0">
        <references count="2">
          <reference field="7" count="1">
            <x v="1"/>
          </reference>
          <reference field="30" count="3" selected="0">
            <x v="22"/>
            <x v="27"/>
            <x v="29"/>
          </reference>
        </references>
      </pivotArea>
    </format>
    <format dxfId="573">
      <pivotArea collapsedLevelsAreSubtotals="1" fieldPosition="0">
        <references count="2">
          <reference field="7" count="1">
            <x v="5"/>
          </reference>
          <reference field="30" count="3" selected="0">
            <x v="22"/>
            <x v="27"/>
            <x v="29"/>
          </reference>
        </references>
      </pivotArea>
    </format>
    <format dxfId="572">
      <pivotArea dataOnly="0" labelOnly="1" fieldPosition="0">
        <references count="1">
          <reference field="30" count="3">
            <x v="22"/>
            <x v="27"/>
            <x v="29"/>
          </reference>
        </references>
      </pivotArea>
    </format>
    <format dxfId="571">
      <pivotArea field="7" type="button" dataOnly="0" labelOnly="1" outline="0" axis="axisRow" fieldPosition="0"/>
    </format>
    <format dxfId="570">
      <pivotArea dataOnly="0" labelOnly="1" fieldPosition="0">
        <references count="1">
          <reference field="30" count="9">
            <x v="0"/>
            <x v="1"/>
            <x v="2"/>
            <x v="3"/>
            <x v="5"/>
            <x v="8"/>
            <x v="22"/>
            <x v="27"/>
            <x v="29"/>
          </reference>
        </references>
      </pivotArea>
    </format>
    <format dxfId="569">
      <pivotArea dataOnly="0" labelOnly="1" grandCol="1" outline="0" fieldPosition="0"/>
    </format>
    <format dxfId="568">
      <pivotArea field="7" type="button" dataOnly="0" labelOnly="1" outline="0" axis="axisRow" fieldPosition="0"/>
    </format>
    <format dxfId="567">
      <pivotArea dataOnly="0" labelOnly="1" fieldPosition="0">
        <references count="1">
          <reference field="30" count="9">
            <x v="0"/>
            <x v="1"/>
            <x v="2"/>
            <x v="3"/>
            <x v="5"/>
            <x v="8"/>
            <x v="22"/>
            <x v="27"/>
            <x v="29"/>
          </reference>
        </references>
      </pivotArea>
    </format>
    <format dxfId="566">
      <pivotArea dataOnly="0" labelOnly="1" grandCol="1" outline="0" fieldPosition="0"/>
    </format>
    <format dxfId="565">
      <pivotArea field="7" type="button" dataOnly="0" labelOnly="1" outline="0" axis="axisRow" fieldPosition="0"/>
    </format>
    <format dxfId="564">
      <pivotArea dataOnly="0" labelOnly="1" fieldPosition="0">
        <references count="1">
          <reference field="30" count="9">
            <x v="0"/>
            <x v="1"/>
            <x v="2"/>
            <x v="3"/>
            <x v="5"/>
            <x v="8"/>
            <x v="22"/>
            <x v="27"/>
            <x v="29"/>
          </reference>
        </references>
      </pivotArea>
    </format>
    <format dxfId="563">
      <pivotArea dataOnly="0" labelOnly="1" grandCol="1" outline="0" fieldPosition="0"/>
    </format>
    <format dxfId="562">
      <pivotArea dataOnly="0" outline="0" fieldPosition="0">
        <references count="1">
          <reference field="30" count="1">
            <x v="29"/>
          </reference>
        </references>
      </pivotArea>
    </format>
    <format dxfId="561">
      <pivotArea dataOnly="0" labelOnly="1" fieldPosition="0">
        <references count="1">
          <reference field="30" count="8">
            <x v="0"/>
            <x v="1"/>
            <x v="2"/>
            <x v="3"/>
            <x v="8"/>
            <x v="22"/>
            <x v="29"/>
            <x v="30"/>
          </reference>
        </references>
      </pivotArea>
    </format>
    <format dxfId="560">
      <pivotArea dataOnly="0" outline="0" fieldPosition="0">
        <references count="1">
          <reference field="30" count="1">
            <x v="8"/>
          </reference>
        </references>
      </pivotArea>
    </format>
    <format dxfId="559">
      <pivotArea outline="0" collapsedLevelsAreSubtotals="1" fieldPosition="0"/>
    </format>
    <format dxfId="558">
      <pivotArea field="7" type="button" dataOnly="0" labelOnly="1" outline="0" axis="axisRow" fieldPosition="0"/>
    </format>
    <format dxfId="557">
      <pivotArea dataOnly="0" labelOnly="1" fieldPosition="0">
        <references count="1">
          <reference field="7" count="0"/>
        </references>
      </pivotArea>
    </format>
    <format dxfId="556">
      <pivotArea dataOnly="0" labelOnly="1" grandRow="1" outline="0" fieldPosition="0"/>
    </format>
    <format dxfId="555">
      <pivotArea dataOnly="0" labelOnly="1" fieldPosition="0">
        <references count="1">
          <reference field="30" count="8">
            <x v="0"/>
            <x v="1"/>
            <x v="2"/>
            <x v="3"/>
            <x v="8"/>
            <x v="22"/>
            <x v="28"/>
            <x v="29"/>
          </reference>
        </references>
      </pivotArea>
    </format>
    <format dxfId="554">
      <pivotArea dataOnly="0" labelOnly="1" grandCol="1" outline="0" fieldPosition="0"/>
    </format>
    <format dxfId="553">
      <pivotArea dataOnly="0" labelOnly="1" fieldPosition="0">
        <references count="1">
          <reference field="30" count="1">
            <x v="0"/>
          </reference>
        </references>
      </pivotArea>
    </format>
    <format dxfId="552">
      <pivotArea dataOnly="0" labelOnly="1" fieldPosition="0">
        <references count="1">
          <reference field="30" count="1">
            <x v="1"/>
          </reference>
        </references>
      </pivotArea>
    </format>
    <format dxfId="551">
      <pivotArea dataOnly="0" labelOnly="1" fieldPosition="0">
        <references count="1">
          <reference field="30" count="1">
            <x v="3"/>
          </reference>
        </references>
      </pivotArea>
    </format>
    <format dxfId="550">
      <pivotArea dataOnly="0" labelOnly="1" fieldPosition="0">
        <references count="1">
          <reference field="30" count="1">
            <x v="8"/>
          </reference>
        </references>
      </pivotArea>
    </format>
    <format dxfId="549">
      <pivotArea collapsedLevelsAreSubtotals="1" fieldPosition="0">
        <references count="1">
          <reference field="7" count="1">
            <x v="0"/>
          </reference>
        </references>
      </pivotArea>
    </format>
    <format dxfId="548">
      <pivotArea collapsedLevelsAreSubtotals="1" fieldPosition="0">
        <references count="1">
          <reference field="7" count="1">
            <x v="5"/>
          </reference>
        </references>
      </pivotArea>
    </format>
    <format dxfId="547">
      <pivotArea dataOnly="0" labelOnly="1" fieldPosition="0">
        <references count="1">
          <reference field="7" count="1">
            <x v="0"/>
          </reference>
        </references>
      </pivotArea>
    </format>
    <format dxfId="546">
      <pivotArea collapsedLevelsAreSubtotals="1" fieldPosition="0">
        <references count="1">
          <reference field="7" count="1">
            <x v="0"/>
          </reference>
        </references>
      </pivotArea>
    </format>
    <format dxfId="545">
      <pivotArea collapsedLevelsAreSubtotals="1" fieldPosition="0">
        <references count="1">
          <reference field="7" count="1">
            <x v="5"/>
          </reference>
        </references>
      </pivotArea>
    </format>
    <format dxfId="544">
      <pivotArea grandRow="1" outline="0" collapsedLevelsAreSubtotals="1" fieldPosition="0"/>
    </format>
    <format dxfId="543">
      <pivotArea dataOnly="0" labelOnly="1" grandRow="1" outline="0" fieldPosition="0"/>
    </format>
    <format dxfId="542">
      <pivotArea field="7" type="button" dataOnly="0" labelOnly="1" outline="0" axis="axisRow" fieldPosition="0"/>
    </format>
    <format dxfId="541">
      <pivotArea dataOnly="0" labelOnly="1" fieldPosition="0">
        <references count="1">
          <reference field="30" count="10">
            <x v="0"/>
            <x v="1"/>
            <x v="2"/>
            <x v="3"/>
            <x v="8"/>
            <x v="22"/>
            <x v="28"/>
            <x v="29"/>
            <x v="30"/>
            <x v="31"/>
          </reference>
        </references>
      </pivotArea>
    </format>
    <format dxfId="540">
      <pivotArea dataOnly="0" labelOnly="1" grandCol="1" outline="0" fieldPosition="0"/>
    </format>
    <format dxfId="539">
      <pivotArea dataOnly="0" labelOnly="1" fieldPosition="0">
        <references count="1">
          <reference field="30" count="1">
            <x v="31"/>
          </reference>
        </references>
      </pivotArea>
    </format>
    <format dxfId="538">
      <pivotArea dataOnly="0" labelOnly="1" fieldPosition="0">
        <references count="1">
          <reference field="30" count="1">
            <x v="32"/>
          </reference>
        </references>
      </pivotArea>
    </format>
    <format dxfId="537">
      <pivotArea dataOnly="0" labelOnly="1" fieldPosition="0">
        <references count="1">
          <reference field="30" count="1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PivotTable1" cacheId="0" applyNumberFormats="0" applyBorderFormats="0" applyFontFormats="0" applyPatternFormats="0" applyAlignmentFormats="0" applyWidthHeightFormats="1" dataCaption="Values" updatedVersion="6" minRefreshableVersion="3" itemPrintTitles="1" createdVersion="6" indent="0" outline="1" outlineData="1" multipleFieldFilters="0" rowHeaderCaption="Format">
  <location ref="B4:L9" firstHeaderRow="1" firstDataRow="2" firstDataCol="1"/>
  <pivotFields count="37">
    <pivotField showAll="0" insertBlankRow="1"/>
    <pivotField showAll="0" insertBlankRow="1"/>
    <pivotField showAll="0" insertBlankRow="1"/>
    <pivotField showAll="0" insertBlankRow="1"/>
    <pivotField axis="axisRow" showAll="0" insertBlankRow="1">
      <items count="49">
        <item m="1" x="30"/>
        <item m="1" x="34"/>
        <item m="1" x="42"/>
        <item m="1" x="5"/>
        <item m="1" x="25"/>
        <item m="1" x="35"/>
        <item m="1" x="10"/>
        <item m="1" x="22"/>
        <item m="1" x="36"/>
        <item m="1" x="43"/>
        <item m="1" x="31"/>
        <item m="1" x="37"/>
        <item m="1" x="29"/>
        <item m="1" x="46"/>
        <item m="1" x="32"/>
        <item m="1" x="38"/>
        <item m="1" x="41"/>
        <item m="1" x="4"/>
        <item m="1" x="27"/>
        <item m="1" x="24"/>
        <item h="1" x="3"/>
        <item m="1" x="44"/>
        <item m="1" x="20"/>
        <item m="1" x="18"/>
        <item m="1" x="19"/>
        <item m="1" x="17"/>
        <item m="1" x="33"/>
        <item m="1" x="45"/>
        <item m="1" x="39"/>
        <item m="1" x="15"/>
        <item m="1" x="11"/>
        <item m="1" x="8"/>
        <item m="1" x="13"/>
        <item m="1" x="28"/>
        <item m="1" x="6"/>
        <item m="1" x="40"/>
        <item m="1" x="12"/>
        <item m="1" x="23"/>
        <item x="2"/>
        <item m="1" x="26"/>
        <item m="1" x="7"/>
        <item x="1"/>
        <item x="0"/>
        <item m="1" x="21"/>
        <item m="1" x="16"/>
        <item m="1" x="9"/>
        <item m="1" x="14"/>
        <item h="1" m="1" x="47"/>
        <item t="default"/>
      </items>
    </pivotField>
    <pivotField showAll="0" insertBlankRow="1"/>
    <pivotField showAll="0" insertBlankRow="1"/>
    <pivotField showAll="0" insertBlankRow="1"/>
    <pivotField showAll="0" insertBlankRow="1"/>
    <pivotField dataField="1"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showAll="0" insertBlankRow="1"/>
    <pivotField axis="axisCol" showAll="0" insertBlankRow="1">
      <items count="36">
        <item x="0"/>
        <item m="1" x="34"/>
        <item x="1"/>
        <item x="6"/>
        <item m="1" x="22"/>
        <item x="8"/>
        <item m="1" x="17"/>
        <item x="9"/>
        <item m="1" x="16"/>
        <item m="1" x="31"/>
        <item m="1" x="14"/>
        <item x="5"/>
        <item m="1" x="25"/>
        <item m="1" x="24"/>
        <item m="1" x="11"/>
        <item m="1" x="33"/>
        <item m="1" x="10"/>
        <item m="1" x="29"/>
        <item m="1" x="27"/>
        <item m="1" x="21"/>
        <item m="1" x="30"/>
        <item m="1" x="23"/>
        <item m="1" x="13"/>
        <item x="3"/>
        <item m="1" x="19"/>
        <item m="1" x="28"/>
        <item m="1" x="12"/>
        <item m="1" x="32"/>
        <item m="1" x="26"/>
        <item m="1" x="20"/>
        <item x="2"/>
        <item x="7"/>
        <item m="1" x="18"/>
        <item m="1" x="15"/>
        <item x="4"/>
        <item t="default"/>
      </items>
    </pivotField>
    <pivotField showAll="0" insertBlankRow="1"/>
    <pivotField showAll="0" insertBlankRow="1" defaultSubtotal="0"/>
    <pivotField showAll="0" insertBlankRow="1"/>
    <pivotField showAll="0" insertBlankRow="1" defaultSubtotal="0"/>
    <pivotField showAll="0" insertBlankRow="1"/>
    <pivotField showAll="0" insertBlankRow="1"/>
  </pivotFields>
  <rowFields count="1">
    <field x="4"/>
  </rowFields>
  <rowItems count="4">
    <i>
      <x v="38"/>
    </i>
    <i>
      <x v="41"/>
    </i>
    <i>
      <x v="42"/>
    </i>
    <i t="grand">
      <x/>
    </i>
  </rowItems>
  <colFields count="1">
    <field x="30"/>
  </colFields>
  <colItems count="10">
    <i>
      <x/>
    </i>
    <i>
      <x v="2"/>
    </i>
    <i>
      <x v="3"/>
    </i>
    <i>
      <x v="5"/>
    </i>
    <i>
      <x v="11"/>
    </i>
    <i>
      <x v="23"/>
    </i>
    <i>
      <x v="30"/>
    </i>
    <i>
      <x v="31"/>
    </i>
    <i>
      <x v="34"/>
    </i>
    <i t="grand">
      <x/>
    </i>
  </colItems>
  <dataFields count="1">
    <dataField name="Count of Site Name" fld="9" subtotal="count" baseField="0" baseItem="0"/>
  </dataFields>
  <formats count="444">
    <format dxfId="536">
      <pivotArea outline="0" collapsedLevelsAreSubtotals="1" fieldPosition="0"/>
    </format>
    <format dxfId="535">
      <pivotArea field="4" type="button" dataOnly="0" labelOnly="1" outline="0" axis="axisRow" fieldPosition="0"/>
    </format>
    <format dxfId="534">
      <pivotArea dataOnly="0" labelOnly="1" fieldPosition="0">
        <references count="1">
          <reference field="4" count="13">
            <x v="0"/>
            <x v="1"/>
            <x v="2"/>
            <x v="4"/>
            <x v="5"/>
            <x v="6"/>
            <x v="7"/>
            <x v="9"/>
            <x v="11"/>
            <x v="12"/>
            <x v="13"/>
            <x v="14"/>
            <x v="18"/>
          </reference>
        </references>
      </pivotArea>
    </format>
    <format dxfId="533">
      <pivotArea dataOnly="0" labelOnly="1" grandRow="1" outline="0" fieldPosition="0"/>
    </format>
    <format dxfId="532">
      <pivotArea dataOnly="0" labelOnly="1" grandCol="1" outline="0" fieldPosition="0"/>
    </format>
    <format dxfId="531">
      <pivotArea outline="0" collapsedLevelsAreSubtotals="1" fieldPosition="0"/>
    </format>
    <format dxfId="530">
      <pivotArea field="4" type="button" dataOnly="0" labelOnly="1" outline="0" axis="axisRow" fieldPosition="0"/>
    </format>
    <format dxfId="529">
      <pivotArea dataOnly="0" labelOnly="1" fieldPosition="0">
        <references count="1">
          <reference field="4" count="13">
            <x v="0"/>
            <x v="1"/>
            <x v="2"/>
            <x v="4"/>
            <x v="5"/>
            <x v="6"/>
            <x v="7"/>
            <x v="9"/>
            <x v="11"/>
            <x v="12"/>
            <x v="13"/>
            <x v="14"/>
            <x v="18"/>
          </reference>
        </references>
      </pivotArea>
    </format>
    <format dxfId="528">
      <pivotArea dataOnly="0" labelOnly="1" grandRow="1" outline="0" fieldPosition="0"/>
    </format>
    <format dxfId="527">
      <pivotArea dataOnly="0" labelOnly="1" grandCol="1" outline="0" fieldPosition="0"/>
    </format>
    <format dxfId="526">
      <pivotArea outline="0" collapsedLevelsAreSubtotals="1" fieldPosition="0"/>
    </format>
    <format dxfId="525">
      <pivotArea field="4" type="button" dataOnly="0" labelOnly="1" outline="0" axis="axisRow" fieldPosition="0"/>
    </format>
    <format dxfId="524">
      <pivotArea dataOnly="0" labelOnly="1" fieldPosition="0">
        <references count="1">
          <reference field="4" count="13">
            <x v="0"/>
            <x v="1"/>
            <x v="2"/>
            <x v="4"/>
            <x v="5"/>
            <x v="6"/>
            <x v="7"/>
            <x v="9"/>
            <x v="11"/>
            <x v="12"/>
            <x v="13"/>
            <x v="14"/>
            <x v="18"/>
          </reference>
        </references>
      </pivotArea>
    </format>
    <format dxfId="523">
      <pivotArea dataOnly="0" labelOnly="1" grandRow="1" outline="0" fieldPosition="0"/>
    </format>
    <format dxfId="522">
      <pivotArea dataOnly="0" labelOnly="1" grandCol="1" outline="0" fieldPosition="0"/>
    </format>
    <format dxfId="521">
      <pivotArea dataOnly="0" labelOnly="1" fieldPosition="0">
        <references count="1">
          <reference field="4" count="0"/>
        </references>
      </pivotArea>
    </format>
    <format dxfId="520">
      <pivotArea dataOnly="0" labelOnly="1" fieldPosition="0">
        <references count="1">
          <reference field="4" count="0"/>
        </references>
      </pivotArea>
    </format>
    <format dxfId="519">
      <pivotArea dataOnly="0" labelOnly="1" fieldPosition="0">
        <references count="1">
          <reference field="4" count="0"/>
        </references>
      </pivotArea>
    </format>
    <format dxfId="518">
      <pivotArea outline="0" collapsedLevelsAreSubtotals="1" fieldPosition="0"/>
    </format>
    <format dxfId="517">
      <pivotArea field="4" type="button" dataOnly="0" labelOnly="1" outline="0" axis="axisRow" fieldPosition="0"/>
    </format>
    <format dxfId="516">
      <pivotArea dataOnly="0" labelOnly="1" fieldPosition="0">
        <references count="1">
          <reference field="4" count="14">
            <x v="0"/>
            <x v="1"/>
            <x v="2"/>
            <x v="3"/>
            <x v="4"/>
            <x v="5"/>
            <x v="6"/>
            <x v="7"/>
            <x v="9"/>
            <x v="12"/>
            <x v="13"/>
            <x v="14"/>
            <x v="17"/>
            <x v="18"/>
          </reference>
        </references>
      </pivotArea>
    </format>
    <format dxfId="515">
      <pivotArea dataOnly="0" labelOnly="1" grandRow="1" outline="0" fieldPosition="0"/>
    </format>
    <format dxfId="514">
      <pivotArea dataOnly="0" labelOnly="1" grandCol="1" outline="0" fieldPosition="0"/>
    </format>
    <format dxfId="513">
      <pivotArea outline="0" collapsedLevelsAreSubtotals="1" fieldPosition="0"/>
    </format>
    <format dxfId="512">
      <pivotArea field="4" type="button" dataOnly="0" labelOnly="1" outline="0" axis="axisRow" fieldPosition="0"/>
    </format>
    <format dxfId="511">
      <pivotArea dataOnly="0" labelOnly="1" fieldPosition="0">
        <references count="1">
          <reference field="4" count="14">
            <x v="0"/>
            <x v="1"/>
            <x v="2"/>
            <x v="3"/>
            <x v="4"/>
            <x v="5"/>
            <x v="6"/>
            <x v="7"/>
            <x v="9"/>
            <x v="12"/>
            <x v="13"/>
            <x v="14"/>
            <x v="17"/>
            <x v="18"/>
          </reference>
        </references>
      </pivotArea>
    </format>
    <format dxfId="510">
      <pivotArea dataOnly="0" labelOnly="1" grandRow="1" outline="0" fieldPosition="0"/>
    </format>
    <format dxfId="509">
      <pivotArea dataOnly="0" labelOnly="1" grandCol="1" outline="0" fieldPosition="0"/>
    </format>
    <format dxfId="508">
      <pivotArea outline="0" collapsedLevelsAreSubtotals="1" fieldPosition="0"/>
    </format>
    <format dxfId="507">
      <pivotArea field="4" type="button" dataOnly="0" labelOnly="1" outline="0" axis="axisRow" fieldPosition="0"/>
    </format>
    <format dxfId="506">
      <pivotArea dataOnly="0" labelOnly="1" fieldPosition="0">
        <references count="1">
          <reference field="4" count="14">
            <x v="0"/>
            <x v="1"/>
            <x v="2"/>
            <x v="3"/>
            <x v="4"/>
            <x v="5"/>
            <x v="6"/>
            <x v="7"/>
            <x v="9"/>
            <x v="12"/>
            <x v="13"/>
            <x v="14"/>
            <x v="17"/>
            <x v="18"/>
          </reference>
        </references>
      </pivotArea>
    </format>
    <format dxfId="505">
      <pivotArea dataOnly="0" labelOnly="1" grandRow="1" outline="0" fieldPosition="0"/>
    </format>
    <format dxfId="504">
      <pivotArea dataOnly="0" labelOnly="1" grandCol="1" outline="0" fieldPosition="0"/>
    </format>
    <format dxfId="503">
      <pivotArea outline="0" collapsedLevelsAreSubtotals="1" fieldPosition="0"/>
    </format>
    <format dxfId="502">
      <pivotArea field="4" type="button" dataOnly="0" labelOnly="1" outline="0" axis="axisRow" fieldPosition="0"/>
    </format>
    <format dxfId="501">
      <pivotArea dataOnly="0" labelOnly="1" fieldPosition="0">
        <references count="1">
          <reference field="4" count="14">
            <x v="0"/>
            <x v="1"/>
            <x v="2"/>
            <x v="3"/>
            <x v="4"/>
            <x v="5"/>
            <x v="6"/>
            <x v="7"/>
            <x v="9"/>
            <x v="12"/>
            <x v="13"/>
            <x v="14"/>
            <x v="17"/>
            <x v="18"/>
          </reference>
        </references>
      </pivotArea>
    </format>
    <format dxfId="500">
      <pivotArea dataOnly="0" labelOnly="1" grandRow="1" outline="0" fieldPosition="0"/>
    </format>
    <format dxfId="499">
      <pivotArea dataOnly="0" labelOnly="1" grandCol="1" outline="0" fieldPosition="0"/>
    </format>
    <format dxfId="498">
      <pivotArea outline="0" collapsedLevelsAreSubtotals="1" fieldPosition="0"/>
    </format>
    <format dxfId="497">
      <pivotArea field="4" type="button" dataOnly="0" labelOnly="1" outline="0" axis="axisRow" fieldPosition="0"/>
    </format>
    <format dxfId="496">
      <pivotArea dataOnly="0" labelOnly="1" fieldPosition="0">
        <references count="1">
          <reference field="4" count="14">
            <x v="0"/>
            <x v="1"/>
            <x v="2"/>
            <x v="3"/>
            <x v="4"/>
            <x v="5"/>
            <x v="6"/>
            <x v="7"/>
            <x v="9"/>
            <x v="12"/>
            <x v="13"/>
            <x v="14"/>
            <x v="17"/>
            <x v="18"/>
          </reference>
        </references>
      </pivotArea>
    </format>
    <format dxfId="495">
      <pivotArea dataOnly="0" labelOnly="1" grandRow="1" outline="0" fieldPosition="0"/>
    </format>
    <format dxfId="494">
      <pivotArea dataOnly="0" labelOnly="1" grandCol="1" outline="0" fieldPosition="0"/>
    </format>
    <format dxfId="493">
      <pivotArea outline="0" collapsedLevelsAreSubtotals="1" fieldPosition="0"/>
    </format>
    <format dxfId="492">
      <pivotArea field="4" type="button" dataOnly="0" labelOnly="1" outline="0" axis="axisRow" fieldPosition="0"/>
    </format>
    <format dxfId="491">
      <pivotArea dataOnly="0" labelOnly="1" fieldPosition="0">
        <references count="1">
          <reference field="4" count="0"/>
        </references>
      </pivotArea>
    </format>
    <format dxfId="490">
      <pivotArea dataOnly="0" labelOnly="1" grandRow="1" outline="0" fieldPosition="0"/>
    </format>
    <format dxfId="489">
      <pivotArea dataOnly="0" labelOnly="1" fieldPosition="0">
        <references count="1">
          <reference field="30" count="9">
            <x v="0"/>
            <x v="1"/>
            <x v="2"/>
            <x v="3"/>
            <x v="5"/>
            <x v="10"/>
            <x v="11"/>
            <x v="13"/>
            <x v="14"/>
          </reference>
        </references>
      </pivotArea>
    </format>
    <format dxfId="488">
      <pivotArea dataOnly="0" labelOnly="1" grandCol="1" outline="0" fieldPosition="0"/>
    </format>
    <format dxfId="487">
      <pivotArea outline="0" collapsedLevelsAreSubtotals="1" fieldPosition="0"/>
    </format>
    <format dxfId="486">
      <pivotArea field="4" type="button" dataOnly="0" labelOnly="1" outline="0" axis="axisRow" fieldPosition="0"/>
    </format>
    <format dxfId="485">
      <pivotArea dataOnly="0" labelOnly="1" fieldPosition="0">
        <references count="1">
          <reference field="4" count="0"/>
        </references>
      </pivotArea>
    </format>
    <format dxfId="484">
      <pivotArea dataOnly="0" labelOnly="1" grandRow="1" outline="0" fieldPosition="0"/>
    </format>
    <format dxfId="483">
      <pivotArea dataOnly="0" labelOnly="1" fieldPosition="0">
        <references count="1">
          <reference field="30" count="9">
            <x v="0"/>
            <x v="1"/>
            <x v="2"/>
            <x v="3"/>
            <x v="5"/>
            <x v="10"/>
            <x v="11"/>
            <x v="13"/>
            <x v="14"/>
          </reference>
        </references>
      </pivotArea>
    </format>
    <format dxfId="482">
      <pivotArea dataOnly="0" labelOnly="1" grandCol="1" outline="0" fieldPosition="0"/>
    </format>
    <format dxfId="481">
      <pivotArea outline="0" collapsedLevelsAreSubtotals="1" fieldPosition="0"/>
    </format>
    <format dxfId="480">
      <pivotArea field="4" type="button" dataOnly="0" labelOnly="1" outline="0" axis="axisRow" fieldPosition="0"/>
    </format>
    <format dxfId="479">
      <pivotArea dataOnly="0" labelOnly="1" fieldPosition="0">
        <references count="1">
          <reference field="4" count="0"/>
        </references>
      </pivotArea>
    </format>
    <format dxfId="478">
      <pivotArea dataOnly="0" labelOnly="1" grandRow="1" outline="0" fieldPosition="0"/>
    </format>
    <format dxfId="477">
      <pivotArea dataOnly="0" labelOnly="1" fieldPosition="0">
        <references count="1">
          <reference field="30" count="9">
            <x v="0"/>
            <x v="1"/>
            <x v="2"/>
            <x v="3"/>
            <x v="5"/>
            <x v="10"/>
            <x v="11"/>
            <x v="13"/>
            <x v="14"/>
          </reference>
        </references>
      </pivotArea>
    </format>
    <format dxfId="476">
      <pivotArea dataOnly="0" labelOnly="1" grandCol="1" outline="0" fieldPosition="0"/>
    </format>
    <format dxfId="475">
      <pivotArea outline="0" collapsedLevelsAreSubtotals="1" fieldPosition="0"/>
    </format>
    <format dxfId="474">
      <pivotArea field="4" type="button" dataOnly="0" labelOnly="1" outline="0" axis="axisRow" fieldPosition="0"/>
    </format>
    <format dxfId="473">
      <pivotArea dataOnly="0" labelOnly="1" fieldPosition="0">
        <references count="1">
          <reference field="4" count="0"/>
        </references>
      </pivotArea>
    </format>
    <format dxfId="472">
      <pivotArea dataOnly="0" labelOnly="1" grandRow="1" outline="0" fieldPosition="0"/>
    </format>
    <format dxfId="471">
      <pivotArea dataOnly="0" labelOnly="1" fieldPosition="0">
        <references count="1">
          <reference field="30" count="9">
            <x v="0"/>
            <x v="1"/>
            <x v="2"/>
            <x v="3"/>
            <x v="5"/>
            <x v="10"/>
            <x v="11"/>
            <x v="13"/>
            <x v="14"/>
          </reference>
        </references>
      </pivotArea>
    </format>
    <format dxfId="470">
      <pivotArea dataOnly="0" labelOnly="1" grandCol="1" outline="0" fieldPosition="0"/>
    </format>
    <format dxfId="469">
      <pivotArea outline="0" collapsedLevelsAreSubtotals="1" fieldPosition="0"/>
    </format>
    <format dxfId="468">
      <pivotArea field="4" type="button" dataOnly="0" labelOnly="1" outline="0" axis="axisRow" fieldPosition="0"/>
    </format>
    <format dxfId="467">
      <pivotArea dataOnly="0" labelOnly="1" fieldPosition="0">
        <references count="1">
          <reference field="4" count="0"/>
        </references>
      </pivotArea>
    </format>
    <format dxfId="466">
      <pivotArea dataOnly="0" labelOnly="1" grandRow="1" outline="0" fieldPosition="0"/>
    </format>
    <format dxfId="465">
      <pivotArea dataOnly="0" labelOnly="1" fieldPosition="0">
        <references count="1">
          <reference field="30" count="9">
            <x v="0"/>
            <x v="1"/>
            <x v="2"/>
            <x v="3"/>
            <x v="5"/>
            <x v="10"/>
            <x v="11"/>
            <x v="13"/>
            <x v="14"/>
          </reference>
        </references>
      </pivotArea>
    </format>
    <format dxfId="464">
      <pivotArea dataOnly="0" labelOnly="1" grandCol="1" outline="0" fieldPosition="0"/>
    </format>
    <format dxfId="463">
      <pivotArea dataOnly="0" labelOnly="1" fieldPosition="0">
        <references count="1">
          <reference field="30" count="3">
            <x v="10"/>
            <x v="11"/>
            <x v="14"/>
          </reference>
        </references>
      </pivotArea>
    </format>
    <format dxfId="462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461">
      <pivotArea dataOnly="0" labelOnly="1" fieldPosition="0">
        <references count="1">
          <reference field="30" count="6">
            <x v="0"/>
            <x v="1"/>
            <x v="2"/>
            <x v="3"/>
            <x v="5"/>
            <x v="10"/>
          </reference>
        </references>
      </pivotArea>
    </format>
    <format dxfId="460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459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458">
      <pivotArea outline="0" collapsedLevelsAreSubtotals="1" fieldPosition="0">
        <references count="1">
          <reference field="30" count="3" selected="0">
            <x v="10"/>
            <x v="11"/>
            <x v="13"/>
          </reference>
        </references>
      </pivotArea>
    </format>
    <format dxfId="457">
      <pivotArea outline="0" collapsedLevelsAreSubtotals="1" fieldPosition="0">
        <references count="1">
          <reference field="30" count="3" selected="0">
            <x v="10"/>
            <x v="11"/>
            <x v="13"/>
          </reference>
        </references>
      </pivotArea>
    </format>
    <format dxfId="456">
      <pivotArea outline="0" collapsedLevelsAreSubtotals="1" fieldPosition="0">
        <references count="1">
          <reference field="30" count="1" selected="0">
            <x v="14"/>
          </reference>
        </references>
      </pivotArea>
    </format>
    <format dxfId="455">
      <pivotArea outline="0" collapsedLevelsAreSubtotals="1" fieldPosition="0">
        <references count="1">
          <reference field="30" count="1" selected="0">
            <x v="14"/>
          </reference>
        </references>
      </pivotArea>
    </format>
    <format dxfId="454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453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452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451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450">
      <pivotArea outline="0" collapsedLevelsAreSubtotals="1" fieldPosition="0">
        <references count="1">
          <reference field="30" count="1" selected="0">
            <x v="1"/>
          </reference>
        </references>
      </pivotArea>
    </format>
    <format dxfId="449">
      <pivotArea type="topRight" dataOnly="0" labelOnly="1" outline="0" fieldPosition="0"/>
    </format>
    <format dxfId="448">
      <pivotArea dataOnly="0" labelOnly="1" fieldPosition="0">
        <references count="1">
          <reference field="30" count="1">
            <x v="1"/>
          </reference>
        </references>
      </pivotArea>
    </format>
    <format dxfId="447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446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445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444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443">
      <pivotArea type="all" dataOnly="0" outline="0" fieldPosition="0"/>
    </format>
    <format dxfId="442">
      <pivotArea outline="0" collapsedLevelsAreSubtotals="1" fieldPosition="0"/>
    </format>
    <format dxfId="441">
      <pivotArea type="origin" dataOnly="0" labelOnly="1" outline="0" fieldPosition="0"/>
    </format>
    <format dxfId="440">
      <pivotArea field="30" type="button" dataOnly="0" labelOnly="1" outline="0" axis="axisCol" fieldPosition="0"/>
    </format>
    <format dxfId="439">
      <pivotArea type="topRight" dataOnly="0" labelOnly="1" outline="0" fieldPosition="0"/>
    </format>
    <format dxfId="438">
      <pivotArea field="4" type="button" dataOnly="0" labelOnly="1" outline="0" axis="axisRow" fieldPosition="0"/>
    </format>
    <format dxfId="437">
      <pivotArea dataOnly="0" labelOnly="1" fieldPosition="0">
        <references count="1">
          <reference field="4" count="0"/>
        </references>
      </pivotArea>
    </format>
    <format dxfId="436">
      <pivotArea dataOnly="0" labelOnly="1" grandRow="1" outline="0" fieldPosition="0"/>
    </format>
    <format dxfId="435">
      <pivotArea dataOnly="0" labelOnly="1" fieldPosition="0">
        <references count="1">
          <reference field="30" count="9">
            <x v="0"/>
            <x v="1"/>
            <x v="2"/>
            <x v="3"/>
            <x v="5"/>
            <x v="10"/>
            <x v="11"/>
            <x v="13"/>
            <x v="14"/>
          </reference>
        </references>
      </pivotArea>
    </format>
    <format dxfId="434">
      <pivotArea dataOnly="0" labelOnly="1" grandCol="1" outline="0" fieldPosition="0"/>
    </format>
    <format dxfId="433">
      <pivotArea dataOnly="0" labelOnly="1" fieldPosition="0">
        <references count="1">
          <reference field="4" count="1">
            <x v="14"/>
          </reference>
        </references>
      </pivotArea>
    </format>
    <format dxfId="432">
      <pivotArea dataOnly="0" labelOnly="1" fieldPosition="0">
        <references count="1">
          <reference field="4" count="1">
            <x v="14"/>
          </reference>
        </references>
      </pivotArea>
    </format>
    <format dxfId="431">
      <pivotArea type="all" dataOnly="0" outline="0" fieldPosition="0"/>
    </format>
    <format dxfId="430">
      <pivotArea outline="0" collapsedLevelsAreSubtotals="1" fieldPosition="0"/>
    </format>
    <format dxfId="429">
      <pivotArea type="origin" dataOnly="0" labelOnly="1" outline="0" fieldPosition="0"/>
    </format>
    <format dxfId="428">
      <pivotArea field="30" type="button" dataOnly="0" labelOnly="1" outline="0" axis="axisCol" fieldPosition="0"/>
    </format>
    <format dxfId="427">
      <pivotArea type="topRight" dataOnly="0" labelOnly="1" outline="0" fieldPosition="0"/>
    </format>
    <format dxfId="426">
      <pivotArea field="4" type="button" dataOnly="0" labelOnly="1" outline="0" axis="axisRow" fieldPosition="0"/>
    </format>
    <format dxfId="425">
      <pivotArea dataOnly="0" labelOnly="1" fieldPosition="0">
        <references count="1">
          <reference field="4" count="0"/>
        </references>
      </pivotArea>
    </format>
    <format dxfId="424">
      <pivotArea dataOnly="0" labelOnly="1" grandRow="1" outline="0" fieldPosition="0"/>
    </format>
    <format dxfId="423">
      <pivotArea dataOnly="0" labelOnly="1" fieldPosition="0">
        <references count="1">
          <reference field="30" count="9">
            <x v="0"/>
            <x v="1"/>
            <x v="2"/>
            <x v="3"/>
            <x v="5"/>
            <x v="10"/>
            <x v="11"/>
            <x v="13"/>
            <x v="14"/>
          </reference>
        </references>
      </pivotArea>
    </format>
    <format dxfId="422">
      <pivotArea dataOnly="0" labelOnly="1" grandCol="1" outline="0" fieldPosition="0"/>
    </format>
    <format dxfId="421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420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419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418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417">
      <pivotArea outline="0" collapsedLevelsAreSubtotals="1" fieldPosition="0">
        <references count="1">
          <reference field="30" count="3" selected="0">
            <x v="10"/>
            <x v="11"/>
            <x v="13"/>
          </reference>
        </references>
      </pivotArea>
    </format>
    <format dxfId="416">
      <pivotArea outline="0" collapsedLevelsAreSubtotals="1" fieldPosition="0">
        <references count="1">
          <reference field="30" count="3" selected="0">
            <x v="10"/>
            <x v="11"/>
            <x v="13"/>
          </reference>
        </references>
      </pivotArea>
    </format>
    <format dxfId="415">
      <pivotArea outline="0" collapsedLevelsAreSubtotals="1" fieldPosition="0">
        <references count="1">
          <reference field="30" count="3" selected="0">
            <x v="10"/>
            <x v="11"/>
            <x v="13"/>
          </reference>
        </references>
      </pivotArea>
    </format>
    <format dxfId="414">
      <pivotArea outline="0" collapsedLevelsAreSubtotals="1" fieldPosition="0">
        <references count="1">
          <reference field="30" count="3" selected="0">
            <x v="10"/>
            <x v="11"/>
            <x v="13"/>
          </reference>
        </references>
      </pivotArea>
    </format>
    <format dxfId="413">
      <pivotArea outline="0" collapsedLevelsAreSubtotals="1" fieldPosition="0">
        <references count="1">
          <reference field="30" count="1" selected="0">
            <x v="14"/>
          </reference>
        </references>
      </pivotArea>
    </format>
    <format dxfId="412">
      <pivotArea outline="0" collapsedLevelsAreSubtotals="1" fieldPosition="0">
        <references count="1">
          <reference field="30" count="1" selected="0">
            <x v="14"/>
          </reference>
        </references>
      </pivotArea>
    </format>
    <format dxfId="411">
      <pivotArea outline="0" collapsedLevelsAreSubtotals="1" fieldPosition="0">
        <references count="1">
          <reference field="30" count="3" selected="0">
            <x v="10"/>
            <x v="11"/>
            <x v="13"/>
          </reference>
        </references>
      </pivotArea>
    </format>
    <format dxfId="410">
      <pivotArea outline="0" collapsedLevelsAreSubtotals="1" fieldPosition="0">
        <references count="1">
          <reference field="30" count="3" selected="0">
            <x v="10"/>
            <x v="11"/>
            <x v="13"/>
          </reference>
        </references>
      </pivotArea>
    </format>
    <format dxfId="409">
      <pivotArea outline="0" collapsedLevelsAreSubtotals="1" fieldPosition="0"/>
    </format>
    <format dxfId="408">
      <pivotArea field="4" type="button" dataOnly="0" labelOnly="1" outline="0" axis="axisRow" fieldPosition="0"/>
    </format>
    <format dxfId="407">
      <pivotArea dataOnly="0" labelOnly="1" fieldPosition="0">
        <references count="1">
          <reference field="4" count="0"/>
        </references>
      </pivotArea>
    </format>
    <format dxfId="406">
      <pivotArea dataOnly="0" labelOnly="1" grandRow="1" outline="0" fieldPosition="0"/>
    </format>
    <format dxfId="405">
      <pivotArea dataOnly="0" labelOnly="1" fieldPosition="0">
        <references count="1">
          <reference field="30" count="9">
            <x v="0"/>
            <x v="1"/>
            <x v="2"/>
            <x v="3"/>
            <x v="5"/>
            <x v="10"/>
            <x v="11"/>
            <x v="13"/>
            <x v="14"/>
          </reference>
        </references>
      </pivotArea>
    </format>
    <format dxfId="404">
      <pivotArea dataOnly="0" labelOnly="1" grandCol="1" outline="0" fieldPosition="0"/>
    </format>
    <format dxfId="403">
      <pivotArea outline="0" collapsedLevelsAreSubtotals="1" fieldPosition="0"/>
    </format>
    <format dxfId="402">
      <pivotArea field="4" type="button" dataOnly="0" labelOnly="1" outline="0" axis="axisRow" fieldPosition="0"/>
    </format>
    <format dxfId="401">
      <pivotArea dataOnly="0" labelOnly="1" fieldPosition="0">
        <references count="1">
          <reference field="4" count="0"/>
        </references>
      </pivotArea>
    </format>
    <format dxfId="400">
      <pivotArea dataOnly="0" labelOnly="1" grandRow="1" outline="0" fieldPosition="0"/>
    </format>
    <format dxfId="399">
      <pivotArea dataOnly="0" labelOnly="1" fieldPosition="0">
        <references count="1">
          <reference field="30" count="9">
            <x v="0"/>
            <x v="1"/>
            <x v="2"/>
            <x v="3"/>
            <x v="5"/>
            <x v="10"/>
            <x v="11"/>
            <x v="13"/>
            <x v="14"/>
          </reference>
        </references>
      </pivotArea>
    </format>
    <format dxfId="398">
      <pivotArea dataOnly="0" labelOnly="1" grandCol="1" outline="0" fieldPosition="0"/>
    </format>
    <format dxfId="397">
      <pivotArea outline="0" collapsedLevelsAreSubtotals="1" fieldPosition="0"/>
    </format>
    <format dxfId="396">
      <pivotArea field="4" type="button" dataOnly="0" labelOnly="1" outline="0" axis="axisRow" fieldPosition="0"/>
    </format>
    <format dxfId="395">
      <pivotArea dataOnly="0" labelOnly="1" fieldPosition="0">
        <references count="1">
          <reference field="4" count="0"/>
        </references>
      </pivotArea>
    </format>
    <format dxfId="394">
      <pivotArea dataOnly="0" labelOnly="1" grandRow="1" outline="0" fieldPosition="0"/>
    </format>
    <format dxfId="393">
      <pivotArea dataOnly="0" labelOnly="1" fieldPosition="0">
        <references count="1">
          <reference field="30" count="9">
            <x v="0"/>
            <x v="1"/>
            <x v="2"/>
            <x v="3"/>
            <x v="5"/>
            <x v="10"/>
            <x v="11"/>
            <x v="13"/>
            <x v="14"/>
          </reference>
        </references>
      </pivotArea>
    </format>
    <format dxfId="392">
      <pivotArea dataOnly="0" labelOnly="1" grandCol="1" outline="0" fieldPosition="0"/>
    </format>
    <format dxfId="391">
      <pivotArea outline="0" collapsedLevelsAreSubtotals="1" fieldPosition="0"/>
    </format>
    <format dxfId="390">
      <pivotArea outline="0" collapsedLevelsAreSubtotals="1" fieldPosition="0">
        <references count="1">
          <reference field="30" count="1" selected="0">
            <x v="14"/>
          </reference>
        </references>
      </pivotArea>
    </format>
    <format dxfId="389">
      <pivotArea outline="0" collapsedLevelsAreSubtotals="1" fieldPosition="0">
        <references count="1">
          <reference field="30" count="1" selected="0">
            <x v="14"/>
          </reference>
        </references>
      </pivotArea>
    </format>
    <format dxfId="388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387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386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385">
      <pivotArea outline="0" collapsedLevelsAreSubtotals="1" fieldPosition="0">
        <references count="1">
          <reference field="30" count="4" selected="0">
            <x v="10"/>
            <x v="11"/>
            <x v="13"/>
            <x v="14"/>
          </reference>
        </references>
      </pivotArea>
    </format>
    <format dxfId="384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8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82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81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80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79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78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77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76">
      <pivotArea dataOnly="0" labelOnly="1" fieldPosition="0">
        <references count="1">
          <reference field="30" count="2">
            <x v="22"/>
            <x v="24"/>
          </reference>
        </references>
      </pivotArea>
    </format>
    <format dxfId="375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74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7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72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71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70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69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68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67">
      <pivotArea dataOnly="0" labelOnly="1" fieldPosition="0">
        <references count="1">
          <reference field="30" count="2">
            <x v="22"/>
            <x v="24"/>
          </reference>
        </references>
      </pivotArea>
    </format>
    <format dxfId="366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65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64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63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62">
      <pivotArea dataOnly="0" labelOnly="1" fieldPosition="0">
        <references count="1">
          <reference field="30" count="2">
            <x v="22"/>
            <x v="24"/>
          </reference>
        </references>
      </pivotArea>
    </format>
    <format dxfId="361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60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59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58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57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56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55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54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5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52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51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50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49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48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47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46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45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44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43">
      <pivotArea dataOnly="0" labelOnly="1" fieldPosition="0">
        <references count="1">
          <reference field="30" count="1">
            <x v="3"/>
          </reference>
        </references>
      </pivotArea>
    </format>
    <format dxfId="342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41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40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39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38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37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36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35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34">
      <pivotArea dataOnly="0" outline="0" fieldPosition="0">
        <references count="1">
          <reference field="30" count="1">
            <x v="4"/>
          </reference>
        </references>
      </pivotArea>
    </format>
    <format dxfId="33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32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31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30">
      <pivotArea outline="0" collapsedLevelsAreSubtotals="1" fieldPosition="0">
        <references count="1">
          <reference field="30" count="2" selected="0">
            <x v="13"/>
            <x v="14"/>
          </reference>
        </references>
      </pivotArea>
    </format>
    <format dxfId="329">
      <pivotArea dataOnly="0" outline="0" fieldPosition="0">
        <references count="1">
          <reference field="30" count="1">
            <x v="3"/>
          </reference>
        </references>
      </pivotArea>
    </format>
    <format dxfId="328">
      <pivotArea dataOnly="0" labelOnly="1" fieldPosition="0">
        <references count="1">
          <reference field="30" count="1">
            <x v="4"/>
          </reference>
        </references>
      </pivotArea>
    </format>
    <format dxfId="327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26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25">
      <pivotArea dataOnly="0" outline="0" fieldPosition="0">
        <references count="1">
          <reference field="30" count="1">
            <x v="14"/>
          </reference>
        </references>
      </pivotArea>
    </format>
    <format dxfId="324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2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22">
      <pivotArea dataOnly="0" labelOnly="1" fieldPosition="0">
        <references count="1">
          <reference field="30" count="1">
            <x v="15"/>
          </reference>
        </references>
      </pivotArea>
    </format>
    <format dxfId="321">
      <pivotArea dataOnly="0" outline="0" fieldPosition="0">
        <references count="1">
          <reference field="30" count="1">
            <x v="15"/>
          </reference>
        </references>
      </pivotArea>
    </format>
    <format dxfId="320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19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18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17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16">
      <pivotArea dataOnly="0" labelOnly="1" fieldPosition="0">
        <references count="1">
          <reference field="30" count="1">
            <x v="15"/>
          </reference>
        </references>
      </pivotArea>
    </format>
    <format dxfId="315">
      <pivotArea dataOnly="0" labelOnly="1" fieldPosition="0">
        <references count="1">
          <reference field="30" count="1">
            <x v="15"/>
          </reference>
        </references>
      </pivotArea>
    </format>
    <format dxfId="314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1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12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11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10">
      <pivotArea dataOnly="0" outline="0" fieldPosition="0">
        <references count="1">
          <reference field="30" count="1">
            <x v="8"/>
          </reference>
        </references>
      </pivotArea>
    </format>
    <format dxfId="309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08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07">
      <pivotArea dataOnly="0" outline="0" fieldPosition="0">
        <references count="1">
          <reference field="30" count="1">
            <x v="8"/>
          </reference>
        </references>
      </pivotArea>
    </format>
    <format dxfId="306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05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304">
      <pivotArea dataOnly="0" labelOnly="1" fieldPosition="0">
        <references count="1">
          <reference field="30" count="1">
            <x v="9"/>
          </reference>
        </references>
      </pivotArea>
    </format>
    <format dxfId="303">
      <pivotArea dataOnly="0" labelOnly="1" fieldPosition="0">
        <references count="1">
          <reference field="30" count="1">
            <x v="9"/>
          </reference>
        </references>
      </pivotArea>
    </format>
    <format dxfId="302">
      <pivotArea dataOnly="0" outline="0" fieldPosition="0">
        <references count="1">
          <reference field="30" count="1">
            <x v="9"/>
          </reference>
        </references>
      </pivotArea>
    </format>
    <format dxfId="301">
      <pivotArea dataOnly="0" outline="0" fieldPosition="0">
        <references count="1">
          <reference field="30" count="1">
            <x v="9"/>
          </reference>
        </references>
      </pivotArea>
    </format>
    <format dxfId="300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99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98">
      <pivotArea dataOnly="0" outline="0" fieldPosition="0">
        <references count="1">
          <reference field="30" count="1">
            <x v="15"/>
          </reference>
        </references>
      </pivotArea>
    </format>
    <format dxfId="297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96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95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94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9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92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91">
      <pivotArea dataOnly="0" labelOnly="1" fieldPosition="0">
        <references count="1">
          <reference field="4" count="1">
            <x v="21"/>
          </reference>
        </references>
      </pivotArea>
    </format>
    <format dxfId="290">
      <pivotArea dataOnly="0" labelOnly="1" fieldPosition="0">
        <references count="1">
          <reference field="4" count="2">
            <x v="22"/>
            <x v="23"/>
          </reference>
        </references>
      </pivotArea>
    </format>
    <format dxfId="289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88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87">
      <pivotArea dataOnly="0" labelOnly="1" fieldPosition="0">
        <references count="1">
          <reference field="4" count="0"/>
        </references>
      </pivotArea>
    </format>
    <format dxfId="286">
      <pivotArea dataOnly="0" labelOnly="1" fieldPosition="0">
        <references count="1">
          <reference field="4" count="0"/>
        </references>
      </pivotArea>
    </format>
    <format dxfId="285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84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83">
      <pivotArea dataOnly="0" outline="0" fieldPosition="0">
        <references count="1">
          <reference field="30" count="3">
            <x v="16"/>
            <x v="18"/>
            <x v="21"/>
          </reference>
        </references>
      </pivotArea>
    </format>
    <format dxfId="282">
      <pivotArea dataOnly="0" outline="0" fieldPosition="0">
        <references count="1">
          <reference field="30" count="3">
            <x v="16"/>
            <x v="18"/>
            <x v="21"/>
          </reference>
        </references>
      </pivotArea>
    </format>
    <format dxfId="281">
      <pivotArea dataOnly="0" outline="0" fieldPosition="0">
        <references count="1">
          <reference field="30" count="3">
            <x v="16"/>
            <x v="18"/>
            <x v="21"/>
          </reference>
        </references>
      </pivotArea>
    </format>
    <format dxfId="280">
      <pivotArea dataOnly="0" labelOnly="1" fieldPosition="0">
        <references count="1">
          <reference field="30" count="3">
            <x v="16"/>
            <x v="18"/>
            <x v="21"/>
          </reference>
        </references>
      </pivotArea>
    </format>
    <format dxfId="279">
      <pivotArea type="origin" dataOnly="0" labelOnly="1" outline="0" fieldPosition="0"/>
    </format>
    <format dxfId="278">
      <pivotArea field="4" type="button" dataOnly="0" labelOnly="1" outline="0" axis="axisRow" fieldPosition="0"/>
    </format>
    <format dxfId="277">
      <pivotArea dataOnly="0" labelOnly="1" fieldPosition="0">
        <references count="1">
          <reference field="4" count="0"/>
        </references>
      </pivotArea>
    </format>
    <format dxfId="276">
      <pivotArea dataOnly="0" labelOnly="1" grandRow="1" outline="0" fieldPosition="0"/>
    </format>
    <format dxfId="275">
      <pivotArea dataOnly="0" labelOnly="1" fieldPosition="0">
        <references count="1">
          <reference field="4" count="0"/>
        </references>
      </pivotArea>
    </format>
    <format dxfId="274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7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72">
      <pivotArea dataOnly="0" labelOnly="1" fieldPosition="0">
        <references count="1">
          <reference field="30" count="1">
            <x v="8"/>
          </reference>
        </references>
      </pivotArea>
    </format>
    <format dxfId="271">
      <pivotArea dataOnly="0" labelOnly="1" fieldPosition="0">
        <references count="1">
          <reference field="4" count="0"/>
        </references>
      </pivotArea>
    </format>
    <format dxfId="270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69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68">
      <pivotArea dataOnly="0" labelOnly="1" fieldPosition="0">
        <references count="1">
          <reference field="4" count="0"/>
        </references>
      </pivotArea>
    </format>
    <format dxfId="267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66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65">
      <pivotArea dataOnly="0" labelOnly="1" fieldPosition="0">
        <references count="1">
          <reference field="4" count="0"/>
        </references>
      </pivotArea>
    </format>
    <format dxfId="264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6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62">
      <pivotArea dataOnly="0" labelOnly="1" fieldPosition="0">
        <references count="1">
          <reference field="4" count="0"/>
        </references>
      </pivotArea>
    </format>
    <format dxfId="261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60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59">
      <pivotArea type="origin" dataOnly="0" labelOnly="1" outline="0" fieldPosition="0"/>
    </format>
    <format dxfId="258">
      <pivotArea field="4" type="button" dataOnly="0" labelOnly="1" outline="0" axis="axisRow" fieldPosition="0"/>
    </format>
    <format dxfId="257">
      <pivotArea dataOnly="0" labelOnly="1" fieldPosition="0">
        <references count="1">
          <reference field="4" count="0"/>
        </references>
      </pivotArea>
    </format>
    <format dxfId="256">
      <pivotArea dataOnly="0" labelOnly="1" grandRow="1" outline="0" fieldPosition="0"/>
    </format>
    <format dxfId="255">
      <pivotArea type="origin" dataOnly="0" labelOnly="1" outline="0" fieldPosition="0"/>
    </format>
    <format dxfId="254">
      <pivotArea field="4" type="button" dataOnly="0" labelOnly="1" outline="0" axis="axisRow" fieldPosition="0"/>
    </format>
    <format dxfId="253">
      <pivotArea dataOnly="0" labelOnly="1" fieldPosition="0">
        <references count="1">
          <reference field="4" count="0"/>
        </references>
      </pivotArea>
    </format>
    <format dxfId="252">
      <pivotArea dataOnly="0" labelOnly="1" grandRow="1" outline="0" fieldPosition="0"/>
    </format>
    <format dxfId="251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50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49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48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47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46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45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44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4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42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41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40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39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38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37">
      <pivotArea dataOnly="0" outline="0" fieldPosition="0">
        <references count="1">
          <reference field="30" count="1">
            <x v="21"/>
          </reference>
        </references>
      </pivotArea>
    </format>
    <format dxfId="236">
      <pivotArea dataOnly="0" outline="0" fieldPosition="0">
        <references count="1">
          <reference field="30" count="1">
            <x v="20"/>
          </reference>
        </references>
      </pivotArea>
    </format>
    <format dxfId="235">
      <pivotArea field="4" type="button" dataOnly="0" labelOnly="1" outline="0" axis="axisRow" fieldPosition="0"/>
    </format>
    <format dxfId="234">
      <pivotArea dataOnly="0" labelOnly="1" fieldPosition="0">
        <references count="1">
          <reference field="30" count="13">
            <x v="0"/>
            <x v="1"/>
            <x v="2"/>
            <x v="3"/>
            <x v="8"/>
            <x v="10"/>
            <x v="11"/>
            <x v="15"/>
            <x v="16"/>
            <x v="21"/>
            <x v="22"/>
            <x v="23"/>
            <x v="24"/>
          </reference>
        </references>
      </pivotArea>
    </format>
    <format dxfId="233">
      <pivotArea field="4" type="button" dataOnly="0" labelOnly="1" outline="0" axis="axisRow" fieldPosition="0"/>
    </format>
    <format dxfId="232">
      <pivotArea dataOnly="0" labelOnly="1" fieldPosition="0">
        <references count="1">
          <reference field="30" count="13">
            <x v="0"/>
            <x v="1"/>
            <x v="2"/>
            <x v="3"/>
            <x v="8"/>
            <x v="10"/>
            <x v="11"/>
            <x v="15"/>
            <x v="16"/>
            <x v="21"/>
            <x v="22"/>
            <x v="23"/>
            <x v="24"/>
          </reference>
        </references>
      </pivotArea>
    </format>
    <format dxfId="231">
      <pivotArea field="4" type="button" dataOnly="0" labelOnly="1" outline="0" axis="axisRow" fieldPosition="0"/>
    </format>
    <format dxfId="230">
      <pivotArea dataOnly="0" labelOnly="1" fieldPosition="0">
        <references count="1">
          <reference field="30" count="13">
            <x v="0"/>
            <x v="1"/>
            <x v="2"/>
            <x v="3"/>
            <x v="8"/>
            <x v="10"/>
            <x v="11"/>
            <x v="15"/>
            <x v="16"/>
            <x v="21"/>
            <x v="22"/>
            <x v="23"/>
            <x v="24"/>
          </reference>
        </references>
      </pivotArea>
    </format>
    <format dxfId="229">
      <pivotArea field="4" type="button" dataOnly="0" labelOnly="1" outline="0" axis="axisRow" fieldPosition="0"/>
    </format>
    <format dxfId="228">
      <pivotArea dataOnly="0" labelOnly="1" fieldPosition="0">
        <references count="1">
          <reference field="30" count="13">
            <x v="0"/>
            <x v="1"/>
            <x v="2"/>
            <x v="3"/>
            <x v="8"/>
            <x v="10"/>
            <x v="11"/>
            <x v="15"/>
            <x v="16"/>
            <x v="21"/>
            <x v="22"/>
            <x v="23"/>
            <x v="24"/>
          </reference>
        </references>
      </pivotArea>
    </format>
    <format dxfId="227">
      <pivotArea field="4" type="button" dataOnly="0" labelOnly="1" outline="0" axis="axisRow" fieldPosition="0"/>
    </format>
    <format dxfId="226">
      <pivotArea dataOnly="0" labelOnly="1" fieldPosition="0">
        <references count="1">
          <reference field="30" count="13">
            <x v="0"/>
            <x v="1"/>
            <x v="2"/>
            <x v="3"/>
            <x v="8"/>
            <x v="10"/>
            <x v="11"/>
            <x v="15"/>
            <x v="16"/>
            <x v="21"/>
            <x v="22"/>
            <x v="23"/>
            <x v="24"/>
          </reference>
        </references>
      </pivotArea>
    </format>
    <format dxfId="225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24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2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22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21">
      <pivotArea dataOnly="0" labelOnly="1" fieldPosition="0">
        <references count="1">
          <reference field="30" count="1">
            <x v="22"/>
          </reference>
        </references>
      </pivotArea>
    </format>
    <format dxfId="220">
      <pivotArea dataOnly="0" labelOnly="1" fieldPosition="0">
        <references count="1">
          <reference field="30" count="1">
            <x v="23"/>
          </reference>
        </references>
      </pivotArea>
    </format>
    <format dxfId="219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18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17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16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15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14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1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12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11">
      <pivotArea dataOnly="0" labelOnly="1" fieldPosition="0">
        <references count="1">
          <reference field="30" count="1">
            <x v="20"/>
          </reference>
        </references>
      </pivotArea>
    </format>
    <format dxfId="210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09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08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07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06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05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04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0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02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01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200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99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98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97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96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95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94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9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92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91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90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89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88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87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86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85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84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8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82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81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80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79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78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77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76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75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74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73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72">
      <pivotArea grandCol="1" outline="0" collapsedLevelsAreSubtotals="1" fieldPosition="0"/>
    </format>
    <format dxfId="171">
      <pivotArea type="all" dataOnly="0" outline="0" fieldPosition="0"/>
    </format>
    <format dxfId="170">
      <pivotArea field="4" type="button" dataOnly="0" labelOnly="1" outline="0" axis="axisRow" fieldPosition="0"/>
    </format>
    <format dxfId="169">
      <pivotArea dataOnly="0" labelOnly="1" fieldPosition="0">
        <references count="1">
          <reference field="4" count="0"/>
        </references>
      </pivotArea>
    </format>
    <format dxfId="168">
      <pivotArea dataOnly="0" labelOnly="1" fieldPosition="0">
        <references count="1">
          <reference field="30" count="12">
            <x v="0"/>
            <x v="1"/>
            <x v="2"/>
            <x v="3"/>
            <x v="5"/>
            <x v="10"/>
            <x v="11"/>
            <x v="15"/>
            <x v="16"/>
            <x v="22"/>
            <x v="23"/>
            <x v="24"/>
          </reference>
        </references>
      </pivotArea>
    </format>
    <format dxfId="167">
      <pivotArea dataOnly="0" labelOnly="1" grandCol="1" outline="0" fieldPosition="0"/>
    </format>
    <format dxfId="166">
      <pivotArea outline="0" collapsedLevelsAreSubtotals="1" fieldPosition="0">
        <references count="1">
          <reference field="30" count="2" selected="0">
            <x v="10"/>
            <x v="11"/>
          </reference>
        </references>
      </pivotArea>
    </format>
    <format dxfId="165">
      <pivotArea field="4" type="button" dataOnly="0" labelOnly="1" outline="0" axis="axisRow" fieldPosition="0"/>
    </format>
    <format dxfId="164">
      <pivotArea dataOnly="0" labelOnly="1" fieldPosition="0">
        <references count="1">
          <reference field="30" count="13">
            <x v="0"/>
            <x v="1"/>
            <x v="2"/>
            <x v="3"/>
            <x v="5"/>
            <x v="8"/>
            <x v="10"/>
            <x v="11"/>
            <x v="15"/>
            <x v="16"/>
            <x v="22"/>
            <x v="23"/>
            <x v="24"/>
          </reference>
        </references>
      </pivotArea>
    </format>
    <format dxfId="163">
      <pivotArea dataOnly="0" labelOnly="1" grandCol="1" outline="0" fieldPosition="0"/>
    </format>
    <format dxfId="162">
      <pivotArea dataOnly="0" labelOnly="1" fieldPosition="0">
        <references count="1">
          <reference field="30" count="9">
            <x v="5"/>
            <x v="10"/>
            <x v="11"/>
            <x v="15"/>
            <x v="16"/>
            <x v="22"/>
            <x v="23"/>
            <x v="24"/>
            <x v="25"/>
          </reference>
        </references>
      </pivotArea>
    </format>
    <format dxfId="161">
      <pivotArea dataOnly="0" labelOnly="1" fieldPosition="0">
        <references count="1">
          <reference field="30" count="1">
            <x v="25"/>
          </reference>
        </references>
      </pivotArea>
    </format>
    <format dxfId="160">
      <pivotArea dataOnly="0" labelOnly="1" fieldPosition="0">
        <references count="1">
          <reference field="30" count="14">
            <x v="0"/>
            <x v="1"/>
            <x v="2"/>
            <x v="3"/>
            <x v="5"/>
            <x v="10"/>
            <x v="11"/>
            <x v="15"/>
            <x v="16"/>
            <x v="22"/>
            <x v="23"/>
            <x v="24"/>
            <x v="25"/>
            <x v="26"/>
          </reference>
        </references>
      </pivotArea>
    </format>
    <format dxfId="159">
      <pivotArea dataOnly="0" labelOnly="1" fieldPosition="0">
        <references count="1">
          <reference field="30" count="1">
            <x v="26"/>
          </reference>
        </references>
      </pivotArea>
    </format>
    <format dxfId="158">
      <pivotArea dataOnly="0" labelOnly="1" fieldPosition="0">
        <references count="1">
          <reference field="30" count="1">
            <x v="12"/>
          </reference>
        </references>
      </pivotArea>
    </format>
    <format dxfId="157">
      <pivotArea dataOnly="0" labelOnly="1" fieldPosition="0">
        <references count="1">
          <reference field="4" count="0"/>
        </references>
      </pivotArea>
    </format>
    <format dxfId="156">
      <pivotArea dataOnly="0" labelOnly="1" fieldPosition="0">
        <references count="1">
          <reference field="30" count="14">
            <x v="0"/>
            <x v="1"/>
            <x v="2"/>
            <x v="3"/>
            <x v="5"/>
            <x v="10"/>
            <x v="11"/>
            <x v="12"/>
            <x v="15"/>
            <x v="16"/>
            <x v="22"/>
            <x v="23"/>
            <x v="24"/>
            <x v="26"/>
          </reference>
        </references>
      </pivotArea>
    </format>
    <format dxfId="155">
      <pivotArea dataOnly="0" labelOnly="1" fieldPosition="0">
        <references count="1">
          <reference field="4" count="1">
            <x v="27"/>
          </reference>
        </references>
      </pivotArea>
    </format>
    <format dxfId="154">
      <pivotArea type="all" dataOnly="0" outline="0" fieldPosition="0"/>
    </format>
    <format dxfId="153">
      <pivotArea type="origin" dataOnly="0" labelOnly="1" outline="0" fieldPosition="0"/>
    </format>
    <format dxfId="152">
      <pivotArea field="30" type="button" dataOnly="0" labelOnly="1" outline="0" axis="axisCol" fieldPosition="0"/>
    </format>
    <format dxfId="151">
      <pivotArea type="topRight" dataOnly="0" labelOnly="1" outline="0" fieldPosition="0"/>
    </format>
    <format dxfId="150">
      <pivotArea dataOnly="0" labelOnly="1" fieldPosition="0">
        <references count="1">
          <reference field="4" count="0"/>
        </references>
      </pivotArea>
    </format>
    <format dxfId="149">
      <pivotArea dataOnly="0" labelOnly="1" fieldPosition="0">
        <references count="1">
          <reference field="30" count="14">
            <x v="0"/>
            <x v="1"/>
            <x v="2"/>
            <x v="3"/>
            <x v="5"/>
            <x v="10"/>
            <x v="11"/>
            <x v="12"/>
            <x v="15"/>
            <x v="16"/>
            <x v="22"/>
            <x v="23"/>
            <x v="24"/>
            <x v="26"/>
          </reference>
        </references>
      </pivotArea>
    </format>
    <format dxfId="148">
      <pivotArea type="all" dataOnly="0" outline="0" fieldPosition="0"/>
    </format>
    <format dxfId="147">
      <pivotArea dataOnly="0" labelOnly="1" fieldPosition="0">
        <references count="1">
          <reference field="4" count="0"/>
        </references>
      </pivotArea>
    </format>
    <format dxfId="146">
      <pivotArea dataOnly="0" labelOnly="1" fieldPosition="0">
        <references count="1">
          <reference field="30" count="14">
            <x v="0"/>
            <x v="1"/>
            <x v="2"/>
            <x v="3"/>
            <x v="5"/>
            <x v="10"/>
            <x v="11"/>
            <x v="12"/>
            <x v="15"/>
            <x v="16"/>
            <x v="20"/>
            <x v="22"/>
            <x v="23"/>
            <x v="24"/>
          </reference>
        </references>
      </pivotArea>
    </format>
    <format dxfId="145">
      <pivotArea dataOnly="0" labelOnly="1" fieldPosition="0">
        <references count="1">
          <reference field="30" count="1">
            <x v="17"/>
          </reference>
        </references>
      </pivotArea>
    </format>
    <format dxfId="144">
      <pivotArea dataOnly="0" labelOnly="1" fieldPosition="0">
        <references count="1">
          <reference field="30" count="1">
            <x v="17"/>
          </reference>
        </references>
      </pivotArea>
    </format>
    <format dxfId="143">
      <pivotArea dataOnly="0" outline="0" fieldPosition="0">
        <references count="1">
          <reference field="30" count="1">
            <x v="13"/>
          </reference>
        </references>
      </pivotArea>
    </format>
    <format dxfId="142">
      <pivotArea dataOnly="0" labelOnly="1" fieldPosition="0">
        <references count="1">
          <reference field="4" count="0"/>
        </references>
      </pivotArea>
    </format>
    <format dxfId="141">
      <pivotArea dataOnly="0" labelOnly="1" fieldPosition="0">
        <references count="1">
          <reference field="30" count="1">
            <x v="27"/>
          </reference>
        </references>
      </pivotArea>
    </format>
    <format dxfId="140">
      <pivotArea dataOnly="0" labelOnly="1" fieldPosition="0">
        <references count="1">
          <reference field="30" count="1">
            <x v="28"/>
          </reference>
        </references>
      </pivotArea>
    </format>
    <format dxfId="139">
      <pivotArea dataOnly="0" labelOnly="1" fieldPosition="0">
        <references count="1">
          <reference field="30" count="1">
            <x v="28"/>
          </reference>
        </references>
      </pivotArea>
    </format>
    <format dxfId="138">
      <pivotArea dataOnly="0" labelOnly="1" fieldPosition="0">
        <references count="1">
          <reference field="30" count="1">
            <x v="28"/>
          </reference>
        </references>
      </pivotArea>
    </format>
    <format dxfId="137">
      <pivotArea dataOnly="0" labelOnly="1" fieldPosition="0">
        <references count="1">
          <reference field="30" count="1">
            <x v="29"/>
          </reference>
        </references>
      </pivotArea>
    </format>
    <format dxfId="136">
      <pivotArea dataOnly="0" labelOnly="1" fieldPosition="0">
        <references count="1">
          <reference field="30" count="1">
            <x v="29"/>
          </reference>
        </references>
      </pivotArea>
    </format>
    <format dxfId="135">
      <pivotArea dataOnly="0" labelOnly="1" fieldPosition="0">
        <references count="1">
          <reference field="30" count="1">
            <x v="30"/>
          </reference>
        </references>
      </pivotArea>
    </format>
    <format dxfId="134">
      <pivotArea dataOnly="0" labelOnly="1" fieldPosition="0">
        <references count="1">
          <reference field="30" count="1">
            <x v="30"/>
          </reference>
        </references>
      </pivotArea>
    </format>
    <format dxfId="133">
      <pivotArea dataOnly="0" labelOnly="1" fieldPosition="0">
        <references count="1">
          <reference field="30" count="1">
            <x v="30"/>
          </reference>
        </references>
      </pivotArea>
    </format>
    <format dxfId="132">
      <pivotArea type="origin" dataOnly="0" labelOnly="1" outline="0" fieldPosition="0"/>
    </format>
    <format dxfId="131">
      <pivotArea field="30" type="button" dataOnly="0" labelOnly="1" outline="0" axis="axisCol" fieldPosition="0"/>
    </format>
    <format dxfId="130">
      <pivotArea type="topRight" dataOnly="0" labelOnly="1" outline="0" fieldPosition="0"/>
    </format>
    <format dxfId="129">
      <pivotArea dataOnly="0" labelOnly="1" fieldPosition="0">
        <references count="1">
          <reference field="30" count="9">
            <x v="0"/>
            <x v="1"/>
            <x v="2"/>
            <x v="3"/>
            <x v="5"/>
            <x v="11"/>
            <x v="23"/>
            <x v="28"/>
            <x v="30"/>
          </reference>
        </references>
      </pivotArea>
    </format>
    <format dxfId="128">
      <pivotArea outline="0" collapsedLevelsAreSubtotals="1" fieldPosition="0"/>
    </format>
    <format dxfId="127">
      <pivotArea field="4" type="button" dataOnly="0" labelOnly="1" outline="0" axis="axisRow" fieldPosition="0"/>
    </format>
    <format dxfId="126">
      <pivotArea dataOnly="0" labelOnly="1" fieldPosition="0">
        <references count="1">
          <reference field="4" count="0"/>
        </references>
      </pivotArea>
    </format>
    <format dxfId="125">
      <pivotArea dataOnly="0" labelOnly="1" grandRow="1" outline="0" fieldPosition="0"/>
    </format>
    <format dxfId="124">
      <pivotArea dataOnly="0" labelOnly="1" fieldPosition="0">
        <references count="1">
          <reference field="30" count="9">
            <x v="0"/>
            <x v="1"/>
            <x v="2"/>
            <x v="3"/>
            <x v="11"/>
            <x v="23"/>
            <x v="29"/>
            <x v="30"/>
            <x v="31"/>
          </reference>
        </references>
      </pivotArea>
    </format>
    <format dxfId="123">
      <pivotArea dataOnly="0" labelOnly="1" grandCol="1" outline="0" fieldPosition="0"/>
    </format>
    <format dxfId="122">
      <pivotArea dataOnly="0" labelOnly="1" fieldPosition="0">
        <references count="1">
          <reference field="30" count="1">
            <x v="31"/>
          </reference>
        </references>
      </pivotArea>
    </format>
    <format dxfId="121">
      <pivotArea dataOnly="0" labelOnly="1" fieldPosition="0">
        <references count="1">
          <reference field="30" count="3">
            <x v="29"/>
            <x v="30"/>
            <x v="31"/>
          </reference>
        </references>
      </pivotArea>
    </format>
    <format dxfId="120">
      <pivotArea collapsedLevelsAreSubtotals="1" fieldPosition="0">
        <references count="2">
          <reference field="4" count="0"/>
          <reference field="30" count="9" selected="0">
            <x v="0"/>
            <x v="1"/>
            <x v="2"/>
            <x v="3"/>
            <x v="11"/>
            <x v="23"/>
            <x v="29"/>
            <x v="30"/>
            <x v="31"/>
          </reference>
        </references>
      </pivotArea>
    </format>
    <format dxfId="119">
      <pivotArea grandCol="1" outline="0" collapsedLevelsAreSubtotals="1" fieldPosition="0"/>
    </format>
    <format dxfId="118">
      <pivotArea field="30" grandRow="1" outline="0" collapsedLevelsAreSubtotals="1" axis="axisCol" fieldPosition="0">
        <references count="1">
          <reference field="30" count="9" selected="0">
            <x v="0"/>
            <x v="1"/>
            <x v="2"/>
            <x v="3"/>
            <x v="11"/>
            <x v="23"/>
            <x v="29"/>
            <x v="30"/>
            <x v="31"/>
          </reference>
        </references>
      </pivotArea>
    </format>
    <format dxfId="117">
      <pivotArea dataOnly="0" labelOnly="1" fieldPosition="0">
        <references count="1">
          <reference field="30" count="1">
            <x v="32"/>
          </reference>
        </references>
      </pivotArea>
    </format>
    <format dxfId="116">
      <pivotArea collapsedLevelsAreSubtotals="1" fieldPosition="0">
        <references count="1">
          <reference field="4" count="0"/>
        </references>
      </pivotArea>
    </format>
    <format dxfId="115">
      <pivotArea dataOnly="0" labelOnly="1" fieldPosition="0">
        <references count="1">
          <reference field="30" count="1">
            <x v="0"/>
          </reference>
        </references>
      </pivotArea>
    </format>
    <format dxfId="114">
      <pivotArea dataOnly="0" labelOnly="1" fieldPosition="0">
        <references count="1">
          <reference field="30" count="1">
            <x v="1"/>
          </reference>
        </references>
      </pivotArea>
    </format>
    <format dxfId="113">
      <pivotArea dataOnly="0" labelOnly="1" fieldPosition="0">
        <references count="1">
          <reference field="30" count="1">
            <x v="3"/>
          </reference>
        </references>
      </pivotArea>
    </format>
    <format dxfId="112">
      <pivotArea dataOnly="0" labelOnly="1" fieldPosition="0">
        <references count="1">
          <reference field="30" count="1">
            <x v="23"/>
          </reference>
        </references>
      </pivotArea>
    </format>
    <format dxfId="111">
      <pivotArea dataOnly="0" labelOnly="1" fieldPosition="0">
        <references count="1">
          <reference field="30" count="1">
            <x v="29"/>
          </reference>
        </references>
      </pivotArea>
    </format>
    <format dxfId="110">
      <pivotArea dataOnly="0" labelOnly="1" fieldPosition="0">
        <references count="1">
          <reference field="30" count="1">
            <x v="30"/>
          </reference>
        </references>
      </pivotArea>
    </format>
    <format dxfId="109">
      <pivotArea dataOnly="0" labelOnly="1" fieldPosition="0">
        <references count="1">
          <reference field="30" count="1">
            <x v="32"/>
          </reference>
        </references>
      </pivotArea>
    </format>
    <format dxfId="108">
      <pivotArea dataOnly="0" labelOnly="1" fieldPosition="0">
        <references count="1">
          <reference field="30" count="8">
            <x v="0"/>
            <x v="2"/>
            <x v="3"/>
            <x v="11"/>
            <x v="23"/>
            <x v="29"/>
            <x v="30"/>
            <x v="31"/>
          </reference>
        </references>
      </pivotArea>
    </format>
    <format dxfId="107">
      <pivotArea dataOnly="0" labelOnly="1" grandCol="1" outline="0" fieldPosition="0"/>
    </format>
    <format dxfId="106">
      <pivotArea dataOnly="0" labelOnly="1" fieldPosition="0">
        <references count="1">
          <reference field="30" count="1">
            <x v="33"/>
          </reference>
        </references>
      </pivotArea>
    </format>
    <format dxfId="105">
      <pivotArea dataOnly="0" labelOnly="1" fieldPosition="0">
        <references count="1">
          <reference field="30" count="1">
            <x v="33"/>
          </reference>
        </references>
      </pivotArea>
    </format>
    <format dxfId="104">
      <pivotArea dataOnly="0" labelOnly="1" fieldPosition="0">
        <references count="1">
          <reference field="30" count="1">
            <x v="33"/>
          </reference>
        </references>
      </pivotArea>
    </format>
    <format dxfId="103">
      <pivotArea dataOnly="0" labelOnly="1" fieldPosition="0">
        <references count="1">
          <reference field="30" count="1">
            <x v="33"/>
          </reference>
        </references>
      </pivotArea>
    </format>
    <format dxfId="102">
      <pivotArea dataOnly="0" labelOnly="1" fieldPosition="0">
        <references count="1">
          <reference field="30" count="1">
            <x v="34"/>
          </reference>
        </references>
      </pivotArea>
    </format>
    <format dxfId="101">
      <pivotArea dataOnly="0" labelOnly="1" fieldPosition="0">
        <references count="1">
          <reference field="30" count="1">
            <x v="34"/>
          </reference>
        </references>
      </pivotArea>
    </format>
    <format dxfId="100">
      <pivotArea dataOnly="0" labelOnly="1" fieldPosition="0">
        <references count="1">
          <reference field="30" count="1">
            <x v="5"/>
          </reference>
        </references>
      </pivotArea>
    </format>
    <format dxfId="99">
      <pivotArea field="4" type="button" dataOnly="0" labelOnly="1" outline="0" axis="axisRow" fieldPosition="0"/>
    </format>
    <format dxfId="98">
      <pivotArea dataOnly="0" labelOnly="1" fieldPosition="0">
        <references count="1">
          <reference field="30" count="9">
            <x v="0"/>
            <x v="2"/>
            <x v="3"/>
            <x v="5"/>
            <x v="11"/>
            <x v="23"/>
            <x v="30"/>
            <x v="31"/>
            <x v="34"/>
          </reference>
        </references>
      </pivotArea>
    </format>
    <format dxfId="97">
      <pivotArea dataOnly="0" labelOnly="1" grandCol="1" outline="0" fieldPosition="0"/>
    </format>
    <format dxfId="96">
      <pivotArea grandRow="1" outline="0" collapsedLevelsAreSubtotals="1" fieldPosition="0"/>
    </format>
    <format dxfId="95">
      <pivotArea dataOnly="0" labelOnly="1" grandRow="1" outline="0" fieldPosition="0"/>
    </format>
    <format dxfId="94">
      <pivotArea collapsedLevelsAreSubtotals="1" fieldPosition="0">
        <references count="1">
          <reference field="4" count="0"/>
        </references>
      </pivotArea>
    </format>
    <format dxfId="93">
      <pivotArea dataOnly="0" labelOnly="1" fieldPosition="0">
        <references count="1">
          <reference field="4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InsertBlankRowDefault="1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TableAOP" displayName="TableAOP" ref="A1:G255" totalsRowShown="0" headerRowDxfId="92" dataDxfId="90" headerRowBorderDxfId="91" tableBorderDxfId="89" totalsRowBorderDxfId="88">
  <autoFilter ref="A1:G255" xr:uid="{00000000-0009-0000-0100-000003000000}"/>
  <tableColumns count="7">
    <tableColumn id="1" xr3:uid="{00000000-0010-0000-0000-000001000000}" name="Sl. No." dataDxfId="87"/>
    <tableColumn id="2" xr3:uid="{00000000-0010-0000-0000-000002000000}" name="Business Format" dataDxfId="86"/>
    <tableColumn id="5" xr3:uid="{00000000-0010-0000-0000-000005000000}" name="Format" dataDxfId="85"/>
    <tableColumn id="3" xr3:uid="{00000000-0010-0000-0000-000003000000}" name="Sub Format" dataDxfId="84"/>
    <tableColumn id="11" xr3:uid="{00000000-0010-0000-0000-00000B000000}" name="AOP / NON AOP" dataDxfId="83"/>
    <tableColumn id="4" xr3:uid="{00000000-0010-0000-0000-000004000000}" name="AOP" dataDxfId="82"/>
    <tableColumn id="6" xr3:uid="{00000000-0010-0000-0000-000006000000}" name="PM Head" dataDxfId="8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1000000}" name="TableAopCalendar" displayName="TableAopCalendar" ref="A1:K2923" totalsRowShown="0" headerRowDxfId="80" dataDxfId="79">
  <autoFilter ref="A1:K2923" xr:uid="{00000000-0009-0000-0100-000005000000}"/>
  <tableColumns count="11">
    <tableColumn id="1" xr3:uid="{00000000-0010-0000-0100-000001000000}" name="Sl. No." dataDxfId="78">
      <calculatedColumnFormula>IF(G2=G1,A1+1,1)</calculatedColumnFormula>
    </tableColumn>
    <tableColumn id="2" xr3:uid="{00000000-0010-0000-0100-000002000000}" name="Date" dataDxfId="77"/>
    <tableColumn id="3" xr3:uid="{00000000-0010-0000-0100-000003000000}" name="Month" dataDxfId="76"/>
    <tableColumn id="8" xr3:uid="{00000000-0010-0000-0100-000008000000}" name="Year" dataDxfId="75"/>
    <tableColumn id="4" xr3:uid="{00000000-0010-0000-0100-000004000000}" name="Day" dataDxfId="74">
      <calculatedColumnFormula>DAY(TableAopCalendar[[#This Row],[Date]])</calculatedColumnFormula>
    </tableColumn>
    <tableColumn id="5" xr3:uid="{00000000-0010-0000-0100-000005000000}" name="No." dataDxfId="73">
      <calculatedColumnFormula>IF(TableAopCalendar[[#This Row],[Day]]&lt;8,1,IF(TableAopCalendar[[#This Row],[Day]]&lt;15,2,IF(TableAopCalendar[[#This Row],[Day]]&lt;22,3,IF(TableAopCalendar[[#This Row],[Day]]&lt;29,4,IF(TableAopCalendar[[#This Row],[Day]]&lt;32,5)))))</calculatedColumnFormula>
    </tableColumn>
    <tableColumn id="6" xr3:uid="{00000000-0010-0000-0100-000006000000}" name="Week No." dataDxfId="72">
      <calculatedColumnFormula>"Week"&amp;" "&amp;F2</calculatedColumnFormula>
    </tableColumn>
    <tableColumn id="7" xr3:uid="{00000000-0010-0000-0100-000007000000}" name="Concatenate Month &amp; Week" dataDxfId="71">
      <calculatedColumnFormula>CONCATENATE(C2," ",D2," ",G2)</calculatedColumnFormula>
    </tableColumn>
    <tableColumn id="11" xr3:uid="{00000000-0010-0000-0100-00000B000000}" name="Month for Plan" dataDxfId="70">
      <calculatedColumnFormula>CONCATENATE(UPPER(TableAopCalendar[[#This Row],[Month]])," ",TableAopCalendar[[#This Row],[Year]])</calculatedColumnFormula>
    </tableColumn>
    <tableColumn id="12" xr3:uid="{00000000-0010-0000-0100-00000C000000}" name="Plan" dataDxfId="69"/>
    <tableColumn id="13" xr3:uid="{00000000-0010-0000-0100-00000D000000}" name="Concatenate Month &amp; Plan" dataDxfId="68">
      <calculatedColumnFormula>CONCATENATE(TableAopCalendar[[#This Row],[Month for Plan]]," ",TableAopCalendar[[#This Row],[Plan]])</calculatedColumnFormula>
    </tableColumn>
  </tableColumns>
  <tableStyleInfo name="TableStyleLight1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B0F842D-6923-4351-AA04-93F12EDC0BDC}" name="TableAOPTarget" displayName="TableAOPTarget" ref="B1:AM110" totalsRowShown="0" headerRowDxfId="39" dataDxfId="38">
  <autoFilter ref="B1:AM110" xr:uid="{CE7E0987-3B07-467A-8185-3A6AA07AC477}">
    <filterColumn colId="30">
      <filters>
        <filter val="WIP"/>
        <filter val="WIP - On Hold"/>
      </filters>
    </filterColumn>
  </autoFilter>
  <tableColumns count="38">
    <tableColumn id="9" xr3:uid="{8DF2E178-0CDE-4973-97E7-7652092D62EF}" name="Apex ID" dataDxfId="37"/>
    <tableColumn id="1" xr3:uid="{B53B3B8C-F07A-40A9-AE4F-E2FC8A486A00}" name="Sl. No." dataDxfId="36"/>
    <tableColumn id="3" xr3:uid="{D56B508B-354C-4241-83F4-9E9CB353F5CE}" name="Business Format" dataDxfId="35"/>
    <tableColumn id="5" xr3:uid="{F5C99E2F-8E32-4BD7-BE4D-248A288B68E9}" name="Format" dataDxfId="34"/>
    <tableColumn id="6" xr3:uid="{B8693B6A-94EC-4C62-BB15-0DD07EDC3636}" name="Sub Format" dataDxfId="33"/>
    <tableColumn id="60" xr3:uid="{FC87579E-4C04-49CF-B4EF-544752818820}" name="Site Type" dataDxfId="32"/>
    <tableColumn id="2" xr3:uid="{B6A1C110-8CF9-473B-99C7-EE392CB7ADF1}" name="Zone" dataDxfId="31"/>
    <tableColumn id="8" xr3:uid="{C6DDCDCF-8EB5-4784-B72B-218475EE6CA7}" name="ZH" dataDxfId="30"/>
    <tableColumn id="7" xr3:uid="{0AFC8020-5B48-4F04-BE10-1B4381E1FD5E}" name="State" dataDxfId="29"/>
    <tableColumn id="10" xr3:uid="{88690346-8B71-4B6B-84FB-E7BD2E9C508C}" name="Site Name" dataDxfId="28"/>
    <tableColumn id="45" xr3:uid="{E1720E18-2BAA-46D6-9316-18208338AD16}" name="City" dataDxfId="27"/>
    <tableColumn id="11" xr3:uid="{082F00F8-15F0-4593-853A-C0A62616B231}" name="Area (Sqft)" dataDxfId="26"/>
    <tableColumn id="12" xr3:uid="{48963CDC-AAE5-4377-9CBE-026B9E37F4BD}" name="PD" dataDxfId="25"/>
    <tableColumn id="34" xr3:uid="{13691957-4C2B-448B-9614-739F34D04E84}" name="EIC" dataDxfId="24"/>
    <tableColumn id="22" xr3:uid="{5296AC95-C107-4D89-B9A6-84E8DC5A7ED8}" name="RFC Date" dataDxfId="23"/>
    <tableColumn id="26" xr3:uid="{898C75D2-7AEA-4C8A-AB81-A09BEBFDD0A7}" name="RFC Weekwise Bucket" dataDxfId="22">
      <calculatedColumnFormula>IFERROR(VLOOKUP(TableAOPTarget[[#This Row],[RFC Date]],TableAopCalendar[[Date]:[Concatenate Month &amp; Week]],7,FALSE),"")</calculatedColumnFormula>
    </tableColumn>
    <tableColumn id="17" xr3:uid="{9AF76A6D-DB58-4699-B0D9-A523D8846333}" name="Actual Start Date" dataDxfId="21"/>
    <tableColumn id="29" xr3:uid="{909FB978-8D7D-4FDE-999D-EBC3327AA706}" name="Actual Start Weekwise" dataDxfId="20">
      <calculatedColumnFormula>IFERROR(VLOOKUP(TableAOPTarget[[#This Row],[Actual Start Date]],TableAopCalendar[[Date]:[Concatenate Month &amp; Week]],7,FALSE),"")</calculatedColumnFormula>
    </tableColumn>
    <tableColumn id="18" xr3:uid="{55B814A9-7295-4A35-972C-5AA4ADE6D4CF}" name="Standard Duration" dataDxfId="19"/>
    <tableColumn id="20" xr3:uid="{55C86F64-5019-4C01-AF48-0E93F632DBB0}" name="Planned Finish Date" dataDxfId="18">
      <calculatedColumnFormula>TableAOPTarget[[#This Row],[Actual Start Date]]+TableAOPTarget[[#This Row],[Standard Duration]]</calculatedColumnFormula>
    </tableColumn>
    <tableColumn id="28" xr3:uid="{92E4A85B-BB65-492F-8252-C01FC6109878}" name="Planned Finish Weekwise Bucket" dataDxfId="17">
      <calculatedColumnFormula>IFERROR(VLOOKUP(TableAOPTarget[[#This Row],[Planned Finish Date]],TableAopCalendar[[Date]:[Concatenate Month &amp; Week]],7,FALSE),"")</calculatedColumnFormula>
    </tableColumn>
    <tableColumn id="21" xr3:uid="{FC2063B0-E071-4FA1-929A-4818024BB084}" name="Actual Finish Date" dataDxfId="16"/>
    <tableColumn id="30" xr3:uid="{84B34021-0563-4824-A6EB-E5A509776642}" name="Actual Finish Weekwise Bucket" dataDxfId="15">
      <calculatedColumnFormula>IFERROR(VLOOKUP(TableAOPTarget[[#This Row],[Actual Finish Date]],TableAopCalendar[[Date]:[Concatenate Month &amp; Week]],7,FALSE),"")</calculatedColumnFormula>
    </tableColumn>
    <tableColumn id="53" xr3:uid="{ACE8475A-DFE7-4634-94D9-BF6754087DBD}" name="Forecasted Finish Date" dataDxfId="14"/>
    <tableColumn id="52" xr3:uid="{35C6653C-5867-4D00-9DE3-171B21609E20}" name="Forecasted Finish Weekwise" dataDxfId="13">
      <calculatedColumnFormula>IFERROR(VLOOKUP(TableAOPTarget[[#This Row],[Forecasted Finish Date]],TableAopCalendar[[Date]:[Concatenate Month &amp; Week]],7,FALSE),"")</calculatedColumnFormula>
    </tableColumn>
    <tableColumn id="23" xr3:uid="{EB236EC9-A86A-4B3B-828B-D7BD6809A2E4}" name="Launched Date" dataDxfId="12"/>
    <tableColumn id="35" xr3:uid="{D9755247-1114-4D8F-8D71-7AD224372776}" name="Planned (Month) Bucket" dataDxfId="11">
      <calculatedColumnFormula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calculatedColumnFormula>
    </tableColumn>
    <tableColumn id="4" xr3:uid="{8B3DB629-E417-40B8-95E7-5C1E5CD4445C}" name="Actual (Month) Bucket" dataDxfId="10">
      <calculatedColumnFormula>IF(TableAOPTarget[[#This Row],[EPC Status]]="EPC Ready",INDEX(TableAopCalendar[Month for Plan],MATCH(TableAOPTarget[[#This Row],[Actual Finish Date]],TableAopCalendar[Date],0))," ")</calculatedColumnFormula>
    </tableColumn>
    <tableColumn id="36" xr3:uid="{7A5B849C-E122-4346-BBDC-8C0A571B4432}" name="Plan % Completion" dataDxfId="9"/>
    <tableColumn id="32" xr3:uid="{FB203A02-377F-4E61-95DA-C0D5C9DD56FE}" name="Actual % completed" dataDxfId="8"/>
    <tableColumn id="13" xr3:uid="{F3834283-1EB0-4BCC-A52A-D8A537AEC684}" name="EPC Status" dataDxfId="7"/>
    <tableColumn id="16" xr3:uid="{F0F63B5D-3816-4C45-938C-BCED3A4FF1F3}" name="EPC Status - PM" dataDxfId="6"/>
    <tableColumn id="25" xr3:uid="{8DA80073-39BE-4EDC-A7BB-3238CE2DC2DF}" name="EPC Status - PM2" dataDxfId="5"/>
    <tableColumn id="14" xr3:uid="{F89FA93B-414A-49DE-A71F-4B0529AC8C75}" name="YTS Remarks" dataDxfId="4">
      <calculatedColumnFormula>VLOOKUP(TableAOPTarget[[#This Row],[PD]],[18]Backup!$C:$F,4,0)</calculatedColumnFormula>
    </tableColumn>
    <tableColumn id="31" xr3:uid="{435DA5AC-3C6A-470E-AC31-13B5C01B164F}" name="Column3" dataDxfId="3">
      <calculatedColumnFormula>VLOOKUP(TableAOPTarget[[#This Row],[Apex ID]],'[17]Main Backup'!$A:$I,9,0)</calculatedColumnFormula>
    </tableColumn>
    <tableColumn id="19" xr3:uid="{2A0A58B0-548F-4398-A6C8-DBB1265562A3}" name="Plan Start Date" dataDxfId="2">
      <calculatedColumnFormula>IF(TableAOPTarget[[#This Row],[RFC Date]]="","",(TableAOPTarget[[#This Row],[RFC Date]]+3))</calculatedColumnFormula>
    </tableColumn>
    <tableColumn id="24" xr3:uid="{A803C17E-7205-4088-86D5-EAE2B872DF4B}" name="Mobilization Ageing" dataDxfId="1">
      <calculatedColumnFormula>IF(OR(TableAOPTarget[[#This Row],[EPC Status]]="Dropped",TableAOPTarget[[#This Row],[EPC Status]]="NRFC"),"",IF(TableAOPTarget[[#This Row],[Plan Start Date]]="","",(TableAOPTarget[[#This Row],[Actual Start Date]]-TableAOPTarget[[#This Row],[Plan Start Date]])))</calculatedColumnFormula>
    </tableColumn>
    <tableColumn id="27" xr3:uid="{BC83DF55-1079-423B-A8E3-E508602F4068}" name="Column2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M17"/>
  <sheetViews>
    <sheetView showGridLines="0" zoomScale="85" zoomScaleNormal="85" workbookViewId="0">
      <selection activeCell="C6" sqref="C6"/>
    </sheetView>
  </sheetViews>
  <sheetFormatPr defaultColWidth="9.140625" defaultRowHeight="15" x14ac:dyDescent="0.25"/>
  <cols>
    <col min="1" max="1" width="1.140625" style="36" customWidth="1"/>
    <col min="2" max="2" width="18.42578125" style="36" bestFit="1" customWidth="1"/>
    <col min="3" max="3" width="16.28515625" style="37" bestFit="1" customWidth="1"/>
    <col min="4" max="4" width="4" style="37" bestFit="1" customWidth="1"/>
    <col min="5" max="5" width="9.28515625" style="37" bestFit="1" customWidth="1"/>
    <col min="6" max="6" width="4.140625" style="37" bestFit="1" customWidth="1"/>
    <col min="7" max="7" width="20.140625" style="37" bestFit="1" customWidth="1"/>
    <col min="8" max="8" width="6.140625" style="37" bestFit="1" customWidth="1"/>
    <col min="9" max="9" width="20.28515625" style="37" bestFit="1" customWidth="1"/>
    <col min="10" max="10" width="17.5703125" style="37" bestFit="1" customWidth="1"/>
    <col min="11" max="11" width="12.85546875" style="37" bestFit="1" customWidth="1"/>
    <col min="12" max="12" width="7.42578125" style="36" bestFit="1" customWidth="1"/>
    <col min="13" max="13" width="6.5703125" style="36" bestFit="1" customWidth="1"/>
    <col min="14" max="16384" width="9.140625" style="36"/>
  </cols>
  <sheetData>
    <row r="1" spans="2:13" ht="6" customHeight="1" thickBot="1" x14ac:dyDescent="0.3"/>
    <row r="2" spans="2:13" ht="27" customHeight="1" thickBot="1" x14ac:dyDescent="0.3">
      <c r="B2" s="246" t="s">
        <v>414</v>
      </c>
      <c r="C2" s="247"/>
      <c r="D2" s="247"/>
      <c r="E2" s="247"/>
      <c r="F2" s="247"/>
      <c r="G2" s="247"/>
      <c r="H2" s="247"/>
      <c r="I2" s="247"/>
      <c r="J2" s="247"/>
      <c r="K2" s="247"/>
      <c r="L2" s="248"/>
      <c r="M2" s="210"/>
    </row>
    <row r="3" spans="2:13" ht="5.25" customHeight="1" thickBot="1" x14ac:dyDescent="0.3"/>
    <row r="4" spans="2:13" ht="15.75" hidden="1" thickBot="1" x14ac:dyDescent="0.3">
      <c r="B4" s="38" t="s">
        <v>413</v>
      </c>
      <c r="C4" s="39" t="s">
        <v>412</v>
      </c>
      <c r="L4"/>
      <c r="M4"/>
    </row>
    <row r="5" spans="2:13" s="42" customFormat="1" ht="38.25" customHeight="1" thickBot="1" x14ac:dyDescent="0.3">
      <c r="B5" s="190" t="s">
        <v>0</v>
      </c>
      <c r="C5" s="190" t="s">
        <v>408</v>
      </c>
      <c r="D5" s="204" t="s">
        <v>409</v>
      </c>
      <c r="E5" s="190" t="s">
        <v>410</v>
      </c>
      <c r="F5" s="241" t="s">
        <v>685</v>
      </c>
      <c r="G5" s="190" t="s">
        <v>420</v>
      </c>
      <c r="H5" s="209" t="s">
        <v>436</v>
      </c>
      <c r="I5" s="203" t="s">
        <v>583</v>
      </c>
      <c r="J5" s="205" t="s">
        <v>679</v>
      </c>
      <c r="K5" s="190" t="s">
        <v>8</v>
      </c>
      <c r="L5"/>
      <c r="M5"/>
    </row>
    <row r="6" spans="2:13" ht="20.25" customHeight="1" x14ac:dyDescent="0.25">
      <c r="B6" s="206" t="s">
        <v>686</v>
      </c>
      <c r="C6" s="171">
        <v>15</v>
      </c>
      <c r="D6" s="173">
        <v>7</v>
      </c>
      <c r="E6" s="173">
        <v>1</v>
      </c>
      <c r="F6" s="173"/>
      <c r="G6" s="173"/>
      <c r="H6" s="172">
        <v>5</v>
      </c>
      <c r="I6" s="172">
        <v>25</v>
      </c>
      <c r="J6" s="172">
        <v>2</v>
      </c>
      <c r="K6" s="174">
        <v>55</v>
      </c>
      <c r="L6"/>
      <c r="M6"/>
    </row>
    <row r="7" spans="2:13" ht="20.25" customHeight="1" thickBot="1" x14ac:dyDescent="0.3">
      <c r="B7" s="207" t="s">
        <v>345</v>
      </c>
      <c r="C7" s="185">
        <v>20</v>
      </c>
      <c r="D7" s="187">
        <v>4</v>
      </c>
      <c r="E7" s="187">
        <v>1</v>
      </c>
      <c r="F7" s="187">
        <v>3</v>
      </c>
      <c r="G7" s="186">
        <v>2</v>
      </c>
      <c r="H7" s="187">
        <v>9</v>
      </c>
      <c r="I7" s="187">
        <v>14</v>
      </c>
      <c r="J7" s="187">
        <v>1</v>
      </c>
      <c r="K7" s="188">
        <v>54</v>
      </c>
      <c r="L7"/>
      <c r="M7"/>
    </row>
    <row r="8" spans="2:13" ht="20.25" customHeight="1" thickBot="1" x14ac:dyDescent="0.3">
      <c r="B8" s="189" t="s">
        <v>8</v>
      </c>
      <c r="C8" s="208">
        <v>35</v>
      </c>
      <c r="D8" s="200">
        <v>11</v>
      </c>
      <c r="E8" s="200">
        <v>2</v>
      </c>
      <c r="F8" s="200">
        <v>3</v>
      </c>
      <c r="G8" s="201">
        <v>2</v>
      </c>
      <c r="H8" s="200">
        <v>14</v>
      </c>
      <c r="I8" s="200">
        <v>39</v>
      </c>
      <c r="J8" s="200">
        <v>3</v>
      </c>
      <c r="K8" s="202">
        <v>109</v>
      </c>
      <c r="L8"/>
      <c r="M8"/>
    </row>
    <row r="9" spans="2:13" ht="20.25" customHeight="1" x14ac:dyDescent="0.25">
      <c r="B9"/>
      <c r="C9"/>
      <c r="D9"/>
      <c r="E9"/>
      <c r="F9"/>
      <c r="G9"/>
      <c r="H9"/>
      <c r="I9"/>
      <c r="J9"/>
      <c r="K9"/>
      <c r="L9"/>
      <c r="M9"/>
    </row>
    <row r="10" spans="2:13" ht="20.25" customHeight="1" thickBot="1" x14ac:dyDescent="0.3">
      <c r="B10"/>
      <c r="C10"/>
      <c r="D10"/>
      <c r="E10"/>
      <c r="F10"/>
      <c r="G10"/>
      <c r="H10"/>
      <c r="I10"/>
      <c r="J10"/>
      <c r="K10"/>
      <c r="L10"/>
      <c r="M10"/>
    </row>
    <row r="11" spans="2:13" ht="20.25" customHeight="1" thickBot="1" x14ac:dyDescent="0.3">
      <c r="B11"/>
      <c r="C11"/>
      <c r="D11"/>
      <c r="E11"/>
      <c r="F11"/>
      <c r="G11"/>
      <c r="H11"/>
      <c r="I11"/>
      <c r="J11"/>
      <c r="K11"/>
      <c r="L11"/>
      <c r="M11"/>
    </row>
    <row r="12" spans="2:13" ht="20.25" customHeight="1" x14ac:dyDescent="0.25">
      <c r="B12"/>
      <c r="C12"/>
      <c r="D12"/>
      <c r="E12"/>
      <c r="F12"/>
      <c r="G12"/>
      <c r="H12"/>
      <c r="I12"/>
      <c r="J12"/>
      <c r="K12"/>
      <c r="L12"/>
    </row>
    <row r="13" spans="2:13" ht="20.25" customHeight="1" x14ac:dyDescent="0.25">
      <c r="B13"/>
      <c r="C13"/>
      <c r="D13"/>
      <c r="E13"/>
      <c r="F13"/>
      <c r="G13"/>
      <c r="H13"/>
      <c r="I13"/>
      <c r="J13"/>
      <c r="K13"/>
      <c r="L13"/>
    </row>
    <row r="14" spans="2:13" x14ac:dyDescent="0.25">
      <c r="B14"/>
      <c r="C14"/>
      <c r="D14"/>
      <c r="E14"/>
      <c r="F14"/>
      <c r="G14"/>
      <c r="H14"/>
      <c r="I14"/>
      <c r="J14"/>
      <c r="K14"/>
      <c r="L14"/>
    </row>
    <row r="15" spans="2:13" x14ac:dyDescent="0.25">
      <c r="B15"/>
      <c r="C15"/>
      <c r="D15"/>
      <c r="E15"/>
      <c r="F15"/>
      <c r="G15"/>
      <c r="H15"/>
      <c r="I15"/>
      <c r="J15"/>
      <c r="K15"/>
      <c r="L15"/>
    </row>
    <row r="16" spans="2:13" x14ac:dyDescent="0.25">
      <c r="B16"/>
      <c r="C16"/>
      <c r="D16"/>
      <c r="E16"/>
      <c r="F16"/>
      <c r="G16"/>
      <c r="H16"/>
      <c r="I16"/>
      <c r="J16"/>
      <c r="K16"/>
      <c r="L16"/>
    </row>
    <row r="17" spans="2:11" x14ac:dyDescent="0.25">
      <c r="B17"/>
      <c r="C17"/>
      <c r="D17"/>
      <c r="E17"/>
      <c r="F17"/>
      <c r="G17"/>
      <c r="H17"/>
      <c r="I17"/>
      <c r="J17"/>
      <c r="K17" s="44"/>
    </row>
  </sheetData>
  <mergeCells count="1">
    <mergeCell ref="B2:L2"/>
  </mergeCells>
  <pageMargins left="0.25" right="0.25" top="0.75" bottom="0.75" header="0.3" footer="0.3"/>
  <pageSetup paperSize="9" scale="94" orientation="landscape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B1:P25"/>
  <sheetViews>
    <sheetView showGridLines="0" zoomScale="74" zoomScaleNormal="55" zoomScaleSheetLayoutView="50" workbookViewId="0">
      <selection activeCell="B2" sqref="B2:L9"/>
    </sheetView>
  </sheetViews>
  <sheetFormatPr defaultColWidth="9.140625" defaultRowHeight="15" x14ac:dyDescent="0.25"/>
  <cols>
    <col min="1" max="1" width="1.28515625" style="43" customWidth="1"/>
    <col min="2" max="2" width="25.7109375" style="42" customWidth="1"/>
    <col min="3" max="3" width="14.28515625" style="43" customWidth="1"/>
    <col min="4" max="4" width="14.28515625" style="42" customWidth="1"/>
    <col min="5" max="5" width="12.42578125" style="43" customWidth="1"/>
    <col min="6" max="6" width="14.28515625" style="43" customWidth="1"/>
    <col min="7" max="7" width="14.28515625" style="42" customWidth="1"/>
    <col min="8" max="8" width="14" style="42" customWidth="1"/>
    <col min="9" max="9" width="16" style="42" customWidth="1"/>
    <col min="10" max="10" width="13.42578125" style="42" customWidth="1"/>
    <col min="11" max="11" width="13.85546875" style="42" hidden="1" customWidth="1"/>
    <col min="12" max="12" width="16.5703125" style="43" customWidth="1"/>
    <col min="13" max="13" width="18" style="43" bestFit="1" customWidth="1"/>
    <col min="14" max="14" width="9.140625" style="43"/>
    <col min="15" max="15" width="12.140625" style="43" bestFit="1" customWidth="1"/>
    <col min="16" max="16" width="11.28515625" style="43" bestFit="1" customWidth="1"/>
    <col min="17" max="16384" width="9.140625" style="43"/>
  </cols>
  <sheetData>
    <row r="1" spans="2:16" ht="6.75" customHeight="1" thickBot="1" x14ac:dyDescent="0.3">
      <c r="B1" s="37"/>
      <c r="C1" s="36"/>
    </row>
    <row r="2" spans="2:16" ht="24.75" customHeight="1" thickBot="1" x14ac:dyDescent="0.3">
      <c r="B2" s="251" t="s">
        <v>555</v>
      </c>
      <c r="C2" s="252"/>
      <c r="D2" s="252"/>
      <c r="E2" s="252"/>
      <c r="F2" s="252"/>
      <c r="G2" s="252"/>
      <c r="H2" s="252"/>
      <c r="I2" s="252"/>
      <c r="J2" s="252"/>
      <c r="K2" s="252"/>
      <c r="L2" s="253"/>
      <c r="M2" s="198"/>
    </row>
    <row r="3" spans="2:16" ht="7.5" customHeight="1" thickBot="1" x14ac:dyDescent="0.3">
      <c r="B3" s="249"/>
      <c r="C3" s="250"/>
      <c r="D3" s="250"/>
      <c r="E3" s="250"/>
      <c r="F3" s="250"/>
      <c r="G3" s="250"/>
      <c r="H3" s="250"/>
      <c r="I3" s="250"/>
      <c r="J3" s="250"/>
      <c r="K3" s="250"/>
      <c r="L3" s="159"/>
    </row>
    <row r="4" spans="2:16" hidden="1" x14ac:dyDescent="0.25">
      <c r="B4" s="165" t="s">
        <v>413</v>
      </c>
      <c r="C4" s="166" t="s">
        <v>412</v>
      </c>
      <c r="D4" s="167"/>
      <c r="E4" s="167"/>
      <c r="F4" s="167"/>
      <c r="G4" s="167"/>
      <c r="H4" s="167"/>
      <c r="I4" s="167"/>
      <c r="J4" s="167"/>
      <c r="K4" s="167"/>
      <c r="L4" s="167"/>
      <c r="M4"/>
      <c r="N4" s="36"/>
      <c r="O4" s="36"/>
      <c r="P4" s="36"/>
    </row>
    <row r="5" spans="2:16" s="42" customFormat="1" ht="66.95" customHeight="1" thickBot="1" x14ac:dyDescent="0.3">
      <c r="B5" s="168" t="s">
        <v>11</v>
      </c>
      <c r="C5" s="169" t="s">
        <v>408</v>
      </c>
      <c r="D5" s="170" t="s">
        <v>409</v>
      </c>
      <c r="E5" s="169" t="s">
        <v>410</v>
      </c>
      <c r="F5" s="211" t="s">
        <v>685</v>
      </c>
      <c r="G5" s="199" t="s">
        <v>420</v>
      </c>
      <c r="H5" s="169" t="s">
        <v>436</v>
      </c>
      <c r="I5" s="175" t="s">
        <v>583</v>
      </c>
      <c r="J5" s="175" t="s">
        <v>679</v>
      </c>
      <c r="K5" s="211" t="s">
        <v>684</v>
      </c>
      <c r="L5" s="169" t="s">
        <v>8</v>
      </c>
      <c r="M5"/>
      <c r="N5" s="37"/>
      <c r="O5" s="37"/>
      <c r="P5" s="37"/>
    </row>
    <row r="6" spans="2:16" ht="19.5" customHeight="1" x14ac:dyDescent="0.25">
      <c r="B6" s="176" t="s">
        <v>441</v>
      </c>
      <c r="C6" s="177">
        <v>1</v>
      </c>
      <c r="D6" s="172">
        <v>3</v>
      </c>
      <c r="E6" s="172">
        <v>1</v>
      </c>
      <c r="F6" s="172"/>
      <c r="G6" s="173"/>
      <c r="H6" s="172"/>
      <c r="I6" s="172">
        <v>30</v>
      </c>
      <c r="J6" s="172"/>
      <c r="K6" s="172">
        <v>1</v>
      </c>
      <c r="L6" s="212">
        <v>36</v>
      </c>
      <c r="M6"/>
      <c r="N6" s="36"/>
      <c r="O6" s="36"/>
      <c r="P6" s="36"/>
    </row>
    <row r="7" spans="2:16" ht="19.5" customHeight="1" x14ac:dyDescent="0.25">
      <c r="B7" s="178" t="s">
        <v>445</v>
      </c>
      <c r="C7" s="179">
        <v>9</v>
      </c>
      <c r="D7" s="41">
        <v>2</v>
      </c>
      <c r="E7" s="41"/>
      <c r="F7" s="41">
        <v>1</v>
      </c>
      <c r="G7" s="40"/>
      <c r="H7" s="41">
        <v>8</v>
      </c>
      <c r="I7" s="41">
        <v>1</v>
      </c>
      <c r="J7" s="41">
        <v>2</v>
      </c>
      <c r="K7" s="41"/>
      <c r="L7" s="213">
        <v>23</v>
      </c>
      <c r="M7"/>
      <c r="N7" s="36"/>
      <c r="O7" s="36"/>
      <c r="P7" s="36"/>
    </row>
    <row r="8" spans="2:16" ht="19.5" customHeight="1" thickBot="1" x14ac:dyDescent="0.3">
      <c r="B8" s="180" t="s">
        <v>478</v>
      </c>
      <c r="C8" s="185">
        <v>20</v>
      </c>
      <c r="D8" s="187">
        <v>7</v>
      </c>
      <c r="E8" s="187">
        <v>1</v>
      </c>
      <c r="F8" s="187"/>
      <c r="G8" s="186">
        <v>2</v>
      </c>
      <c r="H8" s="187">
        <v>2</v>
      </c>
      <c r="I8" s="187">
        <v>5</v>
      </c>
      <c r="J8" s="187">
        <v>1</v>
      </c>
      <c r="K8" s="187">
        <v>3</v>
      </c>
      <c r="L8" s="214">
        <v>41</v>
      </c>
      <c r="M8"/>
    </row>
    <row r="9" spans="2:16" ht="19.5" customHeight="1" thickBot="1" x14ac:dyDescent="0.3">
      <c r="B9" s="169" t="s">
        <v>8</v>
      </c>
      <c r="C9" s="182">
        <v>30</v>
      </c>
      <c r="D9" s="184">
        <v>12</v>
      </c>
      <c r="E9" s="184">
        <v>2</v>
      </c>
      <c r="F9" s="184">
        <v>1</v>
      </c>
      <c r="G9" s="183">
        <v>2</v>
      </c>
      <c r="H9" s="184">
        <v>10</v>
      </c>
      <c r="I9" s="184">
        <v>36</v>
      </c>
      <c r="J9" s="184">
        <v>3</v>
      </c>
      <c r="K9" s="184">
        <v>4</v>
      </c>
      <c r="L9" s="181">
        <v>100</v>
      </c>
      <c r="M9"/>
    </row>
    <row r="10" spans="2:16" ht="19.5" customHeight="1" x14ac:dyDescent="0.25">
      <c r="B10"/>
      <c r="C10"/>
      <c r="D10"/>
      <c r="E10"/>
      <c r="F10"/>
      <c r="G10"/>
      <c r="H10"/>
      <c r="I10"/>
      <c r="J10"/>
      <c r="K10"/>
      <c r="L10"/>
    </row>
    <row r="11" spans="2:16" ht="19.5" customHeight="1" x14ac:dyDescent="0.25">
      <c r="B11"/>
      <c r="C11"/>
      <c r="D11"/>
      <c r="E11"/>
      <c r="F11"/>
      <c r="G11"/>
      <c r="H11"/>
      <c r="I11"/>
      <c r="J11"/>
      <c r="K11"/>
      <c r="L11"/>
    </row>
    <row r="12" spans="2:16" ht="19.5" customHeight="1" x14ac:dyDescent="0.25">
      <c r="B12"/>
      <c r="C12"/>
      <c r="D12"/>
      <c r="E12"/>
      <c r="F12"/>
      <c r="G12"/>
      <c r="H12"/>
      <c r="I12"/>
      <c r="J12"/>
      <c r="K12"/>
      <c r="L12"/>
    </row>
    <row r="13" spans="2:16" ht="36.75" customHeight="1" x14ac:dyDescent="0.25">
      <c r="B13"/>
      <c r="C13"/>
      <c r="D13"/>
      <c r="E13"/>
      <c r="F13"/>
      <c r="G13"/>
      <c r="H13"/>
      <c r="I13"/>
      <c r="J13"/>
      <c r="K13"/>
      <c r="L13"/>
    </row>
    <row r="14" spans="2:16" ht="19.5" customHeight="1" x14ac:dyDescent="0.25">
      <c r="B14"/>
      <c r="C14"/>
      <c r="D14"/>
      <c r="E14"/>
      <c r="F14"/>
      <c r="G14"/>
      <c r="H14"/>
      <c r="I14"/>
      <c r="J14"/>
      <c r="K14"/>
      <c r="L14"/>
    </row>
    <row r="15" spans="2:16" ht="19.5" customHeight="1" x14ac:dyDescent="0.25">
      <c r="B15"/>
      <c r="C15"/>
      <c r="D15"/>
      <c r="E15"/>
      <c r="F15"/>
      <c r="G15"/>
      <c r="H15"/>
      <c r="I15"/>
      <c r="J15"/>
      <c r="K15"/>
      <c r="L15"/>
    </row>
    <row r="16" spans="2:16" ht="30" customHeight="1" x14ac:dyDescent="0.25">
      <c r="B16"/>
      <c r="C16"/>
      <c r="D16"/>
      <c r="E16"/>
      <c r="F16"/>
      <c r="G16"/>
      <c r="H16"/>
      <c r="I16"/>
      <c r="J16"/>
      <c r="K16"/>
      <c r="L16"/>
    </row>
    <row r="17" spans="2:12" ht="19.5" customHeight="1" x14ac:dyDescent="0.25">
      <c r="B17"/>
      <c r="C17"/>
      <c r="D17"/>
      <c r="E17"/>
      <c r="F17"/>
      <c r="G17"/>
      <c r="H17"/>
      <c r="I17"/>
      <c r="J17"/>
      <c r="K17"/>
      <c r="L17"/>
    </row>
    <row r="18" spans="2:12" ht="19.5" customHeight="1" x14ac:dyDescent="0.25">
      <c r="B18"/>
      <c r="C18"/>
      <c r="D18"/>
      <c r="E18"/>
      <c r="F18"/>
      <c r="G18"/>
      <c r="H18"/>
      <c r="I18"/>
      <c r="J18"/>
      <c r="K18"/>
      <c r="L18"/>
    </row>
    <row r="19" spans="2:12" ht="19.5" customHeight="1" x14ac:dyDescent="0.25">
      <c r="B19"/>
      <c r="C19"/>
      <c r="D19"/>
      <c r="E19"/>
      <c r="F19"/>
      <c r="G19"/>
      <c r="H19"/>
      <c r="I19"/>
      <c r="J19"/>
      <c r="K19"/>
      <c r="L19"/>
    </row>
    <row r="20" spans="2:12" x14ac:dyDescent="0.25">
      <c r="B20"/>
      <c r="C20"/>
      <c r="D20"/>
      <c r="E20"/>
      <c r="F20"/>
      <c r="G20"/>
      <c r="H20"/>
      <c r="I20"/>
      <c r="J20"/>
      <c r="K20"/>
      <c r="L20"/>
    </row>
    <row r="21" spans="2:12" x14ac:dyDescent="0.25">
      <c r="B21"/>
      <c r="C21"/>
      <c r="D21"/>
      <c r="E21"/>
      <c r="F21"/>
      <c r="G21"/>
      <c r="H21"/>
      <c r="I21"/>
      <c r="J21"/>
      <c r="K21"/>
      <c r="L21"/>
    </row>
    <row r="22" spans="2:12" x14ac:dyDescent="0.25">
      <c r="B22"/>
      <c r="C22"/>
      <c r="D22"/>
      <c r="E22"/>
      <c r="F22"/>
      <c r="G22"/>
      <c r="H22"/>
      <c r="I22"/>
      <c r="J22"/>
      <c r="K22"/>
      <c r="L22"/>
    </row>
    <row r="23" spans="2:12" x14ac:dyDescent="0.25">
      <c r="B23"/>
      <c r="C23"/>
      <c r="D23"/>
      <c r="E23"/>
      <c r="F23"/>
      <c r="G23"/>
      <c r="H23"/>
      <c r="I23"/>
      <c r="J23"/>
      <c r="K23"/>
      <c r="L23"/>
    </row>
    <row r="24" spans="2:12" x14ac:dyDescent="0.25">
      <c r="B24"/>
      <c r="C24"/>
      <c r="D24"/>
      <c r="E24"/>
      <c r="F24"/>
      <c r="G24"/>
      <c r="H24"/>
      <c r="I24"/>
      <c r="J24"/>
      <c r="K24"/>
      <c r="L24"/>
    </row>
    <row r="25" spans="2:12" x14ac:dyDescent="0.25">
      <c r="B25"/>
      <c r="C25"/>
      <c r="D25"/>
      <c r="E25"/>
      <c r="F25"/>
      <c r="G25"/>
      <c r="H25"/>
      <c r="I25"/>
      <c r="J25"/>
      <c r="K25"/>
      <c r="L25"/>
    </row>
  </sheetData>
  <mergeCells count="2">
    <mergeCell ref="B3:K3"/>
    <mergeCell ref="B2:L2"/>
  </mergeCells>
  <pageMargins left="0.25" right="0.25" top="0.75" bottom="0.75" header="0.3" footer="0.3"/>
  <pageSetup paperSize="8" orientation="landscape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55"/>
  <sheetViews>
    <sheetView zoomScale="80" zoomScaleNormal="80" workbookViewId="0">
      <pane ySplit="1" topLeftCell="A2" activePane="bottomLeft" state="frozen"/>
      <selection pane="bottomLeft" activeCell="C28" sqref="C27:C28"/>
    </sheetView>
  </sheetViews>
  <sheetFormatPr defaultRowHeight="15" x14ac:dyDescent="0.25"/>
  <cols>
    <col min="1" max="1" width="12.140625" bestFit="1" customWidth="1"/>
    <col min="2" max="4" width="40.7109375" customWidth="1"/>
    <col min="5" max="7" width="20.7109375" customWidth="1"/>
    <col min="8" max="11" width="18.28515625" customWidth="1"/>
  </cols>
  <sheetData>
    <row r="1" spans="1:7" x14ac:dyDescent="0.25">
      <c r="A1" s="23" t="s">
        <v>86</v>
      </c>
      <c r="B1" s="9" t="s">
        <v>103</v>
      </c>
      <c r="C1" s="9" t="s">
        <v>11</v>
      </c>
      <c r="D1" s="9" t="s">
        <v>101</v>
      </c>
      <c r="E1" s="9" t="s">
        <v>315</v>
      </c>
      <c r="F1" s="9" t="s">
        <v>113</v>
      </c>
      <c r="G1" s="9" t="s">
        <v>335</v>
      </c>
    </row>
    <row r="2" spans="1:7" x14ac:dyDescent="0.25">
      <c r="A2" s="18" t="s">
        <v>13</v>
      </c>
      <c r="B2" s="10"/>
      <c r="C2" s="10"/>
      <c r="D2" s="10" t="s">
        <v>37</v>
      </c>
      <c r="E2" s="10"/>
      <c r="F2" s="11">
        <f>SUM(F3:F18)</f>
        <v>325</v>
      </c>
      <c r="G2" s="10"/>
    </row>
    <row r="3" spans="1:7" x14ac:dyDescent="0.25">
      <c r="A3" s="19">
        <v>1</v>
      </c>
      <c r="B3" s="12" t="s">
        <v>37</v>
      </c>
      <c r="C3" s="12" t="s">
        <v>223</v>
      </c>
      <c r="D3" s="12" t="s">
        <v>44</v>
      </c>
      <c r="E3" s="12" t="s">
        <v>113</v>
      </c>
      <c r="F3" s="13">
        <v>98</v>
      </c>
      <c r="G3" s="12" t="s">
        <v>336</v>
      </c>
    </row>
    <row r="4" spans="1:7" x14ac:dyDescent="0.25">
      <c r="A4" s="19">
        <v>2</v>
      </c>
      <c r="B4" s="12" t="s">
        <v>37</v>
      </c>
      <c r="C4" s="12" t="s">
        <v>223</v>
      </c>
      <c r="D4" s="12" t="s">
        <v>30</v>
      </c>
      <c r="E4" s="12" t="s">
        <v>113</v>
      </c>
      <c r="F4" s="13">
        <v>65</v>
      </c>
      <c r="G4" s="12" t="s">
        <v>336</v>
      </c>
    </row>
    <row r="5" spans="1:7" x14ac:dyDescent="0.25">
      <c r="A5" s="19">
        <v>3</v>
      </c>
      <c r="B5" s="14" t="s">
        <v>37</v>
      </c>
      <c r="C5" s="12" t="s">
        <v>223</v>
      </c>
      <c r="D5" s="14" t="s">
        <v>142</v>
      </c>
      <c r="E5" s="12" t="s">
        <v>113</v>
      </c>
      <c r="F5" s="15">
        <v>30</v>
      </c>
      <c r="G5" s="12" t="s">
        <v>336</v>
      </c>
    </row>
    <row r="6" spans="1:7" x14ac:dyDescent="0.25">
      <c r="A6" s="19">
        <v>4</v>
      </c>
      <c r="B6" s="12" t="s">
        <v>37</v>
      </c>
      <c r="C6" s="12" t="s">
        <v>223</v>
      </c>
      <c r="D6" s="12" t="s">
        <v>45</v>
      </c>
      <c r="E6" s="12" t="s">
        <v>113</v>
      </c>
      <c r="F6" s="13">
        <v>1</v>
      </c>
      <c r="G6" s="12" t="s">
        <v>336</v>
      </c>
    </row>
    <row r="7" spans="1:7" x14ac:dyDescent="0.25">
      <c r="A7" s="19">
        <v>5</v>
      </c>
      <c r="B7" s="14" t="s">
        <v>37</v>
      </c>
      <c r="C7" s="12" t="s">
        <v>223</v>
      </c>
      <c r="D7" s="14" t="s">
        <v>49</v>
      </c>
      <c r="E7" s="14" t="s">
        <v>316</v>
      </c>
      <c r="F7" s="15">
        <v>0</v>
      </c>
      <c r="G7" s="12" t="s">
        <v>336</v>
      </c>
    </row>
    <row r="8" spans="1:7" x14ac:dyDescent="0.25">
      <c r="A8" s="19">
        <v>6</v>
      </c>
      <c r="B8" s="12" t="s">
        <v>37</v>
      </c>
      <c r="C8" s="12" t="s">
        <v>223</v>
      </c>
      <c r="D8" s="12" t="s">
        <v>145</v>
      </c>
      <c r="E8" s="12" t="s">
        <v>113</v>
      </c>
      <c r="F8" s="13">
        <v>20</v>
      </c>
      <c r="G8" s="12" t="s">
        <v>336</v>
      </c>
    </row>
    <row r="9" spans="1:7" x14ac:dyDescent="0.25">
      <c r="A9" s="19">
        <v>7</v>
      </c>
      <c r="B9" s="14" t="s">
        <v>37</v>
      </c>
      <c r="C9" s="12" t="s">
        <v>223</v>
      </c>
      <c r="D9" s="14" t="s">
        <v>146</v>
      </c>
      <c r="E9" s="14" t="s">
        <v>316</v>
      </c>
      <c r="F9" s="15">
        <v>0</v>
      </c>
      <c r="G9" s="12" t="s">
        <v>336</v>
      </c>
    </row>
    <row r="10" spans="1:7" x14ac:dyDescent="0.25">
      <c r="A10" s="19">
        <v>8</v>
      </c>
      <c r="B10" s="14" t="s">
        <v>37</v>
      </c>
      <c r="C10" s="12" t="s">
        <v>223</v>
      </c>
      <c r="D10" s="14" t="s">
        <v>47</v>
      </c>
      <c r="E10" s="12" t="s">
        <v>113</v>
      </c>
      <c r="F10" s="15">
        <v>11</v>
      </c>
      <c r="G10" s="12" t="s">
        <v>336</v>
      </c>
    </row>
    <row r="11" spans="1:7" x14ac:dyDescent="0.25">
      <c r="A11" s="19">
        <v>9</v>
      </c>
      <c r="B11" s="14" t="s">
        <v>37</v>
      </c>
      <c r="C11" s="12" t="s">
        <v>223</v>
      </c>
      <c r="D11" s="14" t="s">
        <v>46</v>
      </c>
      <c r="E11" s="12" t="s">
        <v>113</v>
      </c>
      <c r="F11" s="15">
        <v>84</v>
      </c>
      <c r="G11" s="12" t="s">
        <v>336</v>
      </c>
    </row>
    <row r="12" spans="1:7" x14ac:dyDescent="0.25">
      <c r="A12" s="19">
        <v>10</v>
      </c>
      <c r="B12" s="14" t="s">
        <v>37</v>
      </c>
      <c r="C12" s="12" t="s">
        <v>223</v>
      </c>
      <c r="D12" s="14" t="s">
        <v>112</v>
      </c>
      <c r="E12" s="14" t="s">
        <v>316</v>
      </c>
      <c r="F12" s="15">
        <v>0</v>
      </c>
      <c r="G12" s="12" t="s">
        <v>336</v>
      </c>
    </row>
    <row r="13" spans="1:7" x14ac:dyDescent="0.25">
      <c r="A13" s="19">
        <v>11</v>
      </c>
      <c r="B13" s="12" t="s">
        <v>37</v>
      </c>
      <c r="C13" s="12" t="s">
        <v>223</v>
      </c>
      <c r="D13" s="12" t="s">
        <v>214</v>
      </c>
      <c r="E13" s="12" t="s">
        <v>113</v>
      </c>
      <c r="F13" s="15">
        <v>4</v>
      </c>
      <c r="G13" s="12" t="s">
        <v>336</v>
      </c>
    </row>
    <row r="14" spans="1:7" x14ac:dyDescent="0.25">
      <c r="A14" s="19">
        <v>12</v>
      </c>
      <c r="B14" s="12" t="s">
        <v>37</v>
      </c>
      <c r="C14" s="12" t="s">
        <v>223</v>
      </c>
      <c r="D14" s="12" t="s">
        <v>231</v>
      </c>
      <c r="E14" s="12" t="s">
        <v>316</v>
      </c>
      <c r="F14" s="13">
        <v>0</v>
      </c>
      <c r="G14" s="12" t="s">
        <v>336</v>
      </c>
    </row>
    <row r="15" spans="1:7" x14ac:dyDescent="0.25">
      <c r="A15" s="19">
        <v>13</v>
      </c>
      <c r="B15" s="12" t="s">
        <v>37</v>
      </c>
      <c r="C15" s="12" t="s">
        <v>223</v>
      </c>
      <c r="D15" s="12" t="s">
        <v>232</v>
      </c>
      <c r="E15" s="12" t="s">
        <v>316</v>
      </c>
      <c r="F15" s="13">
        <v>0</v>
      </c>
      <c r="G15" s="12" t="s">
        <v>336</v>
      </c>
    </row>
    <row r="16" spans="1:7" x14ac:dyDescent="0.25">
      <c r="A16" s="19">
        <v>14</v>
      </c>
      <c r="B16" s="12" t="s">
        <v>37</v>
      </c>
      <c r="C16" s="12" t="s">
        <v>223</v>
      </c>
      <c r="D16" s="12" t="s">
        <v>233</v>
      </c>
      <c r="E16" s="14" t="s">
        <v>316</v>
      </c>
      <c r="F16" s="13">
        <v>0</v>
      </c>
      <c r="G16" s="12" t="s">
        <v>336</v>
      </c>
    </row>
    <row r="17" spans="1:7" x14ac:dyDescent="0.25">
      <c r="A17" s="19">
        <v>15</v>
      </c>
      <c r="B17" s="12" t="s">
        <v>37</v>
      </c>
      <c r="C17" s="12" t="s">
        <v>223</v>
      </c>
      <c r="D17" s="12" t="s">
        <v>217</v>
      </c>
      <c r="E17" s="12" t="s">
        <v>316</v>
      </c>
      <c r="F17" s="13">
        <v>0</v>
      </c>
      <c r="G17" s="12" t="s">
        <v>336</v>
      </c>
    </row>
    <row r="18" spans="1:7" x14ac:dyDescent="0.25">
      <c r="A18" s="19">
        <v>15</v>
      </c>
      <c r="B18" s="12" t="s">
        <v>37</v>
      </c>
      <c r="C18" s="12" t="s">
        <v>223</v>
      </c>
      <c r="D18" s="12" t="s">
        <v>234</v>
      </c>
      <c r="E18" s="12" t="s">
        <v>113</v>
      </c>
      <c r="F18" s="13">
        <v>12</v>
      </c>
      <c r="G18" s="12" t="s">
        <v>336</v>
      </c>
    </row>
    <row r="19" spans="1:7" x14ac:dyDescent="0.25">
      <c r="A19" s="18" t="s">
        <v>147</v>
      </c>
      <c r="B19" s="10"/>
      <c r="C19" s="10"/>
      <c r="D19" s="10" t="s">
        <v>38</v>
      </c>
      <c r="E19" s="10"/>
      <c r="F19" s="11">
        <f>SUM(F20,F61,F91,F95,F101)</f>
        <v>1320</v>
      </c>
      <c r="G19" s="10"/>
    </row>
    <row r="20" spans="1:7" x14ac:dyDescent="0.25">
      <c r="A20" s="20" t="s">
        <v>148</v>
      </c>
      <c r="B20" s="16"/>
      <c r="C20" s="16"/>
      <c r="D20" s="16" t="s">
        <v>215</v>
      </c>
      <c r="E20" s="16"/>
      <c r="F20" s="17">
        <f>SUM(F21:F60)</f>
        <v>618</v>
      </c>
      <c r="G20" s="16"/>
    </row>
    <row r="21" spans="1:7" x14ac:dyDescent="0.25">
      <c r="A21" s="21">
        <v>1</v>
      </c>
      <c r="B21" s="12" t="s">
        <v>38</v>
      </c>
      <c r="C21" s="12" t="s">
        <v>215</v>
      </c>
      <c r="D21" s="12" t="s">
        <v>6</v>
      </c>
      <c r="E21" s="12" t="s">
        <v>113</v>
      </c>
      <c r="F21" s="13">
        <v>122</v>
      </c>
      <c r="G21" s="12" t="s">
        <v>337</v>
      </c>
    </row>
    <row r="22" spans="1:7" x14ac:dyDescent="0.25">
      <c r="A22" s="21">
        <v>2</v>
      </c>
      <c r="B22" s="12" t="s">
        <v>38</v>
      </c>
      <c r="C22" s="12" t="s">
        <v>215</v>
      </c>
      <c r="D22" s="12" t="s">
        <v>2</v>
      </c>
      <c r="E22" s="12" t="s">
        <v>113</v>
      </c>
      <c r="F22" s="13">
        <v>39</v>
      </c>
      <c r="G22" s="12" t="s">
        <v>337</v>
      </c>
    </row>
    <row r="23" spans="1:7" x14ac:dyDescent="0.25">
      <c r="A23" s="21">
        <v>3</v>
      </c>
      <c r="B23" s="12" t="s">
        <v>38</v>
      </c>
      <c r="C23" s="12" t="s">
        <v>215</v>
      </c>
      <c r="D23" s="12" t="s">
        <v>5</v>
      </c>
      <c r="E23" s="12" t="s">
        <v>113</v>
      </c>
      <c r="F23" s="13">
        <v>24</v>
      </c>
      <c r="G23" s="12" t="s">
        <v>337</v>
      </c>
    </row>
    <row r="24" spans="1:7" x14ac:dyDescent="0.25">
      <c r="A24" s="21">
        <v>4</v>
      </c>
      <c r="B24" s="12" t="s">
        <v>38</v>
      </c>
      <c r="C24" s="12" t="s">
        <v>215</v>
      </c>
      <c r="D24" s="12" t="s">
        <v>1</v>
      </c>
      <c r="E24" s="12" t="s">
        <v>113</v>
      </c>
      <c r="F24" s="13">
        <v>9</v>
      </c>
      <c r="G24" s="12" t="s">
        <v>337</v>
      </c>
    </row>
    <row r="25" spans="1:7" x14ac:dyDescent="0.25">
      <c r="A25" s="21">
        <v>5</v>
      </c>
      <c r="B25" s="12" t="s">
        <v>38</v>
      </c>
      <c r="C25" s="12" t="s">
        <v>215</v>
      </c>
      <c r="D25" s="12" t="s">
        <v>59</v>
      </c>
      <c r="E25" s="12" t="s">
        <v>113</v>
      </c>
      <c r="F25" s="13">
        <v>90</v>
      </c>
      <c r="G25" s="12" t="s">
        <v>337</v>
      </c>
    </row>
    <row r="26" spans="1:7" x14ac:dyDescent="0.25">
      <c r="A26" s="21">
        <v>6</v>
      </c>
      <c r="B26" s="12" t="s">
        <v>38</v>
      </c>
      <c r="C26" s="12" t="s">
        <v>215</v>
      </c>
      <c r="D26" s="12" t="s">
        <v>3</v>
      </c>
      <c r="E26" s="12" t="s">
        <v>113</v>
      </c>
      <c r="F26" s="13">
        <v>32</v>
      </c>
      <c r="G26" s="12" t="s">
        <v>337</v>
      </c>
    </row>
    <row r="27" spans="1:7" x14ac:dyDescent="0.25">
      <c r="A27" s="21">
        <v>7</v>
      </c>
      <c r="B27" s="12" t="s">
        <v>38</v>
      </c>
      <c r="C27" s="12" t="s">
        <v>215</v>
      </c>
      <c r="D27" s="12" t="s">
        <v>60</v>
      </c>
      <c r="E27" s="12" t="s">
        <v>113</v>
      </c>
      <c r="F27" s="13">
        <v>38</v>
      </c>
      <c r="G27" s="12" t="s">
        <v>337</v>
      </c>
    </row>
    <row r="28" spans="1:7" x14ac:dyDescent="0.25">
      <c r="A28" s="21">
        <v>8</v>
      </c>
      <c r="B28" s="12" t="s">
        <v>38</v>
      </c>
      <c r="C28" s="12" t="s">
        <v>215</v>
      </c>
      <c r="D28" s="12" t="s">
        <v>7</v>
      </c>
      <c r="E28" s="12" t="s">
        <v>113</v>
      </c>
      <c r="F28" s="13">
        <v>8</v>
      </c>
      <c r="G28" s="12" t="s">
        <v>337</v>
      </c>
    </row>
    <row r="29" spans="1:7" x14ac:dyDescent="0.25">
      <c r="A29" s="21">
        <v>9</v>
      </c>
      <c r="B29" s="12" t="s">
        <v>38</v>
      </c>
      <c r="C29" s="12" t="s">
        <v>215</v>
      </c>
      <c r="D29" s="12" t="s">
        <v>326</v>
      </c>
      <c r="E29" s="12" t="s">
        <v>113</v>
      </c>
      <c r="F29" s="13">
        <v>18</v>
      </c>
      <c r="G29" s="12" t="s">
        <v>337</v>
      </c>
    </row>
    <row r="30" spans="1:7" x14ac:dyDescent="0.25">
      <c r="A30" s="21">
        <v>10</v>
      </c>
      <c r="B30" s="14" t="s">
        <v>38</v>
      </c>
      <c r="C30" s="12" t="s">
        <v>215</v>
      </c>
      <c r="D30" s="14" t="s">
        <v>34</v>
      </c>
      <c r="E30" s="12" t="s">
        <v>113</v>
      </c>
      <c r="F30" s="15">
        <v>29</v>
      </c>
      <c r="G30" s="12" t="s">
        <v>337</v>
      </c>
    </row>
    <row r="31" spans="1:7" x14ac:dyDescent="0.25">
      <c r="A31" s="21">
        <v>11</v>
      </c>
      <c r="B31" s="12" t="s">
        <v>38</v>
      </c>
      <c r="C31" s="12" t="s">
        <v>215</v>
      </c>
      <c r="D31" s="12" t="s">
        <v>57</v>
      </c>
      <c r="E31" s="12" t="s">
        <v>113</v>
      </c>
      <c r="F31" s="13">
        <v>11</v>
      </c>
      <c r="G31" s="12" t="s">
        <v>337</v>
      </c>
    </row>
    <row r="32" spans="1:7" x14ac:dyDescent="0.25">
      <c r="A32" s="21">
        <v>12</v>
      </c>
      <c r="B32" s="14" t="s">
        <v>38</v>
      </c>
      <c r="C32" s="12" t="s">
        <v>215</v>
      </c>
      <c r="D32" s="14" t="s">
        <v>4</v>
      </c>
      <c r="E32" s="12" t="s">
        <v>113</v>
      </c>
      <c r="F32" s="15">
        <v>1</v>
      </c>
      <c r="G32" s="12" t="s">
        <v>337</v>
      </c>
    </row>
    <row r="33" spans="1:7" x14ac:dyDescent="0.25">
      <c r="A33" s="21">
        <v>13</v>
      </c>
      <c r="B33" s="12" t="s">
        <v>38</v>
      </c>
      <c r="C33" s="12" t="s">
        <v>215</v>
      </c>
      <c r="D33" s="12" t="s">
        <v>210</v>
      </c>
      <c r="E33" s="12" t="s">
        <v>113</v>
      </c>
      <c r="F33" s="13">
        <v>2</v>
      </c>
      <c r="G33" s="12" t="s">
        <v>337</v>
      </c>
    </row>
    <row r="34" spans="1:7" x14ac:dyDescent="0.25">
      <c r="A34" s="21">
        <v>14</v>
      </c>
      <c r="B34" s="14" t="s">
        <v>38</v>
      </c>
      <c r="C34" s="12" t="s">
        <v>215</v>
      </c>
      <c r="D34" s="14" t="s">
        <v>67</v>
      </c>
      <c r="E34" s="12" t="s">
        <v>113</v>
      </c>
      <c r="F34" s="13">
        <v>12</v>
      </c>
      <c r="G34" s="12" t="s">
        <v>337</v>
      </c>
    </row>
    <row r="35" spans="1:7" x14ac:dyDescent="0.25">
      <c r="A35" s="21">
        <v>15</v>
      </c>
      <c r="B35" s="12" t="s">
        <v>38</v>
      </c>
      <c r="C35" s="12" t="s">
        <v>215</v>
      </c>
      <c r="D35" s="12" t="s">
        <v>17</v>
      </c>
      <c r="E35" s="14" t="s">
        <v>316</v>
      </c>
      <c r="F35" s="13">
        <v>0</v>
      </c>
      <c r="G35" s="12" t="s">
        <v>337</v>
      </c>
    </row>
    <row r="36" spans="1:7" x14ac:dyDescent="0.25">
      <c r="A36" s="21">
        <v>16</v>
      </c>
      <c r="B36" s="12" t="s">
        <v>38</v>
      </c>
      <c r="C36" s="12" t="s">
        <v>215</v>
      </c>
      <c r="D36" s="12" t="s">
        <v>66</v>
      </c>
      <c r="E36" s="12" t="s">
        <v>113</v>
      </c>
      <c r="F36" s="13">
        <v>3</v>
      </c>
      <c r="G36" s="12" t="s">
        <v>337</v>
      </c>
    </row>
    <row r="37" spans="1:7" x14ac:dyDescent="0.25">
      <c r="A37" s="21">
        <v>17</v>
      </c>
      <c r="B37" s="14" t="s">
        <v>38</v>
      </c>
      <c r="C37" s="12" t="s">
        <v>215</v>
      </c>
      <c r="D37" s="14" t="s">
        <v>68</v>
      </c>
      <c r="E37" s="14" t="s">
        <v>316</v>
      </c>
      <c r="F37" s="13">
        <v>0</v>
      </c>
      <c r="G37" s="12" t="s">
        <v>337</v>
      </c>
    </row>
    <row r="38" spans="1:7" x14ac:dyDescent="0.25">
      <c r="A38" s="21">
        <v>18</v>
      </c>
      <c r="B38" s="14" t="s">
        <v>38</v>
      </c>
      <c r="C38" s="12" t="s">
        <v>215</v>
      </c>
      <c r="D38" s="14" t="s">
        <v>69</v>
      </c>
      <c r="E38" s="14" t="s">
        <v>316</v>
      </c>
      <c r="F38" s="13">
        <v>0</v>
      </c>
      <c r="G38" s="12" t="s">
        <v>337</v>
      </c>
    </row>
    <row r="39" spans="1:7" x14ac:dyDescent="0.25">
      <c r="A39" s="21">
        <v>19</v>
      </c>
      <c r="B39" s="14" t="s">
        <v>38</v>
      </c>
      <c r="C39" s="12" t="s">
        <v>215</v>
      </c>
      <c r="D39" s="14" t="s">
        <v>70</v>
      </c>
      <c r="E39" s="14" t="s">
        <v>316</v>
      </c>
      <c r="F39" s="13">
        <v>0</v>
      </c>
      <c r="G39" s="12" t="s">
        <v>337</v>
      </c>
    </row>
    <row r="40" spans="1:7" x14ac:dyDescent="0.25">
      <c r="A40" s="21">
        <v>20</v>
      </c>
      <c r="B40" s="12" t="s">
        <v>38</v>
      </c>
      <c r="C40" s="12" t="s">
        <v>215</v>
      </c>
      <c r="D40" s="12" t="s">
        <v>15</v>
      </c>
      <c r="E40" s="14" t="s">
        <v>316</v>
      </c>
      <c r="F40" s="13">
        <v>0</v>
      </c>
      <c r="G40" s="12" t="s">
        <v>337</v>
      </c>
    </row>
    <row r="41" spans="1:7" x14ac:dyDescent="0.25">
      <c r="A41" s="21">
        <v>21</v>
      </c>
      <c r="B41" s="12" t="s">
        <v>38</v>
      </c>
      <c r="C41" s="12" t="s">
        <v>215</v>
      </c>
      <c r="D41" s="12" t="s">
        <v>14</v>
      </c>
      <c r="E41" s="12" t="s">
        <v>113</v>
      </c>
      <c r="F41" s="13">
        <v>3</v>
      </c>
      <c r="G41" s="12" t="s">
        <v>337</v>
      </c>
    </row>
    <row r="42" spans="1:7" x14ac:dyDescent="0.25">
      <c r="A42" s="21">
        <v>22</v>
      </c>
      <c r="B42" s="12" t="s">
        <v>38</v>
      </c>
      <c r="C42" s="12" t="s">
        <v>215</v>
      </c>
      <c r="D42" s="12" t="s">
        <v>71</v>
      </c>
      <c r="E42" s="14" t="s">
        <v>316</v>
      </c>
      <c r="F42" s="13">
        <v>0</v>
      </c>
      <c r="G42" s="12" t="s">
        <v>337</v>
      </c>
    </row>
    <row r="43" spans="1:7" x14ac:dyDescent="0.25">
      <c r="A43" s="21">
        <v>23</v>
      </c>
      <c r="B43" s="14" t="s">
        <v>38</v>
      </c>
      <c r="C43" s="12" t="s">
        <v>215</v>
      </c>
      <c r="D43" s="14" t="s">
        <v>81</v>
      </c>
      <c r="E43" s="14" t="s">
        <v>316</v>
      </c>
      <c r="F43" s="13">
        <v>0</v>
      </c>
      <c r="G43" s="12" t="s">
        <v>337</v>
      </c>
    </row>
    <row r="44" spans="1:7" x14ac:dyDescent="0.25">
      <c r="A44" s="21">
        <v>24</v>
      </c>
      <c r="B44" s="12" t="s">
        <v>38</v>
      </c>
      <c r="C44" s="12" t="s">
        <v>215</v>
      </c>
      <c r="D44" s="12" t="s">
        <v>80</v>
      </c>
      <c r="E44" s="14" t="s">
        <v>316</v>
      </c>
      <c r="F44" s="13">
        <v>0</v>
      </c>
      <c r="G44" s="12" t="s">
        <v>337</v>
      </c>
    </row>
    <row r="45" spans="1:7" x14ac:dyDescent="0.25">
      <c r="A45" s="21">
        <v>25</v>
      </c>
      <c r="B45" s="12" t="s">
        <v>38</v>
      </c>
      <c r="C45" s="12" t="s">
        <v>215</v>
      </c>
      <c r="D45" s="12" t="s">
        <v>88</v>
      </c>
      <c r="E45" s="14" t="s">
        <v>316</v>
      </c>
      <c r="F45" s="13">
        <v>0</v>
      </c>
      <c r="G45" s="12" t="s">
        <v>337</v>
      </c>
    </row>
    <row r="46" spans="1:7" x14ac:dyDescent="0.25">
      <c r="A46" s="21">
        <v>26</v>
      </c>
      <c r="B46" s="14" t="s">
        <v>38</v>
      </c>
      <c r="C46" s="12" t="s">
        <v>215</v>
      </c>
      <c r="D46" s="14" t="s">
        <v>79</v>
      </c>
      <c r="E46" s="12" t="s">
        <v>113</v>
      </c>
      <c r="F46" s="15">
        <v>34</v>
      </c>
      <c r="G46" s="12" t="s">
        <v>337</v>
      </c>
    </row>
    <row r="47" spans="1:7" x14ac:dyDescent="0.25">
      <c r="A47" s="21">
        <v>27</v>
      </c>
      <c r="B47" s="14" t="s">
        <v>38</v>
      </c>
      <c r="C47" s="12" t="s">
        <v>215</v>
      </c>
      <c r="D47" s="14" t="s">
        <v>92</v>
      </c>
      <c r="E47" s="12" t="s">
        <v>113</v>
      </c>
      <c r="F47" s="15">
        <v>16</v>
      </c>
      <c r="G47" s="12" t="s">
        <v>339</v>
      </c>
    </row>
    <row r="48" spans="1:7" x14ac:dyDescent="0.25">
      <c r="A48" s="21">
        <v>28</v>
      </c>
      <c r="B48" s="14" t="s">
        <v>38</v>
      </c>
      <c r="C48" s="12" t="s">
        <v>215</v>
      </c>
      <c r="D48" s="14" t="s">
        <v>235</v>
      </c>
      <c r="E48" s="12" t="s">
        <v>113</v>
      </c>
      <c r="F48" s="15">
        <v>2</v>
      </c>
      <c r="G48" s="12" t="s">
        <v>337</v>
      </c>
    </row>
    <row r="49" spans="1:7" x14ac:dyDescent="0.25">
      <c r="A49" s="21">
        <v>29</v>
      </c>
      <c r="B49" s="14" t="s">
        <v>38</v>
      </c>
      <c r="C49" s="12" t="s">
        <v>215</v>
      </c>
      <c r="D49" s="14" t="s">
        <v>296</v>
      </c>
      <c r="E49" s="14" t="s">
        <v>316</v>
      </c>
      <c r="F49" s="13">
        <v>0</v>
      </c>
      <c r="G49" s="12" t="s">
        <v>337</v>
      </c>
    </row>
    <row r="50" spans="1:7" x14ac:dyDescent="0.25">
      <c r="A50" s="21">
        <v>30</v>
      </c>
      <c r="B50" s="14" t="s">
        <v>38</v>
      </c>
      <c r="C50" s="12" t="s">
        <v>215</v>
      </c>
      <c r="D50" s="14" t="s">
        <v>328</v>
      </c>
      <c r="E50" s="12" t="s">
        <v>113</v>
      </c>
      <c r="F50" s="15">
        <v>106</v>
      </c>
      <c r="G50" s="12" t="s">
        <v>337</v>
      </c>
    </row>
    <row r="51" spans="1:7" x14ac:dyDescent="0.25">
      <c r="A51" s="21">
        <v>31</v>
      </c>
      <c r="B51" s="12" t="s">
        <v>38</v>
      </c>
      <c r="C51" s="12" t="s">
        <v>215</v>
      </c>
      <c r="D51" s="12" t="s">
        <v>138</v>
      </c>
      <c r="E51" s="14" t="s">
        <v>316</v>
      </c>
      <c r="F51" s="13">
        <v>0</v>
      </c>
      <c r="G51" s="12" t="s">
        <v>337</v>
      </c>
    </row>
    <row r="52" spans="1:7" x14ac:dyDescent="0.25">
      <c r="A52" s="21">
        <v>32</v>
      </c>
      <c r="B52" s="12" t="s">
        <v>38</v>
      </c>
      <c r="C52" s="12" t="s">
        <v>215</v>
      </c>
      <c r="D52" s="12" t="s">
        <v>299</v>
      </c>
      <c r="E52" s="12" t="s">
        <v>316</v>
      </c>
      <c r="F52" s="15">
        <v>0</v>
      </c>
      <c r="G52" s="12" t="s">
        <v>337</v>
      </c>
    </row>
    <row r="53" spans="1:7" x14ac:dyDescent="0.25">
      <c r="A53" s="21">
        <v>33</v>
      </c>
      <c r="B53" s="12" t="s">
        <v>38</v>
      </c>
      <c r="C53" s="12" t="s">
        <v>215</v>
      </c>
      <c r="D53" s="12" t="s">
        <v>329</v>
      </c>
      <c r="E53" s="12" t="s">
        <v>316</v>
      </c>
      <c r="F53" s="15">
        <v>0</v>
      </c>
      <c r="G53" s="12" t="s">
        <v>337</v>
      </c>
    </row>
    <row r="54" spans="1:7" x14ac:dyDescent="0.25">
      <c r="A54" s="21">
        <v>34</v>
      </c>
      <c r="B54" s="12" t="s">
        <v>38</v>
      </c>
      <c r="C54" s="12" t="s">
        <v>215</v>
      </c>
      <c r="D54" s="12" t="s">
        <v>330</v>
      </c>
      <c r="E54" s="12" t="s">
        <v>316</v>
      </c>
      <c r="F54" s="15">
        <v>0</v>
      </c>
      <c r="G54" s="12" t="s">
        <v>337</v>
      </c>
    </row>
    <row r="55" spans="1:7" x14ac:dyDescent="0.25">
      <c r="A55" s="21">
        <v>35</v>
      </c>
      <c r="B55" s="12" t="s">
        <v>38</v>
      </c>
      <c r="C55" s="12" t="s">
        <v>215</v>
      </c>
      <c r="D55" s="12" t="s">
        <v>220</v>
      </c>
      <c r="E55" s="14" t="s">
        <v>113</v>
      </c>
      <c r="F55" s="15">
        <v>2</v>
      </c>
      <c r="G55" s="12" t="s">
        <v>337</v>
      </c>
    </row>
    <row r="56" spans="1:7" x14ac:dyDescent="0.25">
      <c r="A56" s="21">
        <v>36</v>
      </c>
      <c r="B56" s="12" t="s">
        <v>38</v>
      </c>
      <c r="C56" s="12" t="s">
        <v>215</v>
      </c>
      <c r="D56" s="12" t="s">
        <v>87</v>
      </c>
      <c r="E56" s="14" t="s">
        <v>316</v>
      </c>
      <c r="F56" s="13">
        <v>0</v>
      </c>
      <c r="G56" s="12" t="s">
        <v>337</v>
      </c>
    </row>
    <row r="57" spans="1:7" x14ac:dyDescent="0.25">
      <c r="A57" s="21">
        <v>37</v>
      </c>
      <c r="B57" s="12" t="s">
        <v>38</v>
      </c>
      <c r="C57" s="12" t="s">
        <v>215</v>
      </c>
      <c r="D57" s="29" t="s">
        <v>240</v>
      </c>
      <c r="E57" s="30" t="s">
        <v>316</v>
      </c>
      <c r="F57" s="13">
        <v>0</v>
      </c>
      <c r="G57" s="12" t="s">
        <v>337</v>
      </c>
    </row>
    <row r="58" spans="1:7" x14ac:dyDescent="0.25">
      <c r="A58" s="21">
        <v>38</v>
      </c>
      <c r="B58" s="12" t="s">
        <v>38</v>
      </c>
      <c r="C58" s="12" t="s">
        <v>215</v>
      </c>
      <c r="D58" s="12" t="s">
        <v>141</v>
      </c>
      <c r="E58" s="12" t="s">
        <v>113</v>
      </c>
      <c r="F58" s="15">
        <v>9</v>
      </c>
      <c r="G58" s="12" t="s">
        <v>337</v>
      </c>
    </row>
    <row r="59" spans="1:7" x14ac:dyDescent="0.25">
      <c r="A59" s="21">
        <v>39</v>
      </c>
      <c r="B59" s="12" t="s">
        <v>38</v>
      </c>
      <c r="C59" s="12" t="s">
        <v>215</v>
      </c>
      <c r="D59" s="12" t="s">
        <v>322</v>
      </c>
      <c r="E59" s="12" t="s">
        <v>113</v>
      </c>
      <c r="F59" s="15">
        <v>6</v>
      </c>
      <c r="G59" s="12" t="s">
        <v>337</v>
      </c>
    </row>
    <row r="60" spans="1:7" x14ac:dyDescent="0.25">
      <c r="A60" s="21">
        <v>40</v>
      </c>
      <c r="B60" s="12" t="s">
        <v>38</v>
      </c>
      <c r="C60" s="12" t="s">
        <v>215</v>
      </c>
      <c r="D60" s="12" t="s">
        <v>116</v>
      </c>
      <c r="E60" s="12" t="s">
        <v>113</v>
      </c>
      <c r="F60" s="15">
        <v>2</v>
      </c>
      <c r="G60" s="12" t="s">
        <v>339</v>
      </c>
    </row>
    <row r="61" spans="1:7" x14ac:dyDescent="0.25">
      <c r="A61" s="20" t="s">
        <v>155</v>
      </c>
      <c r="B61" s="16"/>
      <c r="C61" s="16"/>
      <c r="D61" s="16" t="s">
        <v>216</v>
      </c>
      <c r="E61" s="16"/>
      <c r="F61" s="17">
        <f>SUM(F62:F90)</f>
        <v>289</v>
      </c>
      <c r="G61" s="16"/>
    </row>
    <row r="62" spans="1:7" x14ac:dyDescent="0.25">
      <c r="A62" s="21">
        <v>1</v>
      </c>
      <c r="B62" s="12" t="s">
        <v>38</v>
      </c>
      <c r="C62" s="12" t="s">
        <v>216</v>
      </c>
      <c r="D62" s="12" t="s">
        <v>143</v>
      </c>
      <c r="E62" s="14" t="s">
        <v>316</v>
      </c>
      <c r="F62" s="13">
        <v>0</v>
      </c>
      <c r="G62" s="14" t="s">
        <v>337</v>
      </c>
    </row>
    <row r="63" spans="1:7" x14ac:dyDescent="0.25">
      <c r="A63" s="21">
        <v>2</v>
      </c>
      <c r="B63" s="12" t="s">
        <v>38</v>
      </c>
      <c r="C63" s="12" t="s">
        <v>216</v>
      </c>
      <c r="D63" s="12" t="s">
        <v>56</v>
      </c>
      <c r="E63" s="12" t="s">
        <v>113</v>
      </c>
      <c r="F63" s="13">
        <v>53</v>
      </c>
      <c r="G63" s="14" t="s">
        <v>337</v>
      </c>
    </row>
    <row r="64" spans="1:7" x14ac:dyDescent="0.25">
      <c r="A64" s="21">
        <v>3</v>
      </c>
      <c r="B64" s="14" t="s">
        <v>38</v>
      </c>
      <c r="C64" s="12" t="s">
        <v>216</v>
      </c>
      <c r="D64" s="14" t="s">
        <v>300</v>
      </c>
      <c r="E64" s="12" t="s">
        <v>113</v>
      </c>
      <c r="F64" s="15">
        <v>94</v>
      </c>
      <c r="G64" s="14" t="s">
        <v>337</v>
      </c>
    </row>
    <row r="65" spans="1:7" x14ac:dyDescent="0.25">
      <c r="A65" s="21">
        <v>4</v>
      </c>
      <c r="B65" s="14" t="s">
        <v>38</v>
      </c>
      <c r="C65" s="12" t="s">
        <v>216</v>
      </c>
      <c r="D65" s="14" t="s">
        <v>104</v>
      </c>
      <c r="E65" s="14" t="s">
        <v>316</v>
      </c>
      <c r="F65" s="13">
        <v>0</v>
      </c>
      <c r="G65" s="14" t="s">
        <v>337</v>
      </c>
    </row>
    <row r="66" spans="1:7" x14ac:dyDescent="0.25">
      <c r="A66" s="21">
        <v>5</v>
      </c>
      <c r="B66" s="14" t="s">
        <v>38</v>
      </c>
      <c r="C66" s="12" t="s">
        <v>216</v>
      </c>
      <c r="D66" s="14" t="s">
        <v>90</v>
      </c>
      <c r="E66" s="14" t="s">
        <v>316</v>
      </c>
      <c r="F66" s="13">
        <v>0</v>
      </c>
      <c r="G66" s="14" t="s">
        <v>337</v>
      </c>
    </row>
    <row r="67" spans="1:7" x14ac:dyDescent="0.25">
      <c r="A67" s="21">
        <v>6</v>
      </c>
      <c r="B67" s="14" t="s">
        <v>38</v>
      </c>
      <c r="C67" s="12" t="s">
        <v>216</v>
      </c>
      <c r="D67" s="14" t="s">
        <v>149</v>
      </c>
      <c r="E67" s="14" t="s">
        <v>316</v>
      </c>
      <c r="F67" s="13">
        <v>0</v>
      </c>
      <c r="G67" s="14" t="s">
        <v>337</v>
      </c>
    </row>
    <row r="68" spans="1:7" x14ac:dyDescent="0.25">
      <c r="A68" s="21">
        <v>7</v>
      </c>
      <c r="B68" s="14" t="s">
        <v>38</v>
      </c>
      <c r="C68" s="12" t="s">
        <v>216</v>
      </c>
      <c r="D68" s="14" t="s">
        <v>150</v>
      </c>
      <c r="E68" s="14" t="s">
        <v>316</v>
      </c>
      <c r="F68" s="13">
        <v>0</v>
      </c>
      <c r="G68" s="14" t="s">
        <v>337</v>
      </c>
    </row>
    <row r="69" spans="1:7" x14ac:dyDescent="0.25">
      <c r="A69" s="21">
        <v>8</v>
      </c>
      <c r="B69" s="14" t="s">
        <v>38</v>
      </c>
      <c r="C69" s="12" t="s">
        <v>216</v>
      </c>
      <c r="D69" s="14" t="s">
        <v>151</v>
      </c>
      <c r="E69" s="14" t="s">
        <v>316</v>
      </c>
      <c r="F69" s="13">
        <v>0</v>
      </c>
      <c r="G69" s="14" t="s">
        <v>337</v>
      </c>
    </row>
    <row r="70" spans="1:7" x14ac:dyDescent="0.25">
      <c r="A70" s="21">
        <v>9</v>
      </c>
      <c r="B70" s="14" t="s">
        <v>38</v>
      </c>
      <c r="C70" s="12" t="s">
        <v>216</v>
      </c>
      <c r="D70" s="14" t="s">
        <v>152</v>
      </c>
      <c r="E70" s="14" t="s">
        <v>316</v>
      </c>
      <c r="F70" s="13">
        <v>0</v>
      </c>
      <c r="G70" s="14" t="s">
        <v>337</v>
      </c>
    </row>
    <row r="71" spans="1:7" x14ac:dyDescent="0.25">
      <c r="A71" s="21">
        <v>10</v>
      </c>
      <c r="B71" s="14" t="s">
        <v>38</v>
      </c>
      <c r="C71" s="12" t="s">
        <v>216</v>
      </c>
      <c r="D71" s="14" t="s">
        <v>327</v>
      </c>
      <c r="E71" s="14" t="s">
        <v>316</v>
      </c>
      <c r="F71" s="13">
        <v>0</v>
      </c>
      <c r="G71" s="14" t="s">
        <v>337</v>
      </c>
    </row>
    <row r="72" spans="1:7" x14ac:dyDescent="0.25">
      <c r="A72" s="21">
        <v>11</v>
      </c>
      <c r="B72" s="12" t="s">
        <v>38</v>
      </c>
      <c r="C72" s="12" t="s">
        <v>216</v>
      </c>
      <c r="D72" s="12" t="s">
        <v>153</v>
      </c>
      <c r="E72" s="14" t="s">
        <v>316</v>
      </c>
      <c r="F72" s="13">
        <v>0</v>
      </c>
      <c r="G72" s="14" t="s">
        <v>337</v>
      </c>
    </row>
    <row r="73" spans="1:7" x14ac:dyDescent="0.25">
      <c r="A73" s="21">
        <v>12</v>
      </c>
      <c r="B73" s="14" t="s">
        <v>38</v>
      </c>
      <c r="C73" s="12" t="s">
        <v>216</v>
      </c>
      <c r="D73" s="14" t="s">
        <v>154</v>
      </c>
      <c r="E73" s="14" t="s">
        <v>113</v>
      </c>
      <c r="F73" s="15">
        <v>2</v>
      </c>
      <c r="G73" s="14" t="s">
        <v>337</v>
      </c>
    </row>
    <row r="74" spans="1:7" x14ac:dyDescent="0.25">
      <c r="A74" s="21">
        <v>13</v>
      </c>
      <c r="B74" s="14" t="s">
        <v>38</v>
      </c>
      <c r="C74" s="12" t="s">
        <v>216</v>
      </c>
      <c r="D74" s="14" t="s">
        <v>115</v>
      </c>
      <c r="E74" s="12" t="s">
        <v>316</v>
      </c>
      <c r="F74" s="13">
        <v>0</v>
      </c>
      <c r="G74" s="14" t="s">
        <v>337</v>
      </c>
    </row>
    <row r="75" spans="1:7" x14ac:dyDescent="0.25">
      <c r="A75" s="21">
        <v>14</v>
      </c>
      <c r="B75" s="14" t="s">
        <v>38</v>
      </c>
      <c r="C75" s="12" t="s">
        <v>216</v>
      </c>
      <c r="D75" s="14" t="s">
        <v>58</v>
      </c>
      <c r="E75" s="14" t="s">
        <v>316</v>
      </c>
      <c r="F75" s="13">
        <v>0</v>
      </c>
      <c r="G75" s="14" t="s">
        <v>337</v>
      </c>
    </row>
    <row r="76" spans="1:7" x14ac:dyDescent="0.25">
      <c r="A76" s="21">
        <v>15</v>
      </c>
      <c r="B76" s="14" t="s">
        <v>38</v>
      </c>
      <c r="C76" s="12" t="s">
        <v>216</v>
      </c>
      <c r="D76" s="14" t="s">
        <v>331</v>
      </c>
      <c r="E76" s="14" t="s">
        <v>316</v>
      </c>
      <c r="F76" s="13">
        <v>0</v>
      </c>
      <c r="G76" s="14" t="s">
        <v>337</v>
      </c>
    </row>
    <row r="77" spans="1:7" x14ac:dyDescent="0.25">
      <c r="A77" s="21">
        <v>16</v>
      </c>
      <c r="B77" s="14" t="s">
        <v>38</v>
      </c>
      <c r="C77" s="12" t="s">
        <v>216</v>
      </c>
      <c r="D77" s="14" t="s">
        <v>236</v>
      </c>
      <c r="E77" s="12" t="s">
        <v>316</v>
      </c>
      <c r="F77" s="13">
        <v>0</v>
      </c>
      <c r="G77" s="14" t="s">
        <v>337</v>
      </c>
    </row>
    <row r="78" spans="1:7" x14ac:dyDescent="0.25">
      <c r="A78" s="21">
        <v>17</v>
      </c>
      <c r="B78" s="14" t="s">
        <v>38</v>
      </c>
      <c r="C78" s="12" t="s">
        <v>216</v>
      </c>
      <c r="D78" s="14" t="s">
        <v>237</v>
      </c>
      <c r="E78" s="14" t="s">
        <v>316</v>
      </c>
      <c r="F78" s="13">
        <v>0</v>
      </c>
      <c r="G78" s="14" t="s">
        <v>337</v>
      </c>
    </row>
    <row r="79" spans="1:7" x14ac:dyDescent="0.25">
      <c r="A79" s="21">
        <v>18</v>
      </c>
      <c r="B79" s="14" t="s">
        <v>38</v>
      </c>
      <c r="C79" s="12" t="s">
        <v>216</v>
      </c>
      <c r="D79" s="14" t="s">
        <v>238</v>
      </c>
      <c r="E79" s="14" t="s">
        <v>316</v>
      </c>
      <c r="F79" s="13">
        <v>0</v>
      </c>
      <c r="G79" s="14" t="s">
        <v>337</v>
      </c>
    </row>
    <row r="80" spans="1:7" x14ac:dyDescent="0.25">
      <c r="A80" s="21">
        <v>19</v>
      </c>
      <c r="B80" s="14" t="s">
        <v>38</v>
      </c>
      <c r="C80" s="12" t="s">
        <v>216</v>
      </c>
      <c r="D80" s="14" t="s">
        <v>313</v>
      </c>
      <c r="E80" s="14" t="s">
        <v>316</v>
      </c>
      <c r="F80" s="13">
        <v>0</v>
      </c>
      <c r="G80" s="14" t="s">
        <v>337</v>
      </c>
    </row>
    <row r="81" spans="1:7" x14ac:dyDescent="0.25">
      <c r="A81" s="21">
        <v>20</v>
      </c>
      <c r="B81" s="14" t="s">
        <v>38</v>
      </c>
      <c r="C81" s="12" t="s">
        <v>216</v>
      </c>
      <c r="D81" s="14" t="s">
        <v>239</v>
      </c>
      <c r="E81" s="14" t="s">
        <v>316</v>
      </c>
      <c r="F81" s="13">
        <v>0</v>
      </c>
      <c r="G81" s="14" t="s">
        <v>337</v>
      </c>
    </row>
    <row r="82" spans="1:7" x14ac:dyDescent="0.25">
      <c r="A82" s="21">
        <v>21</v>
      </c>
      <c r="B82" s="14" t="s">
        <v>38</v>
      </c>
      <c r="C82" s="12" t="s">
        <v>216</v>
      </c>
      <c r="D82" s="14" t="s">
        <v>108</v>
      </c>
      <c r="E82" s="14" t="s">
        <v>316</v>
      </c>
      <c r="F82" s="13">
        <v>0</v>
      </c>
      <c r="G82" s="14" t="s">
        <v>337</v>
      </c>
    </row>
    <row r="83" spans="1:7" x14ac:dyDescent="0.25">
      <c r="A83" s="21">
        <v>22</v>
      </c>
      <c r="B83" s="14" t="s">
        <v>38</v>
      </c>
      <c r="C83" s="12" t="s">
        <v>216</v>
      </c>
      <c r="D83" s="14" t="s">
        <v>241</v>
      </c>
      <c r="E83" s="14" t="s">
        <v>316</v>
      </c>
      <c r="F83" s="13">
        <v>0</v>
      </c>
      <c r="G83" s="14" t="s">
        <v>337</v>
      </c>
    </row>
    <row r="84" spans="1:7" x14ac:dyDescent="0.25">
      <c r="A84" s="21">
        <v>23</v>
      </c>
      <c r="B84" s="14" t="s">
        <v>38</v>
      </c>
      <c r="C84" s="12" t="s">
        <v>216</v>
      </c>
      <c r="D84" s="14" t="s">
        <v>242</v>
      </c>
      <c r="E84" s="14" t="s">
        <v>316</v>
      </c>
      <c r="F84" s="13">
        <v>0</v>
      </c>
      <c r="G84" s="14" t="s">
        <v>337</v>
      </c>
    </row>
    <row r="85" spans="1:7" x14ac:dyDescent="0.25">
      <c r="A85" s="21">
        <v>24</v>
      </c>
      <c r="B85" s="14" t="s">
        <v>38</v>
      </c>
      <c r="C85" s="12" t="s">
        <v>216</v>
      </c>
      <c r="D85" s="14" t="s">
        <v>243</v>
      </c>
      <c r="E85" s="14" t="s">
        <v>316</v>
      </c>
      <c r="F85" s="13">
        <v>0</v>
      </c>
      <c r="G85" s="14" t="s">
        <v>337</v>
      </c>
    </row>
    <row r="86" spans="1:7" x14ac:dyDescent="0.25">
      <c r="A86" s="21">
        <v>25</v>
      </c>
      <c r="B86" s="14" t="s">
        <v>38</v>
      </c>
      <c r="C86" s="12" t="s">
        <v>216</v>
      </c>
      <c r="D86" s="14" t="s">
        <v>324</v>
      </c>
      <c r="E86" s="12" t="s">
        <v>316</v>
      </c>
      <c r="F86" s="13">
        <v>0</v>
      </c>
      <c r="G86" s="14" t="s">
        <v>337</v>
      </c>
    </row>
    <row r="87" spans="1:7" x14ac:dyDescent="0.25">
      <c r="A87" s="21">
        <v>26</v>
      </c>
      <c r="B87" s="14" t="s">
        <v>38</v>
      </c>
      <c r="C87" s="12" t="s">
        <v>216</v>
      </c>
      <c r="D87" s="14" t="s">
        <v>293</v>
      </c>
      <c r="E87" s="12" t="s">
        <v>316</v>
      </c>
      <c r="F87" s="13">
        <v>0</v>
      </c>
      <c r="G87" s="14" t="s">
        <v>337</v>
      </c>
    </row>
    <row r="88" spans="1:7" x14ac:dyDescent="0.25">
      <c r="A88" s="21">
        <v>27</v>
      </c>
      <c r="B88" s="14" t="s">
        <v>38</v>
      </c>
      <c r="C88" s="12" t="s">
        <v>216</v>
      </c>
      <c r="D88" s="14" t="s">
        <v>297</v>
      </c>
      <c r="E88" s="14" t="s">
        <v>113</v>
      </c>
      <c r="F88" s="15">
        <v>16</v>
      </c>
      <c r="G88" s="14" t="s">
        <v>336</v>
      </c>
    </row>
    <row r="89" spans="1:7" x14ac:dyDescent="0.25">
      <c r="A89" s="21">
        <v>28</v>
      </c>
      <c r="B89" s="14" t="s">
        <v>38</v>
      </c>
      <c r="C89" s="12" t="s">
        <v>216</v>
      </c>
      <c r="D89" s="14" t="s">
        <v>298</v>
      </c>
      <c r="E89" s="14" t="s">
        <v>113</v>
      </c>
      <c r="F89" s="15">
        <v>39</v>
      </c>
      <c r="G89" s="14" t="s">
        <v>336</v>
      </c>
    </row>
    <row r="90" spans="1:7" x14ac:dyDescent="0.25">
      <c r="A90" s="21">
        <v>29</v>
      </c>
      <c r="B90" s="12" t="s">
        <v>38</v>
      </c>
      <c r="C90" s="12" t="s">
        <v>216</v>
      </c>
      <c r="D90" s="12" t="s">
        <v>317</v>
      </c>
      <c r="E90" s="12" t="s">
        <v>113</v>
      </c>
      <c r="F90" s="15">
        <v>85</v>
      </c>
      <c r="G90" s="14" t="s">
        <v>336</v>
      </c>
    </row>
    <row r="91" spans="1:7" x14ac:dyDescent="0.25">
      <c r="A91" s="20" t="s">
        <v>158</v>
      </c>
      <c r="B91" s="16"/>
      <c r="C91" s="16"/>
      <c r="D91" s="16" t="s">
        <v>301</v>
      </c>
      <c r="E91" s="16"/>
      <c r="F91" s="17">
        <f>SUM(F92:F94)</f>
        <v>1</v>
      </c>
      <c r="G91" s="16"/>
    </row>
    <row r="92" spans="1:7" x14ac:dyDescent="0.25">
      <c r="A92" s="21">
        <v>1</v>
      </c>
      <c r="B92" s="12" t="s">
        <v>38</v>
      </c>
      <c r="C92" s="12" t="s">
        <v>301</v>
      </c>
      <c r="D92" s="12" t="s">
        <v>302</v>
      </c>
      <c r="E92" s="14" t="s">
        <v>316</v>
      </c>
      <c r="F92" s="13">
        <v>0</v>
      </c>
      <c r="G92" s="14" t="s">
        <v>337</v>
      </c>
    </row>
    <row r="93" spans="1:7" x14ac:dyDescent="0.25">
      <c r="A93" s="21">
        <v>2</v>
      </c>
      <c r="B93" s="12" t="s">
        <v>38</v>
      </c>
      <c r="C93" s="12" t="s">
        <v>301</v>
      </c>
      <c r="D93" s="12" t="s">
        <v>303</v>
      </c>
      <c r="E93" s="14" t="s">
        <v>316</v>
      </c>
      <c r="F93" s="13">
        <v>0</v>
      </c>
      <c r="G93" s="14" t="s">
        <v>337</v>
      </c>
    </row>
    <row r="94" spans="1:7" x14ac:dyDescent="0.25">
      <c r="A94" s="21">
        <v>3</v>
      </c>
      <c r="B94" s="12" t="s">
        <v>38</v>
      </c>
      <c r="C94" s="12" t="s">
        <v>301</v>
      </c>
      <c r="D94" s="12" t="s">
        <v>304</v>
      </c>
      <c r="E94" s="14" t="s">
        <v>113</v>
      </c>
      <c r="F94" s="13">
        <v>1</v>
      </c>
      <c r="G94" s="14" t="s">
        <v>337</v>
      </c>
    </row>
    <row r="95" spans="1:7" x14ac:dyDescent="0.25">
      <c r="A95" s="20" t="s">
        <v>203</v>
      </c>
      <c r="B95" s="16"/>
      <c r="C95" s="16"/>
      <c r="D95" s="16" t="s">
        <v>156</v>
      </c>
      <c r="E95" s="16"/>
      <c r="F95" s="17">
        <f>SUM(F96:F100)</f>
        <v>107</v>
      </c>
      <c r="G95" s="16"/>
    </row>
    <row r="96" spans="1:7" x14ac:dyDescent="0.25">
      <c r="A96" s="21">
        <v>1</v>
      </c>
      <c r="B96" s="12" t="s">
        <v>38</v>
      </c>
      <c r="C96" s="12" t="s">
        <v>156</v>
      </c>
      <c r="D96" s="12" t="s">
        <v>48</v>
      </c>
      <c r="E96" s="12" t="s">
        <v>113</v>
      </c>
      <c r="F96" s="13">
        <v>22</v>
      </c>
      <c r="G96" s="12" t="s">
        <v>336</v>
      </c>
    </row>
    <row r="97" spans="1:7" x14ac:dyDescent="0.25">
      <c r="A97" s="21">
        <v>2</v>
      </c>
      <c r="B97" s="12" t="s">
        <v>38</v>
      </c>
      <c r="C97" s="12" t="s">
        <v>156</v>
      </c>
      <c r="D97" s="12" t="s">
        <v>118</v>
      </c>
      <c r="E97" s="12" t="s">
        <v>113</v>
      </c>
      <c r="F97" s="13">
        <v>67</v>
      </c>
      <c r="G97" s="12" t="s">
        <v>336</v>
      </c>
    </row>
    <row r="98" spans="1:7" x14ac:dyDescent="0.25">
      <c r="A98" s="21">
        <v>3</v>
      </c>
      <c r="B98" s="12" t="s">
        <v>38</v>
      </c>
      <c r="C98" s="12" t="s">
        <v>156</v>
      </c>
      <c r="D98" s="12" t="s">
        <v>157</v>
      </c>
      <c r="E98" s="14" t="s">
        <v>316</v>
      </c>
      <c r="F98" s="13">
        <v>0</v>
      </c>
      <c r="G98" s="12" t="s">
        <v>336</v>
      </c>
    </row>
    <row r="99" spans="1:7" x14ac:dyDescent="0.25">
      <c r="A99" s="21">
        <v>4</v>
      </c>
      <c r="B99" s="12" t="s">
        <v>38</v>
      </c>
      <c r="C99" s="12" t="s">
        <v>156</v>
      </c>
      <c r="D99" s="12" t="s">
        <v>84</v>
      </c>
      <c r="E99" s="12" t="s">
        <v>113</v>
      </c>
      <c r="F99" s="13">
        <v>18</v>
      </c>
      <c r="G99" s="12" t="s">
        <v>336</v>
      </c>
    </row>
    <row r="100" spans="1:7" x14ac:dyDescent="0.25">
      <c r="A100" s="21">
        <v>5</v>
      </c>
      <c r="B100" s="12" t="s">
        <v>38</v>
      </c>
      <c r="C100" s="12" t="s">
        <v>156</v>
      </c>
      <c r="D100" s="12" t="s">
        <v>244</v>
      </c>
      <c r="E100" s="14" t="s">
        <v>316</v>
      </c>
      <c r="F100" s="13">
        <v>0</v>
      </c>
      <c r="G100" s="12" t="s">
        <v>336</v>
      </c>
    </row>
    <row r="101" spans="1:7" x14ac:dyDescent="0.25">
      <c r="A101" s="20" t="s">
        <v>305</v>
      </c>
      <c r="B101" s="16"/>
      <c r="C101" s="16"/>
      <c r="D101" s="16" t="s">
        <v>76</v>
      </c>
      <c r="E101" s="16"/>
      <c r="F101" s="17">
        <f>SUM(F102:F123)</f>
        <v>305</v>
      </c>
      <c r="G101" s="16"/>
    </row>
    <row r="102" spans="1:7" x14ac:dyDescent="0.25">
      <c r="A102" s="21">
        <v>1</v>
      </c>
      <c r="B102" s="12" t="s">
        <v>38</v>
      </c>
      <c r="C102" s="12" t="s">
        <v>76</v>
      </c>
      <c r="D102" s="12" t="s">
        <v>72</v>
      </c>
      <c r="E102" s="12" t="s">
        <v>113</v>
      </c>
      <c r="F102" s="15">
        <v>9</v>
      </c>
      <c r="G102" s="12" t="s">
        <v>339</v>
      </c>
    </row>
    <row r="103" spans="1:7" x14ac:dyDescent="0.25">
      <c r="A103" s="21">
        <v>2</v>
      </c>
      <c r="B103" s="12" t="s">
        <v>38</v>
      </c>
      <c r="C103" s="12" t="s">
        <v>76</v>
      </c>
      <c r="D103" s="12" t="s">
        <v>306</v>
      </c>
      <c r="E103" s="12" t="s">
        <v>316</v>
      </c>
      <c r="F103" s="15">
        <v>0</v>
      </c>
      <c r="G103" s="12" t="s">
        <v>339</v>
      </c>
    </row>
    <row r="104" spans="1:7" x14ac:dyDescent="0.25">
      <c r="A104" s="21">
        <v>3</v>
      </c>
      <c r="B104" s="12" t="s">
        <v>38</v>
      </c>
      <c r="C104" s="12" t="s">
        <v>76</v>
      </c>
      <c r="D104" s="12" t="s">
        <v>18</v>
      </c>
      <c r="E104" s="12" t="s">
        <v>113</v>
      </c>
      <c r="F104" s="13">
        <v>88</v>
      </c>
      <c r="G104" s="12" t="s">
        <v>338</v>
      </c>
    </row>
    <row r="105" spans="1:7" x14ac:dyDescent="0.25">
      <c r="A105" s="21">
        <v>4</v>
      </c>
      <c r="B105" s="14" t="s">
        <v>38</v>
      </c>
      <c r="C105" s="12" t="s">
        <v>76</v>
      </c>
      <c r="D105" s="14" t="s">
        <v>82</v>
      </c>
      <c r="E105" s="14" t="s">
        <v>316</v>
      </c>
      <c r="F105" s="13">
        <v>0</v>
      </c>
      <c r="G105" s="12" t="s">
        <v>338</v>
      </c>
    </row>
    <row r="106" spans="1:7" x14ac:dyDescent="0.25">
      <c r="A106" s="21">
        <v>5</v>
      </c>
      <c r="B106" s="12" t="s">
        <v>38</v>
      </c>
      <c r="C106" s="12" t="s">
        <v>76</v>
      </c>
      <c r="D106" s="12" t="s">
        <v>35</v>
      </c>
      <c r="E106" s="12" t="s">
        <v>113</v>
      </c>
      <c r="F106" s="13">
        <v>17</v>
      </c>
      <c r="G106" s="12" t="s">
        <v>339</v>
      </c>
    </row>
    <row r="107" spans="1:7" x14ac:dyDescent="0.25">
      <c r="A107" s="21">
        <v>6</v>
      </c>
      <c r="B107" s="14" t="s">
        <v>38</v>
      </c>
      <c r="C107" s="12" t="s">
        <v>76</v>
      </c>
      <c r="D107" s="14" t="s">
        <v>43</v>
      </c>
      <c r="E107" s="12" t="s">
        <v>316</v>
      </c>
      <c r="F107" s="13">
        <v>0</v>
      </c>
      <c r="G107" s="12" t="s">
        <v>339</v>
      </c>
    </row>
    <row r="108" spans="1:7" x14ac:dyDescent="0.25">
      <c r="A108" s="21">
        <v>7</v>
      </c>
      <c r="B108" s="12" t="s">
        <v>38</v>
      </c>
      <c r="C108" s="12" t="s">
        <v>76</v>
      </c>
      <c r="D108" s="12" t="s">
        <v>78</v>
      </c>
      <c r="E108" s="12" t="s">
        <v>113</v>
      </c>
      <c r="F108" s="13">
        <v>21</v>
      </c>
      <c r="G108" s="12" t="s">
        <v>338</v>
      </c>
    </row>
    <row r="109" spans="1:7" x14ac:dyDescent="0.25">
      <c r="A109" s="21">
        <v>8</v>
      </c>
      <c r="B109" s="12" t="s">
        <v>38</v>
      </c>
      <c r="C109" s="12" t="s">
        <v>76</v>
      </c>
      <c r="D109" s="12" t="s">
        <v>97</v>
      </c>
      <c r="E109" s="12" t="s">
        <v>113</v>
      </c>
      <c r="F109" s="13">
        <v>107</v>
      </c>
      <c r="G109" s="12" t="s">
        <v>338</v>
      </c>
    </row>
    <row r="110" spans="1:7" x14ac:dyDescent="0.25">
      <c r="A110" s="21">
        <v>9</v>
      </c>
      <c r="B110" s="12" t="s">
        <v>38</v>
      </c>
      <c r="C110" s="12" t="s">
        <v>76</v>
      </c>
      <c r="D110" s="12" t="s">
        <v>109</v>
      </c>
      <c r="E110" s="12" t="s">
        <v>113</v>
      </c>
      <c r="F110" s="13">
        <v>19</v>
      </c>
      <c r="G110" s="12" t="s">
        <v>339</v>
      </c>
    </row>
    <row r="111" spans="1:7" x14ac:dyDescent="0.25">
      <c r="A111" s="21">
        <v>10</v>
      </c>
      <c r="B111" s="14" t="s">
        <v>38</v>
      </c>
      <c r="C111" s="12" t="s">
        <v>76</v>
      </c>
      <c r="D111" s="14" t="s">
        <v>198</v>
      </c>
      <c r="E111" s="14" t="s">
        <v>316</v>
      </c>
      <c r="F111" s="13">
        <v>0</v>
      </c>
      <c r="G111" s="12" t="s">
        <v>339</v>
      </c>
    </row>
    <row r="112" spans="1:7" x14ac:dyDescent="0.25">
      <c r="A112" s="21">
        <v>11</v>
      </c>
      <c r="B112" s="12" t="s">
        <v>38</v>
      </c>
      <c r="C112" s="12" t="s">
        <v>76</v>
      </c>
      <c r="D112" s="12" t="s">
        <v>98</v>
      </c>
      <c r="E112" s="12" t="s">
        <v>113</v>
      </c>
      <c r="F112" s="13">
        <v>24</v>
      </c>
      <c r="G112" s="12" t="s">
        <v>338</v>
      </c>
    </row>
    <row r="113" spans="1:7" x14ac:dyDescent="0.25">
      <c r="A113" s="21">
        <v>12</v>
      </c>
      <c r="B113" s="12" t="s">
        <v>38</v>
      </c>
      <c r="C113" s="12" t="s">
        <v>76</v>
      </c>
      <c r="D113" s="12" t="s">
        <v>119</v>
      </c>
      <c r="E113" s="12" t="s">
        <v>113</v>
      </c>
      <c r="F113" s="13">
        <v>7</v>
      </c>
      <c r="G113" s="12" t="s">
        <v>338</v>
      </c>
    </row>
    <row r="114" spans="1:7" x14ac:dyDescent="0.25">
      <c r="A114" s="21">
        <v>13</v>
      </c>
      <c r="B114" s="12" t="s">
        <v>38</v>
      </c>
      <c r="C114" s="12" t="s">
        <v>76</v>
      </c>
      <c r="D114" s="12" t="s">
        <v>160</v>
      </c>
      <c r="E114" s="14" t="s">
        <v>316</v>
      </c>
      <c r="F114" s="13">
        <v>0</v>
      </c>
      <c r="G114" s="12" t="s">
        <v>338</v>
      </c>
    </row>
    <row r="115" spans="1:7" x14ac:dyDescent="0.25">
      <c r="A115" s="21">
        <v>14</v>
      </c>
      <c r="B115" s="12" t="s">
        <v>38</v>
      </c>
      <c r="C115" s="12" t="s">
        <v>76</v>
      </c>
      <c r="D115" s="12" t="s">
        <v>161</v>
      </c>
      <c r="E115" s="14" t="s">
        <v>316</v>
      </c>
      <c r="F115" s="13">
        <v>0</v>
      </c>
      <c r="G115" s="12" t="s">
        <v>339</v>
      </c>
    </row>
    <row r="116" spans="1:7" x14ac:dyDescent="0.25">
      <c r="A116" s="21">
        <v>15</v>
      </c>
      <c r="B116" s="12" t="s">
        <v>38</v>
      </c>
      <c r="C116" s="12" t="s">
        <v>76</v>
      </c>
      <c r="D116" s="12" t="s">
        <v>77</v>
      </c>
      <c r="E116" s="14" t="s">
        <v>316</v>
      </c>
      <c r="F116" s="13">
        <v>0</v>
      </c>
      <c r="G116" s="12" t="s">
        <v>339</v>
      </c>
    </row>
    <row r="117" spans="1:7" x14ac:dyDescent="0.25">
      <c r="A117" s="21">
        <v>16</v>
      </c>
      <c r="B117" s="12" t="s">
        <v>38</v>
      </c>
      <c r="C117" s="12" t="s">
        <v>76</v>
      </c>
      <c r="D117" s="12" t="s">
        <v>159</v>
      </c>
      <c r="E117" s="14" t="s">
        <v>316</v>
      </c>
      <c r="F117" s="13">
        <v>0</v>
      </c>
      <c r="G117" s="12" t="s">
        <v>339</v>
      </c>
    </row>
    <row r="118" spans="1:7" x14ac:dyDescent="0.25">
      <c r="A118" s="21">
        <v>17</v>
      </c>
      <c r="B118" s="12" t="s">
        <v>38</v>
      </c>
      <c r="C118" s="12" t="s">
        <v>76</v>
      </c>
      <c r="D118" s="12" t="s">
        <v>162</v>
      </c>
      <c r="E118" s="14" t="s">
        <v>316</v>
      </c>
      <c r="F118" s="13">
        <v>0</v>
      </c>
      <c r="G118" s="12" t="s">
        <v>338</v>
      </c>
    </row>
    <row r="119" spans="1:7" x14ac:dyDescent="0.25">
      <c r="A119" s="21">
        <v>18</v>
      </c>
      <c r="B119" s="12" t="s">
        <v>38</v>
      </c>
      <c r="C119" s="12" t="s">
        <v>76</v>
      </c>
      <c r="D119" s="12" t="s">
        <v>163</v>
      </c>
      <c r="E119" s="14" t="s">
        <v>316</v>
      </c>
      <c r="F119" s="13">
        <v>0</v>
      </c>
      <c r="G119" s="12" t="s">
        <v>338</v>
      </c>
    </row>
    <row r="120" spans="1:7" x14ac:dyDescent="0.25">
      <c r="A120" s="21">
        <v>19</v>
      </c>
      <c r="B120" s="12" t="s">
        <v>38</v>
      </c>
      <c r="C120" s="12" t="s">
        <v>76</v>
      </c>
      <c r="D120" s="12" t="s">
        <v>245</v>
      </c>
      <c r="E120" s="12" t="s">
        <v>316</v>
      </c>
      <c r="F120" s="13">
        <v>0</v>
      </c>
      <c r="G120" s="12" t="s">
        <v>338</v>
      </c>
    </row>
    <row r="121" spans="1:7" x14ac:dyDescent="0.25">
      <c r="A121" s="21">
        <v>20</v>
      </c>
      <c r="B121" s="12" t="s">
        <v>38</v>
      </c>
      <c r="C121" s="12" t="s">
        <v>76</v>
      </c>
      <c r="D121" s="12" t="s">
        <v>288</v>
      </c>
      <c r="E121" s="12" t="s">
        <v>113</v>
      </c>
      <c r="F121" s="13">
        <v>7</v>
      </c>
      <c r="G121" s="12" t="s">
        <v>338</v>
      </c>
    </row>
    <row r="122" spans="1:7" x14ac:dyDescent="0.25">
      <c r="A122" s="21">
        <v>21</v>
      </c>
      <c r="B122" s="12" t="s">
        <v>38</v>
      </c>
      <c r="C122" s="12" t="s">
        <v>76</v>
      </c>
      <c r="D122" s="12" t="s">
        <v>289</v>
      </c>
      <c r="E122" s="12" t="s">
        <v>113</v>
      </c>
      <c r="F122" s="13">
        <v>5</v>
      </c>
      <c r="G122" s="12" t="s">
        <v>339</v>
      </c>
    </row>
    <row r="123" spans="1:7" x14ac:dyDescent="0.25">
      <c r="A123" s="21">
        <v>22</v>
      </c>
      <c r="B123" s="12" t="s">
        <v>38</v>
      </c>
      <c r="C123" s="12" t="s">
        <v>76</v>
      </c>
      <c r="D123" s="12" t="s">
        <v>332</v>
      </c>
      <c r="E123" s="12" t="s">
        <v>113</v>
      </c>
      <c r="F123" s="13">
        <v>1</v>
      </c>
      <c r="G123" s="12" t="s">
        <v>338</v>
      </c>
    </row>
    <row r="124" spans="1:7" x14ac:dyDescent="0.25">
      <c r="A124" s="18" t="s">
        <v>164</v>
      </c>
      <c r="B124" s="10"/>
      <c r="C124" s="10"/>
      <c r="D124" s="10" t="s">
        <v>41</v>
      </c>
      <c r="E124" s="10"/>
      <c r="F124" s="11">
        <f>SUM(F125:F164)</f>
        <v>1079</v>
      </c>
      <c r="G124" s="10"/>
    </row>
    <row r="125" spans="1:7" x14ac:dyDescent="0.25">
      <c r="A125" s="21">
        <v>1</v>
      </c>
      <c r="B125" s="12" t="s">
        <v>41</v>
      </c>
      <c r="C125" s="12" t="s">
        <v>222</v>
      </c>
      <c r="D125" s="12" t="s">
        <v>96</v>
      </c>
      <c r="E125" s="12" t="s">
        <v>113</v>
      </c>
      <c r="F125" s="13">
        <v>258</v>
      </c>
      <c r="G125" s="12" t="s">
        <v>336</v>
      </c>
    </row>
    <row r="126" spans="1:7" x14ac:dyDescent="0.25">
      <c r="A126" s="21">
        <v>2</v>
      </c>
      <c r="B126" s="12" t="s">
        <v>41</v>
      </c>
      <c r="C126" s="12" t="s">
        <v>222</v>
      </c>
      <c r="D126" s="12" t="s">
        <v>31</v>
      </c>
      <c r="E126" s="12" t="s">
        <v>113</v>
      </c>
      <c r="F126" s="13">
        <v>290</v>
      </c>
      <c r="G126" s="12" t="s">
        <v>336</v>
      </c>
    </row>
    <row r="127" spans="1:7" x14ac:dyDescent="0.25">
      <c r="A127" s="21">
        <v>3</v>
      </c>
      <c r="B127" s="12" t="s">
        <v>41</v>
      </c>
      <c r="C127" s="12" t="s">
        <v>222</v>
      </c>
      <c r="D127" s="12" t="s">
        <v>16</v>
      </c>
      <c r="E127" s="14" t="s">
        <v>316</v>
      </c>
      <c r="F127" s="13">
        <v>0</v>
      </c>
      <c r="G127" s="12" t="s">
        <v>336</v>
      </c>
    </row>
    <row r="128" spans="1:7" x14ac:dyDescent="0.25">
      <c r="A128" s="21">
        <v>4</v>
      </c>
      <c r="B128" s="12" t="s">
        <v>41</v>
      </c>
      <c r="C128" s="12" t="s">
        <v>222</v>
      </c>
      <c r="D128" s="12" t="s">
        <v>32</v>
      </c>
      <c r="E128" s="12" t="s">
        <v>113</v>
      </c>
      <c r="F128" s="13">
        <v>5</v>
      </c>
      <c r="G128" s="12" t="s">
        <v>336</v>
      </c>
    </row>
    <row r="129" spans="1:7" x14ac:dyDescent="0.25">
      <c r="A129" s="21">
        <v>5</v>
      </c>
      <c r="B129" s="12" t="s">
        <v>41</v>
      </c>
      <c r="C129" s="12" t="s">
        <v>222</v>
      </c>
      <c r="D129" s="12" t="s">
        <v>55</v>
      </c>
      <c r="E129" s="14" t="s">
        <v>316</v>
      </c>
      <c r="F129" s="13">
        <v>0</v>
      </c>
      <c r="G129" s="12" t="s">
        <v>336</v>
      </c>
    </row>
    <row r="130" spans="1:7" x14ac:dyDescent="0.25">
      <c r="A130" s="21">
        <v>6</v>
      </c>
      <c r="B130" s="12" t="s">
        <v>41</v>
      </c>
      <c r="C130" s="12" t="s">
        <v>222</v>
      </c>
      <c r="D130" s="12" t="s">
        <v>121</v>
      </c>
      <c r="E130" s="14" t="s">
        <v>316</v>
      </c>
      <c r="F130" s="13">
        <v>0</v>
      </c>
      <c r="G130" s="12" t="s">
        <v>336</v>
      </c>
    </row>
    <row r="131" spans="1:7" x14ac:dyDescent="0.25">
      <c r="A131" s="21">
        <v>7</v>
      </c>
      <c r="B131" s="14" t="s">
        <v>41</v>
      </c>
      <c r="C131" s="12" t="s">
        <v>222</v>
      </c>
      <c r="D131" s="14" t="s">
        <v>144</v>
      </c>
      <c r="E131" s="14" t="s">
        <v>113</v>
      </c>
      <c r="F131" s="13">
        <v>9</v>
      </c>
      <c r="G131" s="12" t="s">
        <v>336</v>
      </c>
    </row>
    <row r="132" spans="1:7" x14ac:dyDescent="0.25">
      <c r="A132" s="21">
        <v>8</v>
      </c>
      <c r="B132" s="14" t="s">
        <v>41</v>
      </c>
      <c r="C132" s="12" t="s">
        <v>222</v>
      </c>
      <c r="D132" s="14" t="s">
        <v>120</v>
      </c>
      <c r="E132" s="14" t="s">
        <v>316</v>
      </c>
      <c r="F132" s="13">
        <v>0</v>
      </c>
      <c r="G132" s="12" t="s">
        <v>336</v>
      </c>
    </row>
    <row r="133" spans="1:7" x14ac:dyDescent="0.25">
      <c r="A133" s="21">
        <v>9</v>
      </c>
      <c r="B133" s="14" t="s">
        <v>41</v>
      </c>
      <c r="C133" s="12" t="s">
        <v>222</v>
      </c>
      <c r="D133" s="14" t="s">
        <v>75</v>
      </c>
      <c r="E133" s="14" t="s">
        <v>316</v>
      </c>
      <c r="F133" s="13">
        <v>0</v>
      </c>
      <c r="G133" s="12" t="s">
        <v>336</v>
      </c>
    </row>
    <row r="134" spans="1:7" x14ac:dyDescent="0.25">
      <c r="A134" s="21">
        <v>10</v>
      </c>
      <c r="B134" s="14" t="s">
        <v>41</v>
      </c>
      <c r="C134" s="12" t="s">
        <v>222</v>
      </c>
      <c r="D134" s="14" t="s">
        <v>62</v>
      </c>
      <c r="E134" s="14" t="s">
        <v>113</v>
      </c>
      <c r="F134" s="13">
        <v>19</v>
      </c>
      <c r="G134" s="12" t="s">
        <v>336</v>
      </c>
    </row>
    <row r="135" spans="1:7" x14ac:dyDescent="0.25">
      <c r="A135" s="21">
        <v>11</v>
      </c>
      <c r="B135" s="14" t="s">
        <v>41</v>
      </c>
      <c r="C135" s="12" t="s">
        <v>222</v>
      </c>
      <c r="D135" s="14" t="s">
        <v>211</v>
      </c>
      <c r="E135" s="14" t="s">
        <v>113</v>
      </c>
      <c r="F135" s="13">
        <v>30</v>
      </c>
      <c r="G135" s="12" t="s">
        <v>336</v>
      </c>
    </row>
    <row r="136" spans="1:7" x14ac:dyDescent="0.25">
      <c r="A136" s="21">
        <v>12</v>
      </c>
      <c r="B136" s="12" t="s">
        <v>41</v>
      </c>
      <c r="C136" s="12" t="s">
        <v>222</v>
      </c>
      <c r="D136" s="12" t="s">
        <v>165</v>
      </c>
      <c r="E136" s="12" t="s">
        <v>113</v>
      </c>
      <c r="F136" s="15">
        <v>3</v>
      </c>
      <c r="G136" s="12" t="s">
        <v>336</v>
      </c>
    </row>
    <row r="137" spans="1:7" x14ac:dyDescent="0.25">
      <c r="A137" s="21">
        <v>13</v>
      </c>
      <c r="B137" s="14" t="s">
        <v>41</v>
      </c>
      <c r="C137" s="12" t="s">
        <v>222</v>
      </c>
      <c r="D137" s="14" t="s">
        <v>199</v>
      </c>
      <c r="E137" s="14" t="s">
        <v>316</v>
      </c>
      <c r="F137" s="13">
        <v>0</v>
      </c>
      <c r="G137" s="12" t="s">
        <v>336</v>
      </c>
    </row>
    <row r="138" spans="1:7" x14ac:dyDescent="0.25">
      <c r="A138" s="21">
        <v>14</v>
      </c>
      <c r="B138" s="14" t="s">
        <v>41</v>
      </c>
      <c r="C138" s="12" t="s">
        <v>222</v>
      </c>
      <c r="D138" s="14" t="s">
        <v>200</v>
      </c>
      <c r="E138" s="14" t="s">
        <v>316</v>
      </c>
      <c r="F138" s="13">
        <v>0</v>
      </c>
      <c r="G138" s="12" t="s">
        <v>336</v>
      </c>
    </row>
    <row r="139" spans="1:7" x14ac:dyDescent="0.25">
      <c r="A139" s="21">
        <v>15</v>
      </c>
      <c r="B139" s="14" t="s">
        <v>41</v>
      </c>
      <c r="C139" s="12" t="s">
        <v>222</v>
      </c>
      <c r="D139" s="14" t="s">
        <v>201</v>
      </c>
      <c r="E139" s="14" t="s">
        <v>316</v>
      </c>
      <c r="F139" s="13">
        <v>0</v>
      </c>
      <c r="G139" s="12" t="s">
        <v>336</v>
      </c>
    </row>
    <row r="140" spans="1:7" x14ac:dyDescent="0.25">
      <c r="A140" s="21">
        <v>16</v>
      </c>
      <c r="B140" s="14" t="s">
        <v>41</v>
      </c>
      <c r="C140" s="12" t="s">
        <v>222</v>
      </c>
      <c r="D140" s="14" t="s">
        <v>202</v>
      </c>
      <c r="E140" s="14" t="s">
        <v>316</v>
      </c>
      <c r="F140" s="13">
        <v>0</v>
      </c>
      <c r="G140" s="12" t="s">
        <v>336</v>
      </c>
    </row>
    <row r="141" spans="1:7" x14ac:dyDescent="0.25">
      <c r="A141" s="21">
        <v>17</v>
      </c>
      <c r="B141" s="14" t="s">
        <v>41</v>
      </c>
      <c r="C141" s="12" t="s">
        <v>222</v>
      </c>
      <c r="D141" s="14" t="s">
        <v>204</v>
      </c>
      <c r="E141" s="14" t="s">
        <v>316</v>
      </c>
      <c r="F141" s="13">
        <v>0</v>
      </c>
      <c r="G141" s="12" t="s">
        <v>336</v>
      </c>
    </row>
    <row r="142" spans="1:7" x14ac:dyDescent="0.25">
      <c r="A142" s="21">
        <v>18</v>
      </c>
      <c r="B142" s="14" t="s">
        <v>41</v>
      </c>
      <c r="C142" s="12" t="s">
        <v>222</v>
      </c>
      <c r="D142" s="14" t="s">
        <v>205</v>
      </c>
      <c r="E142" s="14" t="s">
        <v>316</v>
      </c>
      <c r="F142" s="13">
        <v>0</v>
      </c>
      <c r="G142" s="12" t="s">
        <v>336</v>
      </c>
    </row>
    <row r="143" spans="1:7" x14ac:dyDescent="0.25">
      <c r="A143" s="21">
        <v>19</v>
      </c>
      <c r="B143" s="12" t="s">
        <v>41</v>
      </c>
      <c r="C143" s="12" t="s">
        <v>222</v>
      </c>
      <c r="D143" s="12" t="s">
        <v>166</v>
      </c>
      <c r="E143" s="12" t="s">
        <v>113</v>
      </c>
      <c r="F143" s="13">
        <v>1</v>
      </c>
      <c r="G143" s="12" t="s">
        <v>339</v>
      </c>
    </row>
    <row r="144" spans="1:7" x14ac:dyDescent="0.25">
      <c r="A144" s="21">
        <v>20</v>
      </c>
      <c r="B144" s="12" t="s">
        <v>41</v>
      </c>
      <c r="C144" s="12" t="s">
        <v>222</v>
      </c>
      <c r="D144" s="32" t="s">
        <v>325</v>
      </c>
      <c r="E144" s="12" t="s">
        <v>113</v>
      </c>
      <c r="F144" s="13">
        <v>1</v>
      </c>
      <c r="G144" s="12" t="s">
        <v>336</v>
      </c>
    </row>
    <row r="145" spans="1:7" x14ac:dyDescent="0.25">
      <c r="A145" s="21">
        <v>21</v>
      </c>
      <c r="B145" s="12" t="s">
        <v>41</v>
      </c>
      <c r="C145" s="12" t="s">
        <v>222</v>
      </c>
      <c r="D145" s="12" t="s">
        <v>85</v>
      </c>
      <c r="E145" s="14" t="s">
        <v>316</v>
      </c>
      <c r="F145" s="13">
        <v>0</v>
      </c>
      <c r="G145" s="12" t="s">
        <v>336</v>
      </c>
    </row>
    <row r="146" spans="1:7" x14ac:dyDescent="0.25">
      <c r="A146" s="21">
        <v>22</v>
      </c>
      <c r="B146" s="12" t="s">
        <v>41</v>
      </c>
      <c r="C146" s="12" t="s">
        <v>222</v>
      </c>
      <c r="D146" s="12" t="s">
        <v>246</v>
      </c>
      <c r="E146" s="12" t="s">
        <v>113</v>
      </c>
      <c r="F146" s="13">
        <v>5</v>
      </c>
      <c r="G146" s="12" t="s">
        <v>336</v>
      </c>
    </row>
    <row r="147" spans="1:7" x14ac:dyDescent="0.25">
      <c r="A147" s="21">
        <v>23</v>
      </c>
      <c r="B147" s="12" t="s">
        <v>41</v>
      </c>
      <c r="C147" s="12" t="s">
        <v>222</v>
      </c>
      <c r="D147" s="12" t="s">
        <v>312</v>
      </c>
      <c r="E147" s="12" t="s">
        <v>113</v>
      </c>
      <c r="F147" s="13">
        <v>17</v>
      </c>
      <c r="G147" s="12" t="s">
        <v>336</v>
      </c>
    </row>
    <row r="148" spans="1:7" x14ac:dyDescent="0.25">
      <c r="A148" s="21">
        <v>24</v>
      </c>
      <c r="B148" s="12" t="s">
        <v>41</v>
      </c>
      <c r="C148" s="12" t="s">
        <v>222</v>
      </c>
      <c r="D148" s="12" t="s">
        <v>247</v>
      </c>
      <c r="E148" s="14" t="s">
        <v>316</v>
      </c>
      <c r="F148" s="13">
        <v>0</v>
      </c>
      <c r="G148" s="12" t="s">
        <v>336</v>
      </c>
    </row>
    <row r="149" spans="1:7" x14ac:dyDescent="0.25">
      <c r="A149" s="21">
        <v>25</v>
      </c>
      <c r="B149" s="12" t="s">
        <v>41</v>
      </c>
      <c r="C149" s="12" t="s">
        <v>222</v>
      </c>
      <c r="D149" s="12" t="s">
        <v>248</v>
      </c>
      <c r="E149" s="14" t="s">
        <v>316</v>
      </c>
      <c r="F149" s="13">
        <v>0</v>
      </c>
      <c r="G149" s="12" t="s">
        <v>336</v>
      </c>
    </row>
    <row r="150" spans="1:7" x14ac:dyDescent="0.25">
      <c r="A150" s="21">
        <v>26</v>
      </c>
      <c r="B150" s="12" t="s">
        <v>41</v>
      </c>
      <c r="C150" s="12" t="s">
        <v>222</v>
      </c>
      <c r="D150" s="12" t="s">
        <v>249</v>
      </c>
      <c r="E150" s="14" t="s">
        <v>316</v>
      </c>
      <c r="F150" s="13">
        <v>0</v>
      </c>
      <c r="G150" s="12" t="s">
        <v>336</v>
      </c>
    </row>
    <row r="151" spans="1:7" x14ac:dyDescent="0.25">
      <c r="A151" s="21">
        <v>27</v>
      </c>
      <c r="B151" s="12" t="s">
        <v>41</v>
      </c>
      <c r="C151" s="12" t="s">
        <v>222</v>
      </c>
      <c r="D151" s="12" t="s">
        <v>230</v>
      </c>
      <c r="E151" s="14" t="s">
        <v>113</v>
      </c>
      <c r="F151" s="13">
        <v>41</v>
      </c>
      <c r="G151" s="12" t="s">
        <v>336</v>
      </c>
    </row>
    <row r="152" spans="1:7" x14ac:dyDescent="0.25">
      <c r="A152" s="21">
        <v>28</v>
      </c>
      <c r="B152" s="12" t="s">
        <v>41</v>
      </c>
      <c r="C152" s="12" t="s">
        <v>222</v>
      </c>
      <c r="D152" s="12" t="s">
        <v>250</v>
      </c>
      <c r="E152" s="14" t="s">
        <v>316</v>
      </c>
      <c r="F152" s="13">
        <v>0</v>
      </c>
      <c r="G152" s="12" t="s">
        <v>336</v>
      </c>
    </row>
    <row r="153" spans="1:7" x14ac:dyDescent="0.25">
      <c r="A153" s="21">
        <v>29</v>
      </c>
      <c r="B153" s="12" t="s">
        <v>41</v>
      </c>
      <c r="C153" s="12" t="s">
        <v>222</v>
      </c>
      <c r="D153" s="12" t="s">
        <v>251</v>
      </c>
      <c r="E153" s="14" t="s">
        <v>316</v>
      </c>
      <c r="F153" s="13">
        <v>0</v>
      </c>
      <c r="G153" s="12" t="s">
        <v>336</v>
      </c>
    </row>
    <row r="154" spans="1:7" x14ac:dyDescent="0.25">
      <c r="A154" s="21">
        <v>30</v>
      </c>
      <c r="B154" s="12" t="s">
        <v>41</v>
      </c>
      <c r="C154" s="12" t="s">
        <v>222</v>
      </c>
      <c r="D154" s="12" t="s">
        <v>252</v>
      </c>
      <c r="E154" s="14" t="s">
        <v>316</v>
      </c>
      <c r="F154" s="13">
        <v>0</v>
      </c>
      <c r="G154" s="12" t="s">
        <v>336</v>
      </c>
    </row>
    <row r="155" spans="1:7" x14ac:dyDescent="0.25">
      <c r="A155" s="21">
        <v>31</v>
      </c>
      <c r="B155" s="12" t="s">
        <v>41</v>
      </c>
      <c r="C155" s="12" t="s">
        <v>222</v>
      </c>
      <c r="D155" s="12" t="s">
        <v>253</v>
      </c>
      <c r="E155" s="14" t="s">
        <v>316</v>
      </c>
      <c r="F155" s="13">
        <v>0</v>
      </c>
      <c r="G155" s="12" t="s">
        <v>336</v>
      </c>
    </row>
    <row r="156" spans="1:7" x14ac:dyDescent="0.25">
      <c r="A156" s="21">
        <v>32</v>
      </c>
      <c r="B156" s="12" t="s">
        <v>41</v>
      </c>
      <c r="C156" s="12" t="s">
        <v>222</v>
      </c>
      <c r="D156" s="12" t="s">
        <v>292</v>
      </c>
      <c r="E156" s="14" t="s">
        <v>316</v>
      </c>
      <c r="F156" s="13">
        <v>0</v>
      </c>
      <c r="G156" s="12" t="s">
        <v>336</v>
      </c>
    </row>
    <row r="157" spans="1:7" x14ac:dyDescent="0.25">
      <c r="A157" s="21">
        <v>33</v>
      </c>
      <c r="B157" s="12" t="s">
        <v>41</v>
      </c>
      <c r="C157" s="12" t="s">
        <v>222</v>
      </c>
      <c r="D157" s="12" t="s">
        <v>333</v>
      </c>
      <c r="E157" s="14" t="s">
        <v>316</v>
      </c>
      <c r="F157" s="13">
        <v>0</v>
      </c>
      <c r="G157" s="12" t="s">
        <v>336</v>
      </c>
    </row>
    <row r="158" spans="1:7" x14ac:dyDescent="0.25">
      <c r="A158" s="21">
        <v>34</v>
      </c>
      <c r="B158" s="12" t="s">
        <v>41</v>
      </c>
      <c r="C158" s="12" t="s">
        <v>222</v>
      </c>
      <c r="D158" s="27" t="s">
        <v>311</v>
      </c>
      <c r="E158" s="28" t="s">
        <v>316</v>
      </c>
      <c r="F158" s="13">
        <v>0</v>
      </c>
      <c r="G158" s="12" t="s">
        <v>336</v>
      </c>
    </row>
    <row r="159" spans="1:7" x14ac:dyDescent="0.25">
      <c r="A159" s="21">
        <v>35</v>
      </c>
      <c r="B159" s="12" t="s">
        <v>41</v>
      </c>
      <c r="C159" s="12" t="s">
        <v>222</v>
      </c>
      <c r="D159" s="27" t="s">
        <v>318</v>
      </c>
      <c r="E159" s="28" t="s">
        <v>316</v>
      </c>
      <c r="F159" s="13">
        <v>0</v>
      </c>
      <c r="G159" s="12" t="s">
        <v>336</v>
      </c>
    </row>
    <row r="160" spans="1:7" x14ac:dyDescent="0.25">
      <c r="A160" s="21">
        <v>36</v>
      </c>
      <c r="B160" s="12" t="s">
        <v>41</v>
      </c>
      <c r="C160" s="12" t="s">
        <v>222</v>
      </c>
      <c r="D160" s="27" t="s">
        <v>319</v>
      </c>
      <c r="E160" s="28" t="s">
        <v>113</v>
      </c>
      <c r="F160" s="13">
        <v>10</v>
      </c>
      <c r="G160" s="12" t="s">
        <v>336</v>
      </c>
    </row>
    <row r="161" spans="1:7" x14ac:dyDescent="0.25">
      <c r="A161" s="21">
        <v>37</v>
      </c>
      <c r="B161" s="12" t="s">
        <v>41</v>
      </c>
      <c r="C161" s="12" t="s">
        <v>222</v>
      </c>
      <c r="D161" s="12" t="s">
        <v>320</v>
      </c>
      <c r="E161" s="14" t="s">
        <v>316</v>
      </c>
      <c r="F161" s="13">
        <v>0</v>
      </c>
      <c r="G161" s="12" t="s">
        <v>336</v>
      </c>
    </row>
    <row r="162" spans="1:7" x14ac:dyDescent="0.25">
      <c r="A162" s="21">
        <v>38</v>
      </c>
      <c r="B162" s="12" t="s">
        <v>41</v>
      </c>
      <c r="C162" s="12" t="s">
        <v>222</v>
      </c>
      <c r="D162" s="29" t="s">
        <v>218</v>
      </c>
      <c r="E162" s="30" t="s">
        <v>316</v>
      </c>
      <c r="F162" s="13">
        <v>0</v>
      </c>
      <c r="G162" s="12" t="s">
        <v>336</v>
      </c>
    </row>
    <row r="163" spans="1:7" x14ac:dyDescent="0.25">
      <c r="A163" s="21">
        <v>39</v>
      </c>
      <c r="B163" s="12" t="s">
        <v>41</v>
      </c>
      <c r="C163" s="12" t="s">
        <v>222</v>
      </c>
      <c r="D163" s="29" t="s">
        <v>219</v>
      </c>
      <c r="E163" s="30" t="s">
        <v>113</v>
      </c>
      <c r="F163" s="31">
        <v>240</v>
      </c>
      <c r="G163" s="12" t="s">
        <v>336</v>
      </c>
    </row>
    <row r="164" spans="1:7" x14ac:dyDescent="0.25">
      <c r="A164" s="21">
        <v>40</v>
      </c>
      <c r="B164" s="12" t="s">
        <v>41</v>
      </c>
      <c r="C164" s="12" t="s">
        <v>222</v>
      </c>
      <c r="D164" s="29" t="s">
        <v>294</v>
      </c>
      <c r="E164" s="30" t="s">
        <v>113</v>
      </c>
      <c r="F164" s="31">
        <v>150</v>
      </c>
      <c r="G164" s="12" t="s">
        <v>336</v>
      </c>
    </row>
    <row r="165" spans="1:7" x14ac:dyDescent="0.25">
      <c r="A165" s="18" t="s">
        <v>167</v>
      </c>
      <c r="B165" s="10"/>
      <c r="C165" s="10"/>
      <c r="D165" s="10" t="s">
        <v>63</v>
      </c>
      <c r="E165" s="10"/>
      <c r="F165" s="11">
        <f>SUM(F167:F174)</f>
        <v>459</v>
      </c>
      <c r="G165" s="10"/>
    </row>
    <row r="166" spans="1:7" x14ac:dyDescent="0.25">
      <c r="A166" s="21">
        <v>1</v>
      </c>
      <c r="B166" s="12" t="s">
        <v>63</v>
      </c>
      <c r="C166" s="12" t="s">
        <v>224</v>
      </c>
      <c r="D166" s="12" t="s">
        <v>168</v>
      </c>
      <c r="E166" s="14" t="s">
        <v>316</v>
      </c>
      <c r="F166" s="13">
        <v>0</v>
      </c>
      <c r="G166" s="14" t="s">
        <v>338</v>
      </c>
    </row>
    <row r="167" spans="1:7" x14ac:dyDescent="0.25">
      <c r="A167" s="21">
        <v>2</v>
      </c>
      <c r="B167" s="12" t="s">
        <v>63</v>
      </c>
      <c r="C167" s="12" t="s">
        <v>224</v>
      </c>
      <c r="D167" s="12" t="s">
        <v>169</v>
      </c>
      <c r="E167" s="14" t="s">
        <v>316</v>
      </c>
      <c r="F167" s="13">
        <v>0</v>
      </c>
      <c r="G167" s="14" t="s">
        <v>338</v>
      </c>
    </row>
    <row r="168" spans="1:7" x14ac:dyDescent="0.25">
      <c r="A168" s="21">
        <v>3</v>
      </c>
      <c r="B168" s="12" t="s">
        <v>63</v>
      </c>
      <c r="C168" s="12" t="s">
        <v>224</v>
      </c>
      <c r="D168" s="12" t="s">
        <v>170</v>
      </c>
      <c r="E168" s="14" t="s">
        <v>316</v>
      </c>
      <c r="F168" s="13">
        <v>0</v>
      </c>
      <c r="G168" s="14" t="s">
        <v>338</v>
      </c>
    </row>
    <row r="169" spans="1:7" x14ac:dyDescent="0.25">
      <c r="A169" s="21">
        <v>4</v>
      </c>
      <c r="B169" s="12" t="s">
        <v>63</v>
      </c>
      <c r="C169" s="12" t="s">
        <v>224</v>
      </c>
      <c r="D169" s="12" t="s">
        <v>171</v>
      </c>
      <c r="E169" s="14" t="s">
        <v>316</v>
      </c>
      <c r="F169" s="13">
        <v>0</v>
      </c>
      <c r="G169" s="14" t="s">
        <v>338</v>
      </c>
    </row>
    <row r="170" spans="1:7" x14ac:dyDescent="0.25">
      <c r="A170" s="21">
        <v>5</v>
      </c>
      <c r="B170" s="12" t="s">
        <v>63</v>
      </c>
      <c r="C170" s="12" t="s">
        <v>224</v>
      </c>
      <c r="D170" s="12" t="s">
        <v>64</v>
      </c>
      <c r="E170" s="14" t="s">
        <v>113</v>
      </c>
      <c r="F170" s="13">
        <v>18</v>
      </c>
      <c r="G170" s="14" t="s">
        <v>338</v>
      </c>
    </row>
    <row r="171" spans="1:7" x14ac:dyDescent="0.25">
      <c r="A171" s="21">
        <v>6</v>
      </c>
      <c r="B171" s="12" t="s">
        <v>63</v>
      </c>
      <c r="C171" s="12" t="s">
        <v>224</v>
      </c>
      <c r="D171" s="12" t="s">
        <v>308</v>
      </c>
      <c r="E171" s="14" t="s">
        <v>113</v>
      </c>
      <c r="F171" s="13">
        <v>27</v>
      </c>
      <c r="G171" s="14" t="s">
        <v>338</v>
      </c>
    </row>
    <row r="172" spans="1:7" x14ac:dyDescent="0.25">
      <c r="A172" s="21">
        <v>7</v>
      </c>
      <c r="B172" s="12" t="s">
        <v>63</v>
      </c>
      <c r="C172" s="12" t="s">
        <v>224</v>
      </c>
      <c r="D172" s="12" t="s">
        <v>212</v>
      </c>
      <c r="E172" s="14" t="s">
        <v>113</v>
      </c>
      <c r="F172" s="13">
        <v>409</v>
      </c>
      <c r="G172" s="14" t="s">
        <v>338</v>
      </c>
    </row>
    <row r="173" spans="1:7" x14ac:dyDescent="0.25">
      <c r="A173" s="21">
        <v>8</v>
      </c>
      <c r="B173" s="12" t="s">
        <v>63</v>
      </c>
      <c r="C173" s="12" t="s">
        <v>224</v>
      </c>
      <c r="D173" s="12" t="s">
        <v>295</v>
      </c>
      <c r="E173" s="14" t="s">
        <v>316</v>
      </c>
      <c r="F173" s="13">
        <v>0</v>
      </c>
      <c r="G173" s="14" t="s">
        <v>338</v>
      </c>
    </row>
    <row r="174" spans="1:7" x14ac:dyDescent="0.25">
      <c r="A174" s="21">
        <v>9</v>
      </c>
      <c r="B174" s="12" t="s">
        <v>63</v>
      </c>
      <c r="C174" s="12" t="s">
        <v>224</v>
      </c>
      <c r="D174" s="12" t="s">
        <v>314</v>
      </c>
      <c r="E174" s="14" t="s">
        <v>113</v>
      </c>
      <c r="F174" s="13">
        <v>5</v>
      </c>
      <c r="G174" s="14" t="s">
        <v>338</v>
      </c>
    </row>
    <row r="175" spans="1:7" x14ac:dyDescent="0.25">
      <c r="A175" s="18" t="s">
        <v>172</v>
      </c>
      <c r="B175" s="10"/>
      <c r="C175" s="10"/>
      <c r="D175" s="10" t="s">
        <v>42</v>
      </c>
      <c r="E175" s="10"/>
      <c r="F175" s="11">
        <f>SUM(F176:F178)</f>
        <v>66</v>
      </c>
      <c r="G175" s="10"/>
    </row>
    <row r="176" spans="1:7" x14ac:dyDescent="0.25">
      <c r="A176" s="21">
        <v>1</v>
      </c>
      <c r="B176" s="12" t="s">
        <v>42</v>
      </c>
      <c r="C176" s="12" t="s">
        <v>225</v>
      </c>
      <c r="D176" s="12" t="s">
        <v>33</v>
      </c>
      <c r="E176" s="12" t="s">
        <v>113</v>
      </c>
      <c r="F176" s="13">
        <v>48</v>
      </c>
      <c r="G176" s="12" t="s">
        <v>338</v>
      </c>
    </row>
    <row r="177" spans="1:7" x14ac:dyDescent="0.25">
      <c r="A177" s="22">
        <v>2</v>
      </c>
      <c r="B177" s="14" t="s">
        <v>42</v>
      </c>
      <c r="C177" s="12" t="s">
        <v>225</v>
      </c>
      <c r="D177" s="14" t="s">
        <v>73</v>
      </c>
      <c r="E177" s="12" t="s">
        <v>113</v>
      </c>
      <c r="F177" s="13">
        <v>2</v>
      </c>
      <c r="G177" s="12" t="s">
        <v>338</v>
      </c>
    </row>
    <row r="178" spans="1:7" x14ac:dyDescent="0.25">
      <c r="A178" s="22">
        <v>3</v>
      </c>
      <c r="B178" s="14" t="s">
        <v>42</v>
      </c>
      <c r="C178" s="12" t="s">
        <v>225</v>
      </c>
      <c r="D178" s="14" t="s">
        <v>229</v>
      </c>
      <c r="E178" s="12" t="s">
        <v>113</v>
      </c>
      <c r="F178" s="13">
        <v>16</v>
      </c>
      <c r="G178" s="12" t="s">
        <v>338</v>
      </c>
    </row>
    <row r="179" spans="1:7" x14ac:dyDescent="0.25">
      <c r="A179" s="18" t="s">
        <v>173</v>
      </c>
      <c r="B179" s="10"/>
      <c r="C179" s="10"/>
      <c r="D179" s="10" t="s">
        <v>19</v>
      </c>
      <c r="E179" s="10"/>
      <c r="F179" s="11">
        <f>SUM(F180:F189)</f>
        <v>75</v>
      </c>
      <c r="G179" s="10"/>
    </row>
    <row r="180" spans="1:7" x14ac:dyDescent="0.25">
      <c r="A180" s="22">
        <v>1</v>
      </c>
      <c r="B180" s="12" t="s">
        <v>19</v>
      </c>
      <c r="C180" s="12" t="s">
        <v>221</v>
      </c>
      <c r="D180" s="12" t="s">
        <v>24</v>
      </c>
      <c r="E180" s="12" t="s">
        <v>113</v>
      </c>
      <c r="F180" s="13">
        <v>4</v>
      </c>
      <c r="G180" s="12" t="s">
        <v>337</v>
      </c>
    </row>
    <row r="181" spans="1:7" x14ac:dyDescent="0.25">
      <c r="A181" s="22">
        <v>2</v>
      </c>
      <c r="B181" s="12" t="s">
        <v>19</v>
      </c>
      <c r="C181" s="12" t="s">
        <v>221</v>
      </c>
      <c r="D181" s="12" t="s">
        <v>26</v>
      </c>
      <c r="E181" s="12" t="s">
        <v>316</v>
      </c>
      <c r="F181" s="13">
        <v>0</v>
      </c>
      <c r="G181" s="12" t="s">
        <v>337</v>
      </c>
    </row>
    <row r="182" spans="1:7" x14ac:dyDescent="0.25">
      <c r="A182" s="22">
        <v>3</v>
      </c>
      <c r="B182" s="12" t="s">
        <v>19</v>
      </c>
      <c r="C182" s="12" t="s">
        <v>221</v>
      </c>
      <c r="D182" s="12" t="s">
        <v>74</v>
      </c>
      <c r="E182" s="12" t="s">
        <v>113</v>
      </c>
      <c r="F182" s="13">
        <v>2</v>
      </c>
      <c r="G182" s="12" t="s">
        <v>337</v>
      </c>
    </row>
    <row r="183" spans="1:7" x14ac:dyDescent="0.25">
      <c r="A183" s="22">
        <v>4</v>
      </c>
      <c r="B183" s="14" t="s">
        <v>19</v>
      </c>
      <c r="C183" s="12" t="s">
        <v>221</v>
      </c>
      <c r="D183" s="14" t="s">
        <v>91</v>
      </c>
      <c r="E183" s="14" t="s">
        <v>316</v>
      </c>
      <c r="F183" s="13">
        <v>0</v>
      </c>
      <c r="G183" s="12" t="s">
        <v>337</v>
      </c>
    </row>
    <row r="184" spans="1:7" x14ac:dyDescent="0.25">
      <c r="A184" s="22">
        <v>5</v>
      </c>
      <c r="B184" s="12" t="s">
        <v>19</v>
      </c>
      <c r="C184" s="12" t="s">
        <v>221</v>
      </c>
      <c r="D184" s="12" t="s">
        <v>132</v>
      </c>
      <c r="E184" s="14" t="s">
        <v>316</v>
      </c>
      <c r="F184" s="13">
        <v>0</v>
      </c>
      <c r="G184" s="12" t="s">
        <v>337</v>
      </c>
    </row>
    <row r="185" spans="1:7" x14ac:dyDescent="0.25">
      <c r="A185" s="22">
        <v>6</v>
      </c>
      <c r="B185" s="12" t="s">
        <v>19</v>
      </c>
      <c r="C185" s="12" t="s">
        <v>221</v>
      </c>
      <c r="D185" s="12" t="s">
        <v>125</v>
      </c>
      <c r="E185" s="14" t="s">
        <v>316</v>
      </c>
      <c r="F185" s="13">
        <v>0</v>
      </c>
      <c r="G185" s="12" t="s">
        <v>337</v>
      </c>
    </row>
    <row r="186" spans="1:7" x14ac:dyDescent="0.25">
      <c r="A186" s="22">
        <v>7</v>
      </c>
      <c r="B186" s="12" t="s">
        <v>19</v>
      </c>
      <c r="C186" s="12" t="s">
        <v>221</v>
      </c>
      <c r="D186" s="12" t="s">
        <v>174</v>
      </c>
      <c r="E186" s="14" t="s">
        <v>316</v>
      </c>
      <c r="F186" s="13">
        <v>0</v>
      </c>
      <c r="G186" s="12" t="s">
        <v>337</v>
      </c>
    </row>
    <row r="187" spans="1:7" x14ac:dyDescent="0.25">
      <c r="A187" s="22">
        <v>8</v>
      </c>
      <c r="B187" s="14" t="s">
        <v>19</v>
      </c>
      <c r="C187" s="12" t="s">
        <v>221</v>
      </c>
      <c r="D187" s="14" t="s">
        <v>323</v>
      </c>
      <c r="E187" s="14" t="s">
        <v>316</v>
      </c>
      <c r="F187" s="13">
        <v>0</v>
      </c>
      <c r="G187" s="12" t="s">
        <v>337</v>
      </c>
    </row>
    <row r="188" spans="1:7" x14ac:dyDescent="0.25">
      <c r="A188" s="22">
        <v>9</v>
      </c>
      <c r="B188" s="14" t="s">
        <v>19</v>
      </c>
      <c r="C188" s="12" t="s">
        <v>221</v>
      </c>
      <c r="D188" s="12" t="s">
        <v>307</v>
      </c>
      <c r="E188" s="12" t="s">
        <v>113</v>
      </c>
      <c r="F188" s="13">
        <v>2</v>
      </c>
      <c r="G188" s="12" t="s">
        <v>337</v>
      </c>
    </row>
    <row r="189" spans="1:7" x14ac:dyDescent="0.25">
      <c r="A189" s="20" t="s">
        <v>148</v>
      </c>
      <c r="B189" s="16"/>
      <c r="C189" s="16"/>
      <c r="D189" s="16" t="s">
        <v>65</v>
      </c>
      <c r="E189" s="16"/>
      <c r="F189" s="17">
        <f>SUM(F190:F218)</f>
        <v>67</v>
      </c>
      <c r="G189" s="16"/>
    </row>
    <row r="190" spans="1:7" x14ac:dyDescent="0.25">
      <c r="A190" s="22">
        <v>1</v>
      </c>
      <c r="B190" s="12" t="s">
        <v>19</v>
      </c>
      <c r="C190" s="12" t="s">
        <v>65</v>
      </c>
      <c r="D190" s="12" t="s">
        <v>99</v>
      </c>
      <c r="E190" s="12" t="s">
        <v>113</v>
      </c>
      <c r="F190" s="13">
        <v>1</v>
      </c>
      <c r="G190" s="12" t="s">
        <v>337</v>
      </c>
    </row>
    <row r="191" spans="1:7" x14ac:dyDescent="0.25">
      <c r="A191" s="22">
        <v>2</v>
      </c>
      <c r="B191" s="12" t="s">
        <v>19</v>
      </c>
      <c r="C191" s="12" t="s">
        <v>65</v>
      </c>
      <c r="D191" s="12" t="s">
        <v>122</v>
      </c>
      <c r="E191" s="14" t="s">
        <v>316</v>
      </c>
      <c r="F191" s="13">
        <v>0</v>
      </c>
      <c r="G191" s="12" t="s">
        <v>337</v>
      </c>
    </row>
    <row r="192" spans="1:7" x14ac:dyDescent="0.25">
      <c r="A192" s="22">
        <v>3</v>
      </c>
      <c r="B192" s="12" t="s">
        <v>19</v>
      </c>
      <c r="C192" s="12" t="s">
        <v>65</v>
      </c>
      <c r="D192" s="12" t="s">
        <v>100</v>
      </c>
      <c r="E192" s="12" t="s">
        <v>113</v>
      </c>
      <c r="F192" s="13">
        <v>24</v>
      </c>
      <c r="G192" s="12" t="s">
        <v>337</v>
      </c>
    </row>
    <row r="193" spans="1:7" x14ac:dyDescent="0.25">
      <c r="A193" s="22">
        <v>4</v>
      </c>
      <c r="B193" s="12" t="s">
        <v>19</v>
      </c>
      <c r="C193" s="12" t="s">
        <v>65</v>
      </c>
      <c r="D193" s="12" t="s">
        <v>130</v>
      </c>
      <c r="E193" s="14" t="s">
        <v>316</v>
      </c>
      <c r="F193" s="13">
        <v>0</v>
      </c>
      <c r="G193" s="12" t="s">
        <v>337</v>
      </c>
    </row>
    <row r="194" spans="1:7" x14ac:dyDescent="0.25">
      <c r="A194" s="22">
        <v>5</v>
      </c>
      <c r="B194" s="12" t="s">
        <v>19</v>
      </c>
      <c r="C194" s="12" t="s">
        <v>65</v>
      </c>
      <c r="D194" s="12" t="s">
        <v>23</v>
      </c>
      <c r="E194" s="14" t="s">
        <v>316</v>
      </c>
      <c r="F194" s="13">
        <v>0</v>
      </c>
      <c r="G194" s="12" t="s">
        <v>337</v>
      </c>
    </row>
    <row r="195" spans="1:7" x14ac:dyDescent="0.25">
      <c r="A195" s="22">
        <v>6</v>
      </c>
      <c r="B195" s="12" t="s">
        <v>19</v>
      </c>
      <c r="C195" s="12" t="s">
        <v>65</v>
      </c>
      <c r="D195" s="12" t="s">
        <v>123</v>
      </c>
      <c r="E195" s="12" t="s">
        <v>113</v>
      </c>
      <c r="F195" s="13">
        <v>2</v>
      </c>
      <c r="G195" s="12" t="s">
        <v>337</v>
      </c>
    </row>
    <row r="196" spans="1:7" x14ac:dyDescent="0.25">
      <c r="A196" s="22">
        <v>7</v>
      </c>
      <c r="B196" s="12" t="s">
        <v>19</v>
      </c>
      <c r="C196" s="12" t="s">
        <v>65</v>
      </c>
      <c r="D196" s="12" t="s">
        <v>21</v>
      </c>
      <c r="E196" s="12" t="s">
        <v>113</v>
      </c>
      <c r="F196" s="13">
        <v>13</v>
      </c>
      <c r="G196" s="12" t="s">
        <v>337</v>
      </c>
    </row>
    <row r="197" spans="1:7" x14ac:dyDescent="0.25">
      <c r="A197" s="22">
        <v>8</v>
      </c>
      <c r="B197" s="12" t="s">
        <v>19</v>
      </c>
      <c r="C197" s="12" t="s">
        <v>65</v>
      </c>
      <c r="D197" s="12" t="s">
        <v>22</v>
      </c>
      <c r="E197" s="12" t="s">
        <v>113</v>
      </c>
      <c r="F197" s="13">
        <v>2</v>
      </c>
      <c r="G197" s="12" t="s">
        <v>337</v>
      </c>
    </row>
    <row r="198" spans="1:7" x14ac:dyDescent="0.25">
      <c r="A198" s="22">
        <v>9</v>
      </c>
      <c r="B198" s="12" t="s">
        <v>19</v>
      </c>
      <c r="C198" s="12" t="s">
        <v>65</v>
      </c>
      <c r="D198" s="12" t="s">
        <v>27</v>
      </c>
      <c r="E198" s="14" t="s">
        <v>316</v>
      </c>
      <c r="F198" s="13">
        <v>0</v>
      </c>
      <c r="G198" s="12" t="s">
        <v>337</v>
      </c>
    </row>
    <row r="199" spans="1:7" x14ac:dyDescent="0.25">
      <c r="A199" s="22">
        <v>10</v>
      </c>
      <c r="B199" s="12" t="s">
        <v>19</v>
      </c>
      <c r="C199" s="12" t="s">
        <v>65</v>
      </c>
      <c r="D199" s="12" t="s">
        <v>20</v>
      </c>
      <c r="E199" s="12" t="s">
        <v>113</v>
      </c>
      <c r="F199" s="13">
        <v>20</v>
      </c>
      <c r="G199" s="12" t="s">
        <v>337</v>
      </c>
    </row>
    <row r="200" spans="1:7" x14ac:dyDescent="0.25">
      <c r="A200" s="22">
        <v>11</v>
      </c>
      <c r="B200" s="12" t="s">
        <v>19</v>
      </c>
      <c r="C200" s="12" t="s">
        <v>65</v>
      </c>
      <c r="D200" s="12" t="s">
        <v>124</v>
      </c>
      <c r="E200" s="12" t="s">
        <v>113</v>
      </c>
      <c r="F200" s="13">
        <v>1</v>
      </c>
      <c r="G200" s="12" t="s">
        <v>337</v>
      </c>
    </row>
    <row r="201" spans="1:7" x14ac:dyDescent="0.25">
      <c r="A201" s="22">
        <v>12</v>
      </c>
      <c r="B201" s="12" t="s">
        <v>19</v>
      </c>
      <c r="C201" s="12" t="s">
        <v>65</v>
      </c>
      <c r="D201" s="12" t="s">
        <v>25</v>
      </c>
      <c r="E201" s="12" t="s">
        <v>113</v>
      </c>
      <c r="F201" s="13">
        <v>1</v>
      </c>
      <c r="G201" s="12" t="s">
        <v>337</v>
      </c>
    </row>
    <row r="202" spans="1:7" x14ac:dyDescent="0.25">
      <c r="A202" s="22">
        <v>13</v>
      </c>
      <c r="B202" s="12" t="s">
        <v>19</v>
      </c>
      <c r="C202" s="12" t="s">
        <v>65</v>
      </c>
      <c r="D202" s="12" t="s">
        <v>94</v>
      </c>
      <c r="E202" s="12" t="s">
        <v>113</v>
      </c>
      <c r="F202" s="13">
        <v>3</v>
      </c>
      <c r="G202" s="12" t="s">
        <v>337</v>
      </c>
    </row>
    <row r="203" spans="1:7" x14ac:dyDescent="0.25">
      <c r="A203" s="22">
        <v>14</v>
      </c>
      <c r="B203" s="12" t="s">
        <v>19</v>
      </c>
      <c r="C203" s="12" t="s">
        <v>65</v>
      </c>
      <c r="D203" s="12" t="s">
        <v>129</v>
      </c>
      <c r="E203" s="14" t="s">
        <v>316</v>
      </c>
      <c r="F203" s="13">
        <v>0</v>
      </c>
      <c r="G203" s="12" t="s">
        <v>337</v>
      </c>
    </row>
    <row r="204" spans="1:7" x14ac:dyDescent="0.25">
      <c r="A204" s="22">
        <v>15</v>
      </c>
      <c r="B204" s="12" t="s">
        <v>19</v>
      </c>
      <c r="C204" s="12" t="s">
        <v>65</v>
      </c>
      <c r="D204" s="12" t="s">
        <v>128</v>
      </c>
      <c r="E204" s="14" t="s">
        <v>316</v>
      </c>
      <c r="F204" s="13">
        <v>0</v>
      </c>
      <c r="G204" s="12" t="s">
        <v>337</v>
      </c>
    </row>
    <row r="205" spans="1:7" x14ac:dyDescent="0.25">
      <c r="A205" s="22">
        <v>16</v>
      </c>
      <c r="B205" s="12" t="s">
        <v>19</v>
      </c>
      <c r="C205" s="12" t="s">
        <v>65</v>
      </c>
      <c r="D205" s="12" t="s">
        <v>131</v>
      </c>
      <c r="E205" s="14" t="s">
        <v>316</v>
      </c>
      <c r="F205" s="13">
        <v>0</v>
      </c>
      <c r="G205" s="12" t="s">
        <v>337</v>
      </c>
    </row>
    <row r="206" spans="1:7" x14ac:dyDescent="0.25">
      <c r="A206" s="22">
        <v>17</v>
      </c>
      <c r="B206" s="12" t="s">
        <v>19</v>
      </c>
      <c r="C206" s="12" t="s">
        <v>65</v>
      </c>
      <c r="D206" s="12" t="s">
        <v>133</v>
      </c>
      <c r="E206" s="14" t="s">
        <v>316</v>
      </c>
      <c r="F206" s="13">
        <v>0</v>
      </c>
      <c r="G206" s="12" t="s">
        <v>337</v>
      </c>
    </row>
    <row r="207" spans="1:7" x14ac:dyDescent="0.25">
      <c r="A207" s="22">
        <v>18</v>
      </c>
      <c r="B207" s="12" t="s">
        <v>19</v>
      </c>
      <c r="C207" s="12" t="s">
        <v>65</v>
      </c>
      <c r="D207" s="12" t="s">
        <v>134</v>
      </c>
      <c r="E207" s="14" t="s">
        <v>316</v>
      </c>
      <c r="F207" s="13">
        <v>0</v>
      </c>
      <c r="G207" s="12" t="s">
        <v>337</v>
      </c>
    </row>
    <row r="208" spans="1:7" x14ac:dyDescent="0.25">
      <c r="A208" s="22">
        <v>19</v>
      </c>
      <c r="B208" s="12" t="s">
        <v>19</v>
      </c>
      <c r="C208" s="12" t="s">
        <v>65</v>
      </c>
      <c r="D208" s="12" t="s">
        <v>127</v>
      </c>
      <c r="E208" s="14" t="s">
        <v>316</v>
      </c>
      <c r="F208" s="13">
        <v>0</v>
      </c>
      <c r="G208" s="12" t="s">
        <v>337</v>
      </c>
    </row>
    <row r="209" spans="1:7" x14ac:dyDescent="0.25">
      <c r="A209" s="22">
        <v>20</v>
      </c>
      <c r="B209" s="12" t="s">
        <v>19</v>
      </c>
      <c r="C209" s="12" t="s">
        <v>65</v>
      </c>
      <c r="D209" s="12" t="s">
        <v>126</v>
      </c>
      <c r="E209" s="14" t="s">
        <v>316</v>
      </c>
      <c r="F209" s="13">
        <v>0</v>
      </c>
      <c r="G209" s="12" t="s">
        <v>337</v>
      </c>
    </row>
    <row r="210" spans="1:7" x14ac:dyDescent="0.25">
      <c r="A210" s="22">
        <v>21</v>
      </c>
      <c r="B210" s="12" t="s">
        <v>19</v>
      </c>
      <c r="C210" s="12" t="s">
        <v>65</v>
      </c>
      <c r="D210" s="12" t="s">
        <v>139</v>
      </c>
      <c r="E210" s="14" t="s">
        <v>316</v>
      </c>
      <c r="F210" s="13">
        <v>0</v>
      </c>
      <c r="G210" s="12" t="s">
        <v>337</v>
      </c>
    </row>
    <row r="211" spans="1:7" x14ac:dyDescent="0.25">
      <c r="A211" s="22">
        <v>22</v>
      </c>
      <c r="B211" s="12" t="s">
        <v>19</v>
      </c>
      <c r="C211" s="12" t="s">
        <v>65</v>
      </c>
      <c r="D211" s="12" t="s">
        <v>95</v>
      </c>
      <c r="E211" s="14" t="s">
        <v>316</v>
      </c>
      <c r="F211" s="13">
        <v>0</v>
      </c>
      <c r="G211" s="12" t="s">
        <v>337</v>
      </c>
    </row>
    <row r="212" spans="1:7" x14ac:dyDescent="0.25">
      <c r="A212" s="22">
        <v>23</v>
      </c>
      <c r="B212" s="12" t="s">
        <v>19</v>
      </c>
      <c r="C212" s="12" t="s">
        <v>65</v>
      </c>
      <c r="D212" s="12" t="s">
        <v>209</v>
      </c>
      <c r="E212" s="14" t="s">
        <v>316</v>
      </c>
      <c r="F212" s="13">
        <v>0</v>
      </c>
      <c r="G212" s="12" t="s">
        <v>337</v>
      </c>
    </row>
    <row r="213" spans="1:7" x14ac:dyDescent="0.25">
      <c r="A213" s="22">
        <v>24</v>
      </c>
      <c r="B213" s="12" t="s">
        <v>19</v>
      </c>
      <c r="C213" s="12" t="s">
        <v>65</v>
      </c>
      <c r="D213" s="12" t="s">
        <v>207</v>
      </c>
      <c r="E213" s="14" t="s">
        <v>316</v>
      </c>
      <c r="F213" s="13">
        <v>0</v>
      </c>
      <c r="G213" s="12" t="s">
        <v>337</v>
      </c>
    </row>
    <row r="214" spans="1:7" x14ac:dyDescent="0.25">
      <c r="A214" s="22">
        <v>25</v>
      </c>
      <c r="B214" s="12" t="s">
        <v>19</v>
      </c>
      <c r="C214" s="12" t="s">
        <v>65</v>
      </c>
      <c r="D214" s="12" t="s">
        <v>208</v>
      </c>
      <c r="E214" s="14" t="s">
        <v>316</v>
      </c>
      <c r="F214" s="13">
        <v>0</v>
      </c>
      <c r="G214" s="12" t="s">
        <v>337</v>
      </c>
    </row>
    <row r="215" spans="1:7" x14ac:dyDescent="0.25">
      <c r="A215" s="22">
        <v>26</v>
      </c>
      <c r="B215" s="12" t="s">
        <v>19</v>
      </c>
      <c r="C215" s="12" t="s">
        <v>65</v>
      </c>
      <c r="D215" s="12" t="s">
        <v>206</v>
      </c>
      <c r="E215" s="14" t="s">
        <v>316</v>
      </c>
      <c r="F215" s="13">
        <v>0</v>
      </c>
      <c r="G215" s="12" t="s">
        <v>337</v>
      </c>
    </row>
    <row r="216" spans="1:7" x14ac:dyDescent="0.25">
      <c r="A216" s="22">
        <v>27</v>
      </c>
      <c r="B216" s="12" t="s">
        <v>19</v>
      </c>
      <c r="C216" s="12" t="s">
        <v>65</v>
      </c>
      <c r="D216" s="12" t="s">
        <v>140</v>
      </c>
      <c r="E216" s="14" t="s">
        <v>316</v>
      </c>
      <c r="F216" s="13">
        <v>0</v>
      </c>
      <c r="G216" s="12" t="s">
        <v>337</v>
      </c>
    </row>
    <row r="217" spans="1:7" x14ac:dyDescent="0.25">
      <c r="A217" s="22">
        <v>28</v>
      </c>
      <c r="B217" s="12" t="s">
        <v>19</v>
      </c>
      <c r="C217" s="12" t="s">
        <v>65</v>
      </c>
      <c r="D217" s="12" t="s">
        <v>291</v>
      </c>
      <c r="E217" s="12" t="s">
        <v>316</v>
      </c>
      <c r="F217" s="13">
        <v>0</v>
      </c>
      <c r="G217" s="12" t="s">
        <v>337</v>
      </c>
    </row>
    <row r="218" spans="1:7" x14ac:dyDescent="0.25">
      <c r="A218" s="22">
        <v>29</v>
      </c>
      <c r="B218" s="12" t="s">
        <v>19</v>
      </c>
      <c r="C218" s="12" t="s">
        <v>65</v>
      </c>
      <c r="D218" s="12" t="s">
        <v>310</v>
      </c>
      <c r="E218" s="14" t="s">
        <v>316</v>
      </c>
      <c r="F218" s="13">
        <v>0</v>
      </c>
      <c r="G218" s="12" t="s">
        <v>337</v>
      </c>
    </row>
    <row r="219" spans="1:7" x14ac:dyDescent="0.25">
      <c r="A219" s="18" t="s">
        <v>175</v>
      </c>
      <c r="B219" s="10"/>
      <c r="C219" s="10"/>
      <c r="D219" s="10" t="s">
        <v>28</v>
      </c>
      <c r="E219" s="10"/>
      <c r="F219" s="11">
        <f>SUM(F220:F221)</f>
        <v>3</v>
      </c>
      <c r="G219" s="10"/>
    </row>
    <row r="220" spans="1:7" x14ac:dyDescent="0.25">
      <c r="A220" s="22">
        <v>1</v>
      </c>
      <c r="B220" s="12" t="s">
        <v>28</v>
      </c>
      <c r="C220" s="12" t="s">
        <v>226</v>
      </c>
      <c r="D220" s="12" t="s">
        <v>135</v>
      </c>
      <c r="E220" s="12" t="s">
        <v>113</v>
      </c>
      <c r="F220" s="13">
        <v>3</v>
      </c>
      <c r="G220" s="12" t="s">
        <v>337</v>
      </c>
    </row>
    <row r="221" spans="1:7" x14ac:dyDescent="0.25">
      <c r="A221" s="22">
        <v>2</v>
      </c>
      <c r="B221" s="12" t="s">
        <v>28</v>
      </c>
      <c r="C221" s="12" t="s">
        <v>226</v>
      </c>
      <c r="D221" s="12" t="s">
        <v>29</v>
      </c>
      <c r="E221" s="14" t="s">
        <v>316</v>
      </c>
      <c r="F221" s="13">
        <v>0</v>
      </c>
      <c r="G221" s="12" t="s">
        <v>337</v>
      </c>
    </row>
    <row r="222" spans="1:7" x14ac:dyDescent="0.25">
      <c r="A222" s="18" t="s">
        <v>176</v>
      </c>
      <c r="B222" s="10"/>
      <c r="C222" s="10"/>
      <c r="D222" s="10" t="s">
        <v>40</v>
      </c>
      <c r="E222" s="10"/>
      <c r="F222" s="11">
        <f>SUM(F223)</f>
        <v>0</v>
      </c>
      <c r="G222" s="10"/>
    </row>
    <row r="223" spans="1:7" x14ac:dyDescent="0.25">
      <c r="A223" s="21">
        <v>1</v>
      </c>
      <c r="B223" s="12" t="s">
        <v>40</v>
      </c>
      <c r="C223" s="12" t="s">
        <v>321</v>
      </c>
      <c r="D223" s="12" t="s">
        <v>61</v>
      </c>
      <c r="E223" s="14" t="s">
        <v>316</v>
      </c>
      <c r="F223" s="13">
        <v>0</v>
      </c>
      <c r="G223" s="12" t="s">
        <v>337</v>
      </c>
    </row>
    <row r="224" spans="1:7" x14ac:dyDescent="0.25">
      <c r="A224" s="18" t="s">
        <v>177</v>
      </c>
      <c r="B224" s="10"/>
      <c r="C224" s="10"/>
      <c r="D224" s="10" t="s">
        <v>39</v>
      </c>
      <c r="E224" s="10"/>
      <c r="F224" s="11">
        <f>SUM(F225:F228)</f>
        <v>61</v>
      </c>
      <c r="G224" s="10"/>
    </row>
    <row r="225" spans="1:7" x14ac:dyDescent="0.25">
      <c r="A225" s="21">
        <v>1</v>
      </c>
      <c r="B225" s="12" t="s">
        <v>39</v>
      </c>
      <c r="C225" s="12" t="s">
        <v>50</v>
      </c>
      <c r="D225" s="12" t="s">
        <v>51</v>
      </c>
      <c r="E225" s="12" t="s">
        <v>113</v>
      </c>
      <c r="F225" s="13">
        <v>16</v>
      </c>
      <c r="G225" s="12" t="s">
        <v>339</v>
      </c>
    </row>
    <row r="226" spans="1:7" x14ac:dyDescent="0.25">
      <c r="A226" s="21">
        <v>2</v>
      </c>
      <c r="B226" s="12" t="s">
        <v>39</v>
      </c>
      <c r="C226" s="12" t="s">
        <v>50</v>
      </c>
      <c r="D226" s="12" t="s">
        <v>52</v>
      </c>
      <c r="E226" s="12" t="s">
        <v>113</v>
      </c>
      <c r="F226" s="13">
        <v>38</v>
      </c>
      <c r="G226" s="12" t="s">
        <v>339</v>
      </c>
    </row>
    <row r="227" spans="1:7" x14ac:dyDescent="0.25">
      <c r="A227" s="21">
        <v>3</v>
      </c>
      <c r="B227" s="12" t="s">
        <v>39</v>
      </c>
      <c r="C227" s="12" t="s">
        <v>50</v>
      </c>
      <c r="D227" s="12" t="s">
        <v>136</v>
      </c>
      <c r="E227" s="12" t="s">
        <v>113</v>
      </c>
      <c r="F227" s="13">
        <v>2</v>
      </c>
      <c r="G227" s="12" t="s">
        <v>339</v>
      </c>
    </row>
    <row r="228" spans="1:7" x14ac:dyDescent="0.25">
      <c r="A228" s="20" t="s">
        <v>148</v>
      </c>
      <c r="B228" s="16"/>
      <c r="C228" s="16"/>
      <c r="D228" s="16" t="s">
        <v>178</v>
      </c>
      <c r="E228" s="16"/>
      <c r="F228" s="17">
        <f>SUM(F229:F243)</f>
        <v>5</v>
      </c>
      <c r="G228" s="16"/>
    </row>
    <row r="229" spans="1:7" x14ac:dyDescent="0.25">
      <c r="A229" s="22">
        <v>1</v>
      </c>
      <c r="B229" s="12" t="s">
        <v>39</v>
      </c>
      <c r="C229" s="12" t="s">
        <v>178</v>
      </c>
      <c r="D229" s="12" t="s">
        <v>179</v>
      </c>
      <c r="E229" s="14" t="s">
        <v>316</v>
      </c>
      <c r="F229" s="13">
        <v>0</v>
      </c>
      <c r="G229" s="12" t="s">
        <v>339</v>
      </c>
    </row>
    <row r="230" spans="1:7" x14ac:dyDescent="0.25">
      <c r="A230" s="22">
        <v>2</v>
      </c>
      <c r="B230" s="12" t="s">
        <v>39</v>
      </c>
      <c r="C230" s="12" t="s">
        <v>178</v>
      </c>
      <c r="D230" s="12" t="s">
        <v>180</v>
      </c>
      <c r="E230" s="14" t="s">
        <v>316</v>
      </c>
      <c r="F230" s="13">
        <v>0</v>
      </c>
      <c r="G230" s="12" t="s">
        <v>339</v>
      </c>
    </row>
    <row r="231" spans="1:7" x14ac:dyDescent="0.25">
      <c r="A231" s="22">
        <v>3</v>
      </c>
      <c r="B231" s="12" t="s">
        <v>39</v>
      </c>
      <c r="C231" s="12" t="s">
        <v>178</v>
      </c>
      <c r="D231" s="12" t="s">
        <v>181</v>
      </c>
      <c r="E231" s="14" t="s">
        <v>316</v>
      </c>
      <c r="F231" s="13">
        <v>0</v>
      </c>
      <c r="G231" s="12" t="s">
        <v>339</v>
      </c>
    </row>
    <row r="232" spans="1:7" x14ac:dyDescent="0.25">
      <c r="A232" s="22">
        <v>4</v>
      </c>
      <c r="B232" s="12" t="s">
        <v>39</v>
      </c>
      <c r="C232" s="12" t="s">
        <v>178</v>
      </c>
      <c r="D232" s="12" t="s">
        <v>182</v>
      </c>
      <c r="E232" s="14" t="s">
        <v>316</v>
      </c>
      <c r="F232" s="13">
        <v>0</v>
      </c>
      <c r="G232" s="12" t="s">
        <v>339</v>
      </c>
    </row>
    <row r="233" spans="1:7" x14ac:dyDescent="0.25">
      <c r="A233" s="22">
        <v>5</v>
      </c>
      <c r="B233" s="12" t="s">
        <v>39</v>
      </c>
      <c r="C233" s="12" t="s">
        <v>178</v>
      </c>
      <c r="D233" s="12" t="s">
        <v>183</v>
      </c>
      <c r="E233" s="14" t="s">
        <v>316</v>
      </c>
      <c r="F233" s="13">
        <v>0</v>
      </c>
      <c r="G233" s="12" t="s">
        <v>339</v>
      </c>
    </row>
    <row r="234" spans="1:7" x14ac:dyDescent="0.25">
      <c r="A234" s="22">
        <v>6</v>
      </c>
      <c r="B234" s="12" t="s">
        <v>39</v>
      </c>
      <c r="C234" s="12" t="s">
        <v>178</v>
      </c>
      <c r="D234" s="12" t="s">
        <v>184</v>
      </c>
      <c r="E234" s="14" t="s">
        <v>316</v>
      </c>
      <c r="F234" s="13">
        <v>0</v>
      </c>
      <c r="G234" s="12" t="s">
        <v>339</v>
      </c>
    </row>
    <row r="235" spans="1:7" x14ac:dyDescent="0.25">
      <c r="A235" s="22">
        <v>7</v>
      </c>
      <c r="B235" s="12" t="s">
        <v>39</v>
      </c>
      <c r="C235" s="12" t="s">
        <v>178</v>
      </c>
      <c r="D235" s="12" t="s">
        <v>185</v>
      </c>
      <c r="E235" s="14" t="s">
        <v>316</v>
      </c>
      <c r="F235" s="13">
        <v>0</v>
      </c>
      <c r="G235" s="12" t="s">
        <v>339</v>
      </c>
    </row>
    <row r="236" spans="1:7" x14ac:dyDescent="0.25">
      <c r="A236" s="22">
        <v>8</v>
      </c>
      <c r="B236" s="12" t="s">
        <v>39</v>
      </c>
      <c r="C236" s="12" t="s">
        <v>178</v>
      </c>
      <c r="D236" s="12" t="s">
        <v>186</v>
      </c>
      <c r="E236" s="14" t="s">
        <v>316</v>
      </c>
      <c r="F236" s="13">
        <v>0</v>
      </c>
      <c r="G236" s="12" t="s">
        <v>339</v>
      </c>
    </row>
    <row r="237" spans="1:7" x14ac:dyDescent="0.25">
      <c r="A237" s="22">
        <v>9</v>
      </c>
      <c r="B237" s="12" t="s">
        <v>39</v>
      </c>
      <c r="C237" s="12" t="s">
        <v>178</v>
      </c>
      <c r="D237" s="12" t="s">
        <v>187</v>
      </c>
      <c r="E237" s="14" t="s">
        <v>316</v>
      </c>
      <c r="F237" s="13">
        <v>0</v>
      </c>
      <c r="G237" s="12" t="s">
        <v>339</v>
      </c>
    </row>
    <row r="238" spans="1:7" x14ac:dyDescent="0.25">
      <c r="A238" s="22">
        <v>10</v>
      </c>
      <c r="B238" s="12" t="s">
        <v>39</v>
      </c>
      <c r="C238" s="12" t="s">
        <v>178</v>
      </c>
      <c r="D238" s="12" t="s">
        <v>188</v>
      </c>
      <c r="E238" s="14" t="s">
        <v>316</v>
      </c>
      <c r="F238" s="13">
        <v>0</v>
      </c>
      <c r="G238" s="12" t="s">
        <v>339</v>
      </c>
    </row>
    <row r="239" spans="1:7" x14ac:dyDescent="0.25">
      <c r="A239" s="22">
        <v>11</v>
      </c>
      <c r="B239" s="12" t="s">
        <v>39</v>
      </c>
      <c r="C239" s="12" t="s">
        <v>178</v>
      </c>
      <c r="D239" s="12" t="s">
        <v>189</v>
      </c>
      <c r="E239" s="14" t="s">
        <v>316</v>
      </c>
      <c r="F239" s="13">
        <v>0</v>
      </c>
      <c r="G239" s="12" t="s">
        <v>339</v>
      </c>
    </row>
    <row r="240" spans="1:7" x14ac:dyDescent="0.25">
      <c r="A240" s="22">
        <v>12</v>
      </c>
      <c r="B240" s="12" t="s">
        <v>39</v>
      </c>
      <c r="C240" s="12" t="s">
        <v>178</v>
      </c>
      <c r="D240" s="12" t="s">
        <v>190</v>
      </c>
      <c r="E240" s="14" t="s">
        <v>316</v>
      </c>
      <c r="F240" s="13">
        <v>0</v>
      </c>
      <c r="G240" s="12" t="s">
        <v>339</v>
      </c>
    </row>
    <row r="241" spans="1:7" x14ac:dyDescent="0.25">
      <c r="A241" s="22">
        <v>13</v>
      </c>
      <c r="B241" s="12" t="s">
        <v>39</v>
      </c>
      <c r="C241" s="12" t="s">
        <v>178</v>
      </c>
      <c r="D241" s="12" t="s">
        <v>191</v>
      </c>
      <c r="E241" s="14" t="s">
        <v>316</v>
      </c>
      <c r="F241" s="13">
        <v>0</v>
      </c>
      <c r="G241" s="12" t="s">
        <v>339</v>
      </c>
    </row>
    <row r="242" spans="1:7" x14ac:dyDescent="0.25">
      <c r="A242" s="22">
        <v>14</v>
      </c>
      <c r="B242" s="12" t="s">
        <v>39</v>
      </c>
      <c r="C242" s="12" t="s">
        <v>178</v>
      </c>
      <c r="D242" s="12" t="s">
        <v>192</v>
      </c>
      <c r="E242" s="12" t="s">
        <v>113</v>
      </c>
      <c r="F242" s="13">
        <v>5</v>
      </c>
      <c r="G242" s="12" t="s">
        <v>339</v>
      </c>
    </row>
    <row r="243" spans="1:7" x14ac:dyDescent="0.25">
      <c r="A243" s="22">
        <v>15</v>
      </c>
      <c r="B243" s="12" t="s">
        <v>39</v>
      </c>
      <c r="C243" s="12" t="s">
        <v>178</v>
      </c>
      <c r="D243" s="12" t="s">
        <v>193</v>
      </c>
      <c r="E243" s="14" t="s">
        <v>316</v>
      </c>
      <c r="F243" s="13">
        <v>0</v>
      </c>
      <c r="G243" s="12" t="s">
        <v>339</v>
      </c>
    </row>
    <row r="244" spans="1:7" x14ac:dyDescent="0.25">
      <c r="A244" s="18" t="s">
        <v>194</v>
      </c>
      <c r="B244" s="10"/>
      <c r="C244" s="10"/>
      <c r="D244" s="10" t="s">
        <v>53</v>
      </c>
      <c r="E244" s="10"/>
      <c r="F244" s="11">
        <f>SUM(F245:F248)</f>
        <v>686</v>
      </c>
      <c r="G244" s="10"/>
    </row>
    <row r="245" spans="1:7" x14ac:dyDescent="0.25">
      <c r="A245" s="21">
        <v>1</v>
      </c>
      <c r="B245" s="12" t="s">
        <v>53</v>
      </c>
      <c r="C245" s="12" t="s">
        <v>227</v>
      </c>
      <c r="D245" s="12" t="s">
        <v>54</v>
      </c>
      <c r="E245" s="14" t="s">
        <v>113</v>
      </c>
      <c r="F245" s="13">
        <v>21</v>
      </c>
      <c r="G245" s="14" t="s">
        <v>338</v>
      </c>
    </row>
    <row r="246" spans="1:7" x14ac:dyDescent="0.25">
      <c r="A246" s="21">
        <v>2</v>
      </c>
      <c r="B246" s="12" t="s">
        <v>53</v>
      </c>
      <c r="C246" s="12" t="s">
        <v>227</v>
      </c>
      <c r="D246" s="12" t="s">
        <v>254</v>
      </c>
      <c r="E246" s="12" t="s">
        <v>113</v>
      </c>
      <c r="F246" s="13">
        <v>638</v>
      </c>
      <c r="G246" s="14" t="s">
        <v>338</v>
      </c>
    </row>
    <row r="247" spans="1:7" x14ac:dyDescent="0.25">
      <c r="A247" s="21">
        <v>3</v>
      </c>
      <c r="B247" s="12" t="s">
        <v>53</v>
      </c>
      <c r="C247" s="12" t="s">
        <v>227</v>
      </c>
      <c r="D247" s="12" t="s">
        <v>83</v>
      </c>
      <c r="E247" s="14" t="s">
        <v>113</v>
      </c>
      <c r="F247" s="13">
        <v>22</v>
      </c>
      <c r="G247" s="14" t="s">
        <v>337</v>
      </c>
    </row>
    <row r="248" spans="1:7" x14ac:dyDescent="0.25">
      <c r="A248" s="21">
        <v>4</v>
      </c>
      <c r="B248" s="12" t="s">
        <v>53</v>
      </c>
      <c r="C248" s="12" t="s">
        <v>227</v>
      </c>
      <c r="D248" s="12" t="s">
        <v>195</v>
      </c>
      <c r="E248" s="12" t="s">
        <v>113</v>
      </c>
      <c r="F248" s="13">
        <v>5</v>
      </c>
      <c r="G248" s="14" t="s">
        <v>337</v>
      </c>
    </row>
    <row r="249" spans="1:7" x14ac:dyDescent="0.25">
      <c r="A249" s="18" t="s">
        <v>196</v>
      </c>
      <c r="B249" s="10"/>
      <c r="C249" s="10"/>
      <c r="D249" s="10" t="s">
        <v>137</v>
      </c>
      <c r="E249" s="10"/>
      <c r="F249" s="11">
        <f>SUM(F250:F254)</f>
        <v>11</v>
      </c>
      <c r="G249" s="10"/>
    </row>
    <row r="250" spans="1:7" x14ac:dyDescent="0.25">
      <c r="A250" s="21">
        <v>1</v>
      </c>
      <c r="B250" s="12" t="s">
        <v>137</v>
      </c>
      <c r="C250" s="12" t="s">
        <v>228</v>
      </c>
      <c r="D250" s="12" t="s">
        <v>197</v>
      </c>
      <c r="E250" s="14" t="s">
        <v>316</v>
      </c>
      <c r="F250" s="13">
        <v>0</v>
      </c>
      <c r="G250" s="12" t="s">
        <v>339</v>
      </c>
    </row>
    <row r="251" spans="1:7" x14ac:dyDescent="0.25">
      <c r="A251" s="21">
        <v>2</v>
      </c>
      <c r="B251" s="12" t="s">
        <v>137</v>
      </c>
      <c r="C251" s="12" t="s">
        <v>228</v>
      </c>
      <c r="D251" s="12" t="s">
        <v>93</v>
      </c>
      <c r="E251" s="12" t="s">
        <v>113</v>
      </c>
      <c r="F251" s="13">
        <v>9</v>
      </c>
      <c r="G251" s="12" t="s">
        <v>339</v>
      </c>
    </row>
    <row r="252" spans="1:7" x14ac:dyDescent="0.25">
      <c r="A252" s="21">
        <v>3</v>
      </c>
      <c r="B252" s="12" t="s">
        <v>137</v>
      </c>
      <c r="C252" s="12" t="s">
        <v>228</v>
      </c>
      <c r="D252" s="12" t="s">
        <v>255</v>
      </c>
      <c r="E252" s="12" t="s">
        <v>113</v>
      </c>
      <c r="F252" s="13">
        <v>1</v>
      </c>
      <c r="G252" s="12" t="s">
        <v>339</v>
      </c>
    </row>
    <row r="253" spans="1:7" x14ac:dyDescent="0.25">
      <c r="A253" s="21">
        <v>4</v>
      </c>
      <c r="B253" s="12" t="s">
        <v>137</v>
      </c>
      <c r="C253" s="12" t="s">
        <v>228</v>
      </c>
      <c r="D253" s="12" t="s">
        <v>256</v>
      </c>
      <c r="E253" s="14" t="s">
        <v>316</v>
      </c>
      <c r="F253" s="13">
        <v>0</v>
      </c>
      <c r="G253" s="12" t="s">
        <v>339</v>
      </c>
    </row>
    <row r="254" spans="1:7" x14ac:dyDescent="0.25">
      <c r="A254" s="21">
        <v>5</v>
      </c>
      <c r="B254" s="12" t="s">
        <v>137</v>
      </c>
      <c r="C254" s="12" t="s">
        <v>228</v>
      </c>
      <c r="D254" s="12" t="s">
        <v>309</v>
      </c>
      <c r="E254" s="12" t="s">
        <v>113</v>
      </c>
      <c r="F254" s="13">
        <v>1</v>
      </c>
      <c r="G254" s="12" t="s">
        <v>339</v>
      </c>
    </row>
    <row r="255" spans="1:7" x14ac:dyDescent="0.25">
      <c r="A255" s="24"/>
      <c r="B255" s="25"/>
      <c r="C255" s="25"/>
      <c r="D255" s="25" t="s">
        <v>8</v>
      </c>
      <c r="E255" s="25"/>
      <c r="F255" s="26">
        <f>SUM(F2,F19,F124,F165,F175,F179,F219,F222,F224,F244,F249)</f>
        <v>4085</v>
      </c>
      <c r="G255" s="25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923"/>
  <sheetViews>
    <sheetView zoomScale="80" zoomScaleNormal="80" workbookViewId="0">
      <pane ySplit="1" topLeftCell="A2" activePane="bottomLeft" state="frozen"/>
      <selection pane="bottomLeft" activeCell="D1087" sqref="D1087"/>
    </sheetView>
  </sheetViews>
  <sheetFormatPr defaultColWidth="20.7109375" defaultRowHeight="15" x14ac:dyDescent="0.25"/>
  <cols>
    <col min="1" max="2" width="20.7109375" customWidth="1"/>
    <col min="4" max="4" width="20.7109375" customWidth="1"/>
    <col min="6" max="6" width="20.7109375" customWidth="1"/>
    <col min="8" max="10" width="20.7109375" customWidth="1"/>
  </cols>
  <sheetData>
    <row r="1" spans="1:11" ht="25.5" x14ac:dyDescent="0.25">
      <c r="A1" s="2" t="s">
        <v>86</v>
      </c>
      <c r="B1" s="3" t="s">
        <v>257</v>
      </c>
      <c r="C1" s="4" t="s">
        <v>258</v>
      </c>
      <c r="D1" s="4" t="s">
        <v>263</v>
      </c>
      <c r="E1" s="2" t="s">
        <v>259</v>
      </c>
      <c r="F1" s="2" t="s">
        <v>260</v>
      </c>
      <c r="G1" s="2" t="s">
        <v>261</v>
      </c>
      <c r="H1" s="2" t="s">
        <v>262</v>
      </c>
      <c r="I1" s="2" t="s">
        <v>275</v>
      </c>
      <c r="J1" s="2" t="s">
        <v>276</v>
      </c>
      <c r="K1" s="2" t="s">
        <v>277</v>
      </c>
    </row>
    <row r="2" spans="1:11" x14ac:dyDescent="0.25">
      <c r="A2" s="5">
        <f t="shared" ref="A2:A65" si="0">IF(G2=G1,A1+1,1)</f>
        <v>1</v>
      </c>
      <c r="B2" s="6">
        <v>44652</v>
      </c>
      <c r="C2" s="7" t="s">
        <v>264</v>
      </c>
      <c r="D2" s="7">
        <v>22</v>
      </c>
      <c r="E2" s="5">
        <f>DAY(TableAopCalendar[[#This Row],[Date]])</f>
        <v>1</v>
      </c>
      <c r="F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" s="5" t="str">
        <f t="shared" ref="G2:G65" si="1">"Week"&amp;" "&amp;F2</f>
        <v>Week 1</v>
      </c>
      <c r="H2" s="5" t="str">
        <f t="shared" ref="H2:H65" si="2">CONCATENATE(C2," ",D2," ",G2)</f>
        <v>April 22 Week 1</v>
      </c>
      <c r="I2" s="5" t="str">
        <f>CONCATENATE(UPPER(TableAopCalendar[[#This Row],[Month]])," ",TableAopCalendar[[#This Row],[Year]])</f>
        <v>APRIL 22</v>
      </c>
      <c r="J2" s="8" t="s">
        <v>274</v>
      </c>
      <c r="K2" s="8" t="str">
        <f>CONCATENATE(TableAopCalendar[[#This Row],[Month for Plan]]," ",TableAopCalendar[[#This Row],[Plan]])</f>
        <v>APRIL 22 PLANNED</v>
      </c>
    </row>
    <row r="3" spans="1:11" x14ac:dyDescent="0.25">
      <c r="A3" s="5">
        <f t="shared" si="0"/>
        <v>2</v>
      </c>
      <c r="B3" s="6">
        <v>44653</v>
      </c>
      <c r="C3" s="7" t="s">
        <v>264</v>
      </c>
      <c r="D3" s="7">
        <v>22</v>
      </c>
      <c r="E3" s="5">
        <f>DAY(TableAopCalendar[[#This Row],[Date]])</f>
        <v>2</v>
      </c>
      <c r="F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" s="5" t="str">
        <f t="shared" si="1"/>
        <v>Week 1</v>
      </c>
      <c r="H3" s="5" t="str">
        <f t="shared" si="2"/>
        <v>April 22 Week 1</v>
      </c>
      <c r="I3" s="5" t="str">
        <f>CONCATENATE(UPPER(TableAopCalendar[[#This Row],[Month]])," ",TableAopCalendar[[#This Row],[Year]])</f>
        <v>APRIL 22</v>
      </c>
      <c r="J3" s="8" t="s">
        <v>274</v>
      </c>
      <c r="K3" s="8" t="str">
        <f>CONCATENATE(TableAopCalendar[[#This Row],[Month for Plan]]," ",TableAopCalendar[[#This Row],[Plan]])</f>
        <v>APRIL 22 PLANNED</v>
      </c>
    </row>
    <row r="4" spans="1:11" x14ac:dyDescent="0.25">
      <c r="A4" s="5">
        <f t="shared" si="0"/>
        <v>3</v>
      </c>
      <c r="B4" s="6">
        <v>44654</v>
      </c>
      <c r="C4" s="7" t="s">
        <v>264</v>
      </c>
      <c r="D4" s="7">
        <v>22</v>
      </c>
      <c r="E4" s="5">
        <f>DAY(TableAopCalendar[[#This Row],[Date]])</f>
        <v>3</v>
      </c>
      <c r="F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" s="5" t="str">
        <f t="shared" si="1"/>
        <v>Week 1</v>
      </c>
      <c r="H4" s="5" t="str">
        <f t="shared" si="2"/>
        <v>April 22 Week 1</v>
      </c>
      <c r="I4" s="5" t="str">
        <f>CONCATENATE(UPPER(TableAopCalendar[[#This Row],[Month]])," ",TableAopCalendar[[#This Row],[Year]])</f>
        <v>APRIL 22</v>
      </c>
      <c r="J4" s="8" t="s">
        <v>274</v>
      </c>
      <c r="K4" s="8" t="str">
        <f>CONCATENATE(TableAopCalendar[[#This Row],[Month for Plan]]," ",TableAopCalendar[[#This Row],[Plan]])</f>
        <v>APRIL 22 PLANNED</v>
      </c>
    </row>
    <row r="5" spans="1:11" x14ac:dyDescent="0.25">
      <c r="A5" s="5">
        <f t="shared" si="0"/>
        <v>4</v>
      </c>
      <c r="B5" s="6">
        <v>44655</v>
      </c>
      <c r="C5" s="7" t="s">
        <v>264</v>
      </c>
      <c r="D5" s="7">
        <v>22</v>
      </c>
      <c r="E5" s="5">
        <f>DAY(TableAopCalendar[[#This Row],[Date]])</f>
        <v>4</v>
      </c>
      <c r="F5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" s="5" t="str">
        <f t="shared" si="1"/>
        <v>Week 1</v>
      </c>
      <c r="H5" s="5" t="str">
        <f t="shared" si="2"/>
        <v>April 22 Week 1</v>
      </c>
      <c r="I5" s="5" t="str">
        <f>CONCATENATE(UPPER(TableAopCalendar[[#This Row],[Month]])," ",TableAopCalendar[[#This Row],[Year]])</f>
        <v>APRIL 22</v>
      </c>
      <c r="J5" s="8" t="s">
        <v>274</v>
      </c>
      <c r="K5" s="8" t="str">
        <f>CONCATENATE(TableAopCalendar[[#This Row],[Month for Plan]]," ",TableAopCalendar[[#This Row],[Plan]])</f>
        <v>APRIL 22 PLANNED</v>
      </c>
    </row>
    <row r="6" spans="1:11" x14ac:dyDescent="0.25">
      <c r="A6" s="5">
        <f t="shared" si="0"/>
        <v>5</v>
      </c>
      <c r="B6" s="6">
        <v>44656</v>
      </c>
      <c r="C6" s="7" t="s">
        <v>264</v>
      </c>
      <c r="D6" s="7">
        <v>22</v>
      </c>
      <c r="E6" s="5">
        <f>DAY(TableAopCalendar[[#This Row],[Date]])</f>
        <v>5</v>
      </c>
      <c r="F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" s="5" t="str">
        <f t="shared" si="1"/>
        <v>Week 1</v>
      </c>
      <c r="H6" s="5" t="str">
        <f t="shared" si="2"/>
        <v>April 22 Week 1</v>
      </c>
      <c r="I6" s="5" t="str">
        <f>CONCATENATE(UPPER(TableAopCalendar[[#This Row],[Month]])," ",TableAopCalendar[[#This Row],[Year]])</f>
        <v>APRIL 22</v>
      </c>
      <c r="J6" s="8" t="s">
        <v>274</v>
      </c>
      <c r="K6" s="8" t="str">
        <f>CONCATENATE(TableAopCalendar[[#This Row],[Month for Plan]]," ",TableAopCalendar[[#This Row],[Plan]])</f>
        <v>APRIL 22 PLANNED</v>
      </c>
    </row>
    <row r="7" spans="1:11" x14ac:dyDescent="0.25">
      <c r="A7" s="5">
        <f t="shared" si="0"/>
        <v>6</v>
      </c>
      <c r="B7" s="6">
        <v>44657</v>
      </c>
      <c r="C7" s="7" t="s">
        <v>264</v>
      </c>
      <c r="D7" s="7">
        <v>22</v>
      </c>
      <c r="E7" s="5">
        <f>DAY(TableAopCalendar[[#This Row],[Date]])</f>
        <v>6</v>
      </c>
      <c r="F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" s="5" t="str">
        <f t="shared" si="1"/>
        <v>Week 1</v>
      </c>
      <c r="H7" s="5" t="str">
        <f t="shared" si="2"/>
        <v>April 22 Week 1</v>
      </c>
      <c r="I7" s="5" t="str">
        <f>CONCATENATE(UPPER(TableAopCalendar[[#This Row],[Month]])," ",TableAopCalendar[[#This Row],[Year]])</f>
        <v>APRIL 22</v>
      </c>
      <c r="J7" s="8" t="s">
        <v>274</v>
      </c>
      <c r="K7" s="8" t="str">
        <f>CONCATENATE(TableAopCalendar[[#This Row],[Month for Plan]]," ",TableAopCalendar[[#This Row],[Plan]])</f>
        <v>APRIL 22 PLANNED</v>
      </c>
    </row>
    <row r="8" spans="1:11" x14ac:dyDescent="0.25">
      <c r="A8" s="5">
        <f t="shared" si="0"/>
        <v>7</v>
      </c>
      <c r="B8" s="6">
        <v>44658</v>
      </c>
      <c r="C8" s="7" t="s">
        <v>264</v>
      </c>
      <c r="D8" s="7">
        <v>22</v>
      </c>
      <c r="E8" s="5">
        <f>DAY(TableAopCalendar[[#This Row],[Date]])</f>
        <v>7</v>
      </c>
      <c r="F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" s="5" t="str">
        <f t="shared" si="1"/>
        <v>Week 1</v>
      </c>
      <c r="H8" s="5" t="str">
        <f t="shared" si="2"/>
        <v>April 22 Week 1</v>
      </c>
      <c r="I8" s="5" t="str">
        <f>CONCATENATE(UPPER(TableAopCalendar[[#This Row],[Month]])," ",TableAopCalendar[[#This Row],[Year]])</f>
        <v>APRIL 22</v>
      </c>
      <c r="J8" s="8" t="s">
        <v>274</v>
      </c>
      <c r="K8" s="8" t="str">
        <f>CONCATENATE(TableAopCalendar[[#This Row],[Month for Plan]]," ",TableAopCalendar[[#This Row],[Plan]])</f>
        <v>APRIL 22 PLANNED</v>
      </c>
    </row>
    <row r="9" spans="1:11" x14ac:dyDescent="0.25">
      <c r="A9" s="5">
        <f t="shared" si="0"/>
        <v>1</v>
      </c>
      <c r="B9" s="6">
        <v>44659</v>
      </c>
      <c r="C9" s="7" t="s">
        <v>264</v>
      </c>
      <c r="D9" s="7">
        <v>22</v>
      </c>
      <c r="E9" s="5">
        <f>DAY(TableAopCalendar[[#This Row],[Date]])</f>
        <v>8</v>
      </c>
      <c r="F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" s="5" t="str">
        <f t="shared" si="1"/>
        <v>Week 2</v>
      </c>
      <c r="H9" s="5" t="str">
        <f t="shared" si="2"/>
        <v>April 22 Week 2</v>
      </c>
      <c r="I9" s="5" t="str">
        <f>CONCATENATE(UPPER(TableAopCalendar[[#This Row],[Month]])," ",TableAopCalendar[[#This Row],[Year]])</f>
        <v>APRIL 22</v>
      </c>
      <c r="J9" s="8" t="s">
        <v>274</v>
      </c>
      <c r="K9" s="8" t="str">
        <f>CONCATENATE(TableAopCalendar[[#This Row],[Month for Plan]]," ",TableAopCalendar[[#This Row],[Plan]])</f>
        <v>APRIL 22 PLANNED</v>
      </c>
    </row>
    <row r="10" spans="1:11" x14ac:dyDescent="0.25">
      <c r="A10" s="5">
        <f t="shared" si="0"/>
        <v>2</v>
      </c>
      <c r="B10" s="6">
        <v>44660</v>
      </c>
      <c r="C10" s="7" t="s">
        <v>264</v>
      </c>
      <c r="D10" s="7">
        <v>22</v>
      </c>
      <c r="E10" s="5">
        <f>DAY(TableAopCalendar[[#This Row],[Date]])</f>
        <v>9</v>
      </c>
      <c r="F1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" s="5" t="str">
        <f t="shared" si="1"/>
        <v>Week 2</v>
      </c>
      <c r="H10" s="5" t="str">
        <f t="shared" si="2"/>
        <v>April 22 Week 2</v>
      </c>
      <c r="I10" s="5" t="str">
        <f>CONCATENATE(UPPER(TableAopCalendar[[#This Row],[Month]])," ",TableAopCalendar[[#This Row],[Year]])</f>
        <v>APRIL 22</v>
      </c>
      <c r="J10" s="8" t="s">
        <v>274</v>
      </c>
      <c r="K10" s="8" t="str">
        <f>CONCATENATE(TableAopCalendar[[#This Row],[Month for Plan]]," ",TableAopCalendar[[#This Row],[Plan]])</f>
        <v>APRIL 22 PLANNED</v>
      </c>
    </row>
    <row r="11" spans="1:11" x14ac:dyDescent="0.25">
      <c r="A11" s="5">
        <f t="shared" si="0"/>
        <v>3</v>
      </c>
      <c r="B11" s="6">
        <v>44661</v>
      </c>
      <c r="C11" s="7" t="s">
        <v>264</v>
      </c>
      <c r="D11" s="7">
        <v>22</v>
      </c>
      <c r="E11" s="5">
        <f>DAY(TableAopCalendar[[#This Row],[Date]])</f>
        <v>10</v>
      </c>
      <c r="F1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" s="5" t="str">
        <f t="shared" si="1"/>
        <v>Week 2</v>
      </c>
      <c r="H11" s="5" t="str">
        <f t="shared" si="2"/>
        <v>April 22 Week 2</v>
      </c>
      <c r="I11" s="5" t="str">
        <f>CONCATENATE(UPPER(TableAopCalendar[[#This Row],[Month]])," ",TableAopCalendar[[#This Row],[Year]])</f>
        <v>APRIL 22</v>
      </c>
      <c r="J11" s="8" t="s">
        <v>274</v>
      </c>
      <c r="K11" s="8" t="str">
        <f>CONCATENATE(TableAopCalendar[[#This Row],[Month for Plan]]," ",TableAopCalendar[[#This Row],[Plan]])</f>
        <v>APRIL 22 PLANNED</v>
      </c>
    </row>
    <row r="12" spans="1:11" x14ac:dyDescent="0.25">
      <c r="A12" s="5">
        <f t="shared" si="0"/>
        <v>4</v>
      </c>
      <c r="B12" s="6">
        <v>44662</v>
      </c>
      <c r="C12" s="7" t="s">
        <v>264</v>
      </c>
      <c r="D12" s="7">
        <v>22</v>
      </c>
      <c r="E12" s="5">
        <f>DAY(TableAopCalendar[[#This Row],[Date]])</f>
        <v>11</v>
      </c>
      <c r="F12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" s="5" t="str">
        <f t="shared" si="1"/>
        <v>Week 2</v>
      </c>
      <c r="H12" s="5" t="str">
        <f t="shared" si="2"/>
        <v>April 22 Week 2</v>
      </c>
      <c r="I12" s="5" t="str">
        <f>CONCATENATE(UPPER(TableAopCalendar[[#This Row],[Month]])," ",TableAopCalendar[[#This Row],[Year]])</f>
        <v>APRIL 22</v>
      </c>
      <c r="J12" s="8" t="s">
        <v>274</v>
      </c>
      <c r="K12" s="8" t="str">
        <f>CONCATENATE(TableAopCalendar[[#This Row],[Month for Plan]]," ",TableAopCalendar[[#This Row],[Plan]])</f>
        <v>APRIL 22 PLANNED</v>
      </c>
    </row>
    <row r="13" spans="1:11" x14ac:dyDescent="0.25">
      <c r="A13" s="5">
        <f t="shared" si="0"/>
        <v>5</v>
      </c>
      <c r="B13" s="6">
        <v>44663</v>
      </c>
      <c r="C13" s="7" t="s">
        <v>264</v>
      </c>
      <c r="D13" s="7">
        <v>22</v>
      </c>
      <c r="E13" s="5">
        <f>DAY(TableAopCalendar[[#This Row],[Date]])</f>
        <v>12</v>
      </c>
      <c r="F1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" s="5" t="str">
        <f t="shared" si="1"/>
        <v>Week 2</v>
      </c>
      <c r="H13" s="5" t="str">
        <f t="shared" si="2"/>
        <v>April 22 Week 2</v>
      </c>
      <c r="I13" s="5" t="str">
        <f>CONCATENATE(UPPER(TableAopCalendar[[#This Row],[Month]])," ",TableAopCalendar[[#This Row],[Year]])</f>
        <v>APRIL 22</v>
      </c>
      <c r="J13" s="8" t="s">
        <v>274</v>
      </c>
      <c r="K13" s="8" t="str">
        <f>CONCATENATE(TableAopCalendar[[#This Row],[Month for Plan]]," ",TableAopCalendar[[#This Row],[Plan]])</f>
        <v>APRIL 22 PLANNED</v>
      </c>
    </row>
    <row r="14" spans="1:11" x14ac:dyDescent="0.25">
      <c r="A14" s="5">
        <f t="shared" si="0"/>
        <v>6</v>
      </c>
      <c r="B14" s="6">
        <v>44664</v>
      </c>
      <c r="C14" s="7" t="s">
        <v>264</v>
      </c>
      <c r="D14" s="7">
        <v>22</v>
      </c>
      <c r="E14" s="5">
        <f>DAY(TableAopCalendar[[#This Row],[Date]])</f>
        <v>13</v>
      </c>
      <c r="F1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" s="5" t="str">
        <f t="shared" si="1"/>
        <v>Week 2</v>
      </c>
      <c r="H14" s="5" t="str">
        <f t="shared" si="2"/>
        <v>April 22 Week 2</v>
      </c>
      <c r="I14" s="5" t="str">
        <f>CONCATENATE(UPPER(TableAopCalendar[[#This Row],[Month]])," ",TableAopCalendar[[#This Row],[Year]])</f>
        <v>APRIL 22</v>
      </c>
      <c r="J14" s="8" t="s">
        <v>274</v>
      </c>
      <c r="K14" s="8" t="str">
        <f>CONCATENATE(TableAopCalendar[[#This Row],[Month for Plan]]," ",TableAopCalendar[[#This Row],[Plan]])</f>
        <v>APRIL 22 PLANNED</v>
      </c>
    </row>
    <row r="15" spans="1:11" x14ac:dyDescent="0.25">
      <c r="A15" s="5">
        <f t="shared" si="0"/>
        <v>7</v>
      </c>
      <c r="B15" s="6">
        <v>44665</v>
      </c>
      <c r="C15" s="7" t="s">
        <v>264</v>
      </c>
      <c r="D15" s="7">
        <v>22</v>
      </c>
      <c r="E15" s="5">
        <f>DAY(TableAopCalendar[[#This Row],[Date]])</f>
        <v>14</v>
      </c>
      <c r="F1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" s="5" t="str">
        <f t="shared" si="1"/>
        <v>Week 2</v>
      </c>
      <c r="H15" s="5" t="str">
        <f t="shared" si="2"/>
        <v>April 22 Week 2</v>
      </c>
      <c r="I15" s="5" t="str">
        <f>CONCATENATE(UPPER(TableAopCalendar[[#This Row],[Month]])," ",TableAopCalendar[[#This Row],[Year]])</f>
        <v>APRIL 22</v>
      </c>
      <c r="J15" s="8" t="s">
        <v>274</v>
      </c>
      <c r="K15" s="8" t="str">
        <f>CONCATENATE(TableAopCalendar[[#This Row],[Month for Plan]]," ",TableAopCalendar[[#This Row],[Plan]])</f>
        <v>APRIL 22 PLANNED</v>
      </c>
    </row>
    <row r="16" spans="1:11" x14ac:dyDescent="0.25">
      <c r="A16" s="5">
        <f t="shared" si="0"/>
        <v>1</v>
      </c>
      <c r="B16" s="6">
        <v>44666</v>
      </c>
      <c r="C16" s="7" t="s">
        <v>264</v>
      </c>
      <c r="D16" s="7">
        <v>22</v>
      </c>
      <c r="E16" s="5">
        <f>DAY(TableAopCalendar[[#This Row],[Date]])</f>
        <v>15</v>
      </c>
      <c r="F1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" s="5" t="str">
        <f t="shared" si="1"/>
        <v>Week 3</v>
      </c>
      <c r="H16" s="5" t="str">
        <f t="shared" si="2"/>
        <v>April 22 Week 3</v>
      </c>
      <c r="I16" s="5" t="str">
        <f>CONCATENATE(UPPER(TableAopCalendar[[#This Row],[Month]])," ",TableAopCalendar[[#This Row],[Year]])</f>
        <v>APRIL 22</v>
      </c>
      <c r="J16" s="8" t="s">
        <v>274</v>
      </c>
      <c r="K16" s="8" t="str">
        <f>CONCATENATE(TableAopCalendar[[#This Row],[Month for Plan]]," ",TableAopCalendar[[#This Row],[Plan]])</f>
        <v>APRIL 22 PLANNED</v>
      </c>
    </row>
    <row r="17" spans="1:11" x14ac:dyDescent="0.25">
      <c r="A17" s="5">
        <f t="shared" si="0"/>
        <v>2</v>
      </c>
      <c r="B17" s="6">
        <v>44667</v>
      </c>
      <c r="C17" s="7" t="s">
        <v>264</v>
      </c>
      <c r="D17" s="7">
        <v>22</v>
      </c>
      <c r="E17" s="5">
        <f>DAY(TableAopCalendar[[#This Row],[Date]])</f>
        <v>16</v>
      </c>
      <c r="F1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" s="5" t="str">
        <f t="shared" si="1"/>
        <v>Week 3</v>
      </c>
      <c r="H17" s="5" t="str">
        <f t="shared" si="2"/>
        <v>April 22 Week 3</v>
      </c>
      <c r="I17" s="5" t="str">
        <f>CONCATENATE(UPPER(TableAopCalendar[[#This Row],[Month]])," ",TableAopCalendar[[#This Row],[Year]])</f>
        <v>APRIL 22</v>
      </c>
      <c r="J17" s="8" t="s">
        <v>274</v>
      </c>
      <c r="K17" s="8" t="str">
        <f>CONCATENATE(TableAopCalendar[[#This Row],[Month for Plan]]," ",TableAopCalendar[[#This Row],[Plan]])</f>
        <v>APRIL 22 PLANNED</v>
      </c>
    </row>
    <row r="18" spans="1:11" x14ac:dyDescent="0.25">
      <c r="A18" s="5">
        <f t="shared" si="0"/>
        <v>3</v>
      </c>
      <c r="B18" s="6">
        <v>44668</v>
      </c>
      <c r="C18" s="7" t="s">
        <v>264</v>
      </c>
      <c r="D18" s="7">
        <v>22</v>
      </c>
      <c r="E18" s="5">
        <f>DAY(TableAopCalendar[[#This Row],[Date]])</f>
        <v>17</v>
      </c>
      <c r="F1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" s="5" t="str">
        <f t="shared" si="1"/>
        <v>Week 3</v>
      </c>
      <c r="H18" s="5" t="str">
        <f t="shared" si="2"/>
        <v>April 22 Week 3</v>
      </c>
      <c r="I18" s="5" t="str">
        <f>CONCATENATE(UPPER(TableAopCalendar[[#This Row],[Month]])," ",TableAopCalendar[[#This Row],[Year]])</f>
        <v>APRIL 22</v>
      </c>
      <c r="J18" s="8" t="s">
        <v>274</v>
      </c>
      <c r="K18" s="8" t="str">
        <f>CONCATENATE(TableAopCalendar[[#This Row],[Month for Plan]]," ",TableAopCalendar[[#This Row],[Plan]])</f>
        <v>APRIL 22 PLANNED</v>
      </c>
    </row>
    <row r="19" spans="1:11" x14ac:dyDescent="0.25">
      <c r="A19" s="5">
        <f t="shared" si="0"/>
        <v>4</v>
      </c>
      <c r="B19" s="6">
        <v>44669</v>
      </c>
      <c r="C19" s="7" t="s">
        <v>264</v>
      </c>
      <c r="D19" s="7">
        <v>22</v>
      </c>
      <c r="E19" s="5">
        <f>DAY(TableAopCalendar[[#This Row],[Date]])</f>
        <v>18</v>
      </c>
      <c r="F19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" s="5" t="str">
        <f t="shared" si="1"/>
        <v>Week 3</v>
      </c>
      <c r="H19" s="5" t="str">
        <f t="shared" si="2"/>
        <v>April 22 Week 3</v>
      </c>
      <c r="I19" s="5" t="str">
        <f>CONCATENATE(UPPER(TableAopCalendar[[#This Row],[Month]])," ",TableAopCalendar[[#This Row],[Year]])</f>
        <v>APRIL 22</v>
      </c>
      <c r="J19" s="8" t="s">
        <v>274</v>
      </c>
      <c r="K19" s="8" t="str">
        <f>CONCATENATE(TableAopCalendar[[#This Row],[Month for Plan]]," ",TableAopCalendar[[#This Row],[Plan]])</f>
        <v>APRIL 22 PLANNED</v>
      </c>
    </row>
    <row r="20" spans="1:11" x14ac:dyDescent="0.25">
      <c r="A20" s="5">
        <f t="shared" si="0"/>
        <v>5</v>
      </c>
      <c r="B20" s="6">
        <v>44670</v>
      </c>
      <c r="C20" s="7" t="s">
        <v>264</v>
      </c>
      <c r="D20" s="7">
        <v>22</v>
      </c>
      <c r="E20" s="5">
        <f>DAY(TableAopCalendar[[#This Row],[Date]])</f>
        <v>19</v>
      </c>
      <c r="F2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" s="5" t="str">
        <f t="shared" si="1"/>
        <v>Week 3</v>
      </c>
      <c r="H20" s="5" t="str">
        <f t="shared" si="2"/>
        <v>April 22 Week 3</v>
      </c>
      <c r="I20" s="5" t="str">
        <f>CONCATENATE(UPPER(TableAopCalendar[[#This Row],[Month]])," ",TableAopCalendar[[#This Row],[Year]])</f>
        <v>APRIL 22</v>
      </c>
      <c r="J20" s="8" t="s">
        <v>274</v>
      </c>
      <c r="K20" s="8" t="str">
        <f>CONCATENATE(TableAopCalendar[[#This Row],[Month for Plan]]," ",TableAopCalendar[[#This Row],[Plan]])</f>
        <v>APRIL 22 PLANNED</v>
      </c>
    </row>
    <row r="21" spans="1:11" x14ac:dyDescent="0.25">
      <c r="A21" s="5">
        <f t="shared" si="0"/>
        <v>6</v>
      </c>
      <c r="B21" s="6">
        <v>44671</v>
      </c>
      <c r="C21" s="7" t="s">
        <v>264</v>
      </c>
      <c r="D21" s="7">
        <v>22</v>
      </c>
      <c r="E21" s="5">
        <f>DAY(TableAopCalendar[[#This Row],[Date]])</f>
        <v>20</v>
      </c>
      <c r="F2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" s="5" t="str">
        <f t="shared" si="1"/>
        <v>Week 3</v>
      </c>
      <c r="H21" s="5" t="str">
        <f t="shared" si="2"/>
        <v>April 22 Week 3</v>
      </c>
      <c r="I21" s="5" t="str">
        <f>CONCATENATE(UPPER(TableAopCalendar[[#This Row],[Month]])," ",TableAopCalendar[[#This Row],[Year]])</f>
        <v>APRIL 22</v>
      </c>
      <c r="J21" s="8" t="s">
        <v>274</v>
      </c>
      <c r="K21" s="8" t="str">
        <f>CONCATENATE(TableAopCalendar[[#This Row],[Month for Plan]]," ",TableAopCalendar[[#This Row],[Plan]])</f>
        <v>APRIL 22 PLANNED</v>
      </c>
    </row>
    <row r="22" spans="1:11" x14ac:dyDescent="0.25">
      <c r="A22" s="5">
        <f t="shared" si="0"/>
        <v>7</v>
      </c>
      <c r="B22" s="6">
        <v>44672</v>
      </c>
      <c r="C22" s="7" t="s">
        <v>264</v>
      </c>
      <c r="D22" s="7">
        <v>22</v>
      </c>
      <c r="E22" s="5">
        <f>DAY(TableAopCalendar[[#This Row],[Date]])</f>
        <v>21</v>
      </c>
      <c r="F2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" s="5" t="str">
        <f t="shared" si="1"/>
        <v>Week 3</v>
      </c>
      <c r="H22" s="5" t="str">
        <f t="shared" si="2"/>
        <v>April 22 Week 3</v>
      </c>
      <c r="I22" s="5" t="str">
        <f>CONCATENATE(UPPER(TableAopCalendar[[#This Row],[Month]])," ",TableAopCalendar[[#This Row],[Year]])</f>
        <v>APRIL 22</v>
      </c>
      <c r="J22" s="8" t="s">
        <v>274</v>
      </c>
      <c r="K22" s="8" t="str">
        <f>CONCATENATE(TableAopCalendar[[#This Row],[Month for Plan]]," ",TableAopCalendar[[#This Row],[Plan]])</f>
        <v>APRIL 22 PLANNED</v>
      </c>
    </row>
    <row r="23" spans="1:11" x14ac:dyDescent="0.25">
      <c r="A23" s="5">
        <f t="shared" si="0"/>
        <v>1</v>
      </c>
      <c r="B23" s="6">
        <v>44673</v>
      </c>
      <c r="C23" s="7" t="s">
        <v>264</v>
      </c>
      <c r="D23" s="7">
        <v>22</v>
      </c>
      <c r="E23" s="5">
        <f>DAY(TableAopCalendar[[#This Row],[Date]])</f>
        <v>22</v>
      </c>
      <c r="F2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" s="5" t="str">
        <f t="shared" si="1"/>
        <v>Week 4</v>
      </c>
      <c r="H23" s="5" t="str">
        <f t="shared" si="2"/>
        <v>April 22 Week 4</v>
      </c>
      <c r="I23" s="5" t="str">
        <f>CONCATENATE(UPPER(TableAopCalendar[[#This Row],[Month]])," ",TableAopCalendar[[#This Row],[Year]])</f>
        <v>APRIL 22</v>
      </c>
      <c r="J23" s="8" t="s">
        <v>274</v>
      </c>
      <c r="K23" s="8" t="str">
        <f>CONCATENATE(TableAopCalendar[[#This Row],[Month for Plan]]," ",TableAopCalendar[[#This Row],[Plan]])</f>
        <v>APRIL 22 PLANNED</v>
      </c>
    </row>
    <row r="24" spans="1:11" x14ac:dyDescent="0.25">
      <c r="A24" s="5">
        <f t="shared" si="0"/>
        <v>2</v>
      </c>
      <c r="B24" s="6">
        <v>44674</v>
      </c>
      <c r="C24" s="7" t="s">
        <v>264</v>
      </c>
      <c r="D24" s="7">
        <v>22</v>
      </c>
      <c r="E24" s="5">
        <f>DAY(TableAopCalendar[[#This Row],[Date]])</f>
        <v>23</v>
      </c>
      <c r="F2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" s="5" t="str">
        <f t="shared" si="1"/>
        <v>Week 4</v>
      </c>
      <c r="H24" s="5" t="str">
        <f t="shared" si="2"/>
        <v>April 22 Week 4</v>
      </c>
      <c r="I24" s="5" t="str">
        <f>CONCATENATE(UPPER(TableAopCalendar[[#This Row],[Month]])," ",TableAopCalendar[[#This Row],[Year]])</f>
        <v>APRIL 22</v>
      </c>
      <c r="J24" s="8" t="s">
        <v>274</v>
      </c>
      <c r="K24" s="8" t="str">
        <f>CONCATENATE(TableAopCalendar[[#This Row],[Month for Plan]]," ",TableAopCalendar[[#This Row],[Plan]])</f>
        <v>APRIL 22 PLANNED</v>
      </c>
    </row>
    <row r="25" spans="1:11" x14ac:dyDescent="0.25">
      <c r="A25" s="5">
        <f t="shared" si="0"/>
        <v>3</v>
      </c>
      <c r="B25" s="6">
        <v>44675</v>
      </c>
      <c r="C25" s="7" t="s">
        <v>264</v>
      </c>
      <c r="D25" s="7">
        <v>22</v>
      </c>
      <c r="E25" s="5">
        <f>DAY(TableAopCalendar[[#This Row],[Date]])</f>
        <v>24</v>
      </c>
      <c r="F2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" s="5" t="str">
        <f t="shared" si="1"/>
        <v>Week 4</v>
      </c>
      <c r="H25" s="5" t="str">
        <f t="shared" si="2"/>
        <v>April 22 Week 4</v>
      </c>
      <c r="I25" s="5" t="str">
        <f>CONCATENATE(UPPER(TableAopCalendar[[#This Row],[Month]])," ",TableAopCalendar[[#This Row],[Year]])</f>
        <v>APRIL 22</v>
      </c>
      <c r="J25" s="8" t="s">
        <v>274</v>
      </c>
      <c r="K25" s="8" t="str">
        <f>CONCATENATE(TableAopCalendar[[#This Row],[Month for Plan]]," ",TableAopCalendar[[#This Row],[Plan]])</f>
        <v>APRIL 22 PLANNED</v>
      </c>
    </row>
    <row r="26" spans="1:11" x14ac:dyDescent="0.25">
      <c r="A26" s="5">
        <f t="shared" si="0"/>
        <v>4</v>
      </c>
      <c r="B26" s="6">
        <v>44676</v>
      </c>
      <c r="C26" s="7" t="s">
        <v>264</v>
      </c>
      <c r="D26" s="7">
        <v>22</v>
      </c>
      <c r="E26" s="5">
        <f>DAY(TableAopCalendar[[#This Row],[Date]])</f>
        <v>25</v>
      </c>
      <c r="F26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" s="5" t="str">
        <f t="shared" si="1"/>
        <v>Week 4</v>
      </c>
      <c r="H26" s="5" t="str">
        <f t="shared" si="2"/>
        <v>April 22 Week 4</v>
      </c>
      <c r="I26" s="5" t="str">
        <f>CONCATENATE(UPPER(TableAopCalendar[[#This Row],[Month]])," ",TableAopCalendar[[#This Row],[Year]])</f>
        <v>APRIL 22</v>
      </c>
      <c r="J26" s="8" t="s">
        <v>274</v>
      </c>
      <c r="K26" s="8" t="str">
        <f>CONCATENATE(TableAopCalendar[[#This Row],[Month for Plan]]," ",TableAopCalendar[[#This Row],[Plan]])</f>
        <v>APRIL 22 PLANNED</v>
      </c>
    </row>
    <row r="27" spans="1:11" x14ac:dyDescent="0.25">
      <c r="A27" s="5">
        <f t="shared" si="0"/>
        <v>5</v>
      </c>
      <c r="B27" s="6">
        <v>44677</v>
      </c>
      <c r="C27" s="7" t="s">
        <v>264</v>
      </c>
      <c r="D27" s="7">
        <v>22</v>
      </c>
      <c r="E27" s="5">
        <f>DAY(TableAopCalendar[[#This Row],[Date]])</f>
        <v>26</v>
      </c>
      <c r="F2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" s="5" t="str">
        <f t="shared" si="1"/>
        <v>Week 4</v>
      </c>
      <c r="H27" s="5" t="str">
        <f t="shared" si="2"/>
        <v>April 22 Week 4</v>
      </c>
      <c r="I27" s="5" t="str">
        <f>CONCATENATE(UPPER(TableAopCalendar[[#This Row],[Month]])," ",TableAopCalendar[[#This Row],[Year]])</f>
        <v>APRIL 22</v>
      </c>
      <c r="J27" s="8" t="s">
        <v>274</v>
      </c>
      <c r="K27" s="8" t="str">
        <f>CONCATENATE(TableAopCalendar[[#This Row],[Month for Plan]]," ",TableAopCalendar[[#This Row],[Plan]])</f>
        <v>APRIL 22 PLANNED</v>
      </c>
    </row>
    <row r="28" spans="1:11" x14ac:dyDescent="0.25">
      <c r="A28" s="5">
        <f t="shared" si="0"/>
        <v>6</v>
      </c>
      <c r="B28" s="6">
        <v>44678</v>
      </c>
      <c r="C28" s="7" t="s">
        <v>264</v>
      </c>
      <c r="D28" s="7">
        <v>22</v>
      </c>
      <c r="E28" s="5">
        <f>DAY(TableAopCalendar[[#This Row],[Date]])</f>
        <v>27</v>
      </c>
      <c r="F2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" s="5" t="str">
        <f t="shared" si="1"/>
        <v>Week 4</v>
      </c>
      <c r="H28" s="5" t="str">
        <f t="shared" si="2"/>
        <v>April 22 Week 4</v>
      </c>
      <c r="I28" s="5" t="str">
        <f>CONCATENATE(UPPER(TableAopCalendar[[#This Row],[Month]])," ",TableAopCalendar[[#This Row],[Year]])</f>
        <v>APRIL 22</v>
      </c>
      <c r="J28" s="8" t="s">
        <v>274</v>
      </c>
      <c r="K28" s="8" t="str">
        <f>CONCATENATE(TableAopCalendar[[#This Row],[Month for Plan]]," ",TableAopCalendar[[#This Row],[Plan]])</f>
        <v>APRIL 22 PLANNED</v>
      </c>
    </row>
    <row r="29" spans="1:11" x14ac:dyDescent="0.25">
      <c r="A29" s="5">
        <f t="shared" si="0"/>
        <v>7</v>
      </c>
      <c r="B29" s="6">
        <v>44679</v>
      </c>
      <c r="C29" s="7" t="s">
        <v>264</v>
      </c>
      <c r="D29" s="7">
        <v>22</v>
      </c>
      <c r="E29" s="5">
        <f>DAY(TableAopCalendar[[#This Row],[Date]])</f>
        <v>28</v>
      </c>
      <c r="F2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" s="5" t="str">
        <f t="shared" si="1"/>
        <v>Week 4</v>
      </c>
      <c r="H29" s="5" t="str">
        <f t="shared" si="2"/>
        <v>April 22 Week 4</v>
      </c>
      <c r="I29" s="5" t="str">
        <f>CONCATENATE(UPPER(TableAopCalendar[[#This Row],[Month]])," ",TableAopCalendar[[#This Row],[Year]])</f>
        <v>APRIL 22</v>
      </c>
      <c r="J29" s="8" t="s">
        <v>274</v>
      </c>
      <c r="K29" s="8" t="str">
        <f>CONCATENATE(TableAopCalendar[[#This Row],[Month for Plan]]," ",TableAopCalendar[[#This Row],[Plan]])</f>
        <v>APRIL 22 PLANNED</v>
      </c>
    </row>
    <row r="30" spans="1:11" x14ac:dyDescent="0.25">
      <c r="A30" s="5">
        <f t="shared" si="0"/>
        <v>1</v>
      </c>
      <c r="B30" s="6">
        <v>44680</v>
      </c>
      <c r="C30" s="7" t="s">
        <v>264</v>
      </c>
      <c r="D30" s="7">
        <v>22</v>
      </c>
      <c r="E30" s="5">
        <f>DAY(TableAopCalendar[[#This Row],[Date]])</f>
        <v>29</v>
      </c>
      <c r="F30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0" s="5" t="str">
        <f t="shared" si="1"/>
        <v>Week 5</v>
      </c>
      <c r="H30" s="5" t="str">
        <f t="shared" si="2"/>
        <v>April 22 Week 5</v>
      </c>
      <c r="I30" s="5" t="str">
        <f>CONCATENATE(UPPER(TableAopCalendar[[#This Row],[Month]])," ",TableAopCalendar[[#This Row],[Year]])</f>
        <v>APRIL 22</v>
      </c>
      <c r="J30" s="8" t="s">
        <v>274</v>
      </c>
      <c r="K30" s="8" t="str">
        <f>CONCATENATE(TableAopCalendar[[#This Row],[Month for Plan]]," ",TableAopCalendar[[#This Row],[Plan]])</f>
        <v>APRIL 22 PLANNED</v>
      </c>
    </row>
    <row r="31" spans="1:11" x14ac:dyDescent="0.25">
      <c r="A31" s="5">
        <f t="shared" si="0"/>
        <v>2</v>
      </c>
      <c r="B31" s="6">
        <v>44681</v>
      </c>
      <c r="C31" s="7" t="s">
        <v>264</v>
      </c>
      <c r="D31" s="7">
        <v>22</v>
      </c>
      <c r="E31" s="5">
        <f>DAY(TableAopCalendar[[#This Row],[Date]])</f>
        <v>30</v>
      </c>
      <c r="F31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1" s="5" t="str">
        <f t="shared" si="1"/>
        <v>Week 5</v>
      </c>
      <c r="H31" s="5" t="str">
        <f t="shared" si="2"/>
        <v>April 22 Week 5</v>
      </c>
      <c r="I31" s="5" t="str">
        <f>CONCATENATE(UPPER(TableAopCalendar[[#This Row],[Month]])," ",TableAopCalendar[[#This Row],[Year]])</f>
        <v>APRIL 22</v>
      </c>
      <c r="J31" s="8" t="s">
        <v>274</v>
      </c>
      <c r="K31" s="8" t="str">
        <f>CONCATENATE(TableAopCalendar[[#This Row],[Month for Plan]]," ",TableAopCalendar[[#This Row],[Plan]])</f>
        <v>APRIL 22 PLANNED</v>
      </c>
    </row>
    <row r="32" spans="1:11" x14ac:dyDescent="0.25">
      <c r="A32" s="5">
        <f t="shared" si="0"/>
        <v>1</v>
      </c>
      <c r="B32" s="6">
        <v>44682</v>
      </c>
      <c r="C32" s="7" t="s">
        <v>265</v>
      </c>
      <c r="D32" s="7">
        <v>22</v>
      </c>
      <c r="E32" s="5">
        <f>DAY(TableAopCalendar[[#This Row],[Date]])</f>
        <v>1</v>
      </c>
      <c r="F3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2" s="5" t="str">
        <f t="shared" si="1"/>
        <v>Week 1</v>
      </c>
      <c r="H32" s="5" t="str">
        <f t="shared" si="2"/>
        <v>May 22 Week 1</v>
      </c>
      <c r="I32" s="5" t="str">
        <f>CONCATENATE(UPPER(TableAopCalendar[[#This Row],[Month]])," ",TableAopCalendar[[#This Row],[Year]])</f>
        <v>MAY 22</v>
      </c>
      <c r="J32" s="8" t="s">
        <v>274</v>
      </c>
      <c r="K32" s="8" t="str">
        <f>CONCATENATE(TableAopCalendar[[#This Row],[Month for Plan]]," ",TableAopCalendar[[#This Row],[Plan]])</f>
        <v>MAY 22 PLANNED</v>
      </c>
    </row>
    <row r="33" spans="1:11" x14ac:dyDescent="0.25">
      <c r="A33" s="5">
        <f t="shared" si="0"/>
        <v>2</v>
      </c>
      <c r="B33" s="6">
        <v>44683</v>
      </c>
      <c r="C33" s="7" t="s">
        <v>265</v>
      </c>
      <c r="D33" s="7">
        <v>22</v>
      </c>
      <c r="E33" s="5">
        <f>DAY(TableAopCalendar[[#This Row],[Date]])</f>
        <v>2</v>
      </c>
      <c r="F3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3" s="5" t="str">
        <f t="shared" si="1"/>
        <v>Week 1</v>
      </c>
      <c r="H33" s="5" t="str">
        <f t="shared" si="2"/>
        <v>May 22 Week 1</v>
      </c>
      <c r="I33" s="5" t="str">
        <f>CONCATENATE(UPPER(TableAopCalendar[[#This Row],[Month]])," ",TableAopCalendar[[#This Row],[Year]])</f>
        <v>MAY 22</v>
      </c>
      <c r="J33" s="8" t="s">
        <v>274</v>
      </c>
      <c r="K33" s="8" t="str">
        <f>CONCATENATE(TableAopCalendar[[#This Row],[Month for Plan]]," ",TableAopCalendar[[#This Row],[Plan]])</f>
        <v>MAY 22 PLANNED</v>
      </c>
    </row>
    <row r="34" spans="1:11" x14ac:dyDescent="0.25">
      <c r="A34" s="5">
        <f t="shared" si="0"/>
        <v>3</v>
      </c>
      <c r="B34" s="6">
        <v>44684</v>
      </c>
      <c r="C34" s="7" t="s">
        <v>265</v>
      </c>
      <c r="D34" s="7">
        <v>22</v>
      </c>
      <c r="E34" s="5">
        <f>DAY(TableAopCalendar[[#This Row],[Date]])</f>
        <v>3</v>
      </c>
      <c r="F3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4" s="5" t="str">
        <f t="shared" si="1"/>
        <v>Week 1</v>
      </c>
      <c r="H34" s="5" t="str">
        <f t="shared" si="2"/>
        <v>May 22 Week 1</v>
      </c>
      <c r="I34" s="5" t="str">
        <f>CONCATENATE(UPPER(TableAopCalendar[[#This Row],[Month]])," ",TableAopCalendar[[#This Row],[Year]])</f>
        <v>MAY 22</v>
      </c>
      <c r="J34" s="8" t="s">
        <v>274</v>
      </c>
      <c r="K34" s="8" t="str">
        <f>CONCATENATE(TableAopCalendar[[#This Row],[Month for Plan]]," ",TableAopCalendar[[#This Row],[Plan]])</f>
        <v>MAY 22 PLANNED</v>
      </c>
    </row>
    <row r="35" spans="1:11" x14ac:dyDescent="0.25">
      <c r="A35" s="5">
        <f t="shared" si="0"/>
        <v>4</v>
      </c>
      <c r="B35" s="6">
        <v>44685</v>
      </c>
      <c r="C35" s="7" t="s">
        <v>265</v>
      </c>
      <c r="D35" s="7">
        <v>22</v>
      </c>
      <c r="E35" s="5">
        <f>DAY(TableAopCalendar[[#This Row],[Date]])</f>
        <v>4</v>
      </c>
      <c r="F35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5" s="5" t="str">
        <f t="shared" si="1"/>
        <v>Week 1</v>
      </c>
      <c r="H35" s="5" t="str">
        <f t="shared" si="2"/>
        <v>May 22 Week 1</v>
      </c>
      <c r="I35" s="5" t="str">
        <f>CONCATENATE(UPPER(TableAopCalendar[[#This Row],[Month]])," ",TableAopCalendar[[#This Row],[Year]])</f>
        <v>MAY 22</v>
      </c>
      <c r="J35" s="8" t="s">
        <v>274</v>
      </c>
      <c r="K35" s="8" t="str">
        <f>CONCATENATE(TableAopCalendar[[#This Row],[Month for Plan]]," ",TableAopCalendar[[#This Row],[Plan]])</f>
        <v>MAY 22 PLANNED</v>
      </c>
    </row>
    <row r="36" spans="1:11" x14ac:dyDescent="0.25">
      <c r="A36" s="5">
        <f t="shared" si="0"/>
        <v>5</v>
      </c>
      <c r="B36" s="6">
        <v>44686</v>
      </c>
      <c r="C36" s="7" t="s">
        <v>265</v>
      </c>
      <c r="D36" s="7">
        <v>22</v>
      </c>
      <c r="E36" s="5">
        <f>DAY(TableAopCalendar[[#This Row],[Date]])</f>
        <v>5</v>
      </c>
      <c r="F3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6" s="5" t="str">
        <f t="shared" si="1"/>
        <v>Week 1</v>
      </c>
      <c r="H36" s="5" t="str">
        <f t="shared" si="2"/>
        <v>May 22 Week 1</v>
      </c>
      <c r="I36" s="5" t="str">
        <f>CONCATENATE(UPPER(TableAopCalendar[[#This Row],[Month]])," ",TableAopCalendar[[#This Row],[Year]])</f>
        <v>MAY 22</v>
      </c>
      <c r="J36" s="8" t="s">
        <v>274</v>
      </c>
      <c r="K36" s="8" t="str">
        <f>CONCATENATE(TableAopCalendar[[#This Row],[Month for Plan]]," ",TableAopCalendar[[#This Row],[Plan]])</f>
        <v>MAY 22 PLANNED</v>
      </c>
    </row>
    <row r="37" spans="1:11" x14ac:dyDescent="0.25">
      <c r="A37" s="5">
        <f t="shared" si="0"/>
        <v>6</v>
      </c>
      <c r="B37" s="6">
        <v>44687</v>
      </c>
      <c r="C37" s="7" t="s">
        <v>265</v>
      </c>
      <c r="D37" s="7">
        <v>22</v>
      </c>
      <c r="E37" s="5">
        <f>DAY(TableAopCalendar[[#This Row],[Date]])</f>
        <v>6</v>
      </c>
      <c r="F3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7" s="5" t="str">
        <f t="shared" si="1"/>
        <v>Week 1</v>
      </c>
      <c r="H37" s="5" t="str">
        <f t="shared" si="2"/>
        <v>May 22 Week 1</v>
      </c>
      <c r="I37" s="5" t="str">
        <f>CONCATENATE(UPPER(TableAopCalendar[[#This Row],[Month]])," ",TableAopCalendar[[#This Row],[Year]])</f>
        <v>MAY 22</v>
      </c>
      <c r="J37" s="8" t="s">
        <v>274</v>
      </c>
      <c r="K37" s="8" t="str">
        <f>CONCATENATE(TableAopCalendar[[#This Row],[Month for Plan]]," ",TableAopCalendar[[#This Row],[Plan]])</f>
        <v>MAY 22 PLANNED</v>
      </c>
    </row>
    <row r="38" spans="1:11" x14ac:dyDescent="0.25">
      <c r="A38" s="5">
        <f t="shared" si="0"/>
        <v>7</v>
      </c>
      <c r="B38" s="6">
        <v>44688</v>
      </c>
      <c r="C38" s="7" t="s">
        <v>265</v>
      </c>
      <c r="D38" s="7">
        <v>22</v>
      </c>
      <c r="E38" s="5">
        <f>DAY(TableAopCalendar[[#This Row],[Date]])</f>
        <v>7</v>
      </c>
      <c r="F3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8" s="5" t="str">
        <f t="shared" si="1"/>
        <v>Week 1</v>
      </c>
      <c r="H38" s="5" t="str">
        <f t="shared" si="2"/>
        <v>May 22 Week 1</v>
      </c>
      <c r="I38" s="5" t="str">
        <f>CONCATENATE(UPPER(TableAopCalendar[[#This Row],[Month]])," ",TableAopCalendar[[#This Row],[Year]])</f>
        <v>MAY 22</v>
      </c>
      <c r="J38" s="8" t="s">
        <v>274</v>
      </c>
      <c r="K38" s="8" t="str">
        <f>CONCATENATE(TableAopCalendar[[#This Row],[Month for Plan]]," ",TableAopCalendar[[#This Row],[Plan]])</f>
        <v>MAY 22 PLANNED</v>
      </c>
    </row>
    <row r="39" spans="1:11" x14ac:dyDescent="0.25">
      <c r="A39" s="5">
        <f t="shared" si="0"/>
        <v>1</v>
      </c>
      <c r="B39" s="6">
        <v>44689</v>
      </c>
      <c r="C39" s="7" t="s">
        <v>265</v>
      </c>
      <c r="D39" s="7">
        <v>22</v>
      </c>
      <c r="E39" s="5">
        <f>DAY(TableAopCalendar[[#This Row],[Date]])</f>
        <v>8</v>
      </c>
      <c r="F3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9" s="5" t="str">
        <f t="shared" si="1"/>
        <v>Week 2</v>
      </c>
      <c r="H39" s="5" t="str">
        <f t="shared" si="2"/>
        <v>May 22 Week 2</v>
      </c>
      <c r="I39" s="5" t="str">
        <f>CONCATENATE(UPPER(TableAopCalendar[[#This Row],[Month]])," ",TableAopCalendar[[#This Row],[Year]])</f>
        <v>MAY 22</v>
      </c>
      <c r="J39" s="8" t="s">
        <v>274</v>
      </c>
      <c r="K39" s="8" t="str">
        <f>CONCATENATE(TableAopCalendar[[#This Row],[Month for Plan]]," ",TableAopCalendar[[#This Row],[Plan]])</f>
        <v>MAY 22 PLANNED</v>
      </c>
    </row>
    <row r="40" spans="1:11" x14ac:dyDescent="0.25">
      <c r="A40" s="5">
        <f t="shared" si="0"/>
        <v>2</v>
      </c>
      <c r="B40" s="6">
        <v>44690</v>
      </c>
      <c r="C40" s="7" t="s">
        <v>265</v>
      </c>
      <c r="D40" s="7">
        <v>22</v>
      </c>
      <c r="E40" s="5">
        <f>DAY(TableAopCalendar[[#This Row],[Date]])</f>
        <v>9</v>
      </c>
      <c r="F4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0" s="5" t="str">
        <f t="shared" si="1"/>
        <v>Week 2</v>
      </c>
      <c r="H40" s="5" t="str">
        <f t="shared" si="2"/>
        <v>May 22 Week 2</v>
      </c>
      <c r="I40" s="5" t="str">
        <f>CONCATENATE(UPPER(TableAopCalendar[[#This Row],[Month]])," ",TableAopCalendar[[#This Row],[Year]])</f>
        <v>MAY 22</v>
      </c>
      <c r="J40" s="8" t="s">
        <v>274</v>
      </c>
      <c r="K40" s="8" t="str">
        <f>CONCATENATE(TableAopCalendar[[#This Row],[Month for Plan]]," ",TableAopCalendar[[#This Row],[Plan]])</f>
        <v>MAY 22 PLANNED</v>
      </c>
    </row>
    <row r="41" spans="1:11" x14ac:dyDescent="0.25">
      <c r="A41" s="5">
        <f t="shared" si="0"/>
        <v>3</v>
      </c>
      <c r="B41" s="6">
        <v>44691</v>
      </c>
      <c r="C41" s="7" t="s">
        <v>265</v>
      </c>
      <c r="D41" s="7">
        <v>22</v>
      </c>
      <c r="E41" s="5">
        <f>DAY(TableAopCalendar[[#This Row],[Date]])</f>
        <v>10</v>
      </c>
      <c r="F4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1" s="5" t="str">
        <f t="shared" si="1"/>
        <v>Week 2</v>
      </c>
      <c r="H41" s="5" t="str">
        <f t="shared" si="2"/>
        <v>May 22 Week 2</v>
      </c>
      <c r="I41" s="5" t="str">
        <f>CONCATENATE(UPPER(TableAopCalendar[[#This Row],[Month]])," ",TableAopCalendar[[#This Row],[Year]])</f>
        <v>MAY 22</v>
      </c>
      <c r="J41" s="8" t="s">
        <v>274</v>
      </c>
      <c r="K41" s="8" t="str">
        <f>CONCATENATE(TableAopCalendar[[#This Row],[Month for Plan]]," ",TableAopCalendar[[#This Row],[Plan]])</f>
        <v>MAY 22 PLANNED</v>
      </c>
    </row>
    <row r="42" spans="1:11" x14ac:dyDescent="0.25">
      <c r="A42" s="5">
        <f t="shared" si="0"/>
        <v>4</v>
      </c>
      <c r="B42" s="6">
        <v>44692</v>
      </c>
      <c r="C42" s="7" t="s">
        <v>265</v>
      </c>
      <c r="D42" s="7">
        <v>22</v>
      </c>
      <c r="E42" s="5">
        <f>DAY(TableAopCalendar[[#This Row],[Date]])</f>
        <v>11</v>
      </c>
      <c r="F42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2" s="5" t="str">
        <f t="shared" si="1"/>
        <v>Week 2</v>
      </c>
      <c r="H42" s="5" t="str">
        <f t="shared" si="2"/>
        <v>May 22 Week 2</v>
      </c>
      <c r="I42" s="5" t="str">
        <f>CONCATENATE(UPPER(TableAopCalendar[[#This Row],[Month]])," ",TableAopCalendar[[#This Row],[Year]])</f>
        <v>MAY 22</v>
      </c>
      <c r="J42" s="8" t="s">
        <v>274</v>
      </c>
      <c r="K42" s="8" t="str">
        <f>CONCATENATE(TableAopCalendar[[#This Row],[Month for Plan]]," ",TableAopCalendar[[#This Row],[Plan]])</f>
        <v>MAY 22 PLANNED</v>
      </c>
    </row>
    <row r="43" spans="1:11" x14ac:dyDescent="0.25">
      <c r="A43" s="5">
        <f t="shared" si="0"/>
        <v>5</v>
      </c>
      <c r="B43" s="6">
        <v>44693</v>
      </c>
      <c r="C43" s="7" t="s">
        <v>265</v>
      </c>
      <c r="D43" s="7">
        <v>22</v>
      </c>
      <c r="E43" s="5">
        <f>DAY(TableAopCalendar[[#This Row],[Date]])</f>
        <v>12</v>
      </c>
      <c r="F4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3" s="5" t="str">
        <f t="shared" si="1"/>
        <v>Week 2</v>
      </c>
      <c r="H43" s="5" t="str">
        <f t="shared" si="2"/>
        <v>May 22 Week 2</v>
      </c>
      <c r="I43" s="5" t="str">
        <f>CONCATENATE(UPPER(TableAopCalendar[[#This Row],[Month]])," ",TableAopCalendar[[#This Row],[Year]])</f>
        <v>MAY 22</v>
      </c>
      <c r="J43" s="8" t="s">
        <v>274</v>
      </c>
      <c r="K43" s="8" t="str">
        <f>CONCATENATE(TableAopCalendar[[#This Row],[Month for Plan]]," ",TableAopCalendar[[#This Row],[Plan]])</f>
        <v>MAY 22 PLANNED</v>
      </c>
    </row>
    <row r="44" spans="1:11" x14ac:dyDescent="0.25">
      <c r="A44" s="5">
        <f t="shared" si="0"/>
        <v>6</v>
      </c>
      <c r="B44" s="6">
        <v>44694</v>
      </c>
      <c r="C44" s="7" t="s">
        <v>265</v>
      </c>
      <c r="D44" s="7">
        <v>22</v>
      </c>
      <c r="E44" s="5">
        <f>DAY(TableAopCalendar[[#This Row],[Date]])</f>
        <v>13</v>
      </c>
      <c r="F4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4" s="5" t="str">
        <f t="shared" si="1"/>
        <v>Week 2</v>
      </c>
      <c r="H44" s="5" t="str">
        <f t="shared" si="2"/>
        <v>May 22 Week 2</v>
      </c>
      <c r="I44" s="5" t="str">
        <f>CONCATENATE(UPPER(TableAopCalendar[[#This Row],[Month]])," ",TableAopCalendar[[#This Row],[Year]])</f>
        <v>MAY 22</v>
      </c>
      <c r="J44" s="8" t="s">
        <v>274</v>
      </c>
      <c r="K44" s="8" t="str">
        <f>CONCATENATE(TableAopCalendar[[#This Row],[Month for Plan]]," ",TableAopCalendar[[#This Row],[Plan]])</f>
        <v>MAY 22 PLANNED</v>
      </c>
    </row>
    <row r="45" spans="1:11" x14ac:dyDescent="0.25">
      <c r="A45" s="5">
        <f t="shared" si="0"/>
        <v>7</v>
      </c>
      <c r="B45" s="6">
        <v>44695</v>
      </c>
      <c r="C45" s="7" t="s">
        <v>265</v>
      </c>
      <c r="D45" s="7">
        <v>22</v>
      </c>
      <c r="E45" s="5">
        <f>DAY(TableAopCalendar[[#This Row],[Date]])</f>
        <v>14</v>
      </c>
      <c r="F4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5" s="5" t="str">
        <f t="shared" si="1"/>
        <v>Week 2</v>
      </c>
      <c r="H45" s="5" t="str">
        <f t="shared" si="2"/>
        <v>May 22 Week 2</v>
      </c>
      <c r="I45" s="5" t="str">
        <f>CONCATENATE(UPPER(TableAopCalendar[[#This Row],[Month]])," ",TableAopCalendar[[#This Row],[Year]])</f>
        <v>MAY 22</v>
      </c>
      <c r="J45" s="8" t="s">
        <v>274</v>
      </c>
      <c r="K45" s="8" t="str">
        <f>CONCATENATE(TableAopCalendar[[#This Row],[Month for Plan]]," ",TableAopCalendar[[#This Row],[Plan]])</f>
        <v>MAY 22 PLANNED</v>
      </c>
    </row>
    <row r="46" spans="1:11" x14ac:dyDescent="0.25">
      <c r="A46" s="5">
        <f t="shared" si="0"/>
        <v>1</v>
      </c>
      <c r="B46" s="6">
        <v>44696</v>
      </c>
      <c r="C46" s="7" t="s">
        <v>265</v>
      </c>
      <c r="D46" s="7">
        <v>22</v>
      </c>
      <c r="E46" s="5">
        <f>DAY(TableAopCalendar[[#This Row],[Date]])</f>
        <v>15</v>
      </c>
      <c r="F4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6" s="5" t="str">
        <f t="shared" si="1"/>
        <v>Week 3</v>
      </c>
      <c r="H46" s="5" t="str">
        <f t="shared" si="2"/>
        <v>May 22 Week 3</v>
      </c>
      <c r="I46" s="5" t="str">
        <f>CONCATENATE(UPPER(TableAopCalendar[[#This Row],[Month]])," ",TableAopCalendar[[#This Row],[Year]])</f>
        <v>MAY 22</v>
      </c>
      <c r="J46" s="8" t="s">
        <v>274</v>
      </c>
      <c r="K46" s="8" t="str">
        <f>CONCATENATE(TableAopCalendar[[#This Row],[Month for Plan]]," ",TableAopCalendar[[#This Row],[Plan]])</f>
        <v>MAY 22 PLANNED</v>
      </c>
    </row>
    <row r="47" spans="1:11" x14ac:dyDescent="0.25">
      <c r="A47" s="5">
        <f t="shared" si="0"/>
        <v>2</v>
      </c>
      <c r="B47" s="6">
        <v>44697</v>
      </c>
      <c r="C47" s="7" t="s">
        <v>265</v>
      </c>
      <c r="D47" s="7">
        <v>22</v>
      </c>
      <c r="E47" s="5">
        <f>DAY(TableAopCalendar[[#This Row],[Date]])</f>
        <v>16</v>
      </c>
      <c r="F4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" s="5" t="str">
        <f t="shared" si="1"/>
        <v>Week 3</v>
      </c>
      <c r="H47" s="5" t="str">
        <f t="shared" si="2"/>
        <v>May 22 Week 3</v>
      </c>
      <c r="I47" s="5" t="str">
        <f>CONCATENATE(UPPER(TableAopCalendar[[#This Row],[Month]])," ",TableAopCalendar[[#This Row],[Year]])</f>
        <v>MAY 22</v>
      </c>
      <c r="J47" s="8" t="s">
        <v>274</v>
      </c>
      <c r="K47" s="8" t="str">
        <f>CONCATENATE(TableAopCalendar[[#This Row],[Month for Plan]]," ",TableAopCalendar[[#This Row],[Plan]])</f>
        <v>MAY 22 PLANNED</v>
      </c>
    </row>
    <row r="48" spans="1:11" x14ac:dyDescent="0.25">
      <c r="A48" s="5">
        <f t="shared" si="0"/>
        <v>3</v>
      </c>
      <c r="B48" s="6">
        <v>44698</v>
      </c>
      <c r="C48" s="7" t="s">
        <v>265</v>
      </c>
      <c r="D48" s="7">
        <v>22</v>
      </c>
      <c r="E48" s="5">
        <f>DAY(TableAopCalendar[[#This Row],[Date]])</f>
        <v>17</v>
      </c>
      <c r="F4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8" s="5" t="str">
        <f t="shared" si="1"/>
        <v>Week 3</v>
      </c>
      <c r="H48" s="5" t="str">
        <f t="shared" si="2"/>
        <v>May 22 Week 3</v>
      </c>
      <c r="I48" s="5" t="str">
        <f>CONCATENATE(UPPER(TableAopCalendar[[#This Row],[Month]])," ",TableAopCalendar[[#This Row],[Year]])</f>
        <v>MAY 22</v>
      </c>
      <c r="J48" s="8" t="s">
        <v>274</v>
      </c>
      <c r="K48" s="8" t="str">
        <f>CONCATENATE(TableAopCalendar[[#This Row],[Month for Plan]]," ",TableAopCalendar[[#This Row],[Plan]])</f>
        <v>MAY 22 PLANNED</v>
      </c>
    </row>
    <row r="49" spans="1:11" x14ac:dyDescent="0.25">
      <c r="A49" s="5">
        <f t="shared" si="0"/>
        <v>4</v>
      </c>
      <c r="B49" s="6">
        <v>44699</v>
      </c>
      <c r="C49" s="7" t="s">
        <v>265</v>
      </c>
      <c r="D49" s="7">
        <v>22</v>
      </c>
      <c r="E49" s="5">
        <f>DAY(TableAopCalendar[[#This Row],[Date]])</f>
        <v>18</v>
      </c>
      <c r="F49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9" s="5" t="str">
        <f t="shared" si="1"/>
        <v>Week 3</v>
      </c>
      <c r="H49" s="5" t="str">
        <f t="shared" si="2"/>
        <v>May 22 Week 3</v>
      </c>
      <c r="I49" s="5" t="str">
        <f>CONCATENATE(UPPER(TableAopCalendar[[#This Row],[Month]])," ",TableAopCalendar[[#This Row],[Year]])</f>
        <v>MAY 22</v>
      </c>
      <c r="J49" s="8" t="s">
        <v>274</v>
      </c>
      <c r="K49" s="8" t="str">
        <f>CONCATENATE(TableAopCalendar[[#This Row],[Month for Plan]]," ",TableAopCalendar[[#This Row],[Plan]])</f>
        <v>MAY 22 PLANNED</v>
      </c>
    </row>
    <row r="50" spans="1:11" x14ac:dyDescent="0.25">
      <c r="A50" s="5">
        <f t="shared" si="0"/>
        <v>5</v>
      </c>
      <c r="B50" s="6">
        <v>44700</v>
      </c>
      <c r="C50" s="7" t="s">
        <v>265</v>
      </c>
      <c r="D50" s="7">
        <v>22</v>
      </c>
      <c r="E50" s="5">
        <f>DAY(TableAopCalendar[[#This Row],[Date]])</f>
        <v>19</v>
      </c>
      <c r="F5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" s="5" t="str">
        <f t="shared" si="1"/>
        <v>Week 3</v>
      </c>
      <c r="H50" s="5" t="str">
        <f t="shared" si="2"/>
        <v>May 22 Week 3</v>
      </c>
      <c r="I50" s="5" t="str">
        <f>CONCATENATE(UPPER(TableAopCalendar[[#This Row],[Month]])," ",TableAopCalendar[[#This Row],[Year]])</f>
        <v>MAY 22</v>
      </c>
      <c r="J50" s="8" t="s">
        <v>274</v>
      </c>
      <c r="K50" s="8" t="str">
        <f>CONCATENATE(TableAopCalendar[[#This Row],[Month for Plan]]," ",TableAopCalendar[[#This Row],[Plan]])</f>
        <v>MAY 22 PLANNED</v>
      </c>
    </row>
    <row r="51" spans="1:11" x14ac:dyDescent="0.25">
      <c r="A51" s="5">
        <f t="shared" si="0"/>
        <v>6</v>
      </c>
      <c r="B51" s="6">
        <v>44701</v>
      </c>
      <c r="C51" s="7" t="s">
        <v>265</v>
      </c>
      <c r="D51" s="7">
        <v>22</v>
      </c>
      <c r="E51" s="5">
        <f>DAY(TableAopCalendar[[#This Row],[Date]])</f>
        <v>20</v>
      </c>
      <c r="F5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1" s="5" t="str">
        <f t="shared" si="1"/>
        <v>Week 3</v>
      </c>
      <c r="H51" s="5" t="str">
        <f t="shared" si="2"/>
        <v>May 22 Week 3</v>
      </c>
      <c r="I51" s="5" t="str">
        <f>CONCATENATE(UPPER(TableAopCalendar[[#This Row],[Month]])," ",TableAopCalendar[[#This Row],[Year]])</f>
        <v>MAY 22</v>
      </c>
      <c r="J51" s="8" t="s">
        <v>274</v>
      </c>
      <c r="K51" s="8" t="str">
        <f>CONCATENATE(TableAopCalendar[[#This Row],[Month for Plan]]," ",TableAopCalendar[[#This Row],[Plan]])</f>
        <v>MAY 22 PLANNED</v>
      </c>
    </row>
    <row r="52" spans="1:11" x14ac:dyDescent="0.25">
      <c r="A52" s="5">
        <f t="shared" si="0"/>
        <v>7</v>
      </c>
      <c r="B52" s="6">
        <v>44702</v>
      </c>
      <c r="C52" s="7" t="s">
        <v>265</v>
      </c>
      <c r="D52" s="7">
        <v>22</v>
      </c>
      <c r="E52" s="5">
        <f>DAY(TableAopCalendar[[#This Row],[Date]])</f>
        <v>21</v>
      </c>
      <c r="F5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2" s="5" t="str">
        <f t="shared" si="1"/>
        <v>Week 3</v>
      </c>
      <c r="H52" s="5" t="str">
        <f t="shared" si="2"/>
        <v>May 22 Week 3</v>
      </c>
      <c r="I52" s="5" t="str">
        <f>CONCATENATE(UPPER(TableAopCalendar[[#This Row],[Month]])," ",TableAopCalendar[[#This Row],[Year]])</f>
        <v>MAY 22</v>
      </c>
      <c r="J52" s="8" t="s">
        <v>274</v>
      </c>
      <c r="K52" s="8" t="str">
        <f>CONCATENATE(TableAopCalendar[[#This Row],[Month for Plan]]," ",TableAopCalendar[[#This Row],[Plan]])</f>
        <v>MAY 22 PLANNED</v>
      </c>
    </row>
    <row r="53" spans="1:11" x14ac:dyDescent="0.25">
      <c r="A53" s="5">
        <f t="shared" si="0"/>
        <v>1</v>
      </c>
      <c r="B53" s="6">
        <v>44703</v>
      </c>
      <c r="C53" s="7" t="s">
        <v>265</v>
      </c>
      <c r="D53" s="7">
        <v>22</v>
      </c>
      <c r="E53" s="5">
        <f>DAY(TableAopCalendar[[#This Row],[Date]])</f>
        <v>22</v>
      </c>
      <c r="F5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3" s="5" t="str">
        <f t="shared" si="1"/>
        <v>Week 4</v>
      </c>
      <c r="H53" s="5" t="str">
        <f t="shared" si="2"/>
        <v>May 22 Week 4</v>
      </c>
      <c r="I53" s="5" t="str">
        <f>CONCATENATE(UPPER(TableAopCalendar[[#This Row],[Month]])," ",TableAopCalendar[[#This Row],[Year]])</f>
        <v>MAY 22</v>
      </c>
      <c r="J53" s="8" t="s">
        <v>274</v>
      </c>
      <c r="K53" s="8" t="str">
        <f>CONCATENATE(TableAopCalendar[[#This Row],[Month for Plan]]," ",TableAopCalendar[[#This Row],[Plan]])</f>
        <v>MAY 22 PLANNED</v>
      </c>
    </row>
    <row r="54" spans="1:11" x14ac:dyDescent="0.25">
      <c r="A54" s="5">
        <f t="shared" si="0"/>
        <v>2</v>
      </c>
      <c r="B54" s="6">
        <v>44704</v>
      </c>
      <c r="C54" s="7" t="s">
        <v>265</v>
      </c>
      <c r="D54" s="7">
        <v>22</v>
      </c>
      <c r="E54" s="5">
        <f>DAY(TableAopCalendar[[#This Row],[Date]])</f>
        <v>23</v>
      </c>
      <c r="F5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" s="5" t="str">
        <f t="shared" si="1"/>
        <v>Week 4</v>
      </c>
      <c r="H54" s="5" t="str">
        <f t="shared" si="2"/>
        <v>May 22 Week 4</v>
      </c>
      <c r="I54" s="5" t="str">
        <f>CONCATENATE(UPPER(TableAopCalendar[[#This Row],[Month]])," ",TableAopCalendar[[#This Row],[Year]])</f>
        <v>MAY 22</v>
      </c>
      <c r="J54" s="8" t="s">
        <v>274</v>
      </c>
      <c r="K54" s="8" t="str">
        <f>CONCATENATE(TableAopCalendar[[#This Row],[Month for Plan]]," ",TableAopCalendar[[#This Row],[Plan]])</f>
        <v>MAY 22 PLANNED</v>
      </c>
    </row>
    <row r="55" spans="1:11" x14ac:dyDescent="0.25">
      <c r="A55" s="5">
        <f t="shared" si="0"/>
        <v>3</v>
      </c>
      <c r="B55" s="6">
        <v>44705</v>
      </c>
      <c r="C55" s="7" t="s">
        <v>265</v>
      </c>
      <c r="D55" s="7">
        <v>22</v>
      </c>
      <c r="E55" s="5">
        <f>DAY(TableAopCalendar[[#This Row],[Date]])</f>
        <v>24</v>
      </c>
      <c r="F5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5" s="5" t="str">
        <f t="shared" si="1"/>
        <v>Week 4</v>
      </c>
      <c r="H55" s="5" t="str">
        <f t="shared" si="2"/>
        <v>May 22 Week 4</v>
      </c>
      <c r="I55" s="5" t="str">
        <f>CONCATENATE(UPPER(TableAopCalendar[[#This Row],[Month]])," ",TableAopCalendar[[#This Row],[Year]])</f>
        <v>MAY 22</v>
      </c>
      <c r="J55" s="8" t="s">
        <v>274</v>
      </c>
      <c r="K55" s="8" t="str">
        <f>CONCATENATE(TableAopCalendar[[#This Row],[Month for Plan]]," ",TableAopCalendar[[#This Row],[Plan]])</f>
        <v>MAY 22 PLANNED</v>
      </c>
    </row>
    <row r="56" spans="1:11" x14ac:dyDescent="0.25">
      <c r="A56" s="5">
        <f t="shared" si="0"/>
        <v>4</v>
      </c>
      <c r="B56" s="6">
        <v>44706</v>
      </c>
      <c r="C56" s="7" t="s">
        <v>265</v>
      </c>
      <c r="D56" s="7">
        <v>22</v>
      </c>
      <c r="E56" s="5">
        <f>DAY(TableAopCalendar[[#This Row],[Date]])</f>
        <v>25</v>
      </c>
      <c r="F56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6" s="5" t="str">
        <f t="shared" si="1"/>
        <v>Week 4</v>
      </c>
      <c r="H56" s="5" t="str">
        <f t="shared" si="2"/>
        <v>May 22 Week 4</v>
      </c>
      <c r="I56" s="5" t="str">
        <f>CONCATENATE(UPPER(TableAopCalendar[[#This Row],[Month]])," ",TableAopCalendar[[#This Row],[Year]])</f>
        <v>MAY 22</v>
      </c>
      <c r="J56" s="8" t="s">
        <v>274</v>
      </c>
      <c r="K56" s="8" t="str">
        <f>CONCATENATE(TableAopCalendar[[#This Row],[Month for Plan]]," ",TableAopCalendar[[#This Row],[Plan]])</f>
        <v>MAY 22 PLANNED</v>
      </c>
    </row>
    <row r="57" spans="1:11" x14ac:dyDescent="0.25">
      <c r="A57" s="5">
        <f t="shared" si="0"/>
        <v>5</v>
      </c>
      <c r="B57" s="6">
        <v>44707</v>
      </c>
      <c r="C57" s="7" t="s">
        <v>265</v>
      </c>
      <c r="D57" s="7">
        <v>22</v>
      </c>
      <c r="E57" s="5">
        <f>DAY(TableAopCalendar[[#This Row],[Date]])</f>
        <v>26</v>
      </c>
      <c r="F5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" s="5" t="str">
        <f t="shared" si="1"/>
        <v>Week 4</v>
      </c>
      <c r="H57" s="5" t="str">
        <f t="shared" si="2"/>
        <v>May 22 Week 4</v>
      </c>
      <c r="I57" s="5" t="str">
        <f>CONCATENATE(UPPER(TableAopCalendar[[#This Row],[Month]])," ",TableAopCalendar[[#This Row],[Year]])</f>
        <v>MAY 22</v>
      </c>
      <c r="J57" s="8" t="s">
        <v>274</v>
      </c>
      <c r="K57" s="8" t="str">
        <f>CONCATENATE(TableAopCalendar[[#This Row],[Month for Plan]]," ",TableAopCalendar[[#This Row],[Plan]])</f>
        <v>MAY 22 PLANNED</v>
      </c>
    </row>
    <row r="58" spans="1:11" x14ac:dyDescent="0.25">
      <c r="A58" s="5">
        <f t="shared" si="0"/>
        <v>6</v>
      </c>
      <c r="B58" s="6">
        <v>44708</v>
      </c>
      <c r="C58" s="7" t="s">
        <v>265</v>
      </c>
      <c r="D58" s="7">
        <v>22</v>
      </c>
      <c r="E58" s="5">
        <f>DAY(TableAopCalendar[[#This Row],[Date]])</f>
        <v>27</v>
      </c>
      <c r="F5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8" s="5" t="str">
        <f t="shared" si="1"/>
        <v>Week 4</v>
      </c>
      <c r="H58" s="5" t="str">
        <f t="shared" si="2"/>
        <v>May 22 Week 4</v>
      </c>
      <c r="I58" s="5" t="str">
        <f>CONCATENATE(UPPER(TableAopCalendar[[#This Row],[Month]])," ",TableAopCalendar[[#This Row],[Year]])</f>
        <v>MAY 22</v>
      </c>
      <c r="J58" s="8" t="s">
        <v>274</v>
      </c>
      <c r="K58" s="8" t="str">
        <f>CONCATENATE(TableAopCalendar[[#This Row],[Month for Plan]]," ",TableAopCalendar[[#This Row],[Plan]])</f>
        <v>MAY 22 PLANNED</v>
      </c>
    </row>
    <row r="59" spans="1:11" x14ac:dyDescent="0.25">
      <c r="A59" s="5">
        <f t="shared" si="0"/>
        <v>7</v>
      </c>
      <c r="B59" s="6">
        <v>44709</v>
      </c>
      <c r="C59" s="7" t="s">
        <v>265</v>
      </c>
      <c r="D59" s="7">
        <v>22</v>
      </c>
      <c r="E59" s="5">
        <f>DAY(TableAopCalendar[[#This Row],[Date]])</f>
        <v>28</v>
      </c>
      <c r="F5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9" s="5" t="str">
        <f t="shared" si="1"/>
        <v>Week 4</v>
      </c>
      <c r="H59" s="5" t="str">
        <f t="shared" si="2"/>
        <v>May 22 Week 4</v>
      </c>
      <c r="I59" s="5" t="str">
        <f>CONCATENATE(UPPER(TableAopCalendar[[#This Row],[Month]])," ",TableAopCalendar[[#This Row],[Year]])</f>
        <v>MAY 22</v>
      </c>
      <c r="J59" s="8" t="s">
        <v>274</v>
      </c>
      <c r="K59" s="8" t="str">
        <f>CONCATENATE(TableAopCalendar[[#This Row],[Month for Plan]]," ",TableAopCalendar[[#This Row],[Plan]])</f>
        <v>MAY 22 PLANNED</v>
      </c>
    </row>
    <row r="60" spans="1:11" x14ac:dyDescent="0.25">
      <c r="A60" s="5">
        <f t="shared" si="0"/>
        <v>1</v>
      </c>
      <c r="B60" s="6">
        <v>44710</v>
      </c>
      <c r="C60" s="7" t="s">
        <v>265</v>
      </c>
      <c r="D60" s="7">
        <v>22</v>
      </c>
      <c r="E60" s="5">
        <f>DAY(TableAopCalendar[[#This Row],[Date]])</f>
        <v>29</v>
      </c>
      <c r="F60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0" s="5" t="str">
        <f t="shared" si="1"/>
        <v>Week 5</v>
      </c>
      <c r="H60" s="5" t="str">
        <f t="shared" si="2"/>
        <v>May 22 Week 5</v>
      </c>
      <c r="I60" s="5" t="str">
        <f>CONCATENATE(UPPER(TableAopCalendar[[#This Row],[Month]])," ",TableAopCalendar[[#This Row],[Year]])</f>
        <v>MAY 22</v>
      </c>
      <c r="J60" s="8" t="s">
        <v>274</v>
      </c>
      <c r="K60" s="8" t="str">
        <f>CONCATENATE(TableAopCalendar[[#This Row],[Month for Plan]]," ",TableAopCalendar[[#This Row],[Plan]])</f>
        <v>MAY 22 PLANNED</v>
      </c>
    </row>
    <row r="61" spans="1:11" x14ac:dyDescent="0.25">
      <c r="A61" s="5">
        <f t="shared" si="0"/>
        <v>2</v>
      </c>
      <c r="B61" s="6">
        <v>44711</v>
      </c>
      <c r="C61" s="7" t="s">
        <v>265</v>
      </c>
      <c r="D61" s="7">
        <v>22</v>
      </c>
      <c r="E61" s="5">
        <f>DAY(TableAopCalendar[[#This Row],[Date]])</f>
        <v>30</v>
      </c>
      <c r="F61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1" s="5" t="str">
        <f t="shared" si="1"/>
        <v>Week 5</v>
      </c>
      <c r="H61" s="5" t="str">
        <f t="shared" si="2"/>
        <v>May 22 Week 5</v>
      </c>
      <c r="I61" s="5" t="str">
        <f>CONCATENATE(UPPER(TableAopCalendar[[#This Row],[Month]])," ",TableAopCalendar[[#This Row],[Year]])</f>
        <v>MAY 22</v>
      </c>
      <c r="J61" s="8" t="s">
        <v>274</v>
      </c>
      <c r="K61" s="8" t="str">
        <f>CONCATENATE(TableAopCalendar[[#This Row],[Month for Plan]]," ",TableAopCalendar[[#This Row],[Plan]])</f>
        <v>MAY 22 PLANNED</v>
      </c>
    </row>
    <row r="62" spans="1:11" x14ac:dyDescent="0.25">
      <c r="A62" s="5">
        <f t="shared" si="0"/>
        <v>3</v>
      </c>
      <c r="B62" s="6">
        <v>44712</v>
      </c>
      <c r="C62" s="7" t="s">
        <v>265</v>
      </c>
      <c r="D62" s="7">
        <v>22</v>
      </c>
      <c r="E62" s="5">
        <f>DAY(TableAopCalendar[[#This Row],[Date]])</f>
        <v>31</v>
      </c>
      <c r="F62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2" s="5" t="str">
        <f t="shared" si="1"/>
        <v>Week 5</v>
      </c>
      <c r="H62" s="5" t="str">
        <f t="shared" si="2"/>
        <v>May 22 Week 5</v>
      </c>
      <c r="I62" s="5" t="str">
        <f>CONCATENATE(UPPER(TableAopCalendar[[#This Row],[Month]])," ",TableAopCalendar[[#This Row],[Year]])</f>
        <v>MAY 22</v>
      </c>
      <c r="J62" s="8" t="s">
        <v>274</v>
      </c>
      <c r="K62" s="8" t="str">
        <f>CONCATENATE(TableAopCalendar[[#This Row],[Month for Plan]]," ",TableAopCalendar[[#This Row],[Plan]])</f>
        <v>MAY 22 PLANNED</v>
      </c>
    </row>
    <row r="63" spans="1:11" x14ac:dyDescent="0.25">
      <c r="A63" s="5">
        <f t="shared" si="0"/>
        <v>1</v>
      </c>
      <c r="B63" s="6">
        <v>44713</v>
      </c>
      <c r="C63" s="7" t="s">
        <v>266</v>
      </c>
      <c r="D63" s="7">
        <v>22</v>
      </c>
      <c r="E63" s="5">
        <f>DAY(TableAopCalendar[[#This Row],[Date]])</f>
        <v>1</v>
      </c>
      <c r="F6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3" s="5" t="str">
        <f t="shared" si="1"/>
        <v>Week 1</v>
      </c>
      <c r="H63" s="5" t="str">
        <f t="shared" si="2"/>
        <v>June 22 Week 1</v>
      </c>
      <c r="I63" s="5" t="str">
        <f>CONCATENATE(UPPER(TableAopCalendar[[#This Row],[Month]])," ",TableAopCalendar[[#This Row],[Year]])</f>
        <v>JUNE 22</v>
      </c>
      <c r="J63" s="8" t="s">
        <v>274</v>
      </c>
      <c r="K63" s="8" t="str">
        <f>CONCATENATE(TableAopCalendar[[#This Row],[Month for Plan]]," ",TableAopCalendar[[#This Row],[Plan]])</f>
        <v>JUNE 22 PLANNED</v>
      </c>
    </row>
    <row r="64" spans="1:11" x14ac:dyDescent="0.25">
      <c r="A64" s="5">
        <f t="shared" si="0"/>
        <v>2</v>
      </c>
      <c r="B64" s="6">
        <v>44714</v>
      </c>
      <c r="C64" s="7" t="s">
        <v>266</v>
      </c>
      <c r="D64" s="7">
        <v>22</v>
      </c>
      <c r="E64" s="5">
        <f>DAY(TableAopCalendar[[#This Row],[Date]])</f>
        <v>2</v>
      </c>
      <c r="F6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" s="5" t="str">
        <f t="shared" si="1"/>
        <v>Week 1</v>
      </c>
      <c r="H64" s="5" t="str">
        <f t="shared" si="2"/>
        <v>June 22 Week 1</v>
      </c>
      <c r="I64" s="5" t="str">
        <f>CONCATENATE(UPPER(TableAopCalendar[[#This Row],[Month]])," ",TableAopCalendar[[#This Row],[Year]])</f>
        <v>JUNE 22</v>
      </c>
      <c r="J64" s="8" t="s">
        <v>274</v>
      </c>
      <c r="K64" s="8" t="str">
        <f>CONCATENATE(TableAopCalendar[[#This Row],[Month for Plan]]," ",TableAopCalendar[[#This Row],[Plan]])</f>
        <v>JUNE 22 PLANNED</v>
      </c>
    </row>
    <row r="65" spans="1:11" x14ac:dyDescent="0.25">
      <c r="A65" s="5">
        <f t="shared" si="0"/>
        <v>3</v>
      </c>
      <c r="B65" s="6">
        <v>44715</v>
      </c>
      <c r="C65" s="7" t="s">
        <v>266</v>
      </c>
      <c r="D65" s="7">
        <v>22</v>
      </c>
      <c r="E65" s="5">
        <f>DAY(TableAopCalendar[[#This Row],[Date]])</f>
        <v>3</v>
      </c>
      <c r="F65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5" s="5" t="str">
        <f t="shared" si="1"/>
        <v>Week 1</v>
      </c>
      <c r="H65" s="5" t="str">
        <f t="shared" si="2"/>
        <v>June 22 Week 1</v>
      </c>
      <c r="I65" s="5" t="str">
        <f>CONCATENATE(UPPER(TableAopCalendar[[#This Row],[Month]])," ",TableAopCalendar[[#This Row],[Year]])</f>
        <v>JUNE 22</v>
      </c>
      <c r="J65" s="8" t="s">
        <v>274</v>
      </c>
      <c r="K65" s="8" t="str">
        <f>CONCATENATE(TableAopCalendar[[#This Row],[Month for Plan]]," ",TableAopCalendar[[#This Row],[Plan]])</f>
        <v>JUNE 22 PLANNED</v>
      </c>
    </row>
    <row r="66" spans="1:11" x14ac:dyDescent="0.25">
      <c r="A66" s="5">
        <f t="shared" ref="A66:A129" si="3">IF(G66=G65,A65+1,1)</f>
        <v>4</v>
      </c>
      <c r="B66" s="6">
        <v>44716</v>
      </c>
      <c r="C66" s="7" t="s">
        <v>266</v>
      </c>
      <c r="D66" s="7">
        <v>22</v>
      </c>
      <c r="E66" s="5">
        <f>DAY(TableAopCalendar[[#This Row],[Date]])</f>
        <v>4</v>
      </c>
      <c r="F6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6" s="5" t="str">
        <f t="shared" ref="G66:G129" si="4">"Week"&amp;" "&amp;F66</f>
        <v>Week 1</v>
      </c>
      <c r="H66" s="5" t="str">
        <f t="shared" ref="H66:H129" si="5">CONCATENATE(C66," ",D66," ",G66)</f>
        <v>June 22 Week 1</v>
      </c>
      <c r="I66" s="5" t="str">
        <f>CONCATENATE(UPPER(TableAopCalendar[[#This Row],[Month]])," ",TableAopCalendar[[#This Row],[Year]])</f>
        <v>JUNE 22</v>
      </c>
      <c r="J66" s="8" t="s">
        <v>274</v>
      </c>
      <c r="K66" s="8" t="str">
        <f>CONCATENATE(TableAopCalendar[[#This Row],[Month for Plan]]," ",TableAopCalendar[[#This Row],[Plan]])</f>
        <v>JUNE 22 PLANNED</v>
      </c>
    </row>
    <row r="67" spans="1:11" x14ac:dyDescent="0.25">
      <c r="A67" s="5">
        <f t="shared" si="3"/>
        <v>5</v>
      </c>
      <c r="B67" s="6">
        <v>44717</v>
      </c>
      <c r="C67" s="7" t="s">
        <v>266</v>
      </c>
      <c r="D67" s="7">
        <v>22</v>
      </c>
      <c r="E67" s="5">
        <f>DAY(TableAopCalendar[[#This Row],[Date]])</f>
        <v>5</v>
      </c>
      <c r="F6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" s="5" t="str">
        <f t="shared" si="4"/>
        <v>Week 1</v>
      </c>
      <c r="H67" s="5" t="str">
        <f t="shared" si="5"/>
        <v>June 22 Week 1</v>
      </c>
      <c r="I67" s="5" t="str">
        <f>CONCATENATE(UPPER(TableAopCalendar[[#This Row],[Month]])," ",TableAopCalendar[[#This Row],[Year]])</f>
        <v>JUNE 22</v>
      </c>
      <c r="J67" s="8" t="s">
        <v>274</v>
      </c>
      <c r="K67" s="8" t="str">
        <f>CONCATENATE(TableAopCalendar[[#This Row],[Month for Plan]]," ",TableAopCalendar[[#This Row],[Plan]])</f>
        <v>JUNE 22 PLANNED</v>
      </c>
    </row>
    <row r="68" spans="1:11" x14ac:dyDescent="0.25">
      <c r="A68" s="5">
        <f t="shared" si="3"/>
        <v>6</v>
      </c>
      <c r="B68" s="6">
        <v>44718</v>
      </c>
      <c r="C68" s="7" t="s">
        <v>266</v>
      </c>
      <c r="D68" s="7">
        <v>22</v>
      </c>
      <c r="E68" s="5">
        <f>DAY(TableAopCalendar[[#This Row],[Date]])</f>
        <v>6</v>
      </c>
      <c r="F6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8" s="5" t="str">
        <f t="shared" si="4"/>
        <v>Week 1</v>
      </c>
      <c r="H68" s="5" t="str">
        <f t="shared" si="5"/>
        <v>June 22 Week 1</v>
      </c>
      <c r="I68" s="5" t="str">
        <f>CONCATENATE(UPPER(TableAopCalendar[[#This Row],[Month]])," ",TableAopCalendar[[#This Row],[Year]])</f>
        <v>JUNE 22</v>
      </c>
      <c r="J68" s="8" t="s">
        <v>274</v>
      </c>
      <c r="K68" s="8" t="str">
        <f>CONCATENATE(TableAopCalendar[[#This Row],[Month for Plan]]," ",TableAopCalendar[[#This Row],[Plan]])</f>
        <v>JUNE 22 PLANNED</v>
      </c>
    </row>
    <row r="69" spans="1:11" x14ac:dyDescent="0.25">
      <c r="A69" s="5">
        <f t="shared" si="3"/>
        <v>7</v>
      </c>
      <c r="B69" s="6">
        <v>44719</v>
      </c>
      <c r="C69" s="7" t="s">
        <v>266</v>
      </c>
      <c r="D69" s="7">
        <v>22</v>
      </c>
      <c r="E69" s="5">
        <f>DAY(TableAopCalendar[[#This Row],[Date]])</f>
        <v>7</v>
      </c>
      <c r="F6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9" s="5" t="str">
        <f t="shared" si="4"/>
        <v>Week 1</v>
      </c>
      <c r="H69" s="5" t="str">
        <f t="shared" si="5"/>
        <v>June 22 Week 1</v>
      </c>
      <c r="I69" s="5" t="str">
        <f>CONCATENATE(UPPER(TableAopCalendar[[#This Row],[Month]])," ",TableAopCalendar[[#This Row],[Year]])</f>
        <v>JUNE 22</v>
      </c>
      <c r="J69" s="8" t="s">
        <v>274</v>
      </c>
      <c r="K69" s="8" t="str">
        <f>CONCATENATE(TableAopCalendar[[#This Row],[Month for Plan]]," ",TableAopCalendar[[#This Row],[Plan]])</f>
        <v>JUNE 22 PLANNED</v>
      </c>
    </row>
    <row r="70" spans="1:11" x14ac:dyDescent="0.25">
      <c r="A70" s="5">
        <f t="shared" si="3"/>
        <v>1</v>
      </c>
      <c r="B70" s="6">
        <v>44720</v>
      </c>
      <c r="C70" s="7" t="s">
        <v>266</v>
      </c>
      <c r="D70" s="7">
        <v>22</v>
      </c>
      <c r="E70" s="5">
        <f>DAY(TableAopCalendar[[#This Row],[Date]])</f>
        <v>8</v>
      </c>
      <c r="F7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0" s="5" t="str">
        <f t="shared" si="4"/>
        <v>Week 2</v>
      </c>
      <c r="H70" s="5" t="str">
        <f t="shared" si="5"/>
        <v>June 22 Week 2</v>
      </c>
      <c r="I70" s="5" t="str">
        <f>CONCATENATE(UPPER(TableAopCalendar[[#This Row],[Month]])," ",TableAopCalendar[[#This Row],[Year]])</f>
        <v>JUNE 22</v>
      </c>
      <c r="J70" s="8" t="s">
        <v>274</v>
      </c>
      <c r="K70" s="8" t="str">
        <f>CONCATENATE(TableAopCalendar[[#This Row],[Month for Plan]]," ",TableAopCalendar[[#This Row],[Plan]])</f>
        <v>JUNE 22 PLANNED</v>
      </c>
    </row>
    <row r="71" spans="1:11" x14ac:dyDescent="0.25">
      <c r="A71" s="5">
        <f t="shared" si="3"/>
        <v>2</v>
      </c>
      <c r="B71" s="6">
        <v>44721</v>
      </c>
      <c r="C71" s="7" t="s">
        <v>266</v>
      </c>
      <c r="D71" s="7">
        <v>22</v>
      </c>
      <c r="E71" s="5">
        <f>DAY(TableAopCalendar[[#This Row],[Date]])</f>
        <v>9</v>
      </c>
      <c r="F7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1" s="5" t="str">
        <f t="shared" si="4"/>
        <v>Week 2</v>
      </c>
      <c r="H71" s="5" t="str">
        <f t="shared" si="5"/>
        <v>June 22 Week 2</v>
      </c>
      <c r="I71" s="5" t="str">
        <f>CONCATENATE(UPPER(TableAopCalendar[[#This Row],[Month]])," ",TableAopCalendar[[#This Row],[Year]])</f>
        <v>JUNE 22</v>
      </c>
      <c r="J71" s="8" t="s">
        <v>274</v>
      </c>
      <c r="K71" s="8" t="str">
        <f>CONCATENATE(TableAopCalendar[[#This Row],[Month for Plan]]," ",TableAopCalendar[[#This Row],[Plan]])</f>
        <v>JUNE 22 PLANNED</v>
      </c>
    </row>
    <row r="72" spans="1:11" x14ac:dyDescent="0.25">
      <c r="A72" s="5">
        <f t="shared" si="3"/>
        <v>3</v>
      </c>
      <c r="B72" s="6">
        <v>44722</v>
      </c>
      <c r="C72" s="7" t="s">
        <v>266</v>
      </c>
      <c r="D72" s="7">
        <v>22</v>
      </c>
      <c r="E72" s="5">
        <f>DAY(TableAopCalendar[[#This Row],[Date]])</f>
        <v>10</v>
      </c>
      <c r="F72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2" s="5" t="str">
        <f t="shared" si="4"/>
        <v>Week 2</v>
      </c>
      <c r="H72" s="5" t="str">
        <f t="shared" si="5"/>
        <v>June 22 Week 2</v>
      </c>
      <c r="I72" s="5" t="str">
        <f>CONCATENATE(UPPER(TableAopCalendar[[#This Row],[Month]])," ",TableAopCalendar[[#This Row],[Year]])</f>
        <v>JUNE 22</v>
      </c>
      <c r="J72" s="8" t="s">
        <v>274</v>
      </c>
      <c r="K72" s="8" t="str">
        <f>CONCATENATE(TableAopCalendar[[#This Row],[Month for Plan]]," ",TableAopCalendar[[#This Row],[Plan]])</f>
        <v>JUNE 22 PLANNED</v>
      </c>
    </row>
    <row r="73" spans="1:11" x14ac:dyDescent="0.25">
      <c r="A73" s="5">
        <f t="shared" si="3"/>
        <v>4</v>
      </c>
      <c r="B73" s="6">
        <v>44723</v>
      </c>
      <c r="C73" s="7" t="s">
        <v>266</v>
      </c>
      <c r="D73" s="7">
        <v>22</v>
      </c>
      <c r="E73" s="5">
        <f>DAY(TableAopCalendar[[#This Row],[Date]])</f>
        <v>11</v>
      </c>
      <c r="F7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3" s="5" t="str">
        <f t="shared" si="4"/>
        <v>Week 2</v>
      </c>
      <c r="H73" s="5" t="str">
        <f t="shared" si="5"/>
        <v>June 22 Week 2</v>
      </c>
      <c r="I73" s="5" t="str">
        <f>CONCATENATE(UPPER(TableAopCalendar[[#This Row],[Month]])," ",TableAopCalendar[[#This Row],[Year]])</f>
        <v>JUNE 22</v>
      </c>
      <c r="J73" s="8" t="s">
        <v>274</v>
      </c>
      <c r="K73" s="8" t="str">
        <f>CONCATENATE(TableAopCalendar[[#This Row],[Month for Plan]]," ",TableAopCalendar[[#This Row],[Plan]])</f>
        <v>JUNE 22 PLANNED</v>
      </c>
    </row>
    <row r="74" spans="1:11" x14ac:dyDescent="0.25">
      <c r="A74" s="5">
        <f t="shared" si="3"/>
        <v>5</v>
      </c>
      <c r="B74" s="6">
        <v>44724</v>
      </c>
      <c r="C74" s="7" t="s">
        <v>266</v>
      </c>
      <c r="D74" s="7">
        <v>22</v>
      </c>
      <c r="E74" s="5">
        <f>DAY(TableAopCalendar[[#This Row],[Date]])</f>
        <v>12</v>
      </c>
      <c r="F7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" s="5" t="str">
        <f t="shared" si="4"/>
        <v>Week 2</v>
      </c>
      <c r="H74" s="5" t="str">
        <f t="shared" si="5"/>
        <v>June 22 Week 2</v>
      </c>
      <c r="I74" s="5" t="str">
        <f>CONCATENATE(UPPER(TableAopCalendar[[#This Row],[Month]])," ",TableAopCalendar[[#This Row],[Year]])</f>
        <v>JUNE 22</v>
      </c>
      <c r="J74" s="8" t="s">
        <v>274</v>
      </c>
      <c r="K74" s="8" t="str">
        <f>CONCATENATE(TableAopCalendar[[#This Row],[Month for Plan]]," ",TableAopCalendar[[#This Row],[Plan]])</f>
        <v>JUNE 22 PLANNED</v>
      </c>
    </row>
    <row r="75" spans="1:11" x14ac:dyDescent="0.25">
      <c r="A75" s="5">
        <f t="shared" si="3"/>
        <v>6</v>
      </c>
      <c r="B75" s="6">
        <v>44725</v>
      </c>
      <c r="C75" s="7" t="s">
        <v>266</v>
      </c>
      <c r="D75" s="7">
        <v>22</v>
      </c>
      <c r="E75" s="5">
        <f>DAY(TableAopCalendar[[#This Row],[Date]])</f>
        <v>13</v>
      </c>
      <c r="F7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5" s="5" t="str">
        <f t="shared" si="4"/>
        <v>Week 2</v>
      </c>
      <c r="H75" s="5" t="str">
        <f t="shared" si="5"/>
        <v>June 22 Week 2</v>
      </c>
      <c r="I75" s="5" t="str">
        <f>CONCATENATE(UPPER(TableAopCalendar[[#This Row],[Month]])," ",TableAopCalendar[[#This Row],[Year]])</f>
        <v>JUNE 22</v>
      </c>
      <c r="J75" s="8" t="s">
        <v>274</v>
      </c>
      <c r="K75" s="8" t="str">
        <f>CONCATENATE(TableAopCalendar[[#This Row],[Month for Plan]]," ",TableAopCalendar[[#This Row],[Plan]])</f>
        <v>JUNE 22 PLANNED</v>
      </c>
    </row>
    <row r="76" spans="1:11" x14ac:dyDescent="0.25">
      <c r="A76" s="5">
        <f t="shared" si="3"/>
        <v>7</v>
      </c>
      <c r="B76" s="6">
        <v>44726</v>
      </c>
      <c r="C76" s="7" t="s">
        <v>266</v>
      </c>
      <c r="D76" s="7">
        <v>22</v>
      </c>
      <c r="E76" s="5">
        <f>DAY(TableAopCalendar[[#This Row],[Date]])</f>
        <v>14</v>
      </c>
      <c r="F7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6" s="5" t="str">
        <f t="shared" si="4"/>
        <v>Week 2</v>
      </c>
      <c r="H76" s="5" t="str">
        <f t="shared" si="5"/>
        <v>June 22 Week 2</v>
      </c>
      <c r="I76" s="5" t="str">
        <f>CONCATENATE(UPPER(TableAopCalendar[[#This Row],[Month]])," ",TableAopCalendar[[#This Row],[Year]])</f>
        <v>JUNE 22</v>
      </c>
      <c r="J76" s="8" t="s">
        <v>274</v>
      </c>
      <c r="K76" s="8" t="str">
        <f>CONCATENATE(TableAopCalendar[[#This Row],[Month for Plan]]," ",TableAopCalendar[[#This Row],[Plan]])</f>
        <v>JUNE 22 PLANNED</v>
      </c>
    </row>
    <row r="77" spans="1:11" x14ac:dyDescent="0.25">
      <c r="A77" s="5">
        <f t="shared" si="3"/>
        <v>1</v>
      </c>
      <c r="B77" s="6">
        <v>44727</v>
      </c>
      <c r="C77" s="7" t="s">
        <v>266</v>
      </c>
      <c r="D77" s="7">
        <v>22</v>
      </c>
      <c r="E77" s="5">
        <f>DAY(TableAopCalendar[[#This Row],[Date]])</f>
        <v>15</v>
      </c>
      <c r="F7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7" s="5" t="str">
        <f t="shared" si="4"/>
        <v>Week 3</v>
      </c>
      <c r="H77" s="5" t="str">
        <f t="shared" si="5"/>
        <v>June 22 Week 3</v>
      </c>
      <c r="I77" s="5" t="str">
        <f>CONCATENATE(UPPER(TableAopCalendar[[#This Row],[Month]])," ",TableAopCalendar[[#This Row],[Year]])</f>
        <v>JUNE 22</v>
      </c>
      <c r="J77" s="8" t="s">
        <v>274</v>
      </c>
      <c r="K77" s="8" t="str">
        <f>CONCATENATE(TableAopCalendar[[#This Row],[Month for Plan]]," ",TableAopCalendar[[#This Row],[Plan]])</f>
        <v>JUNE 22 PLANNED</v>
      </c>
    </row>
    <row r="78" spans="1:11" x14ac:dyDescent="0.25">
      <c r="A78" s="5">
        <f t="shared" si="3"/>
        <v>2</v>
      </c>
      <c r="B78" s="6">
        <v>44728</v>
      </c>
      <c r="C78" s="7" t="s">
        <v>266</v>
      </c>
      <c r="D78" s="7">
        <v>22</v>
      </c>
      <c r="E78" s="5">
        <f>DAY(TableAopCalendar[[#This Row],[Date]])</f>
        <v>16</v>
      </c>
      <c r="F7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8" s="5" t="str">
        <f t="shared" si="4"/>
        <v>Week 3</v>
      </c>
      <c r="H78" s="5" t="str">
        <f t="shared" si="5"/>
        <v>June 22 Week 3</v>
      </c>
      <c r="I78" s="5" t="str">
        <f>CONCATENATE(UPPER(TableAopCalendar[[#This Row],[Month]])," ",TableAopCalendar[[#This Row],[Year]])</f>
        <v>JUNE 22</v>
      </c>
      <c r="J78" s="8" t="s">
        <v>274</v>
      </c>
      <c r="K78" s="8" t="str">
        <f>CONCATENATE(TableAopCalendar[[#This Row],[Month for Plan]]," ",TableAopCalendar[[#This Row],[Plan]])</f>
        <v>JUNE 22 PLANNED</v>
      </c>
    </row>
    <row r="79" spans="1:11" x14ac:dyDescent="0.25">
      <c r="A79" s="5">
        <f t="shared" si="3"/>
        <v>3</v>
      </c>
      <c r="B79" s="6">
        <v>44729</v>
      </c>
      <c r="C79" s="7" t="s">
        <v>266</v>
      </c>
      <c r="D79" s="7">
        <v>22</v>
      </c>
      <c r="E79" s="5">
        <f>DAY(TableAopCalendar[[#This Row],[Date]])</f>
        <v>17</v>
      </c>
      <c r="F79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9" s="5" t="str">
        <f t="shared" si="4"/>
        <v>Week 3</v>
      </c>
      <c r="H79" s="5" t="str">
        <f t="shared" si="5"/>
        <v>June 22 Week 3</v>
      </c>
      <c r="I79" s="5" t="str">
        <f>CONCATENATE(UPPER(TableAopCalendar[[#This Row],[Month]])," ",TableAopCalendar[[#This Row],[Year]])</f>
        <v>JUNE 22</v>
      </c>
      <c r="J79" s="8" t="s">
        <v>274</v>
      </c>
      <c r="K79" s="8" t="str">
        <f>CONCATENATE(TableAopCalendar[[#This Row],[Month for Plan]]," ",TableAopCalendar[[#This Row],[Plan]])</f>
        <v>JUNE 22 PLANNED</v>
      </c>
    </row>
    <row r="80" spans="1:11" x14ac:dyDescent="0.25">
      <c r="A80" s="5">
        <f t="shared" si="3"/>
        <v>4</v>
      </c>
      <c r="B80" s="6">
        <v>44730</v>
      </c>
      <c r="C80" s="7" t="s">
        <v>266</v>
      </c>
      <c r="D80" s="7">
        <v>22</v>
      </c>
      <c r="E80" s="5">
        <f>DAY(TableAopCalendar[[#This Row],[Date]])</f>
        <v>18</v>
      </c>
      <c r="F8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0" s="5" t="str">
        <f t="shared" si="4"/>
        <v>Week 3</v>
      </c>
      <c r="H80" s="5" t="str">
        <f t="shared" si="5"/>
        <v>June 22 Week 3</v>
      </c>
      <c r="I80" s="5" t="str">
        <f>CONCATENATE(UPPER(TableAopCalendar[[#This Row],[Month]])," ",TableAopCalendar[[#This Row],[Year]])</f>
        <v>JUNE 22</v>
      </c>
      <c r="J80" s="8" t="s">
        <v>274</v>
      </c>
      <c r="K80" s="8" t="str">
        <f>CONCATENATE(TableAopCalendar[[#This Row],[Month for Plan]]," ",TableAopCalendar[[#This Row],[Plan]])</f>
        <v>JUNE 22 PLANNED</v>
      </c>
    </row>
    <row r="81" spans="1:11" x14ac:dyDescent="0.25">
      <c r="A81" s="5">
        <f t="shared" si="3"/>
        <v>5</v>
      </c>
      <c r="B81" s="6">
        <v>44731</v>
      </c>
      <c r="C81" s="7" t="s">
        <v>266</v>
      </c>
      <c r="D81" s="7">
        <v>22</v>
      </c>
      <c r="E81" s="5">
        <f>DAY(TableAopCalendar[[#This Row],[Date]])</f>
        <v>19</v>
      </c>
      <c r="F8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1" s="5" t="str">
        <f t="shared" si="4"/>
        <v>Week 3</v>
      </c>
      <c r="H81" s="5" t="str">
        <f t="shared" si="5"/>
        <v>June 22 Week 3</v>
      </c>
      <c r="I81" s="5" t="str">
        <f>CONCATENATE(UPPER(TableAopCalendar[[#This Row],[Month]])," ",TableAopCalendar[[#This Row],[Year]])</f>
        <v>JUNE 22</v>
      </c>
      <c r="J81" s="8" t="s">
        <v>274</v>
      </c>
      <c r="K81" s="8" t="str">
        <f>CONCATENATE(TableAopCalendar[[#This Row],[Month for Plan]]," ",TableAopCalendar[[#This Row],[Plan]])</f>
        <v>JUNE 22 PLANNED</v>
      </c>
    </row>
    <row r="82" spans="1:11" x14ac:dyDescent="0.25">
      <c r="A82" s="5">
        <f t="shared" si="3"/>
        <v>6</v>
      </c>
      <c r="B82" s="6">
        <v>44732</v>
      </c>
      <c r="C82" s="7" t="s">
        <v>266</v>
      </c>
      <c r="D82" s="7">
        <v>22</v>
      </c>
      <c r="E82" s="5">
        <f>DAY(TableAopCalendar[[#This Row],[Date]])</f>
        <v>20</v>
      </c>
      <c r="F8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2" s="5" t="str">
        <f t="shared" si="4"/>
        <v>Week 3</v>
      </c>
      <c r="H82" s="5" t="str">
        <f t="shared" si="5"/>
        <v>June 22 Week 3</v>
      </c>
      <c r="I82" s="5" t="str">
        <f>CONCATENATE(UPPER(TableAopCalendar[[#This Row],[Month]])," ",TableAopCalendar[[#This Row],[Year]])</f>
        <v>JUNE 22</v>
      </c>
      <c r="J82" s="8" t="s">
        <v>274</v>
      </c>
      <c r="K82" s="8" t="str">
        <f>CONCATENATE(TableAopCalendar[[#This Row],[Month for Plan]]," ",TableAopCalendar[[#This Row],[Plan]])</f>
        <v>JUNE 22 PLANNED</v>
      </c>
    </row>
    <row r="83" spans="1:11" x14ac:dyDescent="0.25">
      <c r="A83" s="5">
        <f t="shared" si="3"/>
        <v>7</v>
      </c>
      <c r="B83" s="6">
        <v>44733</v>
      </c>
      <c r="C83" s="7" t="s">
        <v>266</v>
      </c>
      <c r="D83" s="7">
        <v>22</v>
      </c>
      <c r="E83" s="5">
        <f>DAY(TableAopCalendar[[#This Row],[Date]])</f>
        <v>21</v>
      </c>
      <c r="F8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3" s="5" t="str">
        <f t="shared" si="4"/>
        <v>Week 3</v>
      </c>
      <c r="H83" s="5" t="str">
        <f t="shared" si="5"/>
        <v>June 22 Week 3</v>
      </c>
      <c r="I83" s="5" t="str">
        <f>CONCATENATE(UPPER(TableAopCalendar[[#This Row],[Month]])," ",TableAopCalendar[[#This Row],[Year]])</f>
        <v>JUNE 22</v>
      </c>
      <c r="J83" s="8" t="s">
        <v>274</v>
      </c>
      <c r="K83" s="8" t="str">
        <f>CONCATENATE(TableAopCalendar[[#This Row],[Month for Plan]]," ",TableAopCalendar[[#This Row],[Plan]])</f>
        <v>JUNE 22 PLANNED</v>
      </c>
    </row>
    <row r="84" spans="1:11" x14ac:dyDescent="0.25">
      <c r="A84" s="5">
        <f t="shared" si="3"/>
        <v>1</v>
      </c>
      <c r="B84" s="6">
        <v>44734</v>
      </c>
      <c r="C84" s="7" t="s">
        <v>266</v>
      </c>
      <c r="D84" s="7">
        <v>22</v>
      </c>
      <c r="E84" s="5">
        <f>DAY(TableAopCalendar[[#This Row],[Date]])</f>
        <v>22</v>
      </c>
      <c r="F8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4" s="5" t="str">
        <f t="shared" si="4"/>
        <v>Week 4</v>
      </c>
      <c r="H84" s="5" t="str">
        <f t="shared" si="5"/>
        <v>June 22 Week 4</v>
      </c>
      <c r="I84" s="5" t="str">
        <f>CONCATENATE(UPPER(TableAopCalendar[[#This Row],[Month]])," ",TableAopCalendar[[#This Row],[Year]])</f>
        <v>JUNE 22</v>
      </c>
      <c r="J84" s="8" t="s">
        <v>274</v>
      </c>
      <c r="K84" s="8" t="str">
        <f>CONCATENATE(TableAopCalendar[[#This Row],[Month for Plan]]," ",TableAopCalendar[[#This Row],[Plan]])</f>
        <v>JUNE 22 PLANNED</v>
      </c>
    </row>
    <row r="85" spans="1:11" x14ac:dyDescent="0.25">
      <c r="A85" s="5">
        <f t="shared" si="3"/>
        <v>2</v>
      </c>
      <c r="B85" s="6">
        <v>44735</v>
      </c>
      <c r="C85" s="7" t="s">
        <v>266</v>
      </c>
      <c r="D85" s="7">
        <v>22</v>
      </c>
      <c r="E85" s="5">
        <f>DAY(TableAopCalendar[[#This Row],[Date]])</f>
        <v>23</v>
      </c>
      <c r="F8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5" s="5" t="str">
        <f t="shared" si="4"/>
        <v>Week 4</v>
      </c>
      <c r="H85" s="5" t="str">
        <f t="shared" si="5"/>
        <v>June 22 Week 4</v>
      </c>
      <c r="I85" s="5" t="str">
        <f>CONCATENATE(UPPER(TableAopCalendar[[#This Row],[Month]])," ",TableAopCalendar[[#This Row],[Year]])</f>
        <v>JUNE 22</v>
      </c>
      <c r="J85" s="8" t="s">
        <v>274</v>
      </c>
      <c r="K85" s="8" t="str">
        <f>CONCATENATE(TableAopCalendar[[#This Row],[Month for Plan]]," ",TableAopCalendar[[#This Row],[Plan]])</f>
        <v>JUNE 22 PLANNED</v>
      </c>
    </row>
    <row r="86" spans="1:11" x14ac:dyDescent="0.25">
      <c r="A86" s="5">
        <f t="shared" si="3"/>
        <v>3</v>
      </c>
      <c r="B86" s="6">
        <v>44736</v>
      </c>
      <c r="C86" s="7" t="s">
        <v>266</v>
      </c>
      <c r="D86" s="7">
        <v>22</v>
      </c>
      <c r="E86" s="5">
        <f>DAY(TableAopCalendar[[#This Row],[Date]])</f>
        <v>24</v>
      </c>
      <c r="F86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6" s="5" t="str">
        <f t="shared" si="4"/>
        <v>Week 4</v>
      </c>
      <c r="H86" s="5" t="str">
        <f t="shared" si="5"/>
        <v>June 22 Week 4</v>
      </c>
      <c r="I86" s="5" t="str">
        <f>CONCATENATE(UPPER(TableAopCalendar[[#This Row],[Month]])," ",TableAopCalendar[[#This Row],[Year]])</f>
        <v>JUNE 22</v>
      </c>
      <c r="J86" s="8" t="s">
        <v>274</v>
      </c>
      <c r="K86" s="8" t="str">
        <f>CONCATENATE(TableAopCalendar[[#This Row],[Month for Plan]]," ",TableAopCalendar[[#This Row],[Plan]])</f>
        <v>JUNE 22 PLANNED</v>
      </c>
    </row>
    <row r="87" spans="1:11" x14ac:dyDescent="0.25">
      <c r="A87" s="5">
        <f t="shared" si="3"/>
        <v>4</v>
      </c>
      <c r="B87" s="6">
        <v>44737</v>
      </c>
      <c r="C87" s="7" t="s">
        <v>266</v>
      </c>
      <c r="D87" s="7">
        <v>22</v>
      </c>
      <c r="E87" s="5">
        <f>DAY(TableAopCalendar[[#This Row],[Date]])</f>
        <v>25</v>
      </c>
      <c r="F8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7" s="5" t="str">
        <f t="shared" si="4"/>
        <v>Week 4</v>
      </c>
      <c r="H87" s="5" t="str">
        <f t="shared" si="5"/>
        <v>June 22 Week 4</v>
      </c>
      <c r="I87" s="5" t="str">
        <f>CONCATENATE(UPPER(TableAopCalendar[[#This Row],[Month]])," ",TableAopCalendar[[#This Row],[Year]])</f>
        <v>JUNE 22</v>
      </c>
      <c r="J87" s="8" t="s">
        <v>274</v>
      </c>
      <c r="K87" s="8" t="str">
        <f>CONCATENATE(TableAopCalendar[[#This Row],[Month for Plan]]," ",TableAopCalendar[[#This Row],[Plan]])</f>
        <v>JUNE 22 PLANNED</v>
      </c>
    </row>
    <row r="88" spans="1:11" x14ac:dyDescent="0.25">
      <c r="A88" s="5">
        <f t="shared" si="3"/>
        <v>5</v>
      </c>
      <c r="B88" s="6">
        <v>44738</v>
      </c>
      <c r="C88" s="7" t="s">
        <v>266</v>
      </c>
      <c r="D88" s="7">
        <v>22</v>
      </c>
      <c r="E88" s="5">
        <f>DAY(TableAopCalendar[[#This Row],[Date]])</f>
        <v>26</v>
      </c>
      <c r="F8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8" s="5" t="str">
        <f t="shared" si="4"/>
        <v>Week 4</v>
      </c>
      <c r="H88" s="5" t="str">
        <f t="shared" si="5"/>
        <v>June 22 Week 4</v>
      </c>
      <c r="I88" s="5" t="str">
        <f>CONCATENATE(UPPER(TableAopCalendar[[#This Row],[Month]])," ",TableAopCalendar[[#This Row],[Year]])</f>
        <v>JUNE 22</v>
      </c>
      <c r="J88" s="8" t="s">
        <v>274</v>
      </c>
      <c r="K88" s="8" t="str">
        <f>CONCATENATE(TableAopCalendar[[#This Row],[Month for Plan]]," ",TableAopCalendar[[#This Row],[Plan]])</f>
        <v>JUNE 22 PLANNED</v>
      </c>
    </row>
    <row r="89" spans="1:11" x14ac:dyDescent="0.25">
      <c r="A89" s="5">
        <f t="shared" si="3"/>
        <v>6</v>
      </c>
      <c r="B89" s="6">
        <v>44739</v>
      </c>
      <c r="C89" s="7" t="s">
        <v>266</v>
      </c>
      <c r="D89" s="7">
        <v>22</v>
      </c>
      <c r="E89" s="5">
        <f>DAY(TableAopCalendar[[#This Row],[Date]])</f>
        <v>27</v>
      </c>
      <c r="F8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9" s="5" t="str">
        <f t="shared" si="4"/>
        <v>Week 4</v>
      </c>
      <c r="H89" s="5" t="str">
        <f t="shared" si="5"/>
        <v>June 22 Week 4</v>
      </c>
      <c r="I89" s="5" t="str">
        <f>CONCATENATE(UPPER(TableAopCalendar[[#This Row],[Month]])," ",TableAopCalendar[[#This Row],[Year]])</f>
        <v>JUNE 22</v>
      </c>
      <c r="J89" s="8" t="s">
        <v>274</v>
      </c>
      <c r="K89" s="8" t="str">
        <f>CONCATENATE(TableAopCalendar[[#This Row],[Month for Plan]]," ",TableAopCalendar[[#This Row],[Plan]])</f>
        <v>JUNE 22 PLANNED</v>
      </c>
    </row>
    <row r="90" spans="1:11" x14ac:dyDescent="0.25">
      <c r="A90" s="5">
        <f t="shared" si="3"/>
        <v>7</v>
      </c>
      <c r="B90" s="6">
        <v>44740</v>
      </c>
      <c r="C90" s="7" t="s">
        <v>266</v>
      </c>
      <c r="D90" s="7">
        <v>22</v>
      </c>
      <c r="E90" s="5">
        <f>DAY(TableAopCalendar[[#This Row],[Date]])</f>
        <v>28</v>
      </c>
      <c r="F9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0" s="5" t="str">
        <f t="shared" si="4"/>
        <v>Week 4</v>
      </c>
      <c r="H90" s="5" t="str">
        <f t="shared" si="5"/>
        <v>June 22 Week 4</v>
      </c>
      <c r="I90" s="5" t="str">
        <f>CONCATENATE(UPPER(TableAopCalendar[[#This Row],[Month]])," ",TableAopCalendar[[#This Row],[Year]])</f>
        <v>JUNE 22</v>
      </c>
      <c r="J90" s="8" t="s">
        <v>274</v>
      </c>
      <c r="K90" s="8" t="str">
        <f>CONCATENATE(TableAopCalendar[[#This Row],[Month for Plan]]," ",TableAopCalendar[[#This Row],[Plan]])</f>
        <v>JUNE 22 PLANNED</v>
      </c>
    </row>
    <row r="91" spans="1:11" x14ac:dyDescent="0.25">
      <c r="A91" s="5">
        <f t="shared" si="3"/>
        <v>1</v>
      </c>
      <c r="B91" s="6">
        <v>44741</v>
      </c>
      <c r="C91" s="7" t="s">
        <v>266</v>
      </c>
      <c r="D91" s="7">
        <v>22</v>
      </c>
      <c r="E91" s="5">
        <f>DAY(TableAopCalendar[[#This Row],[Date]])</f>
        <v>29</v>
      </c>
      <c r="F91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1" s="5" t="str">
        <f t="shared" si="4"/>
        <v>Week 5</v>
      </c>
      <c r="H91" s="5" t="str">
        <f t="shared" si="5"/>
        <v>June 22 Week 5</v>
      </c>
      <c r="I91" s="5" t="str">
        <f>CONCATENATE(UPPER(TableAopCalendar[[#This Row],[Month]])," ",TableAopCalendar[[#This Row],[Year]])</f>
        <v>JUNE 22</v>
      </c>
      <c r="J91" s="8" t="s">
        <v>274</v>
      </c>
      <c r="K91" s="8" t="str">
        <f>CONCATENATE(TableAopCalendar[[#This Row],[Month for Plan]]," ",TableAopCalendar[[#This Row],[Plan]])</f>
        <v>JUNE 22 PLANNED</v>
      </c>
    </row>
    <row r="92" spans="1:11" x14ac:dyDescent="0.25">
      <c r="A92" s="5">
        <f t="shared" si="3"/>
        <v>2</v>
      </c>
      <c r="B92" s="6">
        <v>44742</v>
      </c>
      <c r="C92" s="7" t="s">
        <v>266</v>
      </c>
      <c r="D92" s="7">
        <v>22</v>
      </c>
      <c r="E92" s="5">
        <f>DAY(TableAopCalendar[[#This Row],[Date]])</f>
        <v>30</v>
      </c>
      <c r="F92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2" s="5" t="str">
        <f t="shared" si="4"/>
        <v>Week 5</v>
      </c>
      <c r="H92" s="5" t="str">
        <f t="shared" si="5"/>
        <v>June 22 Week 5</v>
      </c>
      <c r="I92" s="5" t="str">
        <f>CONCATENATE(UPPER(TableAopCalendar[[#This Row],[Month]])," ",TableAopCalendar[[#This Row],[Year]])</f>
        <v>JUNE 22</v>
      </c>
      <c r="J92" s="8" t="s">
        <v>274</v>
      </c>
      <c r="K92" s="8" t="str">
        <f>CONCATENATE(TableAopCalendar[[#This Row],[Month for Plan]]," ",TableAopCalendar[[#This Row],[Plan]])</f>
        <v>JUNE 22 PLANNED</v>
      </c>
    </row>
    <row r="93" spans="1:11" x14ac:dyDescent="0.25">
      <c r="A93" s="5">
        <f t="shared" si="3"/>
        <v>1</v>
      </c>
      <c r="B93" s="6">
        <v>44743</v>
      </c>
      <c r="C93" s="7" t="s">
        <v>267</v>
      </c>
      <c r="D93" s="7">
        <v>22</v>
      </c>
      <c r="E93" s="5">
        <f>DAY(TableAopCalendar[[#This Row],[Date]])</f>
        <v>1</v>
      </c>
      <c r="F9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3" s="5" t="str">
        <f t="shared" si="4"/>
        <v>Week 1</v>
      </c>
      <c r="H93" s="5" t="str">
        <f t="shared" si="5"/>
        <v>July 22 Week 1</v>
      </c>
      <c r="I93" s="5" t="str">
        <f>CONCATENATE(UPPER(TableAopCalendar[[#This Row],[Month]])," ",TableAopCalendar[[#This Row],[Year]])</f>
        <v>JULY 22</v>
      </c>
      <c r="J93" s="8" t="s">
        <v>274</v>
      </c>
      <c r="K93" s="8" t="str">
        <f>CONCATENATE(TableAopCalendar[[#This Row],[Month for Plan]]," ",TableAopCalendar[[#This Row],[Plan]])</f>
        <v>JULY 22 PLANNED</v>
      </c>
    </row>
    <row r="94" spans="1:11" x14ac:dyDescent="0.25">
      <c r="A94" s="5">
        <f t="shared" si="3"/>
        <v>2</v>
      </c>
      <c r="B94" s="6">
        <v>44744</v>
      </c>
      <c r="C94" s="7" t="s">
        <v>267</v>
      </c>
      <c r="D94" s="7">
        <v>22</v>
      </c>
      <c r="E94" s="5">
        <f>DAY(TableAopCalendar[[#This Row],[Date]])</f>
        <v>2</v>
      </c>
      <c r="F9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4" s="5" t="str">
        <f t="shared" si="4"/>
        <v>Week 1</v>
      </c>
      <c r="H94" s="5" t="str">
        <f t="shared" si="5"/>
        <v>July 22 Week 1</v>
      </c>
      <c r="I94" s="5" t="str">
        <f>CONCATENATE(UPPER(TableAopCalendar[[#This Row],[Month]])," ",TableAopCalendar[[#This Row],[Year]])</f>
        <v>JULY 22</v>
      </c>
      <c r="J94" s="8" t="s">
        <v>274</v>
      </c>
      <c r="K94" s="8" t="str">
        <f>CONCATENATE(TableAopCalendar[[#This Row],[Month for Plan]]," ",TableAopCalendar[[#This Row],[Plan]])</f>
        <v>JULY 22 PLANNED</v>
      </c>
    </row>
    <row r="95" spans="1:11" x14ac:dyDescent="0.25">
      <c r="A95" s="5">
        <f t="shared" si="3"/>
        <v>3</v>
      </c>
      <c r="B95" s="6">
        <v>44745</v>
      </c>
      <c r="C95" s="7" t="s">
        <v>267</v>
      </c>
      <c r="D95" s="7">
        <v>22</v>
      </c>
      <c r="E95" s="5">
        <f>DAY(TableAopCalendar[[#This Row],[Date]])</f>
        <v>3</v>
      </c>
      <c r="F95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5" s="5" t="str">
        <f t="shared" si="4"/>
        <v>Week 1</v>
      </c>
      <c r="H95" s="5" t="str">
        <f t="shared" si="5"/>
        <v>July 22 Week 1</v>
      </c>
      <c r="I95" s="5" t="str">
        <f>CONCATENATE(UPPER(TableAopCalendar[[#This Row],[Month]])," ",TableAopCalendar[[#This Row],[Year]])</f>
        <v>JULY 22</v>
      </c>
      <c r="J95" s="8" t="s">
        <v>274</v>
      </c>
      <c r="K95" s="8" t="str">
        <f>CONCATENATE(TableAopCalendar[[#This Row],[Month for Plan]]," ",TableAopCalendar[[#This Row],[Plan]])</f>
        <v>JULY 22 PLANNED</v>
      </c>
    </row>
    <row r="96" spans="1:11" x14ac:dyDescent="0.25">
      <c r="A96" s="5">
        <f t="shared" si="3"/>
        <v>4</v>
      </c>
      <c r="B96" s="6">
        <v>44746</v>
      </c>
      <c r="C96" s="7" t="s">
        <v>267</v>
      </c>
      <c r="D96" s="7">
        <v>22</v>
      </c>
      <c r="E96" s="5">
        <f>DAY(TableAopCalendar[[#This Row],[Date]])</f>
        <v>4</v>
      </c>
      <c r="F9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6" s="5" t="str">
        <f t="shared" si="4"/>
        <v>Week 1</v>
      </c>
      <c r="H96" s="5" t="str">
        <f t="shared" si="5"/>
        <v>July 22 Week 1</v>
      </c>
      <c r="I96" s="5" t="str">
        <f>CONCATENATE(UPPER(TableAopCalendar[[#This Row],[Month]])," ",TableAopCalendar[[#This Row],[Year]])</f>
        <v>JULY 22</v>
      </c>
      <c r="J96" s="8" t="s">
        <v>274</v>
      </c>
      <c r="K96" s="8" t="str">
        <f>CONCATENATE(TableAopCalendar[[#This Row],[Month for Plan]]," ",TableAopCalendar[[#This Row],[Plan]])</f>
        <v>JULY 22 PLANNED</v>
      </c>
    </row>
    <row r="97" spans="1:11" x14ac:dyDescent="0.25">
      <c r="A97" s="5">
        <f t="shared" si="3"/>
        <v>5</v>
      </c>
      <c r="B97" s="6">
        <v>44747</v>
      </c>
      <c r="C97" s="7" t="s">
        <v>267</v>
      </c>
      <c r="D97" s="7">
        <v>22</v>
      </c>
      <c r="E97" s="5">
        <f>DAY(TableAopCalendar[[#This Row],[Date]])</f>
        <v>5</v>
      </c>
      <c r="F9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7" s="5" t="str">
        <f t="shared" si="4"/>
        <v>Week 1</v>
      </c>
      <c r="H97" s="5" t="str">
        <f t="shared" si="5"/>
        <v>July 22 Week 1</v>
      </c>
      <c r="I97" s="5" t="str">
        <f>CONCATENATE(UPPER(TableAopCalendar[[#This Row],[Month]])," ",TableAopCalendar[[#This Row],[Year]])</f>
        <v>JULY 22</v>
      </c>
      <c r="J97" s="8" t="s">
        <v>274</v>
      </c>
      <c r="K97" s="8" t="str">
        <f>CONCATENATE(TableAopCalendar[[#This Row],[Month for Plan]]," ",TableAopCalendar[[#This Row],[Plan]])</f>
        <v>JULY 22 PLANNED</v>
      </c>
    </row>
    <row r="98" spans="1:11" x14ac:dyDescent="0.25">
      <c r="A98" s="5">
        <f t="shared" si="3"/>
        <v>6</v>
      </c>
      <c r="B98" s="6">
        <v>44748</v>
      </c>
      <c r="C98" s="7" t="s">
        <v>267</v>
      </c>
      <c r="D98" s="7">
        <v>22</v>
      </c>
      <c r="E98" s="5">
        <f>DAY(TableAopCalendar[[#This Row],[Date]])</f>
        <v>6</v>
      </c>
      <c r="F9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8" s="5" t="str">
        <f t="shared" si="4"/>
        <v>Week 1</v>
      </c>
      <c r="H98" s="5" t="str">
        <f t="shared" si="5"/>
        <v>July 22 Week 1</v>
      </c>
      <c r="I98" s="5" t="str">
        <f>CONCATENATE(UPPER(TableAopCalendar[[#This Row],[Month]])," ",TableAopCalendar[[#This Row],[Year]])</f>
        <v>JULY 22</v>
      </c>
      <c r="J98" s="8" t="s">
        <v>274</v>
      </c>
      <c r="K98" s="8" t="str">
        <f>CONCATENATE(TableAopCalendar[[#This Row],[Month for Plan]]," ",TableAopCalendar[[#This Row],[Plan]])</f>
        <v>JULY 22 PLANNED</v>
      </c>
    </row>
    <row r="99" spans="1:11" x14ac:dyDescent="0.25">
      <c r="A99" s="5">
        <f t="shared" si="3"/>
        <v>7</v>
      </c>
      <c r="B99" s="6">
        <v>44749</v>
      </c>
      <c r="C99" s="7" t="s">
        <v>267</v>
      </c>
      <c r="D99" s="7">
        <v>22</v>
      </c>
      <c r="E99" s="5">
        <f>DAY(TableAopCalendar[[#This Row],[Date]])</f>
        <v>7</v>
      </c>
      <c r="F9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9" s="5" t="str">
        <f t="shared" si="4"/>
        <v>Week 1</v>
      </c>
      <c r="H99" s="5" t="str">
        <f t="shared" si="5"/>
        <v>July 22 Week 1</v>
      </c>
      <c r="I99" s="5" t="str">
        <f>CONCATENATE(UPPER(TableAopCalendar[[#This Row],[Month]])," ",TableAopCalendar[[#This Row],[Year]])</f>
        <v>JULY 22</v>
      </c>
      <c r="J99" s="8" t="s">
        <v>274</v>
      </c>
      <c r="K99" s="8" t="str">
        <f>CONCATENATE(TableAopCalendar[[#This Row],[Month for Plan]]," ",TableAopCalendar[[#This Row],[Plan]])</f>
        <v>JULY 22 PLANNED</v>
      </c>
    </row>
    <row r="100" spans="1:11" x14ac:dyDescent="0.25">
      <c r="A100" s="5">
        <f t="shared" si="3"/>
        <v>1</v>
      </c>
      <c r="B100" s="6">
        <v>44750</v>
      </c>
      <c r="C100" s="7" t="s">
        <v>267</v>
      </c>
      <c r="D100" s="7">
        <v>22</v>
      </c>
      <c r="E100" s="5">
        <f>DAY(TableAopCalendar[[#This Row],[Date]])</f>
        <v>8</v>
      </c>
      <c r="F10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0" s="5" t="str">
        <f t="shared" si="4"/>
        <v>Week 2</v>
      </c>
      <c r="H100" s="5" t="str">
        <f t="shared" si="5"/>
        <v>July 22 Week 2</v>
      </c>
      <c r="I100" s="5" t="str">
        <f>CONCATENATE(UPPER(TableAopCalendar[[#This Row],[Month]])," ",TableAopCalendar[[#This Row],[Year]])</f>
        <v>JULY 22</v>
      </c>
      <c r="J100" s="8" t="s">
        <v>274</v>
      </c>
      <c r="K100" s="8" t="str">
        <f>CONCATENATE(TableAopCalendar[[#This Row],[Month for Plan]]," ",TableAopCalendar[[#This Row],[Plan]])</f>
        <v>JULY 22 PLANNED</v>
      </c>
    </row>
    <row r="101" spans="1:11" x14ac:dyDescent="0.25">
      <c r="A101" s="5">
        <f t="shared" si="3"/>
        <v>2</v>
      </c>
      <c r="B101" s="6">
        <v>44751</v>
      </c>
      <c r="C101" s="7" t="s">
        <v>267</v>
      </c>
      <c r="D101" s="7">
        <v>22</v>
      </c>
      <c r="E101" s="5">
        <f>DAY(TableAopCalendar[[#This Row],[Date]])</f>
        <v>9</v>
      </c>
      <c r="F10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1" s="5" t="str">
        <f t="shared" si="4"/>
        <v>Week 2</v>
      </c>
      <c r="H101" s="5" t="str">
        <f t="shared" si="5"/>
        <v>July 22 Week 2</v>
      </c>
      <c r="I101" s="5" t="str">
        <f>CONCATENATE(UPPER(TableAopCalendar[[#This Row],[Month]])," ",TableAopCalendar[[#This Row],[Year]])</f>
        <v>JULY 22</v>
      </c>
      <c r="J101" s="8" t="s">
        <v>274</v>
      </c>
      <c r="K101" s="8" t="str">
        <f>CONCATENATE(TableAopCalendar[[#This Row],[Month for Plan]]," ",TableAopCalendar[[#This Row],[Plan]])</f>
        <v>JULY 22 PLANNED</v>
      </c>
    </row>
    <row r="102" spans="1:11" x14ac:dyDescent="0.25">
      <c r="A102" s="5">
        <f t="shared" si="3"/>
        <v>3</v>
      </c>
      <c r="B102" s="6">
        <v>44752</v>
      </c>
      <c r="C102" s="7" t="s">
        <v>267</v>
      </c>
      <c r="D102" s="7">
        <v>22</v>
      </c>
      <c r="E102" s="5">
        <f>DAY(TableAopCalendar[[#This Row],[Date]])</f>
        <v>10</v>
      </c>
      <c r="F102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2" s="5" t="str">
        <f t="shared" si="4"/>
        <v>Week 2</v>
      </c>
      <c r="H102" s="5" t="str">
        <f t="shared" si="5"/>
        <v>July 22 Week 2</v>
      </c>
      <c r="I102" s="5" t="str">
        <f>CONCATENATE(UPPER(TableAopCalendar[[#This Row],[Month]])," ",TableAopCalendar[[#This Row],[Year]])</f>
        <v>JULY 22</v>
      </c>
      <c r="J102" s="8" t="s">
        <v>274</v>
      </c>
      <c r="K102" s="8" t="str">
        <f>CONCATENATE(TableAopCalendar[[#This Row],[Month for Plan]]," ",TableAopCalendar[[#This Row],[Plan]])</f>
        <v>JULY 22 PLANNED</v>
      </c>
    </row>
    <row r="103" spans="1:11" x14ac:dyDescent="0.25">
      <c r="A103" s="5">
        <f t="shared" si="3"/>
        <v>4</v>
      </c>
      <c r="B103" s="6">
        <v>44753</v>
      </c>
      <c r="C103" s="7" t="s">
        <v>267</v>
      </c>
      <c r="D103" s="7">
        <v>22</v>
      </c>
      <c r="E103" s="5">
        <f>DAY(TableAopCalendar[[#This Row],[Date]])</f>
        <v>11</v>
      </c>
      <c r="F10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3" s="5" t="str">
        <f t="shared" si="4"/>
        <v>Week 2</v>
      </c>
      <c r="H103" s="5" t="str">
        <f t="shared" si="5"/>
        <v>July 22 Week 2</v>
      </c>
      <c r="I103" s="5" t="str">
        <f>CONCATENATE(UPPER(TableAopCalendar[[#This Row],[Month]])," ",TableAopCalendar[[#This Row],[Year]])</f>
        <v>JULY 22</v>
      </c>
      <c r="J103" s="8" t="s">
        <v>274</v>
      </c>
      <c r="K103" s="8" t="str">
        <f>CONCATENATE(TableAopCalendar[[#This Row],[Month for Plan]]," ",TableAopCalendar[[#This Row],[Plan]])</f>
        <v>JULY 22 PLANNED</v>
      </c>
    </row>
    <row r="104" spans="1:11" x14ac:dyDescent="0.25">
      <c r="A104" s="5">
        <f t="shared" si="3"/>
        <v>5</v>
      </c>
      <c r="B104" s="6">
        <v>44754</v>
      </c>
      <c r="C104" s="7" t="s">
        <v>267</v>
      </c>
      <c r="D104" s="7">
        <v>22</v>
      </c>
      <c r="E104" s="5">
        <f>DAY(TableAopCalendar[[#This Row],[Date]])</f>
        <v>12</v>
      </c>
      <c r="F10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4" s="5" t="str">
        <f t="shared" si="4"/>
        <v>Week 2</v>
      </c>
      <c r="H104" s="5" t="str">
        <f t="shared" si="5"/>
        <v>July 22 Week 2</v>
      </c>
      <c r="I104" s="5" t="str">
        <f>CONCATENATE(UPPER(TableAopCalendar[[#This Row],[Month]])," ",TableAopCalendar[[#This Row],[Year]])</f>
        <v>JULY 22</v>
      </c>
      <c r="J104" s="8" t="s">
        <v>274</v>
      </c>
      <c r="K104" s="8" t="str">
        <f>CONCATENATE(TableAopCalendar[[#This Row],[Month for Plan]]," ",TableAopCalendar[[#This Row],[Plan]])</f>
        <v>JULY 22 PLANNED</v>
      </c>
    </row>
    <row r="105" spans="1:11" x14ac:dyDescent="0.25">
      <c r="A105" s="5">
        <f t="shared" si="3"/>
        <v>6</v>
      </c>
      <c r="B105" s="6">
        <v>44755</v>
      </c>
      <c r="C105" s="7" t="s">
        <v>267</v>
      </c>
      <c r="D105" s="7">
        <v>22</v>
      </c>
      <c r="E105" s="5">
        <f>DAY(TableAopCalendar[[#This Row],[Date]])</f>
        <v>13</v>
      </c>
      <c r="F10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5" s="5" t="str">
        <f t="shared" si="4"/>
        <v>Week 2</v>
      </c>
      <c r="H105" s="5" t="str">
        <f t="shared" si="5"/>
        <v>July 22 Week 2</v>
      </c>
      <c r="I105" s="5" t="str">
        <f>CONCATENATE(UPPER(TableAopCalendar[[#This Row],[Month]])," ",TableAopCalendar[[#This Row],[Year]])</f>
        <v>JULY 22</v>
      </c>
      <c r="J105" s="8" t="s">
        <v>274</v>
      </c>
      <c r="K105" s="8" t="str">
        <f>CONCATENATE(TableAopCalendar[[#This Row],[Month for Plan]]," ",TableAopCalendar[[#This Row],[Plan]])</f>
        <v>JULY 22 PLANNED</v>
      </c>
    </row>
    <row r="106" spans="1:11" x14ac:dyDescent="0.25">
      <c r="A106" s="5">
        <f t="shared" si="3"/>
        <v>7</v>
      </c>
      <c r="B106" s="6">
        <v>44756</v>
      </c>
      <c r="C106" s="7" t="s">
        <v>267</v>
      </c>
      <c r="D106" s="7">
        <v>22</v>
      </c>
      <c r="E106" s="5">
        <f>DAY(TableAopCalendar[[#This Row],[Date]])</f>
        <v>14</v>
      </c>
      <c r="F10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6" s="5" t="str">
        <f t="shared" si="4"/>
        <v>Week 2</v>
      </c>
      <c r="H106" s="5" t="str">
        <f t="shared" si="5"/>
        <v>July 22 Week 2</v>
      </c>
      <c r="I106" s="5" t="str">
        <f>CONCATENATE(UPPER(TableAopCalendar[[#This Row],[Month]])," ",TableAopCalendar[[#This Row],[Year]])</f>
        <v>JULY 22</v>
      </c>
      <c r="J106" s="8" t="s">
        <v>274</v>
      </c>
      <c r="K106" s="8" t="str">
        <f>CONCATENATE(TableAopCalendar[[#This Row],[Month for Plan]]," ",TableAopCalendar[[#This Row],[Plan]])</f>
        <v>JULY 22 PLANNED</v>
      </c>
    </row>
    <row r="107" spans="1:11" x14ac:dyDescent="0.25">
      <c r="A107" s="5">
        <f t="shared" si="3"/>
        <v>1</v>
      </c>
      <c r="B107" s="6">
        <v>44757</v>
      </c>
      <c r="C107" s="7" t="s">
        <v>267</v>
      </c>
      <c r="D107" s="7">
        <v>22</v>
      </c>
      <c r="E107" s="5">
        <f>DAY(TableAopCalendar[[#This Row],[Date]])</f>
        <v>15</v>
      </c>
      <c r="F10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7" s="5" t="str">
        <f t="shared" si="4"/>
        <v>Week 3</v>
      </c>
      <c r="H107" s="5" t="str">
        <f t="shared" si="5"/>
        <v>July 22 Week 3</v>
      </c>
      <c r="I107" s="5" t="str">
        <f>CONCATENATE(UPPER(TableAopCalendar[[#This Row],[Month]])," ",TableAopCalendar[[#This Row],[Year]])</f>
        <v>JULY 22</v>
      </c>
      <c r="J107" s="8" t="s">
        <v>274</v>
      </c>
      <c r="K107" s="8" t="str">
        <f>CONCATENATE(TableAopCalendar[[#This Row],[Month for Plan]]," ",TableAopCalendar[[#This Row],[Plan]])</f>
        <v>JULY 22 PLANNED</v>
      </c>
    </row>
    <row r="108" spans="1:11" x14ac:dyDescent="0.25">
      <c r="A108" s="5">
        <f t="shared" si="3"/>
        <v>2</v>
      </c>
      <c r="B108" s="6">
        <v>44758</v>
      </c>
      <c r="C108" s="7" t="s">
        <v>267</v>
      </c>
      <c r="D108" s="7">
        <v>22</v>
      </c>
      <c r="E108" s="5">
        <f>DAY(TableAopCalendar[[#This Row],[Date]])</f>
        <v>16</v>
      </c>
      <c r="F10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" s="5" t="str">
        <f t="shared" si="4"/>
        <v>Week 3</v>
      </c>
      <c r="H108" s="5" t="str">
        <f t="shared" si="5"/>
        <v>July 22 Week 3</v>
      </c>
      <c r="I108" s="5" t="str">
        <f>CONCATENATE(UPPER(TableAopCalendar[[#This Row],[Month]])," ",TableAopCalendar[[#This Row],[Year]])</f>
        <v>JULY 22</v>
      </c>
      <c r="J108" s="8" t="s">
        <v>274</v>
      </c>
      <c r="K108" s="8" t="str">
        <f>CONCATENATE(TableAopCalendar[[#This Row],[Month for Plan]]," ",TableAopCalendar[[#This Row],[Plan]])</f>
        <v>JULY 22 PLANNED</v>
      </c>
    </row>
    <row r="109" spans="1:11" x14ac:dyDescent="0.25">
      <c r="A109" s="5">
        <f t="shared" si="3"/>
        <v>3</v>
      </c>
      <c r="B109" s="6">
        <v>44759</v>
      </c>
      <c r="C109" s="7" t="s">
        <v>267</v>
      </c>
      <c r="D109" s="7">
        <v>22</v>
      </c>
      <c r="E109" s="5">
        <f>DAY(TableAopCalendar[[#This Row],[Date]])</f>
        <v>17</v>
      </c>
      <c r="F109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9" s="5" t="str">
        <f t="shared" si="4"/>
        <v>Week 3</v>
      </c>
      <c r="H109" s="5" t="str">
        <f t="shared" si="5"/>
        <v>July 22 Week 3</v>
      </c>
      <c r="I109" s="5" t="str">
        <f>CONCATENATE(UPPER(TableAopCalendar[[#This Row],[Month]])," ",TableAopCalendar[[#This Row],[Year]])</f>
        <v>JULY 22</v>
      </c>
      <c r="J109" s="8" t="s">
        <v>274</v>
      </c>
      <c r="K109" s="8" t="str">
        <f>CONCATENATE(TableAopCalendar[[#This Row],[Month for Plan]]," ",TableAopCalendar[[#This Row],[Plan]])</f>
        <v>JULY 22 PLANNED</v>
      </c>
    </row>
    <row r="110" spans="1:11" x14ac:dyDescent="0.25">
      <c r="A110" s="5">
        <f t="shared" si="3"/>
        <v>4</v>
      </c>
      <c r="B110" s="6">
        <v>44760</v>
      </c>
      <c r="C110" s="7" t="s">
        <v>267</v>
      </c>
      <c r="D110" s="7">
        <v>22</v>
      </c>
      <c r="E110" s="5">
        <f>DAY(TableAopCalendar[[#This Row],[Date]])</f>
        <v>18</v>
      </c>
      <c r="F11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0" s="5" t="str">
        <f t="shared" si="4"/>
        <v>Week 3</v>
      </c>
      <c r="H110" s="5" t="str">
        <f t="shared" si="5"/>
        <v>July 22 Week 3</v>
      </c>
      <c r="I110" s="5" t="str">
        <f>CONCATENATE(UPPER(TableAopCalendar[[#This Row],[Month]])," ",TableAopCalendar[[#This Row],[Year]])</f>
        <v>JULY 22</v>
      </c>
      <c r="J110" s="8" t="s">
        <v>274</v>
      </c>
      <c r="K110" s="8" t="str">
        <f>CONCATENATE(TableAopCalendar[[#This Row],[Month for Plan]]," ",TableAopCalendar[[#This Row],[Plan]])</f>
        <v>JULY 22 PLANNED</v>
      </c>
    </row>
    <row r="111" spans="1:11" x14ac:dyDescent="0.25">
      <c r="A111" s="5">
        <f t="shared" si="3"/>
        <v>5</v>
      </c>
      <c r="B111" s="6">
        <v>44761</v>
      </c>
      <c r="C111" s="7" t="s">
        <v>267</v>
      </c>
      <c r="D111" s="7">
        <v>22</v>
      </c>
      <c r="E111" s="5">
        <f>DAY(TableAopCalendar[[#This Row],[Date]])</f>
        <v>19</v>
      </c>
      <c r="F11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" s="5" t="str">
        <f t="shared" si="4"/>
        <v>Week 3</v>
      </c>
      <c r="H111" s="5" t="str">
        <f t="shared" si="5"/>
        <v>July 22 Week 3</v>
      </c>
      <c r="I111" s="5" t="str">
        <f>CONCATENATE(UPPER(TableAopCalendar[[#This Row],[Month]])," ",TableAopCalendar[[#This Row],[Year]])</f>
        <v>JULY 22</v>
      </c>
      <c r="J111" s="8" t="s">
        <v>274</v>
      </c>
      <c r="K111" s="8" t="str">
        <f>CONCATENATE(TableAopCalendar[[#This Row],[Month for Plan]]," ",TableAopCalendar[[#This Row],[Plan]])</f>
        <v>JULY 22 PLANNED</v>
      </c>
    </row>
    <row r="112" spans="1:11" x14ac:dyDescent="0.25">
      <c r="A112" s="5">
        <f t="shared" si="3"/>
        <v>6</v>
      </c>
      <c r="B112" s="6">
        <v>44762</v>
      </c>
      <c r="C112" s="7" t="s">
        <v>267</v>
      </c>
      <c r="D112" s="7">
        <v>22</v>
      </c>
      <c r="E112" s="5">
        <f>DAY(TableAopCalendar[[#This Row],[Date]])</f>
        <v>20</v>
      </c>
      <c r="F11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2" s="5" t="str">
        <f t="shared" si="4"/>
        <v>Week 3</v>
      </c>
      <c r="H112" s="5" t="str">
        <f t="shared" si="5"/>
        <v>July 22 Week 3</v>
      </c>
      <c r="I112" s="5" t="str">
        <f>CONCATENATE(UPPER(TableAopCalendar[[#This Row],[Month]])," ",TableAopCalendar[[#This Row],[Year]])</f>
        <v>JULY 22</v>
      </c>
      <c r="J112" s="8" t="s">
        <v>274</v>
      </c>
      <c r="K112" s="8" t="str">
        <f>CONCATENATE(TableAopCalendar[[#This Row],[Month for Plan]]," ",TableAopCalendar[[#This Row],[Plan]])</f>
        <v>JULY 22 PLANNED</v>
      </c>
    </row>
    <row r="113" spans="1:11" x14ac:dyDescent="0.25">
      <c r="A113" s="5">
        <f t="shared" si="3"/>
        <v>7</v>
      </c>
      <c r="B113" s="6">
        <v>44763</v>
      </c>
      <c r="C113" s="7" t="s">
        <v>267</v>
      </c>
      <c r="D113" s="7">
        <v>22</v>
      </c>
      <c r="E113" s="5">
        <f>DAY(TableAopCalendar[[#This Row],[Date]])</f>
        <v>21</v>
      </c>
      <c r="F11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3" s="5" t="str">
        <f t="shared" si="4"/>
        <v>Week 3</v>
      </c>
      <c r="H113" s="5" t="str">
        <f t="shared" si="5"/>
        <v>July 22 Week 3</v>
      </c>
      <c r="I113" s="5" t="str">
        <f>CONCATENATE(UPPER(TableAopCalendar[[#This Row],[Month]])," ",TableAopCalendar[[#This Row],[Year]])</f>
        <v>JULY 22</v>
      </c>
      <c r="J113" s="8" t="s">
        <v>274</v>
      </c>
      <c r="K113" s="8" t="str">
        <f>CONCATENATE(TableAopCalendar[[#This Row],[Month for Plan]]," ",TableAopCalendar[[#This Row],[Plan]])</f>
        <v>JULY 22 PLANNED</v>
      </c>
    </row>
    <row r="114" spans="1:11" x14ac:dyDescent="0.25">
      <c r="A114" s="5">
        <f t="shared" si="3"/>
        <v>1</v>
      </c>
      <c r="B114" s="6">
        <v>44764</v>
      </c>
      <c r="C114" s="7" t="s">
        <v>267</v>
      </c>
      <c r="D114" s="7">
        <v>22</v>
      </c>
      <c r="E114" s="5">
        <f>DAY(TableAopCalendar[[#This Row],[Date]])</f>
        <v>22</v>
      </c>
      <c r="F11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4" s="5" t="str">
        <f t="shared" si="4"/>
        <v>Week 4</v>
      </c>
      <c r="H114" s="5" t="str">
        <f t="shared" si="5"/>
        <v>July 22 Week 4</v>
      </c>
      <c r="I114" s="5" t="str">
        <f>CONCATENATE(UPPER(TableAopCalendar[[#This Row],[Month]])," ",TableAopCalendar[[#This Row],[Year]])</f>
        <v>JULY 22</v>
      </c>
      <c r="J114" s="8" t="s">
        <v>274</v>
      </c>
      <c r="K114" s="8" t="str">
        <f>CONCATENATE(TableAopCalendar[[#This Row],[Month for Plan]]," ",TableAopCalendar[[#This Row],[Plan]])</f>
        <v>JULY 22 PLANNED</v>
      </c>
    </row>
    <row r="115" spans="1:11" x14ac:dyDescent="0.25">
      <c r="A115" s="5">
        <f t="shared" si="3"/>
        <v>2</v>
      </c>
      <c r="B115" s="6">
        <v>44765</v>
      </c>
      <c r="C115" s="7" t="s">
        <v>267</v>
      </c>
      <c r="D115" s="7">
        <v>22</v>
      </c>
      <c r="E115" s="5">
        <f>DAY(TableAopCalendar[[#This Row],[Date]])</f>
        <v>23</v>
      </c>
      <c r="F11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5" s="5" t="str">
        <f t="shared" si="4"/>
        <v>Week 4</v>
      </c>
      <c r="H115" s="5" t="str">
        <f t="shared" si="5"/>
        <v>July 22 Week 4</v>
      </c>
      <c r="I115" s="5" t="str">
        <f>CONCATENATE(UPPER(TableAopCalendar[[#This Row],[Month]])," ",TableAopCalendar[[#This Row],[Year]])</f>
        <v>JULY 22</v>
      </c>
      <c r="J115" s="8" t="s">
        <v>274</v>
      </c>
      <c r="K115" s="8" t="str">
        <f>CONCATENATE(TableAopCalendar[[#This Row],[Month for Plan]]," ",TableAopCalendar[[#This Row],[Plan]])</f>
        <v>JULY 22 PLANNED</v>
      </c>
    </row>
    <row r="116" spans="1:11" x14ac:dyDescent="0.25">
      <c r="A116" s="5">
        <f t="shared" si="3"/>
        <v>3</v>
      </c>
      <c r="B116" s="6">
        <v>44766</v>
      </c>
      <c r="C116" s="7" t="s">
        <v>267</v>
      </c>
      <c r="D116" s="7">
        <v>22</v>
      </c>
      <c r="E116" s="5">
        <f>DAY(TableAopCalendar[[#This Row],[Date]])</f>
        <v>24</v>
      </c>
      <c r="F116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6" s="5" t="str">
        <f t="shared" si="4"/>
        <v>Week 4</v>
      </c>
      <c r="H116" s="5" t="str">
        <f t="shared" si="5"/>
        <v>July 22 Week 4</v>
      </c>
      <c r="I116" s="5" t="str">
        <f>CONCATENATE(UPPER(TableAopCalendar[[#This Row],[Month]])," ",TableAopCalendar[[#This Row],[Year]])</f>
        <v>JULY 22</v>
      </c>
      <c r="J116" s="8" t="s">
        <v>274</v>
      </c>
      <c r="K116" s="8" t="str">
        <f>CONCATENATE(TableAopCalendar[[#This Row],[Month for Plan]]," ",TableAopCalendar[[#This Row],[Plan]])</f>
        <v>JULY 22 PLANNED</v>
      </c>
    </row>
    <row r="117" spans="1:11" x14ac:dyDescent="0.25">
      <c r="A117" s="5">
        <f t="shared" si="3"/>
        <v>4</v>
      </c>
      <c r="B117" s="6">
        <v>44767</v>
      </c>
      <c r="C117" s="7" t="s">
        <v>267</v>
      </c>
      <c r="D117" s="7">
        <v>22</v>
      </c>
      <c r="E117" s="5">
        <f>DAY(TableAopCalendar[[#This Row],[Date]])</f>
        <v>25</v>
      </c>
      <c r="F11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7" s="5" t="str">
        <f t="shared" si="4"/>
        <v>Week 4</v>
      </c>
      <c r="H117" s="5" t="str">
        <f t="shared" si="5"/>
        <v>July 22 Week 4</v>
      </c>
      <c r="I117" s="5" t="str">
        <f>CONCATENATE(UPPER(TableAopCalendar[[#This Row],[Month]])," ",TableAopCalendar[[#This Row],[Year]])</f>
        <v>JULY 22</v>
      </c>
      <c r="J117" s="8" t="s">
        <v>274</v>
      </c>
      <c r="K117" s="8" t="str">
        <f>CONCATENATE(TableAopCalendar[[#This Row],[Month for Plan]]," ",TableAopCalendar[[#This Row],[Plan]])</f>
        <v>JULY 22 PLANNED</v>
      </c>
    </row>
    <row r="118" spans="1:11" x14ac:dyDescent="0.25">
      <c r="A118" s="5">
        <f t="shared" si="3"/>
        <v>5</v>
      </c>
      <c r="B118" s="6">
        <v>44768</v>
      </c>
      <c r="C118" s="7" t="s">
        <v>267</v>
      </c>
      <c r="D118" s="7">
        <v>22</v>
      </c>
      <c r="E118" s="5">
        <f>DAY(TableAopCalendar[[#This Row],[Date]])</f>
        <v>26</v>
      </c>
      <c r="F11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" s="5" t="str">
        <f t="shared" si="4"/>
        <v>Week 4</v>
      </c>
      <c r="H118" s="5" t="str">
        <f t="shared" si="5"/>
        <v>July 22 Week 4</v>
      </c>
      <c r="I118" s="5" t="str">
        <f>CONCATENATE(UPPER(TableAopCalendar[[#This Row],[Month]])," ",TableAopCalendar[[#This Row],[Year]])</f>
        <v>JULY 22</v>
      </c>
      <c r="J118" s="8" t="s">
        <v>274</v>
      </c>
      <c r="K118" s="8" t="str">
        <f>CONCATENATE(TableAopCalendar[[#This Row],[Month for Plan]]," ",TableAopCalendar[[#This Row],[Plan]])</f>
        <v>JULY 22 PLANNED</v>
      </c>
    </row>
    <row r="119" spans="1:11" x14ac:dyDescent="0.25">
      <c r="A119" s="5">
        <f t="shared" si="3"/>
        <v>6</v>
      </c>
      <c r="B119" s="6">
        <v>44769</v>
      </c>
      <c r="C119" s="7" t="s">
        <v>267</v>
      </c>
      <c r="D119" s="7">
        <v>22</v>
      </c>
      <c r="E119" s="5">
        <f>DAY(TableAopCalendar[[#This Row],[Date]])</f>
        <v>27</v>
      </c>
      <c r="F11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9" s="5" t="str">
        <f t="shared" si="4"/>
        <v>Week 4</v>
      </c>
      <c r="H119" s="5" t="str">
        <f t="shared" si="5"/>
        <v>July 22 Week 4</v>
      </c>
      <c r="I119" s="5" t="str">
        <f>CONCATENATE(UPPER(TableAopCalendar[[#This Row],[Month]])," ",TableAopCalendar[[#This Row],[Year]])</f>
        <v>JULY 22</v>
      </c>
      <c r="J119" s="8" t="s">
        <v>274</v>
      </c>
      <c r="K119" s="8" t="str">
        <f>CONCATENATE(TableAopCalendar[[#This Row],[Month for Plan]]," ",TableAopCalendar[[#This Row],[Plan]])</f>
        <v>JULY 22 PLANNED</v>
      </c>
    </row>
    <row r="120" spans="1:11" x14ac:dyDescent="0.25">
      <c r="A120" s="5">
        <f t="shared" si="3"/>
        <v>7</v>
      </c>
      <c r="B120" s="6">
        <v>44770</v>
      </c>
      <c r="C120" s="7" t="s">
        <v>267</v>
      </c>
      <c r="D120" s="7">
        <v>22</v>
      </c>
      <c r="E120" s="5">
        <f>DAY(TableAopCalendar[[#This Row],[Date]])</f>
        <v>28</v>
      </c>
      <c r="F12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0" s="5" t="str">
        <f t="shared" si="4"/>
        <v>Week 4</v>
      </c>
      <c r="H120" s="5" t="str">
        <f t="shared" si="5"/>
        <v>July 22 Week 4</v>
      </c>
      <c r="I120" s="5" t="str">
        <f>CONCATENATE(UPPER(TableAopCalendar[[#This Row],[Month]])," ",TableAopCalendar[[#This Row],[Year]])</f>
        <v>JULY 22</v>
      </c>
      <c r="J120" s="8" t="s">
        <v>274</v>
      </c>
      <c r="K120" s="8" t="str">
        <f>CONCATENATE(TableAopCalendar[[#This Row],[Month for Plan]]," ",TableAopCalendar[[#This Row],[Plan]])</f>
        <v>JULY 22 PLANNED</v>
      </c>
    </row>
    <row r="121" spans="1:11" x14ac:dyDescent="0.25">
      <c r="A121" s="5">
        <f t="shared" si="3"/>
        <v>1</v>
      </c>
      <c r="B121" s="6">
        <v>44771</v>
      </c>
      <c r="C121" s="7" t="s">
        <v>267</v>
      </c>
      <c r="D121" s="7">
        <v>22</v>
      </c>
      <c r="E121" s="5">
        <f>DAY(TableAopCalendar[[#This Row],[Date]])</f>
        <v>29</v>
      </c>
      <c r="F121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1" s="5" t="str">
        <f t="shared" si="4"/>
        <v>Week 5</v>
      </c>
      <c r="H121" s="5" t="str">
        <f t="shared" si="5"/>
        <v>July 22 Week 5</v>
      </c>
      <c r="I121" s="5" t="str">
        <f>CONCATENATE(UPPER(TableAopCalendar[[#This Row],[Month]])," ",TableAopCalendar[[#This Row],[Year]])</f>
        <v>JULY 22</v>
      </c>
      <c r="J121" s="8" t="s">
        <v>274</v>
      </c>
      <c r="K121" s="8" t="str">
        <f>CONCATENATE(TableAopCalendar[[#This Row],[Month for Plan]]," ",TableAopCalendar[[#This Row],[Plan]])</f>
        <v>JULY 22 PLANNED</v>
      </c>
    </row>
    <row r="122" spans="1:11" x14ac:dyDescent="0.25">
      <c r="A122" s="5">
        <f t="shared" si="3"/>
        <v>2</v>
      </c>
      <c r="B122" s="6">
        <v>44772</v>
      </c>
      <c r="C122" s="7" t="s">
        <v>267</v>
      </c>
      <c r="D122" s="7">
        <v>22</v>
      </c>
      <c r="E122" s="5">
        <f>DAY(TableAopCalendar[[#This Row],[Date]])</f>
        <v>30</v>
      </c>
      <c r="F122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2" s="5" t="str">
        <f t="shared" si="4"/>
        <v>Week 5</v>
      </c>
      <c r="H122" s="5" t="str">
        <f t="shared" si="5"/>
        <v>July 22 Week 5</v>
      </c>
      <c r="I122" s="5" t="str">
        <f>CONCATENATE(UPPER(TableAopCalendar[[#This Row],[Month]])," ",TableAopCalendar[[#This Row],[Year]])</f>
        <v>JULY 22</v>
      </c>
      <c r="J122" s="8" t="s">
        <v>274</v>
      </c>
      <c r="K122" s="8" t="str">
        <f>CONCATENATE(TableAopCalendar[[#This Row],[Month for Plan]]," ",TableAopCalendar[[#This Row],[Plan]])</f>
        <v>JULY 22 PLANNED</v>
      </c>
    </row>
    <row r="123" spans="1:11" x14ac:dyDescent="0.25">
      <c r="A123" s="5">
        <f t="shared" si="3"/>
        <v>3</v>
      </c>
      <c r="B123" s="6">
        <v>44773</v>
      </c>
      <c r="C123" s="7" t="s">
        <v>267</v>
      </c>
      <c r="D123" s="7">
        <v>22</v>
      </c>
      <c r="E123" s="5">
        <f>DAY(TableAopCalendar[[#This Row],[Date]])</f>
        <v>31</v>
      </c>
      <c r="F123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3" s="5" t="str">
        <f t="shared" si="4"/>
        <v>Week 5</v>
      </c>
      <c r="H123" s="5" t="str">
        <f t="shared" si="5"/>
        <v>July 22 Week 5</v>
      </c>
      <c r="I123" s="5" t="str">
        <f>CONCATENATE(UPPER(TableAopCalendar[[#This Row],[Month]])," ",TableAopCalendar[[#This Row],[Year]])</f>
        <v>JULY 22</v>
      </c>
      <c r="J123" s="8" t="s">
        <v>274</v>
      </c>
      <c r="K123" s="8" t="str">
        <f>CONCATENATE(TableAopCalendar[[#This Row],[Month for Plan]]," ",TableAopCalendar[[#This Row],[Plan]])</f>
        <v>JULY 22 PLANNED</v>
      </c>
    </row>
    <row r="124" spans="1:11" x14ac:dyDescent="0.25">
      <c r="A124" s="5">
        <f t="shared" si="3"/>
        <v>1</v>
      </c>
      <c r="B124" s="6">
        <v>44774</v>
      </c>
      <c r="C124" s="7" t="s">
        <v>268</v>
      </c>
      <c r="D124" s="7">
        <v>22</v>
      </c>
      <c r="E124" s="5">
        <f>DAY(TableAopCalendar[[#This Row],[Date]])</f>
        <v>1</v>
      </c>
      <c r="F12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4" s="5" t="str">
        <f t="shared" si="4"/>
        <v>Week 1</v>
      </c>
      <c r="H124" s="5" t="str">
        <f t="shared" si="5"/>
        <v>August 22 Week 1</v>
      </c>
      <c r="I124" s="5" t="str">
        <f>CONCATENATE(UPPER(TableAopCalendar[[#This Row],[Month]])," ",TableAopCalendar[[#This Row],[Year]])</f>
        <v>AUGUST 22</v>
      </c>
      <c r="J124" s="8" t="s">
        <v>274</v>
      </c>
      <c r="K124" s="8" t="str">
        <f>CONCATENATE(TableAopCalendar[[#This Row],[Month for Plan]]," ",TableAopCalendar[[#This Row],[Plan]])</f>
        <v>AUGUST 22 PLANNED</v>
      </c>
    </row>
    <row r="125" spans="1:11" x14ac:dyDescent="0.25">
      <c r="A125" s="5">
        <f t="shared" si="3"/>
        <v>2</v>
      </c>
      <c r="B125" s="6">
        <v>44775</v>
      </c>
      <c r="C125" s="7" t="s">
        <v>268</v>
      </c>
      <c r="D125" s="7">
        <v>22</v>
      </c>
      <c r="E125" s="5">
        <f>DAY(TableAopCalendar[[#This Row],[Date]])</f>
        <v>2</v>
      </c>
      <c r="F125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" s="5" t="str">
        <f t="shared" si="4"/>
        <v>Week 1</v>
      </c>
      <c r="H125" s="5" t="str">
        <f t="shared" si="5"/>
        <v>August 22 Week 1</v>
      </c>
      <c r="I125" s="5" t="str">
        <f>CONCATENATE(UPPER(TableAopCalendar[[#This Row],[Month]])," ",TableAopCalendar[[#This Row],[Year]])</f>
        <v>AUGUST 22</v>
      </c>
      <c r="J125" s="8" t="s">
        <v>274</v>
      </c>
      <c r="K125" s="8" t="str">
        <f>CONCATENATE(TableAopCalendar[[#This Row],[Month for Plan]]," ",TableAopCalendar[[#This Row],[Plan]])</f>
        <v>AUGUST 22 PLANNED</v>
      </c>
    </row>
    <row r="126" spans="1:11" x14ac:dyDescent="0.25">
      <c r="A126" s="5">
        <f t="shared" si="3"/>
        <v>3</v>
      </c>
      <c r="B126" s="6">
        <v>44776</v>
      </c>
      <c r="C126" s="7" t="s">
        <v>268</v>
      </c>
      <c r="D126" s="7">
        <v>22</v>
      </c>
      <c r="E126" s="5">
        <f>DAY(TableAopCalendar[[#This Row],[Date]])</f>
        <v>3</v>
      </c>
      <c r="F12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6" s="5" t="str">
        <f t="shared" si="4"/>
        <v>Week 1</v>
      </c>
      <c r="H126" s="5" t="str">
        <f t="shared" si="5"/>
        <v>August 22 Week 1</v>
      </c>
      <c r="I126" s="5" t="str">
        <f>CONCATENATE(UPPER(TableAopCalendar[[#This Row],[Month]])," ",TableAopCalendar[[#This Row],[Year]])</f>
        <v>AUGUST 22</v>
      </c>
      <c r="J126" s="8" t="s">
        <v>274</v>
      </c>
      <c r="K126" s="8" t="str">
        <f>CONCATENATE(TableAopCalendar[[#This Row],[Month for Plan]]," ",TableAopCalendar[[#This Row],[Plan]])</f>
        <v>AUGUST 22 PLANNED</v>
      </c>
    </row>
    <row r="127" spans="1:11" x14ac:dyDescent="0.25">
      <c r="A127" s="5">
        <f t="shared" si="3"/>
        <v>4</v>
      </c>
      <c r="B127" s="6">
        <v>44777</v>
      </c>
      <c r="C127" s="7" t="s">
        <v>268</v>
      </c>
      <c r="D127" s="7">
        <v>22</v>
      </c>
      <c r="E127" s="5">
        <f>DAY(TableAopCalendar[[#This Row],[Date]])</f>
        <v>4</v>
      </c>
      <c r="F12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7" s="5" t="str">
        <f t="shared" si="4"/>
        <v>Week 1</v>
      </c>
      <c r="H127" s="5" t="str">
        <f t="shared" si="5"/>
        <v>August 22 Week 1</v>
      </c>
      <c r="I127" s="5" t="str">
        <f>CONCATENATE(UPPER(TableAopCalendar[[#This Row],[Month]])," ",TableAopCalendar[[#This Row],[Year]])</f>
        <v>AUGUST 22</v>
      </c>
      <c r="J127" s="8" t="s">
        <v>274</v>
      </c>
      <c r="K127" s="8" t="str">
        <f>CONCATENATE(TableAopCalendar[[#This Row],[Month for Plan]]," ",TableAopCalendar[[#This Row],[Plan]])</f>
        <v>AUGUST 22 PLANNED</v>
      </c>
    </row>
    <row r="128" spans="1:11" x14ac:dyDescent="0.25">
      <c r="A128" s="5">
        <f t="shared" si="3"/>
        <v>5</v>
      </c>
      <c r="B128" s="6">
        <v>44778</v>
      </c>
      <c r="C128" s="7" t="s">
        <v>268</v>
      </c>
      <c r="D128" s="7">
        <v>22</v>
      </c>
      <c r="E128" s="5">
        <f>DAY(TableAopCalendar[[#This Row],[Date]])</f>
        <v>5</v>
      </c>
      <c r="F12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" s="5" t="str">
        <f t="shared" si="4"/>
        <v>Week 1</v>
      </c>
      <c r="H128" s="5" t="str">
        <f t="shared" si="5"/>
        <v>August 22 Week 1</v>
      </c>
      <c r="I128" s="5" t="str">
        <f>CONCATENATE(UPPER(TableAopCalendar[[#This Row],[Month]])," ",TableAopCalendar[[#This Row],[Year]])</f>
        <v>AUGUST 22</v>
      </c>
      <c r="J128" s="8" t="s">
        <v>274</v>
      </c>
      <c r="K128" s="8" t="str">
        <f>CONCATENATE(TableAopCalendar[[#This Row],[Month for Plan]]," ",TableAopCalendar[[#This Row],[Plan]])</f>
        <v>AUGUST 22 PLANNED</v>
      </c>
    </row>
    <row r="129" spans="1:11" x14ac:dyDescent="0.25">
      <c r="A129" s="5">
        <f t="shared" si="3"/>
        <v>6</v>
      </c>
      <c r="B129" s="6">
        <v>44779</v>
      </c>
      <c r="C129" s="7" t="s">
        <v>268</v>
      </c>
      <c r="D129" s="7">
        <v>22</v>
      </c>
      <c r="E129" s="5">
        <f>DAY(TableAopCalendar[[#This Row],[Date]])</f>
        <v>6</v>
      </c>
      <c r="F12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9" s="5" t="str">
        <f t="shared" si="4"/>
        <v>Week 1</v>
      </c>
      <c r="H129" s="5" t="str">
        <f t="shared" si="5"/>
        <v>August 22 Week 1</v>
      </c>
      <c r="I129" s="5" t="str">
        <f>CONCATENATE(UPPER(TableAopCalendar[[#This Row],[Month]])," ",TableAopCalendar[[#This Row],[Year]])</f>
        <v>AUGUST 22</v>
      </c>
      <c r="J129" s="8" t="s">
        <v>274</v>
      </c>
      <c r="K129" s="8" t="str">
        <f>CONCATENATE(TableAopCalendar[[#This Row],[Month for Plan]]," ",TableAopCalendar[[#This Row],[Plan]])</f>
        <v>AUGUST 22 PLANNED</v>
      </c>
    </row>
    <row r="130" spans="1:11" x14ac:dyDescent="0.25">
      <c r="A130" s="5">
        <f t="shared" ref="A130:A193" si="6">IF(G130=G129,A129+1,1)</f>
        <v>7</v>
      </c>
      <c r="B130" s="6">
        <v>44780</v>
      </c>
      <c r="C130" s="7" t="s">
        <v>268</v>
      </c>
      <c r="D130" s="7">
        <v>22</v>
      </c>
      <c r="E130" s="5">
        <f>DAY(TableAopCalendar[[#This Row],[Date]])</f>
        <v>7</v>
      </c>
      <c r="F130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0" s="5" t="str">
        <f t="shared" ref="G130:G193" si="7">"Week"&amp;" "&amp;F130</f>
        <v>Week 1</v>
      </c>
      <c r="H130" s="5" t="str">
        <f t="shared" ref="H130:H193" si="8">CONCATENATE(C130," ",D130," ",G130)</f>
        <v>August 22 Week 1</v>
      </c>
      <c r="I130" s="5" t="str">
        <f>CONCATENATE(UPPER(TableAopCalendar[[#This Row],[Month]])," ",TableAopCalendar[[#This Row],[Year]])</f>
        <v>AUGUST 22</v>
      </c>
      <c r="J130" s="8" t="s">
        <v>274</v>
      </c>
      <c r="K130" s="8" t="str">
        <f>CONCATENATE(TableAopCalendar[[#This Row],[Month for Plan]]," ",TableAopCalendar[[#This Row],[Plan]])</f>
        <v>AUGUST 22 PLANNED</v>
      </c>
    </row>
    <row r="131" spans="1:11" x14ac:dyDescent="0.25">
      <c r="A131" s="5">
        <f t="shared" si="6"/>
        <v>1</v>
      </c>
      <c r="B131" s="6">
        <v>44781</v>
      </c>
      <c r="C131" s="7" t="s">
        <v>268</v>
      </c>
      <c r="D131" s="7">
        <v>22</v>
      </c>
      <c r="E131" s="5">
        <f>DAY(TableAopCalendar[[#This Row],[Date]])</f>
        <v>8</v>
      </c>
      <c r="F13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1" s="5" t="str">
        <f t="shared" si="7"/>
        <v>Week 2</v>
      </c>
      <c r="H131" s="5" t="str">
        <f t="shared" si="8"/>
        <v>August 22 Week 2</v>
      </c>
      <c r="I131" s="5" t="str">
        <f>CONCATENATE(UPPER(TableAopCalendar[[#This Row],[Month]])," ",TableAopCalendar[[#This Row],[Year]])</f>
        <v>AUGUST 22</v>
      </c>
      <c r="J131" s="8" t="s">
        <v>274</v>
      </c>
      <c r="K131" s="8" t="str">
        <f>CONCATENATE(TableAopCalendar[[#This Row],[Month for Plan]]," ",TableAopCalendar[[#This Row],[Plan]])</f>
        <v>AUGUST 22 PLANNED</v>
      </c>
    </row>
    <row r="132" spans="1:11" x14ac:dyDescent="0.25">
      <c r="A132" s="5">
        <f t="shared" si="6"/>
        <v>2</v>
      </c>
      <c r="B132" s="6">
        <v>44782</v>
      </c>
      <c r="C132" s="7" t="s">
        <v>268</v>
      </c>
      <c r="D132" s="7">
        <v>22</v>
      </c>
      <c r="E132" s="5">
        <f>DAY(TableAopCalendar[[#This Row],[Date]])</f>
        <v>9</v>
      </c>
      <c r="F132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2" s="5" t="str">
        <f t="shared" si="7"/>
        <v>Week 2</v>
      </c>
      <c r="H132" s="5" t="str">
        <f t="shared" si="8"/>
        <v>August 22 Week 2</v>
      </c>
      <c r="I132" s="5" t="str">
        <f>CONCATENATE(UPPER(TableAopCalendar[[#This Row],[Month]])," ",TableAopCalendar[[#This Row],[Year]])</f>
        <v>AUGUST 22</v>
      </c>
      <c r="J132" s="8" t="s">
        <v>274</v>
      </c>
      <c r="K132" s="8" t="str">
        <f>CONCATENATE(TableAopCalendar[[#This Row],[Month for Plan]]," ",TableAopCalendar[[#This Row],[Plan]])</f>
        <v>AUGUST 22 PLANNED</v>
      </c>
    </row>
    <row r="133" spans="1:11" x14ac:dyDescent="0.25">
      <c r="A133" s="5">
        <f t="shared" si="6"/>
        <v>3</v>
      </c>
      <c r="B133" s="6">
        <v>44783</v>
      </c>
      <c r="C133" s="7" t="s">
        <v>268</v>
      </c>
      <c r="D133" s="7">
        <v>22</v>
      </c>
      <c r="E133" s="5">
        <f>DAY(TableAopCalendar[[#This Row],[Date]])</f>
        <v>10</v>
      </c>
      <c r="F13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3" s="5" t="str">
        <f t="shared" si="7"/>
        <v>Week 2</v>
      </c>
      <c r="H133" s="5" t="str">
        <f t="shared" si="8"/>
        <v>August 22 Week 2</v>
      </c>
      <c r="I133" s="5" t="str">
        <f>CONCATENATE(UPPER(TableAopCalendar[[#This Row],[Month]])," ",TableAopCalendar[[#This Row],[Year]])</f>
        <v>AUGUST 22</v>
      </c>
      <c r="J133" s="8" t="s">
        <v>274</v>
      </c>
      <c r="K133" s="8" t="str">
        <f>CONCATENATE(TableAopCalendar[[#This Row],[Month for Plan]]," ",TableAopCalendar[[#This Row],[Plan]])</f>
        <v>AUGUST 22 PLANNED</v>
      </c>
    </row>
    <row r="134" spans="1:11" x14ac:dyDescent="0.25">
      <c r="A134" s="5">
        <f t="shared" si="6"/>
        <v>4</v>
      </c>
      <c r="B134" s="6">
        <v>44784</v>
      </c>
      <c r="C134" s="7" t="s">
        <v>268</v>
      </c>
      <c r="D134" s="7">
        <v>22</v>
      </c>
      <c r="E134" s="5">
        <f>DAY(TableAopCalendar[[#This Row],[Date]])</f>
        <v>11</v>
      </c>
      <c r="F13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4" s="5" t="str">
        <f t="shared" si="7"/>
        <v>Week 2</v>
      </c>
      <c r="H134" s="5" t="str">
        <f t="shared" si="8"/>
        <v>August 22 Week 2</v>
      </c>
      <c r="I134" s="5" t="str">
        <f>CONCATENATE(UPPER(TableAopCalendar[[#This Row],[Month]])," ",TableAopCalendar[[#This Row],[Year]])</f>
        <v>AUGUST 22</v>
      </c>
      <c r="J134" s="8" t="s">
        <v>274</v>
      </c>
      <c r="K134" s="8" t="str">
        <f>CONCATENATE(TableAopCalendar[[#This Row],[Month for Plan]]," ",TableAopCalendar[[#This Row],[Plan]])</f>
        <v>AUGUST 22 PLANNED</v>
      </c>
    </row>
    <row r="135" spans="1:11" x14ac:dyDescent="0.25">
      <c r="A135" s="5">
        <f t="shared" si="6"/>
        <v>5</v>
      </c>
      <c r="B135" s="6">
        <v>44785</v>
      </c>
      <c r="C135" s="7" t="s">
        <v>268</v>
      </c>
      <c r="D135" s="7">
        <v>22</v>
      </c>
      <c r="E135" s="5">
        <f>DAY(TableAopCalendar[[#This Row],[Date]])</f>
        <v>12</v>
      </c>
      <c r="F13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5" s="5" t="str">
        <f t="shared" si="7"/>
        <v>Week 2</v>
      </c>
      <c r="H135" s="5" t="str">
        <f t="shared" si="8"/>
        <v>August 22 Week 2</v>
      </c>
      <c r="I135" s="5" t="str">
        <f>CONCATENATE(UPPER(TableAopCalendar[[#This Row],[Month]])," ",TableAopCalendar[[#This Row],[Year]])</f>
        <v>AUGUST 22</v>
      </c>
      <c r="J135" s="8" t="s">
        <v>274</v>
      </c>
      <c r="K135" s="8" t="str">
        <f>CONCATENATE(TableAopCalendar[[#This Row],[Month for Plan]]," ",TableAopCalendar[[#This Row],[Plan]])</f>
        <v>AUGUST 22 PLANNED</v>
      </c>
    </row>
    <row r="136" spans="1:11" x14ac:dyDescent="0.25">
      <c r="A136" s="5">
        <f t="shared" si="6"/>
        <v>6</v>
      </c>
      <c r="B136" s="6">
        <v>44786</v>
      </c>
      <c r="C136" s="7" t="s">
        <v>268</v>
      </c>
      <c r="D136" s="7">
        <v>22</v>
      </c>
      <c r="E136" s="5">
        <f>DAY(TableAopCalendar[[#This Row],[Date]])</f>
        <v>13</v>
      </c>
      <c r="F13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6" s="5" t="str">
        <f t="shared" si="7"/>
        <v>Week 2</v>
      </c>
      <c r="H136" s="5" t="str">
        <f t="shared" si="8"/>
        <v>August 22 Week 2</v>
      </c>
      <c r="I136" s="5" t="str">
        <f>CONCATENATE(UPPER(TableAopCalendar[[#This Row],[Month]])," ",TableAopCalendar[[#This Row],[Year]])</f>
        <v>AUGUST 22</v>
      </c>
      <c r="J136" s="8" t="s">
        <v>274</v>
      </c>
      <c r="K136" s="8" t="str">
        <f>CONCATENATE(TableAopCalendar[[#This Row],[Month for Plan]]," ",TableAopCalendar[[#This Row],[Plan]])</f>
        <v>AUGUST 22 PLANNED</v>
      </c>
    </row>
    <row r="137" spans="1:11" x14ac:dyDescent="0.25">
      <c r="A137" s="5">
        <f t="shared" si="6"/>
        <v>7</v>
      </c>
      <c r="B137" s="6">
        <v>44787</v>
      </c>
      <c r="C137" s="7" t="s">
        <v>268</v>
      </c>
      <c r="D137" s="7">
        <v>22</v>
      </c>
      <c r="E137" s="5">
        <f>DAY(TableAopCalendar[[#This Row],[Date]])</f>
        <v>14</v>
      </c>
      <c r="F137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7" s="5" t="str">
        <f t="shared" si="7"/>
        <v>Week 2</v>
      </c>
      <c r="H137" s="5" t="str">
        <f t="shared" si="8"/>
        <v>August 22 Week 2</v>
      </c>
      <c r="I137" s="5" t="str">
        <f>CONCATENATE(UPPER(TableAopCalendar[[#This Row],[Month]])," ",TableAopCalendar[[#This Row],[Year]])</f>
        <v>AUGUST 22</v>
      </c>
      <c r="J137" s="8" t="s">
        <v>274</v>
      </c>
      <c r="K137" s="8" t="str">
        <f>CONCATENATE(TableAopCalendar[[#This Row],[Month for Plan]]," ",TableAopCalendar[[#This Row],[Plan]])</f>
        <v>AUGUST 22 PLANNED</v>
      </c>
    </row>
    <row r="138" spans="1:11" x14ac:dyDescent="0.25">
      <c r="A138" s="5">
        <f t="shared" si="6"/>
        <v>1</v>
      </c>
      <c r="B138" s="6">
        <v>44788</v>
      </c>
      <c r="C138" s="7" t="s">
        <v>268</v>
      </c>
      <c r="D138" s="7">
        <v>22</v>
      </c>
      <c r="E138" s="5">
        <f>DAY(TableAopCalendar[[#This Row],[Date]])</f>
        <v>15</v>
      </c>
      <c r="F13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8" s="5" t="str">
        <f t="shared" si="7"/>
        <v>Week 3</v>
      </c>
      <c r="H138" s="5" t="str">
        <f t="shared" si="8"/>
        <v>August 22 Week 3</v>
      </c>
      <c r="I138" s="5" t="str">
        <f>CONCATENATE(UPPER(TableAopCalendar[[#This Row],[Month]])," ",TableAopCalendar[[#This Row],[Year]])</f>
        <v>AUGUST 22</v>
      </c>
      <c r="J138" s="8" t="s">
        <v>274</v>
      </c>
      <c r="K138" s="8" t="str">
        <f>CONCATENATE(TableAopCalendar[[#This Row],[Month for Plan]]," ",TableAopCalendar[[#This Row],[Plan]])</f>
        <v>AUGUST 22 PLANNED</v>
      </c>
    </row>
    <row r="139" spans="1:11" x14ac:dyDescent="0.25">
      <c r="A139" s="5">
        <f t="shared" si="6"/>
        <v>2</v>
      </c>
      <c r="B139" s="6">
        <v>44789</v>
      </c>
      <c r="C139" s="7" t="s">
        <v>268</v>
      </c>
      <c r="D139" s="7">
        <v>22</v>
      </c>
      <c r="E139" s="5">
        <f>DAY(TableAopCalendar[[#This Row],[Date]])</f>
        <v>16</v>
      </c>
      <c r="F139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9" s="5" t="str">
        <f t="shared" si="7"/>
        <v>Week 3</v>
      </c>
      <c r="H139" s="5" t="str">
        <f t="shared" si="8"/>
        <v>August 22 Week 3</v>
      </c>
      <c r="I139" s="5" t="str">
        <f>CONCATENATE(UPPER(TableAopCalendar[[#This Row],[Month]])," ",TableAopCalendar[[#This Row],[Year]])</f>
        <v>AUGUST 22</v>
      </c>
      <c r="J139" s="8" t="s">
        <v>274</v>
      </c>
      <c r="K139" s="8" t="str">
        <f>CONCATENATE(TableAopCalendar[[#This Row],[Month for Plan]]," ",TableAopCalendar[[#This Row],[Plan]])</f>
        <v>AUGUST 22 PLANNED</v>
      </c>
    </row>
    <row r="140" spans="1:11" x14ac:dyDescent="0.25">
      <c r="A140" s="5">
        <f t="shared" si="6"/>
        <v>3</v>
      </c>
      <c r="B140" s="6">
        <v>44790</v>
      </c>
      <c r="C140" s="7" t="s">
        <v>268</v>
      </c>
      <c r="D140" s="7">
        <v>22</v>
      </c>
      <c r="E140" s="5">
        <f>DAY(TableAopCalendar[[#This Row],[Date]])</f>
        <v>17</v>
      </c>
      <c r="F14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0" s="5" t="str">
        <f t="shared" si="7"/>
        <v>Week 3</v>
      </c>
      <c r="H140" s="5" t="str">
        <f t="shared" si="8"/>
        <v>August 22 Week 3</v>
      </c>
      <c r="I140" s="5" t="str">
        <f>CONCATENATE(UPPER(TableAopCalendar[[#This Row],[Month]])," ",TableAopCalendar[[#This Row],[Year]])</f>
        <v>AUGUST 22</v>
      </c>
      <c r="J140" s="8" t="s">
        <v>274</v>
      </c>
      <c r="K140" s="8" t="str">
        <f>CONCATENATE(TableAopCalendar[[#This Row],[Month for Plan]]," ",TableAopCalendar[[#This Row],[Plan]])</f>
        <v>AUGUST 22 PLANNED</v>
      </c>
    </row>
    <row r="141" spans="1:11" x14ac:dyDescent="0.25">
      <c r="A141" s="5">
        <f t="shared" si="6"/>
        <v>4</v>
      </c>
      <c r="B141" s="6">
        <v>44791</v>
      </c>
      <c r="C141" s="7" t="s">
        <v>268</v>
      </c>
      <c r="D141" s="7">
        <v>22</v>
      </c>
      <c r="E141" s="5">
        <f>DAY(TableAopCalendar[[#This Row],[Date]])</f>
        <v>18</v>
      </c>
      <c r="F14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1" s="5" t="str">
        <f t="shared" si="7"/>
        <v>Week 3</v>
      </c>
      <c r="H141" s="5" t="str">
        <f t="shared" si="8"/>
        <v>August 22 Week 3</v>
      </c>
      <c r="I141" s="5" t="str">
        <f>CONCATENATE(UPPER(TableAopCalendar[[#This Row],[Month]])," ",TableAopCalendar[[#This Row],[Year]])</f>
        <v>AUGUST 22</v>
      </c>
      <c r="J141" s="8" t="s">
        <v>274</v>
      </c>
      <c r="K141" s="8" t="str">
        <f>CONCATENATE(TableAopCalendar[[#This Row],[Month for Plan]]," ",TableAopCalendar[[#This Row],[Plan]])</f>
        <v>AUGUST 22 PLANNED</v>
      </c>
    </row>
    <row r="142" spans="1:11" x14ac:dyDescent="0.25">
      <c r="A142" s="5">
        <f t="shared" si="6"/>
        <v>5</v>
      </c>
      <c r="B142" s="6">
        <v>44792</v>
      </c>
      <c r="C142" s="7" t="s">
        <v>268</v>
      </c>
      <c r="D142" s="7">
        <v>22</v>
      </c>
      <c r="E142" s="5">
        <f>DAY(TableAopCalendar[[#This Row],[Date]])</f>
        <v>19</v>
      </c>
      <c r="F14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2" s="5" t="str">
        <f t="shared" si="7"/>
        <v>Week 3</v>
      </c>
      <c r="H142" s="5" t="str">
        <f t="shared" si="8"/>
        <v>August 22 Week 3</v>
      </c>
      <c r="I142" s="5" t="str">
        <f>CONCATENATE(UPPER(TableAopCalendar[[#This Row],[Month]])," ",TableAopCalendar[[#This Row],[Year]])</f>
        <v>AUGUST 22</v>
      </c>
      <c r="J142" s="8" t="s">
        <v>274</v>
      </c>
      <c r="K142" s="8" t="str">
        <f>CONCATENATE(TableAopCalendar[[#This Row],[Month for Plan]]," ",TableAopCalendar[[#This Row],[Plan]])</f>
        <v>AUGUST 22 PLANNED</v>
      </c>
    </row>
    <row r="143" spans="1:11" x14ac:dyDescent="0.25">
      <c r="A143" s="5">
        <f t="shared" si="6"/>
        <v>6</v>
      </c>
      <c r="B143" s="6">
        <v>44793</v>
      </c>
      <c r="C143" s="7" t="s">
        <v>268</v>
      </c>
      <c r="D143" s="7">
        <v>22</v>
      </c>
      <c r="E143" s="5">
        <f>DAY(TableAopCalendar[[#This Row],[Date]])</f>
        <v>20</v>
      </c>
      <c r="F14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3" s="5" t="str">
        <f t="shared" si="7"/>
        <v>Week 3</v>
      </c>
      <c r="H143" s="5" t="str">
        <f t="shared" si="8"/>
        <v>August 22 Week 3</v>
      </c>
      <c r="I143" s="5" t="str">
        <f>CONCATENATE(UPPER(TableAopCalendar[[#This Row],[Month]])," ",TableAopCalendar[[#This Row],[Year]])</f>
        <v>AUGUST 22</v>
      </c>
      <c r="J143" s="8" t="s">
        <v>274</v>
      </c>
      <c r="K143" s="8" t="str">
        <f>CONCATENATE(TableAopCalendar[[#This Row],[Month for Plan]]," ",TableAopCalendar[[#This Row],[Plan]])</f>
        <v>AUGUST 22 PLANNED</v>
      </c>
    </row>
    <row r="144" spans="1:11" x14ac:dyDescent="0.25">
      <c r="A144" s="5">
        <f t="shared" si="6"/>
        <v>7</v>
      </c>
      <c r="B144" s="6">
        <v>44794</v>
      </c>
      <c r="C144" s="7" t="s">
        <v>268</v>
      </c>
      <c r="D144" s="7">
        <v>22</v>
      </c>
      <c r="E144" s="5">
        <f>DAY(TableAopCalendar[[#This Row],[Date]])</f>
        <v>21</v>
      </c>
      <c r="F144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4" s="5" t="str">
        <f t="shared" si="7"/>
        <v>Week 3</v>
      </c>
      <c r="H144" s="5" t="str">
        <f t="shared" si="8"/>
        <v>August 22 Week 3</v>
      </c>
      <c r="I144" s="5" t="str">
        <f>CONCATENATE(UPPER(TableAopCalendar[[#This Row],[Month]])," ",TableAopCalendar[[#This Row],[Year]])</f>
        <v>AUGUST 22</v>
      </c>
      <c r="J144" s="8" t="s">
        <v>274</v>
      </c>
      <c r="K144" s="8" t="str">
        <f>CONCATENATE(TableAopCalendar[[#This Row],[Month for Plan]]," ",TableAopCalendar[[#This Row],[Plan]])</f>
        <v>AUGUST 22 PLANNED</v>
      </c>
    </row>
    <row r="145" spans="1:11" x14ac:dyDescent="0.25">
      <c r="A145" s="5">
        <f t="shared" si="6"/>
        <v>1</v>
      </c>
      <c r="B145" s="6">
        <v>44795</v>
      </c>
      <c r="C145" s="7" t="s">
        <v>268</v>
      </c>
      <c r="D145" s="7">
        <v>22</v>
      </c>
      <c r="E145" s="5">
        <f>DAY(TableAopCalendar[[#This Row],[Date]])</f>
        <v>22</v>
      </c>
      <c r="F14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" s="5" t="str">
        <f t="shared" si="7"/>
        <v>Week 4</v>
      </c>
      <c r="H145" s="5" t="str">
        <f t="shared" si="8"/>
        <v>August 22 Week 4</v>
      </c>
      <c r="I145" s="5" t="str">
        <f>CONCATENATE(UPPER(TableAopCalendar[[#This Row],[Month]])," ",TableAopCalendar[[#This Row],[Year]])</f>
        <v>AUGUST 22</v>
      </c>
      <c r="J145" s="8" t="s">
        <v>274</v>
      </c>
      <c r="K145" s="8" t="str">
        <f>CONCATENATE(TableAopCalendar[[#This Row],[Month for Plan]]," ",TableAopCalendar[[#This Row],[Plan]])</f>
        <v>AUGUST 22 PLANNED</v>
      </c>
    </row>
    <row r="146" spans="1:11" x14ac:dyDescent="0.25">
      <c r="A146" s="5">
        <f t="shared" si="6"/>
        <v>2</v>
      </c>
      <c r="B146" s="6">
        <v>44796</v>
      </c>
      <c r="C146" s="7" t="s">
        <v>268</v>
      </c>
      <c r="D146" s="7">
        <v>22</v>
      </c>
      <c r="E146" s="5">
        <f>DAY(TableAopCalendar[[#This Row],[Date]])</f>
        <v>23</v>
      </c>
      <c r="F146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6" s="5" t="str">
        <f t="shared" si="7"/>
        <v>Week 4</v>
      </c>
      <c r="H146" s="5" t="str">
        <f t="shared" si="8"/>
        <v>August 22 Week 4</v>
      </c>
      <c r="I146" s="5" t="str">
        <f>CONCATENATE(UPPER(TableAopCalendar[[#This Row],[Month]])," ",TableAopCalendar[[#This Row],[Year]])</f>
        <v>AUGUST 22</v>
      </c>
      <c r="J146" s="8" t="s">
        <v>274</v>
      </c>
      <c r="K146" s="8" t="str">
        <f>CONCATENATE(TableAopCalendar[[#This Row],[Month for Plan]]," ",TableAopCalendar[[#This Row],[Plan]])</f>
        <v>AUGUST 22 PLANNED</v>
      </c>
    </row>
    <row r="147" spans="1:11" x14ac:dyDescent="0.25">
      <c r="A147" s="5">
        <f t="shared" si="6"/>
        <v>3</v>
      </c>
      <c r="B147" s="6">
        <v>44797</v>
      </c>
      <c r="C147" s="7" t="s">
        <v>268</v>
      </c>
      <c r="D147" s="7">
        <v>22</v>
      </c>
      <c r="E147" s="5">
        <f>DAY(TableAopCalendar[[#This Row],[Date]])</f>
        <v>24</v>
      </c>
      <c r="F14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7" s="5" t="str">
        <f t="shared" si="7"/>
        <v>Week 4</v>
      </c>
      <c r="H147" s="5" t="str">
        <f t="shared" si="8"/>
        <v>August 22 Week 4</v>
      </c>
      <c r="I147" s="5" t="str">
        <f>CONCATENATE(UPPER(TableAopCalendar[[#This Row],[Month]])," ",TableAopCalendar[[#This Row],[Year]])</f>
        <v>AUGUST 22</v>
      </c>
      <c r="J147" s="8" t="s">
        <v>274</v>
      </c>
      <c r="K147" s="8" t="str">
        <f>CONCATENATE(TableAopCalendar[[#This Row],[Month for Plan]]," ",TableAopCalendar[[#This Row],[Plan]])</f>
        <v>AUGUST 22 PLANNED</v>
      </c>
    </row>
    <row r="148" spans="1:11" x14ac:dyDescent="0.25">
      <c r="A148" s="5">
        <f t="shared" si="6"/>
        <v>4</v>
      </c>
      <c r="B148" s="6">
        <v>44798</v>
      </c>
      <c r="C148" s="7" t="s">
        <v>268</v>
      </c>
      <c r="D148" s="7">
        <v>22</v>
      </c>
      <c r="E148" s="5">
        <f>DAY(TableAopCalendar[[#This Row],[Date]])</f>
        <v>25</v>
      </c>
      <c r="F14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8" s="5" t="str">
        <f t="shared" si="7"/>
        <v>Week 4</v>
      </c>
      <c r="H148" s="5" t="str">
        <f t="shared" si="8"/>
        <v>August 22 Week 4</v>
      </c>
      <c r="I148" s="5" t="str">
        <f>CONCATENATE(UPPER(TableAopCalendar[[#This Row],[Month]])," ",TableAopCalendar[[#This Row],[Year]])</f>
        <v>AUGUST 22</v>
      </c>
      <c r="J148" s="8" t="s">
        <v>274</v>
      </c>
      <c r="K148" s="8" t="str">
        <f>CONCATENATE(TableAopCalendar[[#This Row],[Month for Plan]]," ",TableAopCalendar[[#This Row],[Plan]])</f>
        <v>AUGUST 22 PLANNED</v>
      </c>
    </row>
    <row r="149" spans="1:11" x14ac:dyDescent="0.25">
      <c r="A149" s="5">
        <f t="shared" si="6"/>
        <v>5</v>
      </c>
      <c r="B149" s="6">
        <v>44799</v>
      </c>
      <c r="C149" s="7" t="s">
        <v>268</v>
      </c>
      <c r="D149" s="7">
        <v>22</v>
      </c>
      <c r="E149" s="5">
        <f>DAY(TableAopCalendar[[#This Row],[Date]])</f>
        <v>26</v>
      </c>
      <c r="F14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9" s="5" t="str">
        <f t="shared" si="7"/>
        <v>Week 4</v>
      </c>
      <c r="H149" s="5" t="str">
        <f t="shared" si="8"/>
        <v>August 22 Week 4</v>
      </c>
      <c r="I149" s="5" t="str">
        <f>CONCATENATE(UPPER(TableAopCalendar[[#This Row],[Month]])," ",TableAopCalendar[[#This Row],[Year]])</f>
        <v>AUGUST 22</v>
      </c>
      <c r="J149" s="8" t="s">
        <v>274</v>
      </c>
      <c r="K149" s="8" t="str">
        <f>CONCATENATE(TableAopCalendar[[#This Row],[Month for Plan]]," ",TableAopCalendar[[#This Row],[Plan]])</f>
        <v>AUGUST 22 PLANNED</v>
      </c>
    </row>
    <row r="150" spans="1:11" x14ac:dyDescent="0.25">
      <c r="A150" s="5">
        <f t="shared" si="6"/>
        <v>6</v>
      </c>
      <c r="B150" s="6">
        <v>44800</v>
      </c>
      <c r="C150" s="7" t="s">
        <v>268</v>
      </c>
      <c r="D150" s="7">
        <v>22</v>
      </c>
      <c r="E150" s="5">
        <f>DAY(TableAopCalendar[[#This Row],[Date]])</f>
        <v>27</v>
      </c>
      <c r="F15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0" s="5" t="str">
        <f t="shared" si="7"/>
        <v>Week 4</v>
      </c>
      <c r="H150" s="5" t="str">
        <f t="shared" si="8"/>
        <v>August 22 Week 4</v>
      </c>
      <c r="I150" s="5" t="str">
        <f>CONCATENATE(UPPER(TableAopCalendar[[#This Row],[Month]])," ",TableAopCalendar[[#This Row],[Year]])</f>
        <v>AUGUST 22</v>
      </c>
      <c r="J150" s="8" t="s">
        <v>274</v>
      </c>
      <c r="K150" s="8" t="str">
        <f>CONCATENATE(TableAopCalendar[[#This Row],[Month for Plan]]," ",TableAopCalendar[[#This Row],[Plan]])</f>
        <v>AUGUST 22 PLANNED</v>
      </c>
    </row>
    <row r="151" spans="1:11" x14ac:dyDescent="0.25">
      <c r="A151" s="5">
        <f t="shared" si="6"/>
        <v>7</v>
      </c>
      <c r="B151" s="6">
        <v>44801</v>
      </c>
      <c r="C151" s="7" t="s">
        <v>268</v>
      </c>
      <c r="D151" s="7">
        <v>22</v>
      </c>
      <c r="E151" s="5">
        <f>DAY(TableAopCalendar[[#This Row],[Date]])</f>
        <v>28</v>
      </c>
      <c r="F151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1" s="5" t="str">
        <f t="shared" si="7"/>
        <v>Week 4</v>
      </c>
      <c r="H151" s="5" t="str">
        <f t="shared" si="8"/>
        <v>August 22 Week 4</v>
      </c>
      <c r="I151" s="5" t="str">
        <f>CONCATENATE(UPPER(TableAopCalendar[[#This Row],[Month]])," ",TableAopCalendar[[#This Row],[Year]])</f>
        <v>AUGUST 22</v>
      </c>
      <c r="J151" s="8" t="s">
        <v>274</v>
      </c>
      <c r="K151" s="8" t="str">
        <f>CONCATENATE(TableAopCalendar[[#This Row],[Month for Plan]]," ",TableAopCalendar[[#This Row],[Plan]])</f>
        <v>AUGUST 22 PLANNED</v>
      </c>
    </row>
    <row r="152" spans="1:11" x14ac:dyDescent="0.25">
      <c r="A152" s="5">
        <f t="shared" si="6"/>
        <v>1</v>
      </c>
      <c r="B152" s="6">
        <v>44802</v>
      </c>
      <c r="C152" s="7" t="s">
        <v>268</v>
      </c>
      <c r="D152" s="7">
        <v>22</v>
      </c>
      <c r="E152" s="5">
        <f>DAY(TableAopCalendar[[#This Row],[Date]])</f>
        <v>29</v>
      </c>
      <c r="F152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2" s="5" t="str">
        <f t="shared" si="7"/>
        <v>Week 5</v>
      </c>
      <c r="H152" s="5" t="str">
        <f t="shared" si="8"/>
        <v>August 22 Week 5</v>
      </c>
      <c r="I152" s="5" t="str">
        <f>CONCATENATE(UPPER(TableAopCalendar[[#This Row],[Month]])," ",TableAopCalendar[[#This Row],[Year]])</f>
        <v>AUGUST 22</v>
      </c>
      <c r="J152" s="8" t="s">
        <v>274</v>
      </c>
      <c r="K152" s="8" t="str">
        <f>CONCATENATE(TableAopCalendar[[#This Row],[Month for Plan]]," ",TableAopCalendar[[#This Row],[Plan]])</f>
        <v>AUGUST 22 PLANNED</v>
      </c>
    </row>
    <row r="153" spans="1:11" x14ac:dyDescent="0.25">
      <c r="A153" s="5">
        <f t="shared" si="6"/>
        <v>2</v>
      </c>
      <c r="B153" s="6">
        <v>44803</v>
      </c>
      <c r="C153" s="7" t="s">
        <v>268</v>
      </c>
      <c r="D153" s="7">
        <v>22</v>
      </c>
      <c r="E153" s="5">
        <f>DAY(TableAopCalendar[[#This Row],[Date]])</f>
        <v>30</v>
      </c>
      <c r="F153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3" s="5" t="str">
        <f t="shared" si="7"/>
        <v>Week 5</v>
      </c>
      <c r="H153" s="5" t="str">
        <f t="shared" si="8"/>
        <v>August 22 Week 5</v>
      </c>
      <c r="I153" s="5" t="str">
        <f>CONCATENATE(UPPER(TableAopCalendar[[#This Row],[Month]])," ",TableAopCalendar[[#This Row],[Year]])</f>
        <v>AUGUST 22</v>
      </c>
      <c r="J153" s="8" t="s">
        <v>274</v>
      </c>
      <c r="K153" s="8" t="str">
        <f>CONCATENATE(TableAopCalendar[[#This Row],[Month for Plan]]," ",TableAopCalendar[[#This Row],[Plan]])</f>
        <v>AUGUST 22 PLANNED</v>
      </c>
    </row>
    <row r="154" spans="1:11" x14ac:dyDescent="0.25">
      <c r="A154" s="5">
        <f t="shared" si="6"/>
        <v>3</v>
      </c>
      <c r="B154" s="6">
        <v>44804</v>
      </c>
      <c r="C154" s="7" t="s">
        <v>268</v>
      </c>
      <c r="D154" s="7">
        <v>22</v>
      </c>
      <c r="E154" s="5">
        <f>DAY(TableAopCalendar[[#This Row],[Date]])</f>
        <v>31</v>
      </c>
      <c r="F154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4" s="5" t="str">
        <f t="shared" si="7"/>
        <v>Week 5</v>
      </c>
      <c r="H154" s="5" t="str">
        <f t="shared" si="8"/>
        <v>August 22 Week 5</v>
      </c>
      <c r="I154" s="5" t="str">
        <f>CONCATENATE(UPPER(TableAopCalendar[[#This Row],[Month]])," ",TableAopCalendar[[#This Row],[Year]])</f>
        <v>AUGUST 22</v>
      </c>
      <c r="J154" s="8" t="s">
        <v>274</v>
      </c>
      <c r="K154" s="8" t="str">
        <f>CONCATENATE(TableAopCalendar[[#This Row],[Month for Plan]]," ",TableAopCalendar[[#This Row],[Plan]])</f>
        <v>AUGUST 22 PLANNED</v>
      </c>
    </row>
    <row r="155" spans="1:11" x14ac:dyDescent="0.25">
      <c r="A155" s="5">
        <f t="shared" si="6"/>
        <v>1</v>
      </c>
      <c r="B155" s="6">
        <v>44805</v>
      </c>
      <c r="C155" s="7" t="s">
        <v>269</v>
      </c>
      <c r="D155" s="7">
        <v>22</v>
      </c>
      <c r="E155" s="5">
        <f>DAY(TableAopCalendar[[#This Row],[Date]])</f>
        <v>1</v>
      </c>
      <c r="F155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5" s="5" t="str">
        <f t="shared" si="7"/>
        <v>Week 1</v>
      </c>
      <c r="H155" s="5" t="str">
        <f t="shared" si="8"/>
        <v>September 22 Week 1</v>
      </c>
      <c r="I155" s="5" t="str">
        <f>CONCATENATE(UPPER(TableAopCalendar[[#This Row],[Month]])," ",TableAopCalendar[[#This Row],[Year]])</f>
        <v>SEPTEMBER 22</v>
      </c>
      <c r="J155" s="8" t="s">
        <v>274</v>
      </c>
      <c r="K155" s="8" t="str">
        <f>CONCATENATE(TableAopCalendar[[#This Row],[Month for Plan]]," ",TableAopCalendar[[#This Row],[Plan]])</f>
        <v>SEPTEMBER 22 PLANNED</v>
      </c>
    </row>
    <row r="156" spans="1:11" x14ac:dyDescent="0.25">
      <c r="A156" s="5">
        <f t="shared" si="6"/>
        <v>2</v>
      </c>
      <c r="B156" s="6">
        <v>44806</v>
      </c>
      <c r="C156" s="7" t="s">
        <v>269</v>
      </c>
      <c r="D156" s="7">
        <v>22</v>
      </c>
      <c r="E156" s="5">
        <f>DAY(TableAopCalendar[[#This Row],[Date]])</f>
        <v>2</v>
      </c>
      <c r="F15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6" s="5" t="str">
        <f t="shared" si="7"/>
        <v>Week 1</v>
      </c>
      <c r="H156" s="5" t="str">
        <f t="shared" si="8"/>
        <v>September 22 Week 1</v>
      </c>
      <c r="I156" s="5" t="str">
        <f>CONCATENATE(UPPER(TableAopCalendar[[#This Row],[Month]])," ",TableAopCalendar[[#This Row],[Year]])</f>
        <v>SEPTEMBER 22</v>
      </c>
      <c r="J156" s="8" t="s">
        <v>274</v>
      </c>
      <c r="K156" s="8" t="str">
        <f>CONCATENATE(TableAopCalendar[[#This Row],[Month for Plan]]," ",TableAopCalendar[[#This Row],[Plan]])</f>
        <v>SEPTEMBER 22 PLANNED</v>
      </c>
    </row>
    <row r="157" spans="1:11" x14ac:dyDescent="0.25">
      <c r="A157" s="5">
        <f t="shared" si="6"/>
        <v>3</v>
      </c>
      <c r="B157" s="6">
        <v>44807</v>
      </c>
      <c r="C157" s="7" t="s">
        <v>269</v>
      </c>
      <c r="D157" s="7">
        <v>22</v>
      </c>
      <c r="E157" s="5">
        <f>DAY(TableAopCalendar[[#This Row],[Date]])</f>
        <v>3</v>
      </c>
      <c r="F15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7" s="5" t="str">
        <f t="shared" si="7"/>
        <v>Week 1</v>
      </c>
      <c r="H157" s="5" t="str">
        <f t="shared" si="8"/>
        <v>September 22 Week 1</v>
      </c>
      <c r="I157" s="5" t="str">
        <f>CONCATENATE(UPPER(TableAopCalendar[[#This Row],[Month]])," ",TableAopCalendar[[#This Row],[Year]])</f>
        <v>SEPTEMBER 22</v>
      </c>
      <c r="J157" s="8" t="s">
        <v>274</v>
      </c>
      <c r="K157" s="8" t="str">
        <f>CONCATENATE(TableAopCalendar[[#This Row],[Month for Plan]]," ",TableAopCalendar[[#This Row],[Plan]])</f>
        <v>SEPTEMBER 22 PLANNED</v>
      </c>
    </row>
    <row r="158" spans="1:11" x14ac:dyDescent="0.25">
      <c r="A158" s="5">
        <f t="shared" si="6"/>
        <v>4</v>
      </c>
      <c r="B158" s="6">
        <v>44808</v>
      </c>
      <c r="C158" s="7" t="s">
        <v>269</v>
      </c>
      <c r="D158" s="7">
        <v>22</v>
      </c>
      <c r="E158" s="5">
        <f>DAY(TableAopCalendar[[#This Row],[Date]])</f>
        <v>4</v>
      </c>
      <c r="F15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8" s="5" t="str">
        <f t="shared" si="7"/>
        <v>Week 1</v>
      </c>
      <c r="H158" s="5" t="str">
        <f t="shared" si="8"/>
        <v>September 22 Week 1</v>
      </c>
      <c r="I158" s="5" t="str">
        <f>CONCATENATE(UPPER(TableAopCalendar[[#This Row],[Month]])," ",TableAopCalendar[[#This Row],[Year]])</f>
        <v>SEPTEMBER 22</v>
      </c>
      <c r="J158" s="8" t="s">
        <v>274</v>
      </c>
      <c r="K158" s="8" t="str">
        <f>CONCATENATE(TableAopCalendar[[#This Row],[Month for Plan]]," ",TableAopCalendar[[#This Row],[Plan]])</f>
        <v>SEPTEMBER 22 PLANNED</v>
      </c>
    </row>
    <row r="159" spans="1:11" x14ac:dyDescent="0.25">
      <c r="A159" s="5">
        <f t="shared" si="6"/>
        <v>5</v>
      </c>
      <c r="B159" s="6">
        <v>44809</v>
      </c>
      <c r="C159" s="7" t="s">
        <v>269</v>
      </c>
      <c r="D159" s="7">
        <v>22</v>
      </c>
      <c r="E159" s="5">
        <f>DAY(TableAopCalendar[[#This Row],[Date]])</f>
        <v>5</v>
      </c>
      <c r="F15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9" s="5" t="str">
        <f t="shared" si="7"/>
        <v>Week 1</v>
      </c>
      <c r="H159" s="5" t="str">
        <f t="shared" si="8"/>
        <v>September 22 Week 1</v>
      </c>
      <c r="I159" s="5" t="str">
        <f>CONCATENATE(UPPER(TableAopCalendar[[#This Row],[Month]])," ",TableAopCalendar[[#This Row],[Year]])</f>
        <v>SEPTEMBER 22</v>
      </c>
      <c r="J159" s="8" t="s">
        <v>274</v>
      </c>
      <c r="K159" s="8" t="str">
        <f>CONCATENATE(TableAopCalendar[[#This Row],[Month for Plan]]," ",TableAopCalendar[[#This Row],[Plan]])</f>
        <v>SEPTEMBER 22 PLANNED</v>
      </c>
    </row>
    <row r="160" spans="1:11" x14ac:dyDescent="0.25">
      <c r="A160" s="5">
        <f t="shared" si="6"/>
        <v>6</v>
      </c>
      <c r="B160" s="6">
        <v>44810</v>
      </c>
      <c r="C160" s="7" t="s">
        <v>269</v>
      </c>
      <c r="D160" s="7">
        <v>22</v>
      </c>
      <c r="E160" s="5">
        <f>DAY(TableAopCalendar[[#This Row],[Date]])</f>
        <v>6</v>
      </c>
      <c r="F160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0" s="5" t="str">
        <f t="shared" si="7"/>
        <v>Week 1</v>
      </c>
      <c r="H160" s="5" t="str">
        <f t="shared" si="8"/>
        <v>September 22 Week 1</v>
      </c>
      <c r="I160" s="5" t="str">
        <f>CONCATENATE(UPPER(TableAopCalendar[[#This Row],[Month]])," ",TableAopCalendar[[#This Row],[Year]])</f>
        <v>SEPTEMBER 22</v>
      </c>
      <c r="J160" s="8" t="s">
        <v>274</v>
      </c>
      <c r="K160" s="8" t="str">
        <f>CONCATENATE(TableAopCalendar[[#This Row],[Month for Plan]]," ",TableAopCalendar[[#This Row],[Plan]])</f>
        <v>SEPTEMBER 22 PLANNED</v>
      </c>
    </row>
    <row r="161" spans="1:11" x14ac:dyDescent="0.25">
      <c r="A161" s="5">
        <f t="shared" si="6"/>
        <v>7</v>
      </c>
      <c r="B161" s="6">
        <v>44811</v>
      </c>
      <c r="C161" s="7" t="s">
        <v>269</v>
      </c>
      <c r="D161" s="7">
        <v>22</v>
      </c>
      <c r="E161" s="5">
        <f>DAY(TableAopCalendar[[#This Row],[Date]])</f>
        <v>7</v>
      </c>
      <c r="F16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1" s="5" t="str">
        <f t="shared" si="7"/>
        <v>Week 1</v>
      </c>
      <c r="H161" s="5" t="str">
        <f t="shared" si="8"/>
        <v>September 22 Week 1</v>
      </c>
      <c r="I161" s="5" t="str">
        <f>CONCATENATE(UPPER(TableAopCalendar[[#This Row],[Month]])," ",TableAopCalendar[[#This Row],[Year]])</f>
        <v>SEPTEMBER 22</v>
      </c>
      <c r="J161" s="8" t="s">
        <v>274</v>
      </c>
      <c r="K161" s="8" t="str">
        <f>CONCATENATE(TableAopCalendar[[#This Row],[Month for Plan]]," ",TableAopCalendar[[#This Row],[Plan]])</f>
        <v>SEPTEMBER 22 PLANNED</v>
      </c>
    </row>
    <row r="162" spans="1:11" x14ac:dyDescent="0.25">
      <c r="A162" s="5">
        <f t="shared" si="6"/>
        <v>1</v>
      </c>
      <c r="B162" s="6">
        <v>44812</v>
      </c>
      <c r="C162" s="7" t="s">
        <v>269</v>
      </c>
      <c r="D162" s="7">
        <v>22</v>
      </c>
      <c r="E162" s="5">
        <f>DAY(TableAopCalendar[[#This Row],[Date]])</f>
        <v>8</v>
      </c>
      <c r="F162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" s="5" t="str">
        <f t="shared" si="7"/>
        <v>Week 2</v>
      </c>
      <c r="H162" s="5" t="str">
        <f t="shared" si="8"/>
        <v>September 22 Week 2</v>
      </c>
      <c r="I162" s="5" t="str">
        <f>CONCATENATE(UPPER(TableAopCalendar[[#This Row],[Month]])," ",TableAopCalendar[[#This Row],[Year]])</f>
        <v>SEPTEMBER 22</v>
      </c>
      <c r="J162" s="8" t="s">
        <v>274</v>
      </c>
      <c r="K162" s="8" t="str">
        <f>CONCATENATE(TableAopCalendar[[#This Row],[Month for Plan]]," ",TableAopCalendar[[#This Row],[Plan]])</f>
        <v>SEPTEMBER 22 PLANNED</v>
      </c>
    </row>
    <row r="163" spans="1:11" x14ac:dyDescent="0.25">
      <c r="A163" s="5">
        <f t="shared" si="6"/>
        <v>2</v>
      </c>
      <c r="B163" s="6">
        <v>44813</v>
      </c>
      <c r="C163" s="7" t="s">
        <v>269</v>
      </c>
      <c r="D163" s="7">
        <v>22</v>
      </c>
      <c r="E163" s="5">
        <f>DAY(TableAopCalendar[[#This Row],[Date]])</f>
        <v>9</v>
      </c>
      <c r="F16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3" s="5" t="str">
        <f t="shared" si="7"/>
        <v>Week 2</v>
      </c>
      <c r="H163" s="5" t="str">
        <f t="shared" si="8"/>
        <v>September 22 Week 2</v>
      </c>
      <c r="I163" s="5" t="str">
        <f>CONCATENATE(UPPER(TableAopCalendar[[#This Row],[Month]])," ",TableAopCalendar[[#This Row],[Year]])</f>
        <v>SEPTEMBER 22</v>
      </c>
      <c r="J163" s="8" t="s">
        <v>274</v>
      </c>
      <c r="K163" s="8" t="str">
        <f>CONCATENATE(TableAopCalendar[[#This Row],[Month for Plan]]," ",TableAopCalendar[[#This Row],[Plan]])</f>
        <v>SEPTEMBER 22 PLANNED</v>
      </c>
    </row>
    <row r="164" spans="1:11" x14ac:dyDescent="0.25">
      <c r="A164" s="5">
        <f t="shared" si="6"/>
        <v>3</v>
      </c>
      <c r="B164" s="6">
        <v>44814</v>
      </c>
      <c r="C164" s="7" t="s">
        <v>269</v>
      </c>
      <c r="D164" s="7">
        <v>22</v>
      </c>
      <c r="E164" s="5">
        <f>DAY(TableAopCalendar[[#This Row],[Date]])</f>
        <v>10</v>
      </c>
      <c r="F16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4" s="5" t="str">
        <f t="shared" si="7"/>
        <v>Week 2</v>
      </c>
      <c r="H164" s="5" t="str">
        <f t="shared" si="8"/>
        <v>September 22 Week 2</v>
      </c>
      <c r="I164" s="5" t="str">
        <f>CONCATENATE(UPPER(TableAopCalendar[[#This Row],[Month]])," ",TableAopCalendar[[#This Row],[Year]])</f>
        <v>SEPTEMBER 22</v>
      </c>
      <c r="J164" s="8" t="s">
        <v>274</v>
      </c>
      <c r="K164" s="8" t="str">
        <f>CONCATENATE(TableAopCalendar[[#This Row],[Month for Plan]]," ",TableAopCalendar[[#This Row],[Plan]])</f>
        <v>SEPTEMBER 22 PLANNED</v>
      </c>
    </row>
    <row r="165" spans="1:11" x14ac:dyDescent="0.25">
      <c r="A165" s="5">
        <f t="shared" si="6"/>
        <v>4</v>
      </c>
      <c r="B165" s="6">
        <v>44815</v>
      </c>
      <c r="C165" s="7" t="s">
        <v>269</v>
      </c>
      <c r="D165" s="7">
        <v>22</v>
      </c>
      <c r="E165" s="5">
        <f>DAY(TableAopCalendar[[#This Row],[Date]])</f>
        <v>11</v>
      </c>
      <c r="F16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" s="5" t="str">
        <f t="shared" si="7"/>
        <v>Week 2</v>
      </c>
      <c r="H165" s="5" t="str">
        <f t="shared" si="8"/>
        <v>September 22 Week 2</v>
      </c>
      <c r="I165" s="5" t="str">
        <f>CONCATENATE(UPPER(TableAopCalendar[[#This Row],[Month]])," ",TableAopCalendar[[#This Row],[Year]])</f>
        <v>SEPTEMBER 22</v>
      </c>
      <c r="J165" s="8" t="s">
        <v>274</v>
      </c>
      <c r="K165" s="8" t="str">
        <f>CONCATENATE(TableAopCalendar[[#This Row],[Month for Plan]]," ",TableAopCalendar[[#This Row],[Plan]])</f>
        <v>SEPTEMBER 22 PLANNED</v>
      </c>
    </row>
    <row r="166" spans="1:11" x14ac:dyDescent="0.25">
      <c r="A166" s="5">
        <f t="shared" si="6"/>
        <v>5</v>
      </c>
      <c r="B166" s="6">
        <v>44816</v>
      </c>
      <c r="C166" s="7" t="s">
        <v>269</v>
      </c>
      <c r="D166" s="7">
        <v>22</v>
      </c>
      <c r="E166" s="5">
        <f>DAY(TableAopCalendar[[#This Row],[Date]])</f>
        <v>12</v>
      </c>
      <c r="F16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6" s="5" t="str">
        <f t="shared" si="7"/>
        <v>Week 2</v>
      </c>
      <c r="H166" s="5" t="str">
        <f t="shared" si="8"/>
        <v>September 22 Week 2</v>
      </c>
      <c r="I166" s="5" t="str">
        <f>CONCATENATE(UPPER(TableAopCalendar[[#This Row],[Month]])," ",TableAopCalendar[[#This Row],[Year]])</f>
        <v>SEPTEMBER 22</v>
      </c>
      <c r="J166" s="8" t="s">
        <v>274</v>
      </c>
      <c r="K166" s="8" t="str">
        <f>CONCATENATE(TableAopCalendar[[#This Row],[Month for Plan]]," ",TableAopCalendar[[#This Row],[Plan]])</f>
        <v>SEPTEMBER 22 PLANNED</v>
      </c>
    </row>
    <row r="167" spans="1:11" x14ac:dyDescent="0.25">
      <c r="A167" s="5">
        <f t="shared" si="6"/>
        <v>6</v>
      </c>
      <c r="B167" s="6">
        <v>44817</v>
      </c>
      <c r="C167" s="7" t="s">
        <v>269</v>
      </c>
      <c r="D167" s="7">
        <v>22</v>
      </c>
      <c r="E167" s="5">
        <f>DAY(TableAopCalendar[[#This Row],[Date]])</f>
        <v>13</v>
      </c>
      <c r="F167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7" s="5" t="str">
        <f t="shared" si="7"/>
        <v>Week 2</v>
      </c>
      <c r="H167" s="5" t="str">
        <f t="shared" si="8"/>
        <v>September 22 Week 2</v>
      </c>
      <c r="I167" s="5" t="str">
        <f>CONCATENATE(UPPER(TableAopCalendar[[#This Row],[Month]])," ",TableAopCalendar[[#This Row],[Year]])</f>
        <v>SEPTEMBER 22</v>
      </c>
      <c r="J167" s="8" t="s">
        <v>274</v>
      </c>
      <c r="K167" s="8" t="str">
        <f>CONCATENATE(TableAopCalendar[[#This Row],[Month for Plan]]," ",TableAopCalendar[[#This Row],[Plan]])</f>
        <v>SEPTEMBER 22 PLANNED</v>
      </c>
    </row>
    <row r="168" spans="1:11" x14ac:dyDescent="0.25">
      <c r="A168" s="5">
        <f t="shared" si="6"/>
        <v>7</v>
      </c>
      <c r="B168" s="6">
        <v>44818</v>
      </c>
      <c r="C168" s="7" t="s">
        <v>269</v>
      </c>
      <c r="D168" s="7">
        <v>22</v>
      </c>
      <c r="E168" s="5">
        <f>DAY(TableAopCalendar[[#This Row],[Date]])</f>
        <v>14</v>
      </c>
      <c r="F16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8" s="5" t="str">
        <f t="shared" si="7"/>
        <v>Week 2</v>
      </c>
      <c r="H168" s="5" t="str">
        <f t="shared" si="8"/>
        <v>September 22 Week 2</v>
      </c>
      <c r="I168" s="5" t="str">
        <f>CONCATENATE(UPPER(TableAopCalendar[[#This Row],[Month]])," ",TableAopCalendar[[#This Row],[Year]])</f>
        <v>SEPTEMBER 22</v>
      </c>
      <c r="J168" s="8" t="s">
        <v>274</v>
      </c>
      <c r="K168" s="8" t="str">
        <f>CONCATENATE(TableAopCalendar[[#This Row],[Month for Plan]]," ",TableAopCalendar[[#This Row],[Plan]])</f>
        <v>SEPTEMBER 22 PLANNED</v>
      </c>
    </row>
    <row r="169" spans="1:11" x14ac:dyDescent="0.25">
      <c r="A169" s="5">
        <f t="shared" si="6"/>
        <v>1</v>
      </c>
      <c r="B169" s="6">
        <v>44819</v>
      </c>
      <c r="C169" s="7" t="s">
        <v>269</v>
      </c>
      <c r="D169" s="7">
        <v>22</v>
      </c>
      <c r="E169" s="5">
        <f>DAY(TableAopCalendar[[#This Row],[Date]])</f>
        <v>15</v>
      </c>
      <c r="F169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" s="5" t="str">
        <f t="shared" si="7"/>
        <v>Week 3</v>
      </c>
      <c r="H169" s="5" t="str">
        <f t="shared" si="8"/>
        <v>September 22 Week 3</v>
      </c>
      <c r="I169" s="5" t="str">
        <f>CONCATENATE(UPPER(TableAopCalendar[[#This Row],[Month]])," ",TableAopCalendar[[#This Row],[Year]])</f>
        <v>SEPTEMBER 22</v>
      </c>
      <c r="J169" s="8" t="s">
        <v>274</v>
      </c>
      <c r="K169" s="8" t="str">
        <f>CONCATENATE(TableAopCalendar[[#This Row],[Month for Plan]]," ",TableAopCalendar[[#This Row],[Plan]])</f>
        <v>SEPTEMBER 22 PLANNED</v>
      </c>
    </row>
    <row r="170" spans="1:11" x14ac:dyDescent="0.25">
      <c r="A170" s="5">
        <f t="shared" si="6"/>
        <v>2</v>
      </c>
      <c r="B170" s="6">
        <v>44820</v>
      </c>
      <c r="C170" s="7" t="s">
        <v>269</v>
      </c>
      <c r="D170" s="7">
        <v>22</v>
      </c>
      <c r="E170" s="5">
        <f>DAY(TableAopCalendar[[#This Row],[Date]])</f>
        <v>16</v>
      </c>
      <c r="F17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0" s="5" t="str">
        <f t="shared" si="7"/>
        <v>Week 3</v>
      </c>
      <c r="H170" s="5" t="str">
        <f t="shared" si="8"/>
        <v>September 22 Week 3</v>
      </c>
      <c r="I170" s="5" t="str">
        <f>CONCATENATE(UPPER(TableAopCalendar[[#This Row],[Month]])," ",TableAopCalendar[[#This Row],[Year]])</f>
        <v>SEPTEMBER 22</v>
      </c>
      <c r="J170" s="8" t="s">
        <v>274</v>
      </c>
      <c r="K170" s="8" t="str">
        <f>CONCATENATE(TableAopCalendar[[#This Row],[Month for Plan]]," ",TableAopCalendar[[#This Row],[Plan]])</f>
        <v>SEPTEMBER 22 PLANNED</v>
      </c>
    </row>
    <row r="171" spans="1:11" x14ac:dyDescent="0.25">
      <c r="A171" s="5">
        <f t="shared" si="6"/>
        <v>3</v>
      </c>
      <c r="B171" s="6">
        <v>44821</v>
      </c>
      <c r="C171" s="7" t="s">
        <v>269</v>
      </c>
      <c r="D171" s="7">
        <v>22</v>
      </c>
      <c r="E171" s="5">
        <f>DAY(TableAopCalendar[[#This Row],[Date]])</f>
        <v>17</v>
      </c>
      <c r="F17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1" s="5" t="str">
        <f t="shared" si="7"/>
        <v>Week 3</v>
      </c>
      <c r="H171" s="5" t="str">
        <f t="shared" si="8"/>
        <v>September 22 Week 3</v>
      </c>
      <c r="I171" s="5" t="str">
        <f>CONCATENATE(UPPER(TableAopCalendar[[#This Row],[Month]])," ",TableAopCalendar[[#This Row],[Year]])</f>
        <v>SEPTEMBER 22</v>
      </c>
      <c r="J171" s="8" t="s">
        <v>274</v>
      </c>
      <c r="K171" s="8" t="str">
        <f>CONCATENATE(TableAopCalendar[[#This Row],[Month for Plan]]," ",TableAopCalendar[[#This Row],[Plan]])</f>
        <v>SEPTEMBER 22 PLANNED</v>
      </c>
    </row>
    <row r="172" spans="1:11" x14ac:dyDescent="0.25">
      <c r="A172" s="5">
        <f t="shared" si="6"/>
        <v>4</v>
      </c>
      <c r="B172" s="6">
        <v>44822</v>
      </c>
      <c r="C172" s="7" t="s">
        <v>269</v>
      </c>
      <c r="D172" s="7">
        <v>22</v>
      </c>
      <c r="E172" s="5">
        <f>DAY(TableAopCalendar[[#This Row],[Date]])</f>
        <v>18</v>
      </c>
      <c r="F17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" s="5" t="str">
        <f t="shared" si="7"/>
        <v>Week 3</v>
      </c>
      <c r="H172" s="5" t="str">
        <f t="shared" si="8"/>
        <v>September 22 Week 3</v>
      </c>
      <c r="I172" s="5" t="str">
        <f>CONCATENATE(UPPER(TableAopCalendar[[#This Row],[Month]])," ",TableAopCalendar[[#This Row],[Year]])</f>
        <v>SEPTEMBER 22</v>
      </c>
      <c r="J172" s="8" t="s">
        <v>274</v>
      </c>
      <c r="K172" s="8" t="str">
        <f>CONCATENATE(TableAopCalendar[[#This Row],[Month for Plan]]," ",TableAopCalendar[[#This Row],[Plan]])</f>
        <v>SEPTEMBER 22 PLANNED</v>
      </c>
    </row>
    <row r="173" spans="1:11" x14ac:dyDescent="0.25">
      <c r="A173" s="5">
        <f t="shared" si="6"/>
        <v>5</v>
      </c>
      <c r="B173" s="6">
        <v>44823</v>
      </c>
      <c r="C173" s="7" t="s">
        <v>269</v>
      </c>
      <c r="D173" s="7">
        <v>22</v>
      </c>
      <c r="E173" s="5">
        <f>DAY(TableAopCalendar[[#This Row],[Date]])</f>
        <v>19</v>
      </c>
      <c r="F17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3" s="5" t="str">
        <f t="shared" si="7"/>
        <v>Week 3</v>
      </c>
      <c r="H173" s="5" t="str">
        <f t="shared" si="8"/>
        <v>September 22 Week 3</v>
      </c>
      <c r="I173" s="5" t="str">
        <f>CONCATENATE(UPPER(TableAopCalendar[[#This Row],[Month]])," ",TableAopCalendar[[#This Row],[Year]])</f>
        <v>SEPTEMBER 22</v>
      </c>
      <c r="J173" s="8" t="s">
        <v>274</v>
      </c>
      <c r="K173" s="8" t="str">
        <f>CONCATENATE(TableAopCalendar[[#This Row],[Month for Plan]]," ",TableAopCalendar[[#This Row],[Plan]])</f>
        <v>SEPTEMBER 22 PLANNED</v>
      </c>
    </row>
    <row r="174" spans="1:11" x14ac:dyDescent="0.25">
      <c r="A174" s="5">
        <f t="shared" si="6"/>
        <v>6</v>
      </c>
      <c r="B174" s="6">
        <v>44824</v>
      </c>
      <c r="C174" s="7" t="s">
        <v>269</v>
      </c>
      <c r="D174" s="7">
        <v>22</v>
      </c>
      <c r="E174" s="5">
        <f>DAY(TableAopCalendar[[#This Row],[Date]])</f>
        <v>20</v>
      </c>
      <c r="F174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4" s="5" t="str">
        <f t="shared" si="7"/>
        <v>Week 3</v>
      </c>
      <c r="H174" s="5" t="str">
        <f t="shared" si="8"/>
        <v>September 22 Week 3</v>
      </c>
      <c r="I174" s="5" t="str">
        <f>CONCATENATE(UPPER(TableAopCalendar[[#This Row],[Month]])," ",TableAopCalendar[[#This Row],[Year]])</f>
        <v>SEPTEMBER 22</v>
      </c>
      <c r="J174" s="8" t="s">
        <v>274</v>
      </c>
      <c r="K174" s="8" t="str">
        <f>CONCATENATE(TableAopCalendar[[#This Row],[Month for Plan]]," ",TableAopCalendar[[#This Row],[Plan]])</f>
        <v>SEPTEMBER 22 PLANNED</v>
      </c>
    </row>
    <row r="175" spans="1:11" x14ac:dyDescent="0.25">
      <c r="A175" s="5">
        <f t="shared" si="6"/>
        <v>7</v>
      </c>
      <c r="B175" s="6">
        <v>44825</v>
      </c>
      <c r="C175" s="7" t="s">
        <v>269</v>
      </c>
      <c r="D175" s="7">
        <v>22</v>
      </c>
      <c r="E175" s="5">
        <f>DAY(TableAopCalendar[[#This Row],[Date]])</f>
        <v>21</v>
      </c>
      <c r="F17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" s="5" t="str">
        <f t="shared" si="7"/>
        <v>Week 3</v>
      </c>
      <c r="H175" s="5" t="str">
        <f t="shared" si="8"/>
        <v>September 22 Week 3</v>
      </c>
      <c r="I175" s="5" t="str">
        <f>CONCATENATE(UPPER(TableAopCalendar[[#This Row],[Month]])," ",TableAopCalendar[[#This Row],[Year]])</f>
        <v>SEPTEMBER 22</v>
      </c>
      <c r="J175" s="8" t="s">
        <v>274</v>
      </c>
      <c r="K175" s="8" t="str">
        <f>CONCATENATE(TableAopCalendar[[#This Row],[Month for Plan]]," ",TableAopCalendar[[#This Row],[Plan]])</f>
        <v>SEPTEMBER 22 PLANNED</v>
      </c>
    </row>
    <row r="176" spans="1:11" x14ac:dyDescent="0.25">
      <c r="A176" s="5">
        <f t="shared" si="6"/>
        <v>1</v>
      </c>
      <c r="B176" s="6">
        <v>44826</v>
      </c>
      <c r="C176" s="7" t="s">
        <v>269</v>
      </c>
      <c r="D176" s="7">
        <v>22</v>
      </c>
      <c r="E176" s="5">
        <f>DAY(TableAopCalendar[[#This Row],[Date]])</f>
        <v>22</v>
      </c>
      <c r="F176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6" s="5" t="str">
        <f t="shared" si="7"/>
        <v>Week 4</v>
      </c>
      <c r="H176" s="5" t="str">
        <f t="shared" si="8"/>
        <v>September 22 Week 4</v>
      </c>
      <c r="I176" s="5" t="str">
        <f>CONCATENATE(UPPER(TableAopCalendar[[#This Row],[Month]])," ",TableAopCalendar[[#This Row],[Year]])</f>
        <v>SEPTEMBER 22</v>
      </c>
      <c r="J176" s="8" t="s">
        <v>274</v>
      </c>
      <c r="K176" s="8" t="str">
        <f>CONCATENATE(TableAopCalendar[[#This Row],[Month for Plan]]," ",TableAopCalendar[[#This Row],[Plan]])</f>
        <v>SEPTEMBER 22 PLANNED</v>
      </c>
    </row>
    <row r="177" spans="1:11" x14ac:dyDescent="0.25">
      <c r="A177" s="5">
        <f t="shared" si="6"/>
        <v>2</v>
      </c>
      <c r="B177" s="6">
        <v>44827</v>
      </c>
      <c r="C177" s="7" t="s">
        <v>269</v>
      </c>
      <c r="D177" s="7">
        <v>22</v>
      </c>
      <c r="E177" s="5">
        <f>DAY(TableAopCalendar[[#This Row],[Date]])</f>
        <v>23</v>
      </c>
      <c r="F17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7" s="5" t="str">
        <f t="shared" si="7"/>
        <v>Week 4</v>
      </c>
      <c r="H177" s="5" t="str">
        <f t="shared" si="8"/>
        <v>September 22 Week 4</v>
      </c>
      <c r="I177" s="5" t="str">
        <f>CONCATENATE(UPPER(TableAopCalendar[[#This Row],[Month]])," ",TableAopCalendar[[#This Row],[Year]])</f>
        <v>SEPTEMBER 22</v>
      </c>
      <c r="J177" s="8" t="s">
        <v>274</v>
      </c>
      <c r="K177" s="8" t="str">
        <f>CONCATENATE(TableAopCalendar[[#This Row],[Month for Plan]]," ",TableAopCalendar[[#This Row],[Plan]])</f>
        <v>SEPTEMBER 22 PLANNED</v>
      </c>
    </row>
    <row r="178" spans="1:11" x14ac:dyDescent="0.25">
      <c r="A178" s="5">
        <f t="shared" si="6"/>
        <v>3</v>
      </c>
      <c r="B178" s="6">
        <v>44828</v>
      </c>
      <c r="C178" s="7" t="s">
        <v>269</v>
      </c>
      <c r="D178" s="7">
        <v>22</v>
      </c>
      <c r="E178" s="5">
        <f>DAY(TableAopCalendar[[#This Row],[Date]])</f>
        <v>24</v>
      </c>
      <c r="F17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8" s="5" t="str">
        <f t="shared" si="7"/>
        <v>Week 4</v>
      </c>
      <c r="H178" s="5" t="str">
        <f t="shared" si="8"/>
        <v>September 22 Week 4</v>
      </c>
      <c r="I178" s="5" t="str">
        <f>CONCATENATE(UPPER(TableAopCalendar[[#This Row],[Month]])," ",TableAopCalendar[[#This Row],[Year]])</f>
        <v>SEPTEMBER 22</v>
      </c>
      <c r="J178" s="8" t="s">
        <v>274</v>
      </c>
      <c r="K178" s="8" t="str">
        <f>CONCATENATE(TableAopCalendar[[#This Row],[Month for Plan]]," ",TableAopCalendar[[#This Row],[Plan]])</f>
        <v>SEPTEMBER 22 PLANNED</v>
      </c>
    </row>
    <row r="179" spans="1:11" x14ac:dyDescent="0.25">
      <c r="A179" s="5">
        <f t="shared" si="6"/>
        <v>4</v>
      </c>
      <c r="B179" s="6">
        <v>44829</v>
      </c>
      <c r="C179" s="7" t="s">
        <v>269</v>
      </c>
      <c r="D179" s="7">
        <v>22</v>
      </c>
      <c r="E179" s="5">
        <f>DAY(TableAopCalendar[[#This Row],[Date]])</f>
        <v>25</v>
      </c>
      <c r="F17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" s="5" t="str">
        <f t="shared" si="7"/>
        <v>Week 4</v>
      </c>
      <c r="H179" s="5" t="str">
        <f t="shared" si="8"/>
        <v>September 22 Week 4</v>
      </c>
      <c r="I179" s="5" t="str">
        <f>CONCATENATE(UPPER(TableAopCalendar[[#This Row],[Month]])," ",TableAopCalendar[[#This Row],[Year]])</f>
        <v>SEPTEMBER 22</v>
      </c>
      <c r="J179" s="8" t="s">
        <v>274</v>
      </c>
      <c r="K179" s="8" t="str">
        <f>CONCATENATE(TableAopCalendar[[#This Row],[Month for Plan]]," ",TableAopCalendar[[#This Row],[Plan]])</f>
        <v>SEPTEMBER 22 PLANNED</v>
      </c>
    </row>
    <row r="180" spans="1:11" x14ac:dyDescent="0.25">
      <c r="A180" s="5">
        <f t="shared" si="6"/>
        <v>5</v>
      </c>
      <c r="B180" s="6">
        <v>44830</v>
      </c>
      <c r="C180" s="7" t="s">
        <v>269</v>
      </c>
      <c r="D180" s="7">
        <v>22</v>
      </c>
      <c r="E180" s="5">
        <f>DAY(TableAopCalendar[[#This Row],[Date]])</f>
        <v>26</v>
      </c>
      <c r="F18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0" s="5" t="str">
        <f t="shared" si="7"/>
        <v>Week 4</v>
      </c>
      <c r="H180" s="5" t="str">
        <f t="shared" si="8"/>
        <v>September 22 Week 4</v>
      </c>
      <c r="I180" s="5" t="str">
        <f>CONCATENATE(UPPER(TableAopCalendar[[#This Row],[Month]])," ",TableAopCalendar[[#This Row],[Year]])</f>
        <v>SEPTEMBER 22</v>
      </c>
      <c r="J180" s="8" t="s">
        <v>274</v>
      </c>
      <c r="K180" s="8" t="str">
        <f>CONCATENATE(TableAopCalendar[[#This Row],[Month for Plan]]," ",TableAopCalendar[[#This Row],[Plan]])</f>
        <v>SEPTEMBER 22 PLANNED</v>
      </c>
    </row>
    <row r="181" spans="1:11" x14ac:dyDescent="0.25">
      <c r="A181" s="5">
        <f t="shared" si="6"/>
        <v>6</v>
      </c>
      <c r="B181" s="6">
        <v>44831</v>
      </c>
      <c r="C181" s="7" t="s">
        <v>269</v>
      </c>
      <c r="D181" s="7">
        <v>22</v>
      </c>
      <c r="E181" s="5">
        <f>DAY(TableAopCalendar[[#This Row],[Date]])</f>
        <v>27</v>
      </c>
      <c r="F181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1" s="5" t="str">
        <f t="shared" si="7"/>
        <v>Week 4</v>
      </c>
      <c r="H181" s="5" t="str">
        <f t="shared" si="8"/>
        <v>September 22 Week 4</v>
      </c>
      <c r="I181" s="5" t="str">
        <f>CONCATENATE(UPPER(TableAopCalendar[[#This Row],[Month]])," ",TableAopCalendar[[#This Row],[Year]])</f>
        <v>SEPTEMBER 22</v>
      </c>
      <c r="J181" s="8" t="s">
        <v>274</v>
      </c>
      <c r="K181" s="8" t="str">
        <f>CONCATENATE(TableAopCalendar[[#This Row],[Month for Plan]]," ",TableAopCalendar[[#This Row],[Plan]])</f>
        <v>SEPTEMBER 22 PLANNED</v>
      </c>
    </row>
    <row r="182" spans="1:11" x14ac:dyDescent="0.25">
      <c r="A182" s="5">
        <f t="shared" si="6"/>
        <v>7</v>
      </c>
      <c r="B182" s="6">
        <v>44832</v>
      </c>
      <c r="C182" s="7" t="s">
        <v>269</v>
      </c>
      <c r="D182" s="7">
        <v>22</v>
      </c>
      <c r="E182" s="5">
        <f>DAY(TableAopCalendar[[#This Row],[Date]])</f>
        <v>28</v>
      </c>
      <c r="F18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2" s="5" t="str">
        <f t="shared" si="7"/>
        <v>Week 4</v>
      </c>
      <c r="H182" s="5" t="str">
        <f t="shared" si="8"/>
        <v>September 22 Week 4</v>
      </c>
      <c r="I182" s="5" t="str">
        <f>CONCATENATE(UPPER(TableAopCalendar[[#This Row],[Month]])," ",TableAopCalendar[[#This Row],[Year]])</f>
        <v>SEPTEMBER 22</v>
      </c>
      <c r="J182" s="8" t="s">
        <v>274</v>
      </c>
      <c r="K182" s="8" t="str">
        <f>CONCATENATE(TableAopCalendar[[#This Row],[Month for Plan]]," ",TableAopCalendar[[#This Row],[Plan]])</f>
        <v>SEPTEMBER 22 PLANNED</v>
      </c>
    </row>
    <row r="183" spans="1:11" x14ac:dyDescent="0.25">
      <c r="A183" s="5">
        <f t="shared" si="6"/>
        <v>1</v>
      </c>
      <c r="B183" s="6">
        <v>44833</v>
      </c>
      <c r="C183" s="7" t="s">
        <v>269</v>
      </c>
      <c r="D183" s="7">
        <v>22</v>
      </c>
      <c r="E183" s="5">
        <f>DAY(TableAopCalendar[[#This Row],[Date]])</f>
        <v>29</v>
      </c>
      <c r="F183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3" s="5" t="str">
        <f t="shared" si="7"/>
        <v>Week 5</v>
      </c>
      <c r="H183" s="5" t="str">
        <f t="shared" si="8"/>
        <v>September 22 Week 5</v>
      </c>
      <c r="I183" s="5" t="str">
        <f>CONCATENATE(UPPER(TableAopCalendar[[#This Row],[Month]])," ",TableAopCalendar[[#This Row],[Year]])</f>
        <v>SEPTEMBER 22</v>
      </c>
      <c r="J183" s="8" t="s">
        <v>274</v>
      </c>
      <c r="K183" s="8" t="str">
        <f>CONCATENATE(TableAopCalendar[[#This Row],[Month for Plan]]," ",TableAopCalendar[[#This Row],[Plan]])</f>
        <v>SEPTEMBER 22 PLANNED</v>
      </c>
    </row>
    <row r="184" spans="1:11" x14ac:dyDescent="0.25">
      <c r="A184" s="5">
        <f t="shared" si="6"/>
        <v>2</v>
      </c>
      <c r="B184" s="6">
        <v>44834</v>
      </c>
      <c r="C184" s="7" t="s">
        <v>269</v>
      </c>
      <c r="D184" s="7">
        <v>22</v>
      </c>
      <c r="E184" s="5">
        <f>DAY(TableAopCalendar[[#This Row],[Date]])</f>
        <v>30</v>
      </c>
      <c r="F184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4" s="5" t="str">
        <f t="shared" si="7"/>
        <v>Week 5</v>
      </c>
      <c r="H184" s="5" t="str">
        <f t="shared" si="8"/>
        <v>September 22 Week 5</v>
      </c>
      <c r="I184" s="5" t="str">
        <f>CONCATENATE(UPPER(TableAopCalendar[[#This Row],[Month]])," ",TableAopCalendar[[#This Row],[Year]])</f>
        <v>SEPTEMBER 22</v>
      </c>
      <c r="J184" s="8" t="s">
        <v>274</v>
      </c>
      <c r="K184" s="8" t="str">
        <f>CONCATENATE(TableAopCalendar[[#This Row],[Month for Plan]]," ",TableAopCalendar[[#This Row],[Plan]])</f>
        <v>SEPTEMBER 22 PLANNED</v>
      </c>
    </row>
    <row r="185" spans="1:11" x14ac:dyDescent="0.25">
      <c r="A185" s="5">
        <f t="shared" si="6"/>
        <v>1</v>
      </c>
      <c r="B185" s="6">
        <v>44835</v>
      </c>
      <c r="C185" s="7" t="s">
        <v>114</v>
      </c>
      <c r="D185" s="7">
        <v>22</v>
      </c>
      <c r="E185" s="5">
        <f>DAY(TableAopCalendar[[#This Row],[Date]])</f>
        <v>1</v>
      </c>
      <c r="F185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5" s="5" t="str">
        <f t="shared" si="7"/>
        <v>Week 1</v>
      </c>
      <c r="H185" s="5" t="str">
        <f t="shared" si="8"/>
        <v>October 22 Week 1</v>
      </c>
      <c r="I185" s="5" t="str">
        <f>CONCATENATE(UPPER(TableAopCalendar[[#This Row],[Month]])," ",TableAopCalendar[[#This Row],[Year]])</f>
        <v>OCTOBER 22</v>
      </c>
      <c r="J185" s="8" t="s">
        <v>274</v>
      </c>
      <c r="K185" s="8" t="str">
        <f>CONCATENATE(TableAopCalendar[[#This Row],[Month for Plan]]," ",TableAopCalendar[[#This Row],[Plan]])</f>
        <v>OCTOBER 22 PLANNED</v>
      </c>
    </row>
    <row r="186" spans="1:11" x14ac:dyDescent="0.25">
      <c r="A186" s="5">
        <f t="shared" si="6"/>
        <v>2</v>
      </c>
      <c r="B186" s="6">
        <v>44836</v>
      </c>
      <c r="C186" s="7" t="s">
        <v>114</v>
      </c>
      <c r="D186" s="7">
        <v>22</v>
      </c>
      <c r="E186" s="5">
        <f>DAY(TableAopCalendar[[#This Row],[Date]])</f>
        <v>2</v>
      </c>
      <c r="F18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6" s="5" t="str">
        <f t="shared" si="7"/>
        <v>Week 1</v>
      </c>
      <c r="H186" s="5" t="str">
        <f t="shared" si="8"/>
        <v>October 22 Week 1</v>
      </c>
      <c r="I186" s="5" t="str">
        <f>CONCATENATE(UPPER(TableAopCalendar[[#This Row],[Month]])," ",TableAopCalendar[[#This Row],[Year]])</f>
        <v>OCTOBER 22</v>
      </c>
      <c r="J186" s="8" t="s">
        <v>274</v>
      </c>
      <c r="K186" s="8" t="str">
        <f>CONCATENATE(TableAopCalendar[[#This Row],[Month for Plan]]," ",TableAopCalendar[[#This Row],[Plan]])</f>
        <v>OCTOBER 22 PLANNED</v>
      </c>
    </row>
    <row r="187" spans="1:11" x14ac:dyDescent="0.25">
      <c r="A187" s="5">
        <f t="shared" si="6"/>
        <v>3</v>
      </c>
      <c r="B187" s="6">
        <v>44837</v>
      </c>
      <c r="C187" s="7" t="s">
        <v>114</v>
      </c>
      <c r="D187" s="7">
        <v>22</v>
      </c>
      <c r="E187" s="5">
        <f>DAY(TableAopCalendar[[#This Row],[Date]])</f>
        <v>3</v>
      </c>
      <c r="F18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7" s="5" t="str">
        <f t="shared" si="7"/>
        <v>Week 1</v>
      </c>
      <c r="H187" s="5" t="str">
        <f t="shared" si="8"/>
        <v>October 22 Week 1</v>
      </c>
      <c r="I187" s="5" t="str">
        <f>CONCATENATE(UPPER(TableAopCalendar[[#This Row],[Month]])," ",TableAopCalendar[[#This Row],[Year]])</f>
        <v>OCTOBER 22</v>
      </c>
      <c r="J187" s="8" t="s">
        <v>274</v>
      </c>
      <c r="K187" s="8" t="str">
        <f>CONCATENATE(TableAopCalendar[[#This Row],[Month for Plan]]," ",TableAopCalendar[[#This Row],[Plan]])</f>
        <v>OCTOBER 22 PLANNED</v>
      </c>
    </row>
    <row r="188" spans="1:11" x14ac:dyDescent="0.25">
      <c r="A188" s="5">
        <f t="shared" si="6"/>
        <v>4</v>
      </c>
      <c r="B188" s="6">
        <v>44838</v>
      </c>
      <c r="C188" s="7" t="s">
        <v>114</v>
      </c>
      <c r="D188" s="7">
        <v>22</v>
      </c>
      <c r="E188" s="5">
        <f>DAY(TableAopCalendar[[#This Row],[Date]])</f>
        <v>4</v>
      </c>
      <c r="F18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8" s="5" t="str">
        <f t="shared" si="7"/>
        <v>Week 1</v>
      </c>
      <c r="H188" s="5" t="str">
        <f t="shared" si="8"/>
        <v>October 22 Week 1</v>
      </c>
      <c r="I188" s="5" t="str">
        <f>CONCATENATE(UPPER(TableAopCalendar[[#This Row],[Month]])," ",TableAopCalendar[[#This Row],[Year]])</f>
        <v>OCTOBER 22</v>
      </c>
      <c r="J188" s="8" t="s">
        <v>274</v>
      </c>
      <c r="K188" s="8" t="str">
        <f>CONCATENATE(TableAopCalendar[[#This Row],[Month for Plan]]," ",TableAopCalendar[[#This Row],[Plan]])</f>
        <v>OCTOBER 22 PLANNED</v>
      </c>
    </row>
    <row r="189" spans="1:11" x14ac:dyDescent="0.25">
      <c r="A189" s="5">
        <f t="shared" si="6"/>
        <v>5</v>
      </c>
      <c r="B189" s="6">
        <v>44839</v>
      </c>
      <c r="C189" s="7" t="s">
        <v>114</v>
      </c>
      <c r="D189" s="7">
        <v>22</v>
      </c>
      <c r="E189" s="5">
        <f>DAY(TableAopCalendar[[#This Row],[Date]])</f>
        <v>5</v>
      </c>
      <c r="F18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9" s="5" t="str">
        <f t="shared" si="7"/>
        <v>Week 1</v>
      </c>
      <c r="H189" s="5" t="str">
        <f t="shared" si="8"/>
        <v>October 22 Week 1</v>
      </c>
      <c r="I189" s="5" t="str">
        <f>CONCATENATE(UPPER(TableAopCalendar[[#This Row],[Month]])," ",TableAopCalendar[[#This Row],[Year]])</f>
        <v>OCTOBER 22</v>
      </c>
      <c r="J189" s="8" t="s">
        <v>274</v>
      </c>
      <c r="K189" s="8" t="str">
        <f>CONCATENATE(TableAopCalendar[[#This Row],[Month for Plan]]," ",TableAopCalendar[[#This Row],[Plan]])</f>
        <v>OCTOBER 22 PLANNED</v>
      </c>
    </row>
    <row r="190" spans="1:11" x14ac:dyDescent="0.25">
      <c r="A190" s="5">
        <f t="shared" si="6"/>
        <v>6</v>
      </c>
      <c r="B190" s="6">
        <v>44840</v>
      </c>
      <c r="C190" s="7" t="s">
        <v>114</v>
      </c>
      <c r="D190" s="7">
        <v>22</v>
      </c>
      <c r="E190" s="5">
        <f>DAY(TableAopCalendar[[#This Row],[Date]])</f>
        <v>6</v>
      </c>
      <c r="F190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0" s="5" t="str">
        <f t="shared" si="7"/>
        <v>Week 1</v>
      </c>
      <c r="H190" s="5" t="str">
        <f t="shared" si="8"/>
        <v>October 22 Week 1</v>
      </c>
      <c r="I190" s="5" t="str">
        <f>CONCATENATE(UPPER(TableAopCalendar[[#This Row],[Month]])," ",TableAopCalendar[[#This Row],[Year]])</f>
        <v>OCTOBER 22</v>
      </c>
      <c r="J190" s="8" t="s">
        <v>274</v>
      </c>
      <c r="K190" s="8" t="str">
        <f>CONCATENATE(TableAopCalendar[[#This Row],[Month for Plan]]," ",TableAopCalendar[[#This Row],[Plan]])</f>
        <v>OCTOBER 22 PLANNED</v>
      </c>
    </row>
    <row r="191" spans="1:11" x14ac:dyDescent="0.25">
      <c r="A191" s="5">
        <f t="shared" si="6"/>
        <v>7</v>
      </c>
      <c r="B191" s="6">
        <v>44841</v>
      </c>
      <c r="C191" s="7" t="s">
        <v>114</v>
      </c>
      <c r="D191" s="7">
        <v>22</v>
      </c>
      <c r="E191" s="5">
        <f>DAY(TableAopCalendar[[#This Row],[Date]])</f>
        <v>7</v>
      </c>
      <c r="F19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1" s="5" t="str">
        <f t="shared" si="7"/>
        <v>Week 1</v>
      </c>
      <c r="H191" s="5" t="str">
        <f t="shared" si="8"/>
        <v>October 22 Week 1</v>
      </c>
      <c r="I191" s="5" t="str">
        <f>CONCATENATE(UPPER(TableAopCalendar[[#This Row],[Month]])," ",TableAopCalendar[[#This Row],[Year]])</f>
        <v>OCTOBER 22</v>
      </c>
      <c r="J191" s="8" t="s">
        <v>274</v>
      </c>
      <c r="K191" s="8" t="str">
        <f>CONCATENATE(TableAopCalendar[[#This Row],[Month for Plan]]," ",TableAopCalendar[[#This Row],[Plan]])</f>
        <v>OCTOBER 22 PLANNED</v>
      </c>
    </row>
    <row r="192" spans="1:11" x14ac:dyDescent="0.25">
      <c r="A192" s="5">
        <f t="shared" si="6"/>
        <v>1</v>
      </c>
      <c r="B192" s="6">
        <v>44842</v>
      </c>
      <c r="C192" s="7" t="s">
        <v>114</v>
      </c>
      <c r="D192" s="7">
        <v>22</v>
      </c>
      <c r="E192" s="5">
        <f>DAY(TableAopCalendar[[#This Row],[Date]])</f>
        <v>8</v>
      </c>
      <c r="F192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2" s="5" t="str">
        <f t="shared" si="7"/>
        <v>Week 2</v>
      </c>
      <c r="H192" s="5" t="str">
        <f t="shared" si="8"/>
        <v>October 22 Week 2</v>
      </c>
      <c r="I192" s="5" t="str">
        <f>CONCATENATE(UPPER(TableAopCalendar[[#This Row],[Month]])," ",TableAopCalendar[[#This Row],[Year]])</f>
        <v>OCTOBER 22</v>
      </c>
      <c r="J192" s="8" t="s">
        <v>274</v>
      </c>
      <c r="K192" s="8" t="str">
        <f>CONCATENATE(TableAopCalendar[[#This Row],[Month for Plan]]," ",TableAopCalendar[[#This Row],[Plan]])</f>
        <v>OCTOBER 22 PLANNED</v>
      </c>
    </row>
    <row r="193" spans="1:11" x14ac:dyDescent="0.25">
      <c r="A193" s="5">
        <f t="shared" si="6"/>
        <v>2</v>
      </c>
      <c r="B193" s="6">
        <v>44843</v>
      </c>
      <c r="C193" s="7" t="s">
        <v>114</v>
      </c>
      <c r="D193" s="7">
        <v>22</v>
      </c>
      <c r="E193" s="5">
        <f>DAY(TableAopCalendar[[#This Row],[Date]])</f>
        <v>9</v>
      </c>
      <c r="F19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3" s="5" t="str">
        <f t="shared" si="7"/>
        <v>Week 2</v>
      </c>
      <c r="H193" s="5" t="str">
        <f t="shared" si="8"/>
        <v>October 22 Week 2</v>
      </c>
      <c r="I193" s="5" t="str">
        <f>CONCATENATE(UPPER(TableAopCalendar[[#This Row],[Month]])," ",TableAopCalendar[[#This Row],[Year]])</f>
        <v>OCTOBER 22</v>
      </c>
      <c r="J193" s="8" t="s">
        <v>274</v>
      </c>
      <c r="K193" s="8" t="str">
        <f>CONCATENATE(TableAopCalendar[[#This Row],[Month for Plan]]," ",TableAopCalendar[[#This Row],[Plan]])</f>
        <v>OCTOBER 22 PLANNED</v>
      </c>
    </row>
    <row r="194" spans="1:11" x14ac:dyDescent="0.25">
      <c r="A194" s="5">
        <f t="shared" ref="A194:A257" si="9">IF(G194=G193,A193+1,1)</f>
        <v>3</v>
      </c>
      <c r="B194" s="6">
        <v>44844</v>
      </c>
      <c r="C194" s="7" t="s">
        <v>114</v>
      </c>
      <c r="D194" s="7">
        <v>22</v>
      </c>
      <c r="E194" s="5">
        <f>DAY(TableAopCalendar[[#This Row],[Date]])</f>
        <v>10</v>
      </c>
      <c r="F19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4" s="5" t="str">
        <f t="shared" ref="G194:G257" si="10">"Week"&amp;" "&amp;F194</f>
        <v>Week 2</v>
      </c>
      <c r="H194" s="5" t="str">
        <f t="shared" ref="H194:H257" si="11">CONCATENATE(C194," ",D194," ",G194)</f>
        <v>October 22 Week 2</v>
      </c>
      <c r="I194" s="5" t="str">
        <f>CONCATENATE(UPPER(TableAopCalendar[[#This Row],[Month]])," ",TableAopCalendar[[#This Row],[Year]])</f>
        <v>OCTOBER 22</v>
      </c>
      <c r="J194" s="8" t="s">
        <v>274</v>
      </c>
      <c r="K194" s="8" t="str">
        <f>CONCATENATE(TableAopCalendar[[#This Row],[Month for Plan]]," ",TableAopCalendar[[#This Row],[Plan]])</f>
        <v>OCTOBER 22 PLANNED</v>
      </c>
    </row>
    <row r="195" spans="1:11" x14ac:dyDescent="0.25">
      <c r="A195" s="5">
        <f t="shared" si="9"/>
        <v>4</v>
      </c>
      <c r="B195" s="6">
        <v>44845</v>
      </c>
      <c r="C195" s="7" t="s">
        <v>114</v>
      </c>
      <c r="D195" s="7">
        <v>22</v>
      </c>
      <c r="E195" s="5">
        <f>DAY(TableAopCalendar[[#This Row],[Date]])</f>
        <v>11</v>
      </c>
      <c r="F19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5" s="5" t="str">
        <f t="shared" si="10"/>
        <v>Week 2</v>
      </c>
      <c r="H195" s="5" t="str">
        <f t="shared" si="11"/>
        <v>October 22 Week 2</v>
      </c>
      <c r="I195" s="5" t="str">
        <f>CONCATENATE(UPPER(TableAopCalendar[[#This Row],[Month]])," ",TableAopCalendar[[#This Row],[Year]])</f>
        <v>OCTOBER 22</v>
      </c>
      <c r="J195" s="8" t="s">
        <v>274</v>
      </c>
      <c r="K195" s="8" t="str">
        <f>CONCATENATE(TableAopCalendar[[#This Row],[Month for Plan]]," ",TableAopCalendar[[#This Row],[Plan]])</f>
        <v>OCTOBER 22 PLANNED</v>
      </c>
    </row>
    <row r="196" spans="1:11" x14ac:dyDescent="0.25">
      <c r="A196" s="5">
        <f t="shared" si="9"/>
        <v>5</v>
      </c>
      <c r="B196" s="6">
        <v>44846</v>
      </c>
      <c r="C196" s="7" t="s">
        <v>114</v>
      </c>
      <c r="D196" s="7">
        <v>22</v>
      </c>
      <c r="E196" s="5">
        <f>DAY(TableAopCalendar[[#This Row],[Date]])</f>
        <v>12</v>
      </c>
      <c r="F19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6" s="5" t="str">
        <f t="shared" si="10"/>
        <v>Week 2</v>
      </c>
      <c r="H196" s="5" t="str">
        <f t="shared" si="11"/>
        <v>October 22 Week 2</v>
      </c>
      <c r="I196" s="5" t="str">
        <f>CONCATENATE(UPPER(TableAopCalendar[[#This Row],[Month]])," ",TableAopCalendar[[#This Row],[Year]])</f>
        <v>OCTOBER 22</v>
      </c>
      <c r="J196" s="8" t="s">
        <v>274</v>
      </c>
      <c r="K196" s="8" t="str">
        <f>CONCATENATE(TableAopCalendar[[#This Row],[Month for Plan]]," ",TableAopCalendar[[#This Row],[Plan]])</f>
        <v>OCTOBER 22 PLANNED</v>
      </c>
    </row>
    <row r="197" spans="1:11" x14ac:dyDescent="0.25">
      <c r="A197" s="5">
        <f t="shared" si="9"/>
        <v>6</v>
      </c>
      <c r="B197" s="6">
        <v>44847</v>
      </c>
      <c r="C197" s="7" t="s">
        <v>114</v>
      </c>
      <c r="D197" s="7">
        <v>22</v>
      </c>
      <c r="E197" s="5">
        <f>DAY(TableAopCalendar[[#This Row],[Date]])</f>
        <v>13</v>
      </c>
      <c r="F197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7" s="5" t="str">
        <f t="shared" si="10"/>
        <v>Week 2</v>
      </c>
      <c r="H197" s="5" t="str">
        <f t="shared" si="11"/>
        <v>October 22 Week 2</v>
      </c>
      <c r="I197" s="5" t="str">
        <f>CONCATENATE(UPPER(TableAopCalendar[[#This Row],[Month]])," ",TableAopCalendar[[#This Row],[Year]])</f>
        <v>OCTOBER 22</v>
      </c>
      <c r="J197" s="8" t="s">
        <v>274</v>
      </c>
      <c r="K197" s="8" t="str">
        <f>CONCATENATE(TableAopCalendar[[#This Row],[Month for Plan]]," ",TableAopCalendar[[#This Row],[Plan]])</f>
        <v>OCTOBER 22 PLANNED</v>
      </c>
    </row>
    <row r="198" spans="1:11" x14ac:dyDescent="0.25">
      <c r="A198" s="5">
        <f t="shared" si="9"/>
        <v>7</v>
      </c>
      <c r="B198" s="6">
        <v>44848</v>
      </c>
      <c r="C198" s="7" t="s">
        <v>114</v>
      </c>
      <c r="D198" s="7">
        <v>22</v>
      </c>
      <c r="E198" s="5">
        <f>DAY(TableAopCalendar[[#This Row],[Date]])</f>
        <v>14</v>
      </c>
      <c r="F19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8" s="5" t="str">
        <f t="shared" si="10"/>
        <v>Week 2</v>
      </c>
      <c r="H198" s="5" t="str">
        <f t="shared" si="11"/>
        <v>October 22 Week 2</v>
      </c>
      <c r="I198" s="5" t="str">
        <f>CONCATENATE(UPPER(TableAopCalendar[[#This Row],[Month]])," ",TableAopCalendar[[#This Row],[Year]])</f>
        <v>OCTOBER 22</v>
      </c>
      <c r="J198" s="8" t="s">
        <v>274</v>
      </c>
      <c r="K198" s="8" t="str">
        <f>CONCATENATE(TableAopCalendar[[#This Row],[Month for Plan]]," ",TableAopCalendar[[#This Row],[Plan]])</f>
        <v>OCTOBER 22 PLANNED</v>
      </c>
    </row>
    <row r="199" spans="1:11" x14ac:dyDescent="0.25">
      <c r="A199" s="5">
        <f t="shared" si="9"/>
        <v>1</v>
      </c>
      <c r="B199" s="6">
        <v>44849</v>
      </c>
      <c r="C199" s="7" t="s">
        <v>114</v>
      </c>
      <c r="D199" s="7">
        <v>22</v>
      </c>
      <c r="E199" s="5">
        <f>DAY(TableAopCalendar[[#This Row],[Date]])</f>
        <v>15</v>
      </c>
      <c r="F199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9" s="5" t="str">
        <f t="shared" si="10"/>
        <v>Week 3</v>
      </c>
      <c r="H199" s="5" t="str">
        <f t="shared" si="11"/>
        <v>October 22 Week 3</v>
      </c>
      <c r="I199" s="5" t="str">
        <f>CONCATENATE(UPPER(TableAopCalendar[[#This Row],[Month]])," ",TableAopCalendar[[#This Row],[Year]])</f>
        <v>OCTOBER 22</v>
      </c>
      <c r="J199" s="8" t="s">
        <v>274</v>
      </c>
      <c r="K199" s="8" t="str">
        <f>CONCATENATE(TableAopCalendar[[#This Row],[Month for Plan]]," ",TableAopCalendar[[#This Row],[Plan]])</f>
        <v>OCTOBER 22 PLANNED</v>
      </c>
    </row>
    <row r="200" spans="1:11" x14ac:dyDescent="0.25">
      <c r="A200" s="5">
        <f t="shared" si="9"/>
        <v>2</v>
      </c>
      <c r="B200" s="6">
        <v>44850</v>
      </c>
      <c r="C200" s="7" t="s">
        <v>114</v>
      </c>
      <c r="D200" s="7">
        <v>22</v>
      </c>
      <c r="E200" s="5">
        <f>DAY(TableAopCalendar[[#This Row],[Date]])</f>
        <v>16</v>
      </c>
      <c r="F20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0" s="5" t="str">
        <f t="shared" si="10"/>
        <v>Week 3</v>
      </c>
      <c r="H200" s="5" t="str">
        <f t="shared" si="11"/>
        <v>October 22 Week 3</v>
      </c>
      <c r="I200" s="5" t="str">
        <f>CONCATENATE(UPPER(TableAopCalendar[[#This Row],[Month]])," ",TableAopCalendar[[#This Row],[Year]])</f>
        <v>OCTOBER 22</v>
      </c>
      <c r="J200" s="8" t="s">
        <v>274</v>
      </c>
      <c r="K200" s="8" t="str">
        <f>CONCATENATE(TableAopCalendar[[#This Row],[Month for Plan]]," ",TableAopCalendar[[#This Row],[Plan]])</f>
        <v>OCTOBER 22 PLANNED</v>
      </c>
    </row>
    <row r="201" spans="1:11" x14ac:dyDescent="0.25">
      <c r="A201" s="5">
        <f t="shared" si="9"/>
        <v>3</v>
      </c>
      <c r="B201" s="6">
        <v>44851</v>
      </c>
      <c r="C201" s="7" t="s">
        <v>114</v>
      </c>
      <c r="D201" s="7">
        <v>22</v>
      </c>
      <c r="E201" s="5">
        <f>DAY(TableAopCalendar[[#This Row],[Date]])</f>
        <v>17</v>
      </c>
      <c r="F20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1" s="5" t="str">
        <f t="shared" si="10"/>
        <v>Week 3</v>
      </c>
      <c r="H201" s="5" t="str">
        <f t="shared" si="11"/>
        <v>October 22 Week 3</v>
      </c>
      <c r="I201" s="5" t="str">
        <f>CONCATENATE(UPPER(TableAopCalendar[[#This Row],[Month]])," ",TableAopCalendar[[#This Row],[Year]])</f>
        <v>OCTOBER 22</v>
      </c>
      <c r="J201" s="8" t="s">
        <v>274</v>
      </c>
      <c r="K201" s="8" t="str">
        <f>CONCATENATE(TableAopCalendar[[#This Row],[Month for Plan]]," ",TableAopCalendar[[#This Row],[Plan]])</f>
        <v>OCTOBER 22 PLANNED</v>
      </c>
    </row>
    <row r="202" spans="1:11" x14ac:dyDescent="0.25">
      <c r="A202" s="5">
        <f t="shared" si="9"/>
        <v>4</v>
      </c>
      <c r="B202" s="6">
        <v>44852</v>
      </c>
      <c r="C202" s="7" t="s">
        <v>114</v>
      </c>
      <c r="D202" s="7">
        <v>22</v>
      </c>
      <c r="E202" s="5">
        <f>DAY(TableAopCalendar[[#This Row],[Date]])</f>
        <v>18</v>
      </c>
      <c r="F20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2" s="5" t="str">
        <f t="shared" si="10"/>
        <v>Week 3</v>
      </c>
      <c r="H202" s="5" t="str">
        <f t="shared" si="11"/>
        <v>October 22 Week 3</v>
      </c>
      <c r="I202" s="5" t="str">
        <f>CONCATENATE(UPPER(TableAopCalendar[[#This Row],[Month]])," ",TableAopCalendar[[#This Row],[Year]])</f>
        <v>OCTOBER 22</v>
      </c>
      <c r="J202" s="8" t="s">
        <v>274</v>
      </c>
      <c r="K202" s="8" t="str">
        <f>CONCATENATE(TableAopCalendar[[#This Row],[Month for Plan]]," ",TableAopCalendar[[#This Row],[Plan]])</f>
        <v>OCTOBER 22 PLANNED</v>
      </c>
    </row>
    <row r="203" spans="1:11" x14ac:dyDescent="0.25">
      <c r="A203" s="5">
        <f t="shared" si="9"/>
        <v>5</v>
      </c>
      <c r="B203" s="6">
        <v>44853</v>
      </c>
      <c r="C203" s="7" t="s">
        <v>114</v>
      </c>
      <c r="D203" s="7">
        <v>22</v>
      </c>
      <c r="E203" s="5">
        <f>DAY(TableAopCalendar[[#This Row],[Date]])</f>
        <v>19</v>
      </c>
      <c r="F20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3" s="5" t="str">
        <f t="shared" si="10"/>
        <v>Week 3</v>
      </c>
      <c r="H203" s="5" t="str">
        <f t="shared" si="11"/>
        <v>October 22 Week 3</v>
      </c>
      <c r="I203" s="5" t="str">
        <f>CONCATENATE(UPPER(TableAopCalendar[[#This Row],[Month]])," ",TableAopCalendar[[#This Row],[Year]])</f>
        <v>OCTOBER 22</v>
      </c>
      <c r="J203" s="8" t="s">
        <v>274</v>
      </c>
      <c r="K203" s="8" t="str">
        <f>CONCATENATE(TableAopCalendar[[#This Row],[Month for Plan]]," ",TableAopCalendar[[#This Row],[Plan]])</f>
        <v>OCTOBER 22 PLANNED</v>
      </c>
    </row>
    <row r="204" spans="1:11" x14ac:dyDescent="0.25">
      <c r="A204" s="5">
        <f t="shared" si="9"/>
        <v>6</v>
      </c>
      <c r="B204" s="6">
        <v>44854</v>
      </c>
      <c r="C204" s="7" t="s">
        <v>114</v>
      </c>
      <c r="D204" s="7">
        <v>22</v>
      </c>
      <c r="E204" s="5">
        <f>DAY(TableAopCalendar[[#This Row],[Date]])</f>
        <v>20</v>
      </c>
      <c r="F204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4" s="5" t="str">
        <f t="shared" si="10"/>
        <v>Week 3</v>
      </c>
      <c r="H204" s="5" t="str">
        <f t="shared" si="11"/>
        <v>October 22 Week 3</v>
      </c>
      <c r="I204" s="5" t="str">
        <f>CONCATENATE(UPPER(TableAopCalendar[[#This Row],[Month]])," ",TableAopCalendar[[#This Row],[Year]])</f>
        <v>OCTOBER 22</v>
      </c>
      <c r="J204" s="8" t="s">
        <v>274</v>
      </c>
      <c r="K204" s="8" t="str">
        <f>CONCATENATE(TableAopCalendar[[#This Row],[Month for Plan]]," ",TableAopCalendar[[#This Row],[Plan]])</f>
        <v>OCTOBER 22 PLANNED</v>
      </c>
    </row>
    <row r="205" spans="1:11" x14ac:dyDescent="0.25">
      <c r="A205" s="5">
        <f t="shared" si="9"/>
        <v>7</v>
      </c>
      <c r="B205" s="6">
        <v>44855</v>
      </c>
      <c r="C205" s="7" t="s">
        <v>114</v>
      </c>
      <c r="D205" s="7">
        <v>22</v>
      </c>
      <c r="E205" s="5">
        <f>DAY(TableAopCalendar[[#This Row],[Date]])</f>
        <v>21</v>
      </c>
      <c r="F20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5" s="5" t="str">
        <f t="shared" si="10"/>
        <v>Week 3</v>
      </c>
      <c r="H205" s="5" t="str">
        <f t="shared" si="11"/>
        <v>October 22 Week 3</v>
      </c>
      <c r="I205" s="5" t="str">
        <f>CONCATENATE(UPPER(TableAopCalendar[[#This Row],[Month]])," ",TableAopCalendar[[#This Row],[Year]])</f>
        <v>OCTOBER 22</v>
      </c>
      <c r="J205" s="8" t="s">
        <v>274</v>
      </c>
      <c r="K205" s="8" t="str">
        <f>CONCATENATE(TableAopCalendar[[#This Row],[Month for Plan]]," ",TableAopCalendar[[#This Row],[Plan]])</f>
        <v>OCTOBER 22 PLANNED</v>
      </c>
    </row>
    <row r="206" spans="1:11" x14ac:dyDescent="0.25">
      <c r="A206" s="5">
        <f t="shared" si="9"/>
        <v>1</v>
      </c>
      <c r="B206" s="6">
        <v>44856</v>
      </c>
      <c r="C206" s="7" t="s">
        <v>114</v>
      </c>
      <c r="D206" s="7">
        <v>22</v>
      </c>
      <c r="E206" s="5">
        <f>DAY(TableAopCalendar[[#This Row],[Date]])</f>
        <v>22</v>
      </c>
      <c r="F206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" s="5" t="str">
        <f t="shared" si="10"/>
        <v>Week 4</v>
      </c>
      <c r="H206" s="5" t="str">
        <f t="shared" si="11"/>
        <v>October 22 Week 4</v>
      </c>
      <c r="I206" s="5" t="str">
        <f>CONCATENATE(UPPER(TableAopCalendar[[#This Row],[Month]])," ",TableAopCalendar[[#This Row],[Year]])</f>
        <v>OCTOBER 22</v>
      </c>
      <c r="J206" s="8" t="s">
        <v>274</v>
      </c>
      <c r="K206" s="8" t="str">
        <f>CONCATENATE(TableAopCalendar[[#This Row],[Month for Plan]]," ",TableAopCalendar[[#This Row],[Plan]])</f>
        <v>OCTOBER 22 PLANNED</v>
      </c>
    </row>
    <row r="207" spans="1:11" x14ac:dyDescent="0.25">
      <c r="A207" s="5">
        <f t="shared" si="9"/>
        <v>2</v>
      </c>
      <c r="B207" s="6">
        <v>44857</v>
      </c>
      <c r="C207" s="7" t="s">
        <v>114</v>
      </c>
      <c r="D207" s="7">
        <v>22</v>
      </c>
      <c r="E207" s="5">
        <f>DAY(TableAopCalendar[[#This Row],[Date]])</f>
        <v>23</v>
      </c>
      <c r="F20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7" s="5" t="str">
        <f t="shared" si="10"/>
        <v>Week 4</v>
      </c>
      <c r="H207" s="5" t="str">
        <f t="shared" si="11"/>
        <v>October 22 Week 4</v>
      </c>
      <c r="I207" s="5" t="str">
        <f>CONCATENATE(UPPER(TableAopCalendar[[#This Row],[Month]])," ",TableAopCalendar[[#This Row],[Year]])</f>
        <v>OCTOBER 22</v>
      </c>
      <c r="J207" s="8" t="s">
        <v>274</v>
      </c>
      <c r="K207" s="8" t="str">
        <f>CONCATENATE(TableAopCalendar[[#This Row],[Month for Plan]]," ",TableAopCalendar[[#This Row],[Plan]])</f>
        <v>OCTOBER 22 PLANNED</v>
      </c>
    </row>
    <row r="208" spans="1:11" x14ac:dyDescent="0.25">
      <c r="A208" s="5">
        <f t="shared" si="9"/>
        <v>3</v>
      </c>
      <c r="B208" s="6">
        <v>44858</v>
      </c>
      <c r="C208" s="7" t="s">
        <v>114</v>
      </c>
      <c r="D208" s="7">
        <v>22</v>
      </c>
      <c r="E208" s="5">
        <f>DAY(TableAopCalendar[[#This Row],[Date]])</f>
        <v>24</v>
      </c>
      <c r="F20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8" s="5" t="str">
        <f t="shared" si="10"/>
        <v>Week 4</v>
      </c>
      <c r="H208" s="5" t="str">
        <f t="shared" si="11"/>
        <v>October 22 Week 4</v>
      </c>
      <c r="I208" s="5" t="str">
        <f>CONCATENATE(UPPER(TableAopCalendar[[#This Row],[Month]])," ",TableAopCalendar[[#This Row],[Year]])</f>
        <v>OCTOBER 22</v>
      </c>
      <c r="J208" s="8" t="s">
        <v>274</v>
      </c>
      <c r="K208" s="8" t="str">
        <f>CONCATENATE(TableAopCalendar[[#This Row],[Month for Plan]]," ",TableAopCalendar[[#This Row],[Plan]])</f>
        <v>OCTOBER 22 PLANNED</v>
      </c>
    </row>
    <row r="209" spans="1:11" x14ac:dyDescent="0.25">
      <c r="A209" s="5">
        <f t="shared" si="9"/>
        <v>4</v>
      </c>
      <c r="B209" s="6">
        <v>44859</v>
      </c>
      <c r="C209" s="7" t="s">
        <v>114</v>
      </c>
      <c r="D209" s="7">
        <v>22</v>
      </c>
      <c r="E209" s="5">
        <f>DAY(TableAopCalendar[[#This Row],[Date]])</f>
        <v>25</v>
      </c>
      <c r="F20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" s="5" t="str">
        <f t="shared" si="10"/>
        <v>Week 4</v>
      </c>
      <c r="H209" s="5" t="str">
        <f t="shared" si="11"/>
        <v>October 22 Week 4</v>
      </c>
      <c r="I209" s="5" t="str">
        <f>CONCATENATE(UPPER(TableAopCalendar[[#This Row],[Month]])," ",TableAopCalendar[[#This Row],[Year]])</f>
        <v>OCTOBER 22</v>
      </c>
      <c r="J209" s="8" t="s">
        <v>274</v>
      </c>
      <c r="K209" s="8" t="str">
        <f>CONCATENATE(TableAopCalendar[[#This Row],[Month for Plan]]," ",TableAopCalendar[[#This Row],[Plan]])</f>
        <v>OCTOBER 22 PLANNED</v>
      </c>
    </row>
    <row r="210" spans="1:11" x14ac:dyDescent="0.25">
      <c r="A210" s="5">
        <f t="shared" si="9"/>
        <v>5</v>
      </c>
      <c r="B210" s="6">
        <v>44860</v>
      </c>
      <c r="C210" s="7" t="s">
        <v>114</v>
      </c>
      <c r="D210" s="7">
        <v>22</v>
      </c>
      <c r="E210" s="5">
        <f>DAY(TableAopCalendar[[#This Row],[Date]])</f>
        <v>26</v>
      </c>
      <c r="F21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0" s="5" t="str">
        <f t="shared" si="10"/>
        <v>Week 4</v>
      </c>
      <c r="H210" s="5" t="str">
        <f t="shared" si="11"/>
        <v>October 22 Week 4</v>
      </c>
      <c r="I210" s="5" t="str">
        <f>CONCATENATE(UPPER(TableAopCalendar[[#This Row],[Month]])," ",TableAopCalendar[[#This Row],[Year]])</f>
        <v>OCTOBER 22</v>
      </c>
      <c r="J210" s="8" t="s">
        <v>274</v>
      </c>
      <c r="K210" s="8" t="str">
        <f>CONCATENATE(TableAopCalendar[[#This Row],[Month for Plan]]," ",TableAopCalendar[[#This Row],[Plan]])</f>
        <v>OCTOBER 22 PLANNED</v>
      </c>
    </row>
    <row r="211" spans="1:11" x14ac:dyDescent="0.25">
      <c r="A211" s="5">
        <f t="shared" si="9"/>
        <v>6</v>
      </c>
      <c r="B211" s="6">
        <v>44861</v>
      </c>
      <c r="C211" s="7" t="s">
        <v>114</v>
      </c>
      <c r="D211" s="7">
        <v>22</v>
      </c>
      <c r="E211" s="5">
        <f>DAY(TableAopCalendar[[#This Row],[Date]])</f>
        <v>27</v>
      </c>
      <c r="F211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1" s="5" t="str">
        <f t="shared" si="10"/>
        <v>Week 4</v>
      </c>
      <c r="H211" s="5" t="str">
        <f t="shared" si="11"/>
        <v>October 22 Week 4</v>
      </c>
      <c r="I211" s="5" t="str">
        <f>CONCATENATE(UPPER(TableAopCalendar[[#This Row],[Month]])," ",TableAopCalendar[[#This Row],[Year]])</f>
        <v>OCTOBER 22</v>
      </c>
      <c r="J211" s="8" t="s">
        <v>274</v>
      </c>
      <c r="K211" s="8" t="str">
        <f>CONCATENATE(TableAopCalendar[[#This Row],[Month for Plan]]," ",TableAopCalendar[[#This Row],[Plan]])</f>
        <v>OCTOBER 22 PLANNED</v>
      </c>
    </row>
    <row r="212" spans="1:11" x14ac:dyDescent="0.25">
      <c r="A212" s="5">
        <f t="shared" si="9"/>
        <v>7</v>
      </c>
      <c r="B212" s="6">
        <v>44862</v>
      </c>
      <c r="C212" s="7" t="s">
        <v>114</v>
      </c>
      <c r="D212" s="7">
        <v>22</v>
      </c>
      <c r="E212" s="5">
        <f>DAY(TableAopCalendar[[#This Row],[Date]])</f>
        <v>28</v>
      </c>
      <c r="F21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2" s="5" t="str">
        <f t="shared" si="10"/>
        <v>Week 4</v>
      </c>
      <c r="H212" s="5" t="str">
        <f t="shared" si="11"/>
        <v>October 22 Week 4</v>
      </c>
      <c r="I212" s="5" t="str">
        <f>CONCATENATE(UPPER(TableAopCalendar[[#This Row],[Month]])," ",TableAopCalendar[[#This Row],[Year]])</f>
        <v>OCTOBER 22</v>
      </c>
      <c r="J212" s="8" t="s">
        <v>274</v>
      </c>
      <c r="K212" s="8" t="str">
        <f>CONCATENATE(TableAopCalendar[[#This Row],[Month for Plan]]," ",TableAopCalendar[[#This Row],[Plan]])</f>
        <v>OCTOBER 22 PLANNED</v>
      </c>
    </row>
    <row r="213" spans="1:11" x14ac:dyDescent="0.25">
      <c r="A213" s="5">
        <f t="shared" si="9"/>
        <v>1</v>
      </c>
      <c r="B213" s="6">
        <v>44863</v>
      </c>
      <c r="C213" s="7" t="s">
        <v>114</v>
      </c>
      <c r="D213" s="7">
        <v>22</v>
      </c>
      <c r="E213" s="5">
        <f>DAY(TableAopCalendar[[#This Row],[Date]])</f>
        <v>29</v>
      </c>
      <c r="F213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3" s="5" t="str">
        <f t="shared" si="10"/>
        <v>Week 5</v>
      </c>
      <c r="H213" s="5" t="str">
        <f t="shared" si="11"/>
        <v>October 22 Week 5</v>
      </c>
      <c r="I213" s="5" t="str">
        <f>CONCATENATE(UPPER(TableAopCalendar[[#This Row],[Month]])," ",TableAopCalendar[[#This Row],[Year]])</f>
        <v>OCTOBER 22</v>
      </c>
      <c r="J213" s="8" t="s">
        <v>274</v>
      </c>
      <c r="K213" s="8" t="str">
        <f>CONCATENATE(TableAopCalendar[[#This Row],[Month for Plan]]," ",TableAopCalendar[[#This Row],[Plan]])</f>
        <v>OCTOBER 22 PLANNED</v>
      </c>
    </row>
    <row r="214" spans="1:11" x14ac:dyDescent="0.25">
      <c r="A214" s="5">
        <f t="shared" si="9"/>
        <v>2</v>
      </c>
      <c r="B214" s="6">
        <v>44864</v>
      </c>
      <c r="C214" s="7" t="s">
        <v>114</v>
      </c>
      <c r="D214" s="7">
        <v>22</v>
      </c>
      <c r="E214" s="5">
        <f>DAY(TableAopCalendar[[#This Row],[Date]])</f>
        <v>30</v>
      </c>
      <c r="F214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4" s="5" t="str">
        <f t="shared" si="10"/>
        <v>Week 5</v>
      </c>
      <c r="H214" s="5" t="str">
        <f t="shared" si="11"/>
        <v>October 22 Week 5</v>
      </c>
      <c r="I214" s="5" t="str">
        <f>CONCATENATE(UPPER(TableAopCalendar[[#This Row],[Month]])," ",TableAopCalendar[[#This Row],[Year]])</f>
        <v>OCTOBER 22</v>
      </c>
      <c r="J214" s="8" t="s">
        <v>274</v>
      </c>
      <c r="K214" s="8" t="str">
        <f>CONCATENATE(TableAopCalendar[[#This Row],[Month for Plan]]," ",TableAopCalendar[[#This Row],[Plan]])</f>
        <v>OCTOBER 22 PLANNED</v>
      </c>
    </row>
    <row r="215" spans="1:11" x14ac:dyDescent="0.25">
      <c r="A215" s="5">
        <f t="shared" si="9"/>
        <v>3</v>
      </c>
      <c r="B215" s="6">
        <v>44865</v>
      </c>
      <c r="C215" s="7" t="s">
        <v>114</v>
      </c>
      <c r="D215" s="7">
        <v>22</v>
      </c>
      <c r="E215" s="5">
        <f>DAY(TableAopCalendar[[#This Row],[Date]])</f>
        <v>31</v>
      </c>
      <c r="F215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5" s="5" t="str">
        <f t="shared" si="10"/>
        <v>Week 5</v>
      </c>
      <c r="H215" s="5" t="str">
        <f t="shared" si="11"/>
        <v>October 22 Week 5</v>
      </c>
      <c r="I215" s="5" t="str">
        <f>CONCATENATE(UPPER(TableAopCalendar[[#This Row],[Month]])," ",TableAopCalendar[[#This Row],[Year]])</f>
        <v>OCTOBER 22</v>
      </c>
      <c r="J215" s="8" t="s">
        <v>274</v>
      </c>
      <c r="K215" s="8" t="str">
        <f>CONCATENATE(TableAopCalendar[[#This Row],[Month for Plan]]," ",TableAopCalendar[[#This Row],[Plan]])</f>
        <v>OCTOBER 22 PLANNED</v>
      </c>
    </row>
    <row r="216" spans="1:11" x14ac:dyDescent="0.25">
      <c r="A216" s="5">
        <f t="shared" si="9"/>
        <v>1</v>
      </c>
      <c r="B216" s="6">
        <v>44866</v>
      </c>
      <c r="C216" s="7" t="s">
        <v>117</v>
      </c>
      <c r="D216" s="7">
        <v>22</v>
      </c>
      <c r="E216" s="5">
        <f>DAY(TableAopCalendar[[#This Row],[Date]])</f>
        <v>1</v>
      </c>
      <c r="F21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" s="5" t="str">
        <f t="shared" si="10"/>
        <v>Week 1</v>
      </c>
      <c r="H216" s="5" t="str">
        <f t="shared" si="11"/>
        <v>November 22 Week 1</v>
      </c>
      <c r="I216" s="5" t="str">
        <f>CONCATENATE(UPPER(TableAopCalendar[[#This Row],[Month]])," ",TableAopCalendar[[#This Row],[Year]])</f>
        <v>NOVEMBER 22</v>
      </c>
      <c r="J216" s="8" t="s">
        <v>274</v>
      </c>
      <c r="K216" s="8" t="str">
        <f>CONCATENATE(TableAopCalendar[[#This Row],[Month for Plan]]," ",TableAopCalendar[[#This Row],[Plan]])</f>
        <v>NOVEMBER 22 PLANNED</v>
      </c>
    </row>
    <row r="217" spans="1:11" x14ac:dyDescent="0.25">
      <c r="A217" s="5">
        <f t="shared" si="9"/>
        <v>2</v>
      </c>
      <c r="B217" s="6">
        <v>44867</v>
      </c>
      <c r="C217" s="7" t="s">
        <v>117</v>
      </c>
      <c r="D217" s="7">
        <v>22</v>
      </c>
      <c r="E217" s="5">
        <f>DAY(TableAopCalendar[[#This Row],[Date]])</f>
        <v>2</v>
      </c>
      <c r="F21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7" s="5" t="str">
        <f t="shared" si="10"/>
        <v>Week 1</v>
      </c>
      <c r="H217" s="5" t="str">
        <f t="shared" si="11"/>
        <v>November 22 Week 1</v>
      </c>
      <c r="I217" s="5" t="str">
        <f>CONCATENATE(UPPER(TableAopCalendar[[#This Row],[Month]])," ",TableAopCalendar[[#This Row],[Year]])</f>
        <v>NOVEMBER 22</v>
      </c>
      <c r="J217" s="8" t="s">
        <v>274</v>
      </c>
      <c r="K217" s="8" t="str">
        <f>CONCATENATE(TableAopCalendar[[#This Row],[Month for Plan]]," ",TableAopCalendar[[#This Row],[Plan]])</f>
        <v>NOVEMBER 22 PLANNED</v>
      </c>
    </row>
    <row r="218" spans="1:11" x14ac:dyDescent="0.25">
      <c r="A218" s="5">
        <f t="shared" si="9"/>
        <v>3</v>
      </c>
      <c r="B218" s="6">
        <v>44868</v>
      </c>
      <c r="C218" s="7" t="s">
        <v>117</v>
      </c>
      <c r="D218" s="7">
        <v>22</v>
      </c>
      <c r="E218" s="5">
        <f>DAY(TableAopCalendar[[#This Row],[Date]])</f>
        <v>3</v>
      </c>
      <c r="F21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8" s="5" t="str">
        <f t="shared" si="10"/>
        <v>Week 1</v>
      </c>
      <c r="H218" s="5" t="str">
        <f t="shared" si="11"/>
        <v>November 22 Week 1</v>
      </c>
      <c r="I218" s="5" t="str">
        <f>CONCATENATE(UPPER(TableAopCalendar[[#This Row],[Month]])," ",TableAopCalendar[[#This Row],[Year]])</f>
        <v>NOVEMBER 22</v>
      </c>
      <c r="J218" s="8" t="s">
        <v>274</v>
      </c>
      <c r="K218" s="8" t="str">
        <f>CONCATENATE(TableAopCalendar[[#This Row],[Month for Plan]]," ",TableAopCalendar[[#This Row],[Plan]])</f>
        <v>NOVEMBER 22 PLANNED</v>
      </c>
    </row>
    <row r="219" spans="1:11" x14ac:dyDescent="0.25">
      <c r="A219" s="5">
        <f t="shared" si="9"/>
        <v>4</v>
      </c>
      <c r="B219" s="6">
        <v>44869</v>
      </c>
      <c r="C219" s="7" t="s">
        <v>117</v>
      </c>
      <c r="D219" s="7">
        <v>22</v>
      </c>
      <c r="E219" s="5">
        <f>DAY(TableAopCalendar[[#This Row],[Date]])</f>
        <v>4</v>
      </c>
      <c r="F21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9" s="5" t="str">
        <f t="shared" si="10"/>
        <v>Week 1</v>
      </c>
      <c r="H219" s="5" t="str">
        <f t="shared" si="11"/>
        <v>November 22 Week 1</v>
      </c>
      <c r="I219" s="5" t="str">
        <f>CONCATENATE(UPPER(TableAopCalendar[[#This Row],[Month]])," ",TableAopCalendar[[#This Row],[Year]])</f>
        <v>NOVEMBER 22</v>
      </c>
      <c r="J219" s="8" t="s">
        <v>274</v>
      </c>
      <c r="K219" s="8" t="str">
        <f>CONCATENATE(TableAopCalendar[[#This Row],[Month for Plan]]," ",TableAopCalendar[[#This Row],[Plan]])</f>
        <v>NOVEMBER 22 PLANNED</v>
      </c>
    </row>
    <row r="220" spans="1:11" x14ac:dyDescent="0.25">
      <c r="A220" s="5">
        <f t="shared" si="9"/>
        <v>5</v>
      </c>
      <c r="B220" s="6">
        <v>44870</v>
      </c>
      <c r="C220" s="7" t="s">
        <v>117</v>
      </c>
      <c r="D220" s="7">
        <v>22</v>
      </c>
      <c r="E220" s="5">
        <f>DAY(TableAopCalendar[[#This Row],[Date]])</f>
        <v>5</v>
      </c>
      <c r="F220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0" s="5" t="str">
        <f t="shared" si="10"/>
        <v>Week 1</v>
      </c>
      <c r="H220" s="5" t="str">
        <f t="shared" si="11"/>
        <v>November 22 Week 1</v>
      </c>
      <c r="I220" s="5" t="str">
        <f>CONCATENATE(UPPER(TableAopCalendar[[#This Row],[Month]])," ",TableAopCalendar[[#This Row],[Year]])</f>
        <v>NOVEMBER 22</v>
      </c>
      <c r="J220" s="8" t="s">
        <v>274</v>
      </c>
      <c r="K220" s="8" t="str">
        <f>CONCATENATE(TableAopCalendar[[#This Row],[Month for Plan]]," ",TableAopCalendar[[#This Row],[Plan]])</f>
        <v>NOVEMBER 22 PLANNED</v>
      </c>
    </row>
    <row r="221" spans="1:11" x14ac:dyDescent="0.25">
      <c r="A221" s="5">
        <f t="shared" si="9"/>
        <v>6</v>
      </c>
      <c r="B221" s="6">
        <v>44871</v>
      </c>
      <c r="C221" s="7" t="s">
        <v>117</v>
      </c>
      <c r="D221" s="7">
        <v>22</v>
      </c>
      <c r="E221" s="5">
        <f>DAY(TableAopCalendar[[#This Row],[Date]])</f>
        <v>6</v>
      </c>
      <c r="F22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1" s="5" t="str">
        <f t="shared" si="10"/>
        <v>Week 1</v>
      </c>
      <c r="H221" s="5" t="str">
        <f t="shared" si="11"/>
        <v>November 22 Week 1</v>
      </c>
      <c r="I221" s="5" t="str">
        <f>CONCATENATE(UPPER(TableAopCalendar[[#This Row],[Month]])," ",TableAopCalendar[[#This Row],[Year]])</f>
        <v>NOVEMBER 22</v>
      </c>
      <c r="J221" s="8" t="s">
        <v>274</v>
      </c>
      <c r="K221" s="8" t="str">
        <f>CONCATENATE(TableAopCalendar[[#This Row],[Month for Plan]]," ",TableAopCalendar[[#This Row],[Plan]])</f>
        <v>NOVEMBER 22 PLANNED</v>
      </c>
    </row>
    <row r="222" spans="1:11" x14ac:dyDescent="0.25">
      <c r="A222" s="5">
        <f t="shared" si="9"/>
        <v>7</v>
      </c>
      <c r="B222" s="6">
        <v>44872</v>
      </c>
      <c r="C222" s="7" t="s">
        <v>117</v>
      </c>
      <c r="D222" s="7">
        <v>22</v>
      </c>
      <c r="E222" s="5">
        <f>DAY(TableAopCalendar[[#This Row],[Date]])</f>
        <v>7</v>
      </c>
      <c r="F22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2" s="5" t="str">
        <f t="shared" si="10"/>
        <v>Week 1</v>
      </c>
      <c r="H222" s="5" t="str">
        <f t="shared" si="11"/>
        <v>November 22 Week 1</v>
      </c>
      <c r="I222" s="5" t="str">
        <f>CONCATENATE(UPPER(TableAopCalendar[[#This Row],[Month]])," ",TableAopCalendar[[#This Row],[Year]])</f>
        <v>NOVEMBER 22</v>
      </c>
      <c r="J222" s="8" t="s">
        <v>274</v>
      </c>
      <c r="K222" s="8" t="str">
        <f>CONCATENATE(TableAopCalendar[[#This Row],[Month for Plan]]," ",TableAopCalendar[[#This Row],[Plan]])</f>
        <v>NOVEMBER 22 PLANNED</v>
      </c>
    </row>
    <row r="223" spans="1:11" x14ac:dyDescent="0.25">
      <c r="A223" s="5">
        <f t="shared" si="9"/>
        <v>1</v>
      </c>
      <c r="B223" s="6">
        <v>44873</v>
      </c>
      <c r="C223" s="7" t="s">
        <v>117</v>
      </c>
      <c r="D223" s="7">
        <v>22</v>
      </c>
      <c r="E223" s="5">
        <f>DAY(TableAopCalendar[[#This Row],[Date]])</f>
        <v>8</v>
      </c>
      <c r="F22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" s="5" t="str">
        <f t="shared" si="10"/>
        <v>Week 2</v>
      </c>
      <c r="H223" s="5" t="str">
        <f t="shared" si="11"/>
        <v>November 22 Week 2</v>
      </c>
      <c r="I223" s="5" t="str">
        <f>CONCATENATE(UPPER(TableAopCalendar[[#This Row],[Month]])," ",TableAopCalendar[[#This Row],[Year]])</f>
        <v>NOVEMBER 22</v>
      </c>
      <c r="J223" s="8" t="s">
        <v>274</v>
      </c>
      <c r="K223" s="8" t="str">
        <f>CONCATENATE(TableAopCalendar[[#This Row],[Month for Plan]]," ",TableAopCalendar[[#This Row],[Plan]])</f>
        <v>NOVEMBER 22 PLANNED</v>
      </c>
    </row>
    <row r="224" spans="1:11" x14ac:dyDescent="0.25">
      <c r="A224" s="5">
        <f t="shared" si="9"/>
        <v>2</v>
      </c>
      <c r="B224" s="6">
        <v>44874</v>
      </c>
      <c r="C224" s="7" t="s">
        <v>117</v>
      </c>
      <c r="D224" s="7">
        <v>22</v>
      </c>
      <c r="E224" s="5">
        <f>DAY(TableAopCalendar[[#This Row],[Date]])</f>
        <v>9</v>
      </c>
      <c r="F22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4" s="5" t="str">
        <f t="shared" si="10"/>
        <v>Week 2</v>
      </c>
      <c r="H224" s="5" t="str">
        <f t="shared" si="11"/>
        <v>November 22 Week 2</v>
      </c>
      <c r="I224" s="5" t="str">
        <f>CONCATENATE(UPPER(TableAopCalendar[[#This Row],[Month]])," ",TableAopCalendar[[#This Row],[Year]])</f>
        <v>NOVEMBER 22</v>
      </c>
      <c r="J224" s="8" t="s">
        <v>274</v>
      </c>
      <c r="K224" s="8" t="str">
        <f>CONCATENATE(TableAopCalendar[[#This Row],[Month for Plan]]," ",TableAopCalendar[[#This Row],[Plan]])</f>
        <v>NOVEMBER 22 PLANNED</v>
      </c>
    </row>
    <row r="225" spans="1:11" x14ac:dyDescent="0.25">
      <c r="A225" s="5">
        <f t="shared" si="9"/>
        <v>3</v>
      </c>
      <c r="B225" s="6">
        <v>44875</v>
      </c>
      <c r="C225" s="7" t="s">
        <v>117</v>
      </c>
      <c r="D225" s="7">
        <v>22</v>
      </c>
      <c r="E225" s="5">
        <f>DAY(TableAopCalendar[[#This Row],[Date]])</f>
        <v>10</v>
      </c>
      <c r="F22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5" s="5" t="str">
        <f t="shared" si="10"/>
        <v>Week 2</v>
      </c>
      <c r="H225" s="5" t="str">
        <f t="shared" si="11"/>
        <v>November 22 Week 2</v>
      </c>
      <c r="I225" s="5" t="str">
        <f>CONCATENATE(UPPER(TableAopCalendar[[#This Row],[Month]])," ",TableAopCalendar[[#This Row],[Year]])</f>
        <v>NOVEMBER 22</v>
      </c>
      <c r="J225" s="8" t="s">
        <v>274</v>
      </c>
      <c r="K225" s="8" t="str">
        <f>CONCATENATE(TableAopCalendar[[#This Row],[Month for Plan]]," ",TableAopCalendar[[#This Row],[Plan]])</f>
        <v>NOVEMBER 22 PLANNED</v>
      </c>
    </row>
    <row r="226" spans="1:11" x14ac:dyDescent="0.25">
      <c r="A226" s="5">
        <f t="shared" si="9"/>
        <v>4</v>
      </c>
      <c r="B226" s="6">
        <v>44876</v>
      </c>
      <c r="C226" s="7" t="s">
        <v>117</v>
      </c>
      <c r="D226" s="7">
        <v>22</v>
      </c>
      <c r="E226" s="5">
        <f>DAY(TableAopCalendar[[#This Row],[Date]])</f>
        <v>11</v>
      </c>
      <c r="F22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" s="5" t="str">
        <f t="shared" si="10"/>
        <v>Week 2</v>
      </c>
      <c r="H226" s="5" t="str">
        <f t="shared" si="11"/>
        <v>November 22 Week 2</v>
      </c>
      <c r="I226" s="5" t="str">
        <f>CONCATENATE(UPPER(TableAopCalendar[[#This Row],[Month]])," ",TableAopCalendar[[#This Row],[Year]])</f>
        <v>NOVEMBER 22</v>
      </c>
      <c r="J226" s="8" t="s">
        <v>274</v>
      </c>
      <c r="K226" s="8" t="str">
        <f>CONCATENATE(TableAopCalendar[[#This Row],[Month for Plan]]," ",TableAopCalendar[[#This Row],[Plan]])</f>
        <v>NOVEMBER 22 PLANNED</v>
      </c>
    </row>
    <row r="227" spans="1:11" x14ac:dyDescent="0.25">
      <c r="A227" s="5">
        <f t="shared" si="9"/>
        <v>5</v>
      </c>
      <c r="B227" s="6">
        <v>44877</v>
      </c>
      <c r="C227" s="7" t="s">
        <v>117</v>
      </c>
      <c r="D227" s="7">
        <v>22</v>
      </c>
      <c r="E227" s="5">
        <f>DAY(TableAopCalendar[[#This Row],[Date]])</f>
        <v>12</v>
      </c>
      <c r="F227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7" s="5" t="str">
        <f t="shared" si="10"/>
        <v>Week 2</v>
      </c>
      <c r="H227" s="5" t="str">
        <f t="shared" si="11"/>
        <v>November 22 Week 2</v>
      </c>
      <c r="I227" s="5" t="str">
        <f>CONCATENATE(UPPER(TableAopCalendar[[#This Row],[Month]])," ",TableAopCalendar[[#This Row],[Year]])</f>
        <v>NOVEMBER 22</v>
      </c>
      <c r="J227" s="8" t="s">
        <v>274</v>
      </c>
      <c r="K227" s="8" t="str">
        <f>CONCATENATE(TableAopCalendar[[#This Row],[Month for Plan]]," ",TableAopCalendar[[#This Row],[Plan]])</f>
        <v>NOVEMBER 22 PLANNED</v>
      </c>
    </row>
    <row r="228" spans="1:11" x14ac:dyDescent="0.25">
      <c r="A228" s="5">
        <f t="shared" si="9"/>
        <v>6</v>
      </c>
      <c r="B228" s="6">
        <v>44878</v>
      </c>
      <c r="C228" s="7" t="s">
        <v>117</v>
      </c>
      <c r="D228" s="7">
        <v>22</v>
      </c>
      <c r="E228" s="5">
        <f>DAY(TableAopCalendar[[#This Row],[Date]])</f>
        <v>13</v>
      </c>
      <c r="F22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8" s="5" t="str">
        <f t="shared" si="10"/>
        <v>Week 2</v>
      </c>
      <c r="H228" s="5" t="str">
        <f t="shared" si="11"/>
        <v>November 22 Week 2</v>
      </c>
      <c r="I228" s="5" t="str">
        <f>CONCATENATE(UPPER(TableAopCalendar[[#This Row],[Month]])," ",TableAopCalendar[[#This Row],[Year]])</f>
        <v>NOVEMBER 22</v>
      </c>
      <c r="J228" s="8" t="s">
        <v>274</v>
      </c>
      <c r="K228" s="8" t="str">
        <f>CONCATENATE(TableAopCalendar[[#This Row],[Month for Plan]]," ",TableAopCalendar[[#This Row],[Plan]])</f>
        <v>NOVEMBER 22 PLANNED</v>
      </c>
    </row>
    <row r="229" spans="1:11" x14ac:dyDescent="0.25">
      <c r="A229" s="5">
        <f t="shared" si="9"/>
        <v>7</v>
      </c>
      <c r="B229" s="6">
        <v>44879</v>
      </c>
      <c r="C229" s="7" t="s">
        <v>117</v>
      </c>
      <c r="D229" s="7">
        <v>22</v>
      </c>
      <c r="E229" s="5">
        <f>DAY(TableAopCalendar[[#This Row],[Date]])</f>
        <v>14</v>
      </c>
      <c r="F22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" s="5" t="str">
        <f t="shared" si="10"/>
        <v>Week 2</v>
      </c>
      <c r="H229" s="5" t="str">
        <f t="shared" si="11"/>
        <v>November 22 Week 2</v>
      </c>
      <c r="I229" s="5" t="str">
        <f>CONCATENATE(UPPER(TableAopCalendar[[#This Row],[Month]])," ",TableAopCalendar[[#This Row],[Year]])</f>
        <v>NOVEMBER 22</v>
      </c>
      <c r="J229" s="8" t="s">
        <v>274</v>
      </c>
      <c r="K229" s="8" t="str">
        <f>CONCATENATE(TableAopCalendar[[#This Row],[Month for Plan]]," ",TableAopCalendar[[#This Row],[Plan]])</f>
        <v>NOVEMBER 22 PLANNED</v>
      </c>
    </row>
    <row r="230" spans="1:11" x14ac:dyDescent="0.25">
      <c r="A230" s="5">
        <f t="shared" si="9"/>
        <v>1</v>
      </c>
      <c r="B230" s="6">
        <v>44880</v>
      </c>
      <c r="C230" s="7" t="s">
        <v>117</v>
      </c>
      <c r="D230" s="7">
        <v>22</v>
      </c>
      <c r="E230" s="5">
        <f>DAY(TableAopCalendar[[#This Row],[Date]])</f>
        <v>15</v>
      </c>
      <c r="F23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0" s="5" t="str">
        <f t="shared" si="10"/>
        <v>Week 3</v>
      </c>
      <c r="H230" s="5" t="str">
        <f t="shared" si="11"/>
        <v>November 22 Week 3</v>
      </c>
      <c r="I230" s="5" t="str">
        <f>CONCATENATE(UPPER(TableAopCalendar[[#This Row],[Month]])," ",TableAopCalendar[[#This Row],[Year]])</f>
        <v>NOVEMBER 22</v>
      </c>
      <c r="J230" s="8" t="s">
        <v>274</v>
      </c>
      <c r="K230" s="8" t="str">
        <f>CONCATENATE(TableAopCalendar[[#This Row],[Month for Plan]]," ",TableAopCalendar[[#This Row],[Plan]])</f>
        <v>NOVEMBER 22 PLANNED</v>
      </c>
    </row>
    <row r="231" spans="1:11" x14ac:dyDescent="0.25">
      <c r="A231" s="5">
        <f t="shared" si="9"/>
        <v>2</v>
      </c>
      <c r="B231" s="6">
        <v>44881</v>
      </c>
      <c r="C231" s="7" t="s">
        <v>117</v>
      </c>
      <c r="D231" s="7">
        <v>22</v>
      </c>
      <c r="E231" s="5">
        <f>DAY(TableAopCalendar[[#This Row],[Date]])</f>
        <v>16</v>
      </c>
      <c r="F23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1" s="5" t="str">
        <f t="shared" si="10"/>
        <v>Week 3</v>
      </c>
      <c r="H231" s="5" t="str">
        <f t="shared" si="11"/>
        <v>November 22 Week 3</v>
      </c>
      <c r="I231" s="5" t="str">
        <f>CONCATENATE(UPPER(TableAopCalendar[[#This Row],[Month]])," ",TableAopCalendar[[#This Row],[Year]])</f>
        <v>NOVEMBER 22</v>
      </c>
      <c r="J231" s="8" t="s">
        <v>274</v>
      </c>
      <c r="K231" s="8" t="str">
        <f>CONCATENATE(TableAopCalendar[[#This Row],[Month for Plan]]," ",TableAopCalendar[[#This Row],[Plan]])</f>
        <v>NOVEMBER 22 PLANNED</v>
      </c>
    </row>
    <row r="232" spans="1:11" x14ac:dyDescent="0.25">
      <c r="A232" s="5">
        <f t="shared" si="9"/>
        <v>3</v>
      </c>
      <c r="B232" s="6">
        <v>44882</v>
      </c>
      <c r="C232" s="7" t="s">
        <v>117</v>
      </c>
      <c r="D232" s="7">
        <v>22</v>
      </c>
      <c r="E232" s="5">
        <f>DAY(TableAopCalendar[[#This Row],[Date]])</f>
        <v>17</v>
      </c>
      <c r="F23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2" s="5" t="str">
        <f t="shared" si="10"/>
        <v>Week 3</v>
      </c>
      <c r="H232" s="5" t="str">
        <f t="shared" si="11"/>
        <v>November 22 Week 3</v>
      </c>
      <c r="I232" s="5" t="str">
        <f>CONCATENATE(UPPER(TableAopCalendar[[#This Row],[Month]])," ",TableAopCalendar[[#This Row],[Year]])</f>
        <v>NOVEMBER 22</v>
      </c>
      <c r="J232" s="8" t="s">
        <v>274</v>
      </c>
      <c r="K232" s="8" t="str">
        <f>CONCATENATE(TableAopCalendar[[#This Row],[Month for Plan]]," ",TableAopCalendar[[#This Row],[Plan]])</f>
        <v>NOVEMBER 22 PLANNED</v>
      </c>
    </row>
    <row r="233" spans="1:11" x14ac:dyDescent="0.25">
      <c r="A233" s="5">
        <f t="shared" si="9"/>
        <v>4</v>
      </c>
      <c r="B233" s="6">
        <v>44883</v>
      </c>
      <c r="C233" s="7" t="s">
        <v>117</v>
      </c>
      <c r="D233" s="7">
        <v>22</v>
      </c>
      <c r="E233" s="5">
        <f>DAY(TableAopCalendar[[#This Row],[Date]])</f>
        <v>18</v>
      </c>
      <c r="F23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" s="5" t="str">
        <f t="shared" si="10"/>
        <v>Week 3</v>
      </c>
      <c r="H233" s="5" t="str">
        <f t="shared" si="11"/>
        <v>November 22 Week 3</v>
      </c>
      <c r="I233" s="5" t="str">
        <f>CONCATENATE(UPPER(TableAopCalendar[[#This Row],[Month]])," ",TableAopCalendar[[#This Row],[Year]])</f>
        <v>NOVEMBER 22</v>
      </c>
      <c r="J233" s="8" t="s">
        <v>274</v>
      </c>
      <c r="K233" s="8" t="str">
        <f>CONCATENATE(TableAopCalendar[[#This Row],[Month for Plan]]," ",TableAopCalendar[[#This Row],[Plan]])</f>
        <v>NOVEMBER 22 PLANNED</v>
      </c>
    </row>
    <row r="234" spans="1:11" x14ac:dyDescent="0.25">
      <c r="A234" s="5">
        <f t="shared" si="9"/>
        <v>5</v>
      </c>
      <c r="B234" s="6">
        <v>44884</v>
      </c>
      <c r="C234" s="7" t="s">
        <v>117</v>
      </c>
      <c r="D234" s="7">
        <v>22</v>
      </c>
      <c r="E234" s="5">
        <f>DAY(TableAopCalendar[[#This Row],[Date]])</f>
        <v>19</v>
      </c>
      <c r="F234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4" s="5" t="str">
        <f t="shared" si="10"/>
        <v>Week 3</v>
      </c>
      <c r="H234" s="5" t="str">
        <f t="shared" si="11"/>
        <v>November 22 Week 3</v>
      </c>
      <c r="I234" s="5" t="str">
        <f>CONCATENATE(UPPER(TableAopCalendar[[#This Row],[Month]])," ",TableAopCalendar[[#This Row],[Year]])</f>
        <v>NOVEMBER 22</v>
      </c>
      <c r="J234" s="8" t="s">
        <v>274</v>
      </c>
      <c r="K234" s="8" t="str">
        <f>CONCATENATE(TableAopCalendar[[#This Row],[Month for Plan]]," ",TableAopCalendar[[#This Row],[Plan]])</f>
        <v>NOVEMBER 22 PLANNED</v>
      </c>
    </row>
    <row r="235" spans="1:11" x14ac:dyDescent="0.25">
      <c r="A235" s="5">
        <f t="shared" si="9"/>
        <v>6</v>
      </c>
      <c r="B235" s="6">
        <v>44885</v>
      </c>
      <c r="C235" s="7" t="s">
        <v>117</v>
      </c>
      <c r="D235" s="7">
        <v>22</v>
      </c>
      <c r="E235" s="5">
        <f>DAY(TableAopCalendar[[#This Row],[Date]])</f>
        <v>20</v>
      </c>
      <c r="F23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5" s="5" t="str">
        <f t="shared" si="10"/>
        <v>Week 3</v>
      </c>
      <c r="H235" s="5" t="str">
        <f t="shared" si="11"/>
        <v>November 22 Week 3</v>
      </c>
      <c r="I235" s="5" t="str">
        <f>CONCATENATE(UPPER(TableAopCalendar[[#This Row],[Month]])," ",TableAopCalendar[[#This Row],[Year]])</f>
        <v>NOVEMBER 22</v>
      </c>
      <c r="J235" s="8" t="s">
        <v>274</v>
      </c>
      <c r="K235" s="8" t="str">
        <f>CONCATENATE(TableAopCalendar[[#This Row],[Month for Plan]]," ",TableAopCalendar[[#This Row],[Plan]])</f>
        <v>NOVEMBER 22 PLANNED</v>
      </c>
    </row>
    <row r="236" spans="1:11" x14ac:dyDescent="0.25">
      <c r="A236" s="5">
        <f t="shared" si="9"/>
        <v>7</v>
      </c>
      <c r="B236" s="6">
        <v>44886</v>
      </c>
      <c r="C236" s="7" t="s">
        <v>117</v>
      </c>
      <c r="D236" s="7">
        <v>22</v>
      </c>
      <c r="E236" s="5">
        <f>DAY(TableAopCalendar[[#This Row],[Date]])</f>
        <v>21</v>
      </c>
      <c r="F23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" s="5" t="str">
        <f t="shared" si="10"/>
        <v>Week 3</v>
      </c>
      <c r="H236" s="5" t="str">
        <f t="shared" si="11"/>
        <v>November 22 Week 3</v>
      </c>
      <c r="I236" s="5" t="str">
        <f>CONCATENATE(UPPER(TableAopCalendar[[#This Row],[Month]])," ",TableAopCalendar[[#This Row],[Year]])</f>
        <v>NOVEMBER 22</v>
      </c>
      <c r="J236" s="8" t="s">
        <v>274</v>
      </c>
      <c r="K236" s="8" t="str">
        <f>CONCATENATE(TableAopCalendar[[#This Row],[Month for Plan]]," ",TableAopCalendar[[#This Row],[Plan]])</f>
        <v>NOVEMBER 22 PLANNED</v>
      </c>
    </row>
    <row r="237" spans="1:11" x14ac:dyDescent="0.25">
      <c r="A237" s="5">
        <f t="shared" si="9"/>
        <v>1</v>
      </c>
      <c r="B237" s="6">
        <v>44887</v>
      </c>
      <c r="C237" s="7" t="s">
        <v>117</v>
      </c>
      <c r="D237" s="7">
        <v>22</v>
      </c>
      <c r="E237" s="5">
        <f>DAY(TableAopCalendar[[#This Row],[Date]])</f>
        <v>22</v>
      </c>
      <c r="F23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7" s="5" t="str">
        <f t="shared" si="10"/>
        <v>Week 4</v>
      </c>
      <c r="H237" s="5" t="str">
        <f t="shared" si="11"/>
        <v>November 22 Week 4</v>
      </c>
      <c r="I237" s="5" t="str">
        <f>CONCATENATE(UPPER(TableAopCalendar[[#This Row],[Month]])," ",TableAopCalendar[[#This Row],[Year]])</f>
        <v>NOVEMBER 22</v>
      </c>
      <c r="J237" s="8" t="s">
        <v>274</v>
      </c>
      <c r="K237" s="8" t="str">
        <f>CONCATENATE(TableAopCalendar[[#This Row],[Month for Plan]]," ",TableAopCalendar[[#This Row],[Plan]])</f>
        <v>NOVEMBER 22 PLANNED</v>
      </c>
    </row>
    <row r="238" spans="1:11" x14ac:dyDescent="0.25">
      <c r="A238" s="5">
        <f t="shared" si="9"/>
        <v>2</v>
      </c>
      <c r="B238" s="6">
        <v>44888</v>
      </c>
      <c r="C238" s="7" t="s">
        <v>117</v>
      </c>
      <c r="D238" s="7">
        <v>22</v>
      </c>
      <c r="E238" s="5">
        <f>DAY(TableAopCalendar[[#This Row],[Date]])</f>
        <v>23</v>
      </c>
      <c r="F23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8" s="5" t="str">
        <f t="shared" si="10"/>
        <v>Week 4</v>
      </c>
      <c r="H238" s="5" t="str">
        <f t="shared" si="11"/>
        <v>November 22 Week 4</v>
      </c>
      <c r="I238" s="5" t="str">
        <f>CONCATENATE(UPPER(TableAopCalendar[[#This Row],[Month]])," ",TableAopCalendar[[#This Row],[Year]])</f>
        <v>NOVEMBER 22</v>
      </c>
      <c r="J238" s="8" t="s">
        <v>274</v>
      </c>
      <c r="K238" s="8" t="str">
        <f>CONCATENATE(TableAopCalendar[[#This Row],[Month for Plan]]," ",TableAopCalendar[[#This Row],[Plan]])</f>
        <v>NOVEMBER 22 PLANNED</v>
      </c>
    </row>
    <row r="239" spans="1:11" x14ac:dyDescent="0.25">
      <c r="A239" s="5">
        <f t="shared" si="9"/>
        <v>3</v>
      </c>
      <c r="B239" s="6">
        <v>44889</v>
      </c>
      <c r="C239" s="7" t="s">
        <v>117</v>
      </c>
      <c r="D239" s="7">
        <v>22</v>
      </c>
      <c r="E239" s="5">
        <f>DAY(TableAopCalendar[[#This Row],[Date]])</f>
        <v>24</v>
      </c>
      <c r="F23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9" s="5" t="str">
        <f t="shared" si="10"/>
        <v>Week 4</v>
      </c>
      <c r="H239" s="5" t="str">
        <f t="shared" si="11"/>
        <v>November 22 Week 4</v>
      </c>
      <c r="I239" s="5" t="str">
        <f>CONCATENATE(UPPER(TableAopCalendar[[#This Row],[Month]])," ",TableAopCalendar[[#This Row],[Year]])</f>
        <v>NOVEMBER 22</v>
      </c>
      <c r="J239" s="8" t="s">
        <v>274</v>
      </c>
      <c r="K239" s="8" t="str">
        <f>CONCATENATE(TableAopCalendar[[#This Row],[Month for Plan]]," ",TableAopCalendar[[#This Row],[Plan]])</f>
        <v>NOVEMBER 22 PLANNED</v>
      </c>
    </row>
    <row r="240" spans="1:11" x14ac:dyDescent="0.25">
      <c r="A240" s="5">
        <f t="shared" si="9"/>
        <v>4</v>
      </c>
      <c r="B240" s="6">
        <v>44890</v>
      </c>
      <c r="C240" s="7" t="s">
        <v>117</v>
      </c>
      <c r="D240" s="7">
        <v>22</v>
      </c>
      <c r="E240" s="5">
        <f>DAY(TableAopCalendar[[#This Row],[Date]])</f>
        <v>25</v>
      </c>
      <c r="F24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0" s="5" t="str">
        <f t="shared" si="10"/>
        <v>Week 4</v>
      </c>
      <c r="H240" s="5" t="str">
        <f t="shared" si="11"/>
        <v>November 22 Week 4</v>
      </c>
      <c r="I240" s="5" t="str">
        <f>CONCATENATE(UPPER(TableAopCalendar[[#This Row],[Month]])," ",TableAopCalendar[[#This Row],[Year]])</f>
        <v>NOVEMBER 22</v>
      </c>
      <c r="J240" s="8" t="s">
        <v>274</v>
      </c>
      <c r="K240" s="8" t="str">
        <f>CONCATENATE(TableAopCalendar[[#This Row],[Month for Plan]]," ",TableAopCalendar[[#This Row],[Plan]])</f>
        <v>NOVEMBER 22 PLANNED</v>
      </c>
    </row>
    <row r="241" spans="1:11" x14ac:dyDescent="0.25">
      <c r="A241" s="5">
        <f t="shared" si="9"/>
        <v>5</v>
      </c>
      <c r="B241" s="6">
        <v>44891</v>
      </c>
      <c r="C241" s="7" t="s">
        <v>117</v>
      </c>
      <c r="D241" s="7">
        <v>22</v>
      </c>
      <c r="E241" s="5">
        <f>DAY(TableAopCalendar[[#This Row],[Date]])</f>
        <v>26</v>
      </c>
      <c r="F241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1" s="5" t="str">
        <f t="shared" si="10"/>
        <v>Week 4</v>
      </c>
      <c r="H241" s="5" t="str">
        <f t="shared" si="11"/>
        <v>November 22 Week 4</v>
      </c>
      <c r="I241" s="5" t="str">
        <f>CONCATENATE(UPPER(TableAopCalendar[[#This Row],[Month]])," ",TableAopCalendar[[#This Row],[Year]])</f>
        <v>NOVEMBER 22</v>
      </c>
      <c r="J241" s="8" t="s">
        <v>274</v>
      </c>
      <c r="K241" s="8" t="str">
        <f>CONCATENATE(TableAopCalendar[[#This Row],[Month for Plan]]," ",TableAopCalendar[[#This Row],[Plan]])</f>
        <v>NOVEMBER 22 PLANNED</v>
      </c>
    </row>
    <row r="242" spans="1:11" x14ac:dyDescent="0.25">
      <c r="A242" s="5">
        <f t="shared" si="9"/>
        <v>6</v>
      </c>
      <c r="B242" s="6">
        <v>44892</v>
      </c>
      <c r="C242" s="7" t="s">
        <v>117</v>
      </c>
      <c r="D242" s="7">
        <v>22</v>
      </c>
      <c r="E242" s="5">
        <f>DAY(TableAopCalendar[[#This Row],[Date]])</f>
        <v>27</v>
      </c>
      <c r="F24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2" s="5" t="str">
        <f t="shared" si="10"/>
        <v>Week 4</v>
      </c>
      <c r="H242" s="5" t="str">
        <f t="shared" si="11"/>
        <v>November 22 Week 4</v>
      </c>
      <c r="I242" s="5" t="str">
        <f>CONCATENATE(UPPER(TableAopCalendar[[#This Row],[Month]])," ",TableAopCalendar[[#This Row],[Year]])</f>
        <v>NOVEMBER 22</v>
      </c>
      <c r="J242" s="8" t="s">
        <v>274</v>
      </c>
      <c r="K242" s="8" t="str">
        <f>CONCATENATE(TableAopCalendar[[#This Row],[Month for Plan]]," ",TableAopCalendar[[#This Row],[Plan]])</f>
        <v>NOVEMBER 22 PLANNED</v>
      </c>
    </row>
    <row r="243" spans="1:11" x14ac:dyDescent="0.25">
      <c r="A243" s="5">
        <f t="shared" si="9"/>
        <v>7</v>
      </c>
      <c r="B243" s="6">
        <v>44893</v>
      </c>
      <c r="C243" s="7" t="s">
        <v>117</v>
      </c>
      <c r="D243" s="7">
        <v>22</v>
      </c>
      <c r="E243" s="5">
        <f>DAY(TableAopCalendar[[#This Row],[Date]])</f>
        <v>28</v>
      </c>
      <c r="F24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3" s="5" t="str">
        <f t="shared" si="10"/>
        <v>Week 4</v>
      </c>
      <c r="H243" s="5" t="str">
        <f t="shared" si="11"/>
        <v>November 22 Week 4</v>
      </c>
      <c r="I243" s="5" t="str">
        <f>CONCATENATE(UPPER(TableAopCalendar[[#This Row],[Month]])," ",TableAopCalendar[[#This Row],[Year]])</f>
        <v>NOVEMBER 22</v>
      </c>
      <c r="J243" s="8" t="s">
        <v>274</v>
      </c>
      <c r="K243" s="8" t="str">
        <f>CONCATENATE(TableAopCalendar[[#This Row],[Month for Plan]]," ",TableAopCalendar[[#This Row],[Plan]])</f>
        <v>NOVEMBER 22 PLANNED</v>
      </c>
    </row>
    <row r="244" spans="1:11" x14ac:dyDescent="0.25">
      <c r="A244" s="5">
        <f t="shared" si="9"/>
        <v>1</v>
      </c>
      <c r="B244" s="6">
        <v>44894</v>
      </c>
      <c r="C244" s="7" t="s">
        <v>117</v>
      </c>
      <c r="D244" s="7">
        <v>22</v>
      </c>
      <c r="E244" s="5">
        <f>DAY(TableAopCalendar[[#This Row],[Date]])</f>
        <v>29</v>
      </c>
      <c r="F244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4" s="5" t="str">
        <f t="shared" si="10"/>
        <v>Week 5</v>
      </c>
      <c r="H244" s="5" t="str">
        <f t="shared" si="11"/>
        <v>November 22 Week 5</v>
      </c>
      <c r="I244" s="5" t="str">
        <f>CONCATENATE(UPPER(TableAopCalendar[[#This Row],[Month]])," ",TableAopCalendar[[#This Row],[Year]])</f>
        <v>NOVEMBER 22</v>
      </c>
      <c r="J244" s="8" t="s">
        <v>274</v>
      </c>
      <c r="K244" s="8" t="str">
        <f>CONCATENATE(TableAopCalendar[[#This Row],[Month for Plan]]," ",TableAopCalendar[[#This Row],[Plan]])</f>
        <v>NOVEMBER 22 PLANNED</v>
      </c>
    </row>
    <row r="245" spans="1:11" x14ac:dyDescent="0.25">
      <c r="A245" s="5">
        <f t="shared" si="9"/>
        <v>2</v>
      </c>
      <c r="B245" s="6">
        <v>44895</v>
      </c>
      <c r="C245" s="7" t="s">
        <v>117</v>
      </c>
      <c r="D245" s="7">
        <v>22</v>
      </c>
      <c r="E245" s="5">
        <f>DAY(TableAopCalendar[[#This Row],[Date]])</f>
        <v>30</v>
      </c>
      <c r="F245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5" s="5" t="str">
        <f t="shared" si="10"/>
        <v>Week 5</v>
      </c>
      <c r="H245" s="5" t="str">
        <f t="shared" si="11"/>
        <v>November 22 Week 5</v>
      </c>
      <c r="I245" s="5" t="str">
        <f>CONCATENATE(UPPER(TableAopCalendar[[#This Row],[Month]])," ",TableAopCalendar[[#This Row],[Year]])</f>
        <v>NOVEMBER 22</v>
      </c>
      <c r="J245" s="8" t="s">
        <v>274</v>
      </c>
      <c r="K245" s="8" t="str">
        <f>CONCATENATE(TableAopCalendar[[#This Row],[Month for Plan]]," ",TableAopCalendar[[#This Row],[Plan]])</f>
        <v>NOVEMBER 22 PLANNED</v>
      </c>
    </row>
    <row r="246" spans="1:11" x14ac:dyDescent="0.25">
      <c r="A246" s="5">
        <f t="shared" si="9"/>
        <v>1</v>
      </c>
      <c r="B246" s="6">
        <v>44896</v>
      </c>
      <c r="C246" s="7" t="s">
        <v>270</v>
      </c>
      <c r="D246" s="7">
        <v>22</v>
      </c>
      <c r="E246" s="5">
        <f>DAY(TableAopCalendar[[#This Row],[Date]])</f>
        <v>1</v>
      </c>
      <c r="F24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6" s="5" t="str">
        <f t="shared" si="10"/>
        <v>Week 1</v>
      </c>
      <c r="H246" s="5" t="str">
        <f t="shared" si="11"/>
        <v>December 22 Week 1</v>
      </c>
      <c r="I246" s="5" t="str">
        <f>CONCATENATE(UPPER(TableAopCalendar[[#This Row],[Month]])," ",TableAopCalendar[[#This Row],[Year]])</f>
        <v>DECEMBER 22</v>
      </c>
      <c r="J246" s="8" t="s">
        <v>274</v>
      </c>
      <c r="K246" s="8" t="str">
        <f>CONCATENATE(TableAopCalendar[[#This Row],[Month for Plan]]," ",TableAopCalendar[[#This Row],[Plan]])</f>
        <v>DECEMBER 22 PLANNED</v>
      </c>
    </row>
    <row r="247" spans="1:11" x14ac:dyDescent="0.25">
      <c r="A247" s="5">
        <f t="shared" si="9"/>
        <v>2</v>
      </c>
      <c r="B247" s="6">
        <v>44897</v>
      </c>
      <c r="C247" s="7" t="s">
        <v>270</v>
      </c>
      <c r="D247" s="7">
        <v>22</v>
      </c>
      <c r="E247" s="5">
        <f>DAY(TableAopCalendar[[#This Row],[Date]])</f>
        <v>2</v>
      </c>
      <c r="F24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7" s="5" t="str">
        <f t="shared" si="10"/>
        <v>Week 1</v>
      </c>
      <c r="H247" s="5" t="str">
        <f t="shared" si="11"/>
        <v>December 22 Week 1</v>
      </c>
      <c r="I247" s="5" t="str">
        <f>CONCATENATE(UPPER(TableAopCalendar[[#This Row],[Month]])," ",TableAopCalendar[[#This Row],[Year]])</f>
        <v>DECEMBER 22</v>
      </c>
      <c r="J247" s="8" t="s">
        <v>274</v>
      </c>
      <c r="K247" s="8" t="str">
        <f>CONCATENATE(TableAopCalendar[[#This Row],[Month for Plan]]," ",TableAopCalendar[[#This Row],[Plan]])</f>
        <v>DECEMBER 22 PLANNED</v>
      </c>
    </row>
    <row r="248" spans="1:11" x14ac:dyDescent="0.25">
      <c r="A248" s="5">
        <f t="shared" si="9"/>
        <v>3</v>
      </c>
      <c r="B248" s="6">
        <v>44898</v>
      </c>
      <c r="C248" s="7" t="s">
        <v>270</v>
      </c>
      <c r="D248" s="7">
        <v>22</v>
      </c>
      <c r="E248" s="5">
        <f>DAY(TableAopCalendar[[#This Row],[Date]])</f>
        <v>3</v>
      </c>
      <c r="F24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8" s="5" t="str">
        <f t="shared" si="10"/>
        <v>Week 1</v>
      </c>
      <c r="H248" s="5" t="str">
        <f t="shared" si="11"/>
        <v>December 22 Week 1</v>
      </c>
      <c r="I248" s="5" t="str">
        <f>CONCATENATE(UPPER(TableAopCalendar[[#This Row],[Month]])," ",TableAopCalendar[[#This Row],[Year]])</f>
        <v>DECEMBER 22</v>
      </c>
      <c r="J248" s="8" t="s">
        <v>274</v>
      </c>
      <c r="K248" s="8" t="str">
        <f>CONCATENATE(TableAopCalendar[[#This Row],[Month for Plan]]," ",TableAopCalendar[[#This Row],[Plan]])</f>
        <v>DECEMBER 22 PLANNED</v>
      </c>
    </row>
    <row r="249" spans="1:11" x14ac:dyDescent="0.25">
      <c r="A249" s="5">
        <f t="shared" si="9"/>
        <v>4</v>
      </c>
      <c r="B249" s="6">
        <v>44899</v>
      </c>
      <c r="C249" s="7" t="s">
        <v>270</v>
      </c>
      <c r="D249" s="7">
        <v>22</v>
      </c>
      <c r="E249" s="5">
        <f>DAY(TableAopCalendar[[#This Row],[Date]])</f>
        <v>4</v>
      </c>
      <c r="F24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9" s="5" t="str">
        <f t="shared" si="10"/>
        <v>Week 1</v>
      </c>
      <c r="H249" s="5" t="str">
        <f t="shared" si="11"/>
        <v>December 22 Week 1</v>
      </c>
      <c r="I249" s="5" t="str">
        <f>CONCATENATE(UPPER(TableAopCalendar[[#This Row],[Month]])," ",TableAopCalendar[[#This Row],[Year]])</f>
        <v>DECEMBER 22</v>
      </c>
      <c r="J249" s="8" t="s">
        <v>274</v>
      </c>
      <c r="K249" s="8" t="str">
        <f>CONCATENATE(TableAopCalendar[[#This Row],[Month for Plan]]," ",TableAopCalendar[[#This Row],[Plan]])</f>
        <v>DECEMBER 22 PLANNED</v>
      </c>
    </row>
    <row r="250" spans="1:11" x14ac:dyDescent="0.25">
      <c r="A250" s="5">
        <f t="shared" si="9"/>
        <v>5</v>
      </c>
      <c r="B250" s="6">
        <v>44900</v>
      </c>
      <c r="C250" s="7" t="s">
        <v>270</v>
      </c>
      <c r="D250" s="7">
        <v>22</v>
      </c>
      <c r="E250" s="5">
        <f>DAY(TableAopCalendar[[#This Row],[Date]])</f>
        <v>5</v>
      </c>
      <c r="F250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" s="5" t="str">
        <f t="shared" si="10"/>
        <v>Week 1</v>
      </c>
      <c r="H250" s="5" t="str">
        <f t="shared" si="11"/>
        <v>December 22 Week 1</v>
      </c>
      <c r="I250" s="5" t="str">
        <f>CONCATENATE(UPPER(TableAopCalendar[[#This Row],[Month]])," ",TableAopCalendar[[#This Row],[Year]])</f>
        <v>DECEMBER 22</v>
      </c>
      <c r="J250" s="8" t="s">
        <v>274</v>
      </c>
      <c r="K250" s="8" t="str">
        <f>CONCATENATE(TableAopCalendar[[#This Row],[Month for Plan]]," ",TableAopCalendar[[#This Row],[Plan]])</f>
        <v>DECEMBER 22 PLANNED</v>
      </c>
    </row>
    <row r="251" spans="1:11" x14ac:dyDescent="0.25">
      <c r="A251" s="5">
        <f t="shared" si="9"/>
        <v>6</v>
      </c>
      <c r="B251" s="6">
        <v>44901</v>
      </c>
      <c r="C251" s="7" t="s">
        <v>270</v>
      </c>
      <c r="D251" s="7">
        <v>22</v>
      </c>
      <c r="E251" s="5">
        <f>DAY(TableAopCalendar[[#This Row],[Date]])</f>
        <v>6</v>
      </c>
      <c r="F25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1" s="5" t="str">
        <f t="shared" si="10"/>
        <v>Week 1</v>
      </c>
      <c r="H251" s="5" t="str">
        <f t="shared" si="11"/>
        <v>December 22 Week 1</v>
      </c>
      <c r="I251" s="5" t="str">
        <f>CONCATENATE(UPPER(TableAopCalendar[[#This Row],[Month]])," ",TableAopCalendar[[#This Row],[Year]])</f>
        <v>DECEMBER 22</v>
      </c>
      <c r="J251" s="8" t="s">
        <v>274</v>
      </c>
      <c r="K251" s="8" t="str">
        <f>CONCATENATE(TableAopCalendar[[#This Row],[Month for Plan]]," ",TableAopCalendar[[#This Row],[Plan]])</f>
        <v>DECEMBER 22 PLANNED</v>
      </c>
    </row>
    <row r="252" spans="1:11" x14ac:dyDescent="0.25">
      <c r="A252" s="5">
        <f t="shared" si="9"/>
        <v>7</v>
      </c>
      <c r="B252" s="6">
        <v>44902</v>
      </c>
      <c r="C252" s="7" t="s">
        <v>270</v>
      </c>
      <c r="D252" s="7">
        <v>22</v>
      </c>
      <c r="E252" s="5">
        <f>DAY(TableAopCalendar[[#This Row],[Date]])</f>
        <v>7</v>
      </c>
      <c r="F25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2" s="5" t="str">
        <f t="shared" si="10"/>
        <v>Week 1</v>
      </c>
      <c r="H252" s="5" t="str">
        <f t="shared" si="11"/>
        <v>December 22 Week 1</v>
      </c>
      <c r="I252" s="5" t="str">
        <f>CONCATENATE(UPPER(TableAopCalendar[[#This Row],[Month]])," ",TableAopCalendar[[#This Row],[Year]])</f>
        <v>DECEMBER 22</v>
      </c>
      <c r="J252" s="8" t="s">
        <v>274</v>
      </c>
      <c r="K252" s="8" t="str">
        <f>CONCATENATE(TableAopCalendar[[#This Row],[Month for Plan]]," ",TableAopCalendar[[#This Row],[Plan]])</f>
        <v>DECEMBER 22 PLANNED</v>
      </c>
    </row>
    <row r="253" spans="1:11" x14ac:dyDescent="0.25">
      <c r="A253" s="5">
        <f t="shared" si="9"/>
        <v>1</v>
      </c>
      <c r="B253" s="6">
        <v>44903</v>
      </c>
      <c r="C253" s="7" t="s">
        <v>270</v>
      </c>
      <c r="D253" s="7">
        <v>22</v>
      </c>
      <c r="E253" s="5">
        <f>DAY(TableAopCalendar[[#This Row],[Date]])</f>
        <v>8</v>
      </c>
      <c r="F25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3" s="5" t="str">
        <f t="shared" si="10"/>
        <v>Week 2</v>
      </c>
      <c r="H253" s="5" t="str">
        <f t="shared" si="11"/>
        <v>December 22 Week 2</v>
      </c>
      <c r="I253" s="5" t="str">
        <f>CONCATENATE(UPPER(TableAopCalendar[[#This Row],[Month]])," ",TableAopCalendar[[#This Row],[Year]])</f>
        <v>DECEMBER 22</v>
      </c>
      <c r="J253" s="8" t="s">
        <v>274</v>
      </c>
      <c r="K253" s="8" t="str">
        <f>CONCATENATE(TableAopCalendar[[#This Row],[Month for Plan]]," ",TableAopCalendar[[#This Row],[Plan]])</f>
        <v>DECEMBER 22 PLANNED</v>
      </c>
    </row>
    <row r="254" spans="1:11" x14ac:dyDescent="0.25">
      <c r="A254" s="5">
        <f t="shared" si="9"/>
        <v>2</v>
      </c>
      <c r="B254" s="6">
        <v>44904</v>
      </c>
      <c r="C254" s="7" t="s">
        <v>270</v>
      </c>
      <c r="D254" s="7">
        <v>22</v>
      </c>
      <c r="E254" s="5">
        <f>DAY(TableAopCalendar[[#This Row],[Date]])</f>
        <v>9</v>
      </c>
      <c r="F25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4" s="5" t="str">
        <f t="shared" si="10"/>
        <v>Week 2</v>
      </c>
      <c r="H254" s="5" t="str">
        <f t="shared" si="11"/>
        <v>December 22 Week 2</v>
      </c>
      <c r="I254" s="5" t="str">
        <f>CONCATENATE(UPPER(TableAopCalendar[[#This Row],[Month]])," ",TableAopCalendar[[#This Row],[Year]])</f>
        <v>DECEMBER 22</v>
      </c>
      <c r="J254" s="8" t="s">
        <v>274</v>
      </c>
      <c r="K254" s="8" t="str">
        <f>CONCATENATE(TableAopCalendar[[#This Row],[Month for Plan]]," ",TableAopCalendar[[#This Row],[Plan]])</f>
        <v>DECEMBER 22 PLANNED</v>
      </c>
    </row>
    <row r="255" spans="1:11" x14ac:dyDescent="0.25">
      <c r="A255" s="5">
        <f t="shared" si="9"/>
        <v>3</v>
      </c>
      <c r="B255" s="6">
        <v>44905</v>
      </c>
      <c r="C255" s="7" t="s">
        <v>270</v>
      </c>
      <c r="D255" s="7">
        <v>22</v>
      </c>
      <c r="E255" s="5">
        <f>DAY(TableAopCalendar[[#This Row],[Date]])</f>
        <v>10</v>
      </c>
      <c r="F25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5" s="5" t="str">
        <f t="shared" si="10"/>
        <v>Week 2</v>
      </c>
      <c r="H255" s="5" t="str">
        <f t="shared" si="11"/>
        <v>December 22 Week 2</v>
      </c>
      <c r="I255" s="5" t="str">
        <f>CONCATENATE(UPPER(TableAopCalendar[[#This Row],[Month]])," ",TableAopCalendar[[#This Row],[Year]])</f>
        <v>DECEMBER 22</v>
      </c>
      <c r="J255" s="8" t="s">
        <v>274</v>
      </c>
      <c r="K255" s="8" t="str">
        <f>CONCATENATE(TableAopCalendar[[#This Row],[Month for Plan]]," ",TableAopCalendar[[#This Row],[Plan]])</f>
        <v>DECEMBER 22 PLANNED</v>
      </c>
    </row>
    <row r="256" spans="1:11" x14ac:dyDescent="0.25">
      <c r="A256" s="5">
        <f t="shared" si="9"/>
        <v>4</v>
      </c>
      <c r="B256" s="6">
        <v>44906</v>
      </c>
      <c r="C256" s="7" t="s">
        <v>270</v>
      </c>
      <c r="D256" s="7">
        <v>22</v>
      </c>
      <c r="E256" s="5">
        <f>DAY(TableAopCalendar[[#This Row],[Date]])</f>
        <v>11</v>
      </c>
      <c r="F25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6" s="5" t="str">
        <f t="shared" si="10"/>
        <v>Week 2</v>
      </c>
      <c r="H256" s="5" t="str">
        <f t="shared" si="11"/>
        <v>December 22 Week 2</v>
      </c>
      <c r="I256" s="5" t="str">
        <f>CONCATENATE(UPPER(TableAopCalendar[[#This Row],[Month]])," ",TableAopCalendar[[#This Row],[Year]])</f>
        <v>DECEMBER 22</v>
      </c>
      <c r="J256" s="8" t="s">
        <v>274</v>
      </c>
      <c r="K256" s="8" t="str">
        <f>CONCATENATE(TableAopCalendar[[#This Row],[Month for Plan]]," ",TableAopCalendar[[#This Row],[Plan]])</f>
        <v>DECEMBER 22 PLANNED</v>
      </c>
    </row>
    <row r="257" spans="1:11" x14ac:dyDescent="0.25">
      <c r="A257" s="5">
        <f t="shared" si="9"/>
        <v>5</v>
      </c>
      <c r="B257" s="6">
        <v>44907</v>
      </c>
      <c r="C257" s="7" t="s">
        <v>270</v>
      </c>
      <c r="D257" s="7">
        <v>22</v>
      </c>
      <c r="E257" s="5">
        <f>DAY(TableAopCalendar[[#This Row],[Date]])</f>
        <v>12</v>
      </c>
      <c r="F257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7" s="5" t="str">
        <f t="shared" si="10"/>
        <v>Week 2</v>
      </c>
      <c r="H257" s="5" t="str">
        <f t="shared" si="11"/>
        <v>December 22 Week 2</v>
      </c>
      <c r="I257" s="5" t="str">
        <f>CONCATENATE(UPPER(TableAopCalendar[[#This Row],[Month]])," ",TableAopCalendar[[#This Row],[Year]])</f>
        <v>DECEMBER 22</v>
      </c>
      <c r="J257" s="8" t="s">
        <v>274</v>
      </c>
      <c r="K257" s="8" t="str">
        <f>CONCATENATE(TableAopCalendar[[#This Row],[Month for Plan]]," ",TableAopCalendar[[#This Row],[Plan]])</f>
        <v>DECEMBER 22 PLANNED</v>
      </c>
    </row>
    <row r="258" spans="1:11" x14ac:dyDescent="0.25">
      <c r="A258" s="5">
        <f t="shared" ref="A258:A321" si="12">IF(G258=G257,A257+1,1)</f>
        <v>6</v>
      </c>
      <c r="B258" s="6">
        <v>44908</v>
      </c>
      <c r="C258" s="7" t="s">
        <v>270</v>
      </c>
      <c r="D258" s="7">
        <v>22</v>
      </c>
      <c r="E258" s="5">
        <f>DAY(TableAopCalendar[[#This Row],[Date]])</f>
        <v>13</v>
      </c>
      <c r="F25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8" s="5" t="str">
        <f t="shared" ref="G258:G321" si="13">"Week"&amp;" "&amp;F258</f>
        <v>Week 2</v>
      </c>
      <c r="H258" s="5" t="str">
        <f t="shared" ref="H258:H321" si="14">CONCATENATE(C258," ",D258," ",G258)</f>
        <v>December 22 Week 2</v>
      </c>
      <c r="I258" s="5" t="str">
        <f>CONCATENATE(UPPER(TableAopCalendar[[#This Row],[Month]])," ",TableAopCalendar[[#This Row],[Year]])</f>
        <v>DECEMBER 22</v>
      </c>
      <c r="J258" s="8" t="s">
        <v>274</v>
      </c>
      <c r="K258" s="8" t="str">
        <f>CONCATENATE(TableAopCalendar[[#This Row],[Month for Plan]]," ",TableAopCalendar[[#This Row],[Plan]])</f>
        <v>DECEMBER 22 PLANNED</v>
      </c>
    </row>
    <row r="259" spans="1:11" x14ac:dyDescent="0.25">
      <c r="A259" s="5">
        <f t="shared" si="12"/>
        <v>7</v>
      </c>
      <c r="B259" s="6">
        <v>44909</v>
      </c>
      <c r="C259" s="7" t="s">
        <v>270</v>
      </c>
      <c r="D259" s="7">
        <v>22</v>
      </c>
      <c r="E259" s="5">
        <f>DAY(TableAopCalendar[[#This Row],[Date]])</f>
        <v>14</v>
      </c>
      <c r="F25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9" s="5" t="str">
        <f t="shared" si="13"/>
        <v>Week 2</v>
      </c>
      <c r="H259" s="5" t="str">
        <f t="shared" si="14"/>
        <v>December 22 Week 2</v>
      </c>
      <c r="I259" s="5" t="str">
        <f>CONCATENATE(UPPER(TableAopCalendar[[#This Row],[Month]])," ",TableAopCalendar[[#This Row],[Year]])</f>
        <v>DECEMBER 22</v>
      </c>
      <c r="J259" s="8" t="s">
        <v>274</v>
      </c>
      <c r="K259" s="8" t="str">
        <f>CONCATENATE(TableAopCalendar[[#This Row],[Month for Plan]]," ",TableAopCalendar[[#This Row],[Plan]])</f>
        <v>DECEMBER 22 PLANNED</v>
      </c>
    </row>
    <row r="260" spans="1:11" x14ac:dyDescent="0.25">
      <c r="A260" s="5">
        <f t="shared" si="12"/>
        <v>1</v>
      </c>
      <c r="B260" s="6">
        <v>44910</v>
      </c>
      <c r="C260" s="7" t="s">
        <v>270</v>
      </c>
      <c r="D260" s="7">
        <v>22</v>
      </c>
      <c r="E260" s="5">
        <f>DAY(TableAopCalendar[[#This Row],[Date]])</f>
        <v>15</v>
      </c>
      <c r="F26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" s="5" t="str">
        <f t="shared" si="13"/>
        <v>Week 3</v>
      </c>
      <c r="H260" s="5" t="str">
        <f t="shared" si="14"/>
        <v>December 22 Week 3</v>
      </c>
      <c r="I260" s="5" t="str">
        <f>CONCATENATE(UPPER(TableAopCalendar[[#This Row],[Month]])," ",TableAopCalendar[[#This Row],[Year]])</f>
        <v>DECEMBER 22</v>
      </c>
      <c r="J260" s="8" t="s">
        <v>274</v>
      </c>
      <c r="K260" s="8" t="str">
        <f>CONCATENATE(TableAopCalendar[[#This Row],[Month for Plan]]," ",TableAopCalendar[[#This Row],[Plan]])</f>
        <v>DECEMBER 22 PLANNED</v>
      </c>
    </row>
    <row r="261" spans="1:11" x14ac:dyDescent="0.25">
      <c r="A261" s="5">
        <f t="shared" si="12"/>
        <v>2</v>
      </c>
      <c r="B261" s="6">
        <v>44911</v>
      </c>
      <c r="C261" s="7" t="s">
        <v>270</v>
      </c>
      <c r="D261" s="7">
        <v>22</v>
      </c>
      <c r="E261" s="5">
        <f>DAY(TableAopCalendar[[#This Row],[Date]])</f>
        <v>16</v>
      </c>
      <c r="F26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1" s="5" t="str">
        <f t="shared" si="13"/>
        <v>Week 3</v>
      </c>
      <c r="H261" s="5" t="str">
        <f t="shared" si="14"/>
        <v>December 22 Week 3</v>
      </c>
      <c r="I261" s="5" t="str">
        <f>CONCATENATE(UPPER(TableAopCalendar[[#This Row],[Month]])," ",TableAopCalendar[[#This Row],[Year]])</f>
        <v>DECEMBER 22</v>
      </c>
      <c r="J261" s="8" t="s">
        <v>274</v>
      </c>
      <c r="K261" s="8" t="str">
        <f>CONCATENATE(TableAopCalendar[[#This Row],[Month for Plan]]," ",TableAopCalendar[[#This Row],[Plan]])</f>
        <v>DECEMBER 22 PLANNED</v>
      </c>
    </row>
    <row r="262" spans="1:11" x14ac:dyDescent="0.25">
      <c r="A262" s="5">
        <f t="shared" si="12"/>
        <v>3</v>
      </c>
      <c r="B262" s="6">
        <v>44912</v>
      </c>
      <c r="C262" s="7" t="s">
        <v>270</v>
      </c>
      <c r="D262" s="7">
        <v>22</v>
      </c>
      <c r="E262" s="5">
        <f>DAY(TableAopCalendar[[#This Row],[Date]])</f>
        <v>17</v>
      </c>
      <c r="F26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2" s="5" t="str">
        <f t="shared" si="13"/>
        <v>Week 3</v>
      </c>
      <c r="H262" s="5" t="str">
        <f t="shared" si="14"/>
        <v>December 22 Week 3</v>
      </c>
      <c r="I262" s="5" t="str">
        <f>CONCATENATE(UPPER(TableAopCalendar[[#This Row],[Month]])," ",TableAopCalendar[[#This Row],[Year]])</f>
        <v>DECEMBER 22</v>
      </c>
      <c r="J262" s="8" t="s">
        <v>274</v>
      </c>
      <c r="K262" s="8" t="str">
        <f>CONCATENATE(TableAopCalendar[[#This Row],[Month for Plan]]," ",TableAopCalendar[[#This Row],[Plan]])</f>
        <v>DECEMBER 22 PLANNED</v>
      </c>
    </row>
    <row r="263" spans="1:11" x14ac:dyDescent="0.25">
      <c r="A263" s="5">
        <f t="shared" si="12"/>
        <v>4</v>
      </c>
      <c r="B263" s="6">
        <v>44913</v>
      </c>
      <c r="C263" s="7" t="s">
        <v>270</v>
      </c>
      <c r="D263" s="7">
        <v>22</v>
      </c>
      <c r="E263" s="5">
        <f>DAY(TableAopCalendar[[#This Row],[Date]])</f>
        <v>18</v>
      </c>
      <c r="F26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3" s="5" t="str">
        <f t="shared" si="13"/>
        <v>Week 3</v>
      </c>
      <c r="H263" s="5" t="str">
        <f t="shared" si="14"/>
        <v>December 22 Week 3</v>
      </c>
      <c r="I263" s="5" t="str">
        <f>CONCATENATE(UPPER(TableAopCalendar[[#This Row],[Month]])," ",TableAopCalendar[[#This Row],[Year]])</f>
        <v>DECEMBER 22</v>
      </c>
      <c r="J263" s="8" t="s">
        <v>274</v>
      </c>
      <c r="K263" s="8" t="str">
        <f>CONCATENATE(TableAopCalendar[[#This Row],[Month for Plan]]," ",TableAopCalendar[[#This Row],[Plan]])</f>
        <v>DECEMBER 22 PLANNED</v>
      </c>
    </row>
    <row r="264" spans="1:11" x14ac:dyDescent="0.25">
      <c r="A264" s="5">
        <f t="shared" si="12"/>
        <v>5</v>
      </c>
      <c r="B264" s="6">
        <v>44914</v>
      </c>
      <c r="C264" s="7" t="s">
        <v>270</v>
      </c>
      <c r="D264" s="7">
        <v>22</v>
      </c>
      <c r="E264" s="5">
        <f>DAY(TableAopCalendar[[#This Row],[Date]])</f>
        <v>19</v>
      </c>
      <c r="F264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4" s="5" t="str">
        <f t="shared" si="13"/>
        <v>Week 3</v>
      </c>
      <c r="H264" s="5" t="str">
        <f t="shared" si="14"/>
        <v>December 22 Week 3</v>
      </c>
      <c r="I264" s="5" t="str">
        <f>CONCATENATE(UPPER(TableAopCalendar[[#This Row],[Month]])," ",TableAopCalendar[[#This Row],[Year]])</f>
        <v>DECEMBER 22</v>
      </c>
      <c r="J264" s="8" t="s">
        <v>274</v>
      </c>
      <c r="K264" s="8" t="str">
        <f>CONCATENATE(TableAopCalendar[[#This Row],[Month for Plan]]," ",TableAopCalendar[[#This Row],[Plan]])</f>
        <v>DECEMBER 22 PLANNED</v>
      </c>
    </row>
    <row r="265" spans="1:11" x14ac:dyDescent="0.25">
      <c r="A265" s="5">
        <f t="shared" si="12"/>
        <v>6</v>
      </c>
      <c r="B265" s="6">
        <v>44915</v>
      </c>
      <c r="C265" s="7" t="s">
        <v>270</v>
      </c>
      <c r="D265" s="7">
        <v>22</v>
      </c>
      <c r="E265" s="5">
        <f>DAY(TableAopCalendar[[#This Row],[Date]])</f>
        <v>20</v>
      </c>
      <c r="F26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5" s="5" t="str">
        <f t="shared" si="13"/>
        <v>Week 3</v>
      </c>
      <c r="H265" s="5" t="str">
        <f t="shared" si="14"/>
        <v>December 22 Week 3</v>
      </c>
      <c r="I265" s="5" t="str">
        <f>CONCATENATE(UPPER(TableAopCalendar[[#This Row],[Month]])," ",TableAopCalendar[[#This Row],[Year]])</f>
        <v>DECEMBER 22</v>
      </c>
      <c r="J265" s="8" t="s">
        <v>274</v>
      </c>
      <c r="K265" s="8" t="str">
        <f>CONCATENATE(TableAopCalendar[[#This Row],[Month for Plan]]," ",TableAopCalendar[[#This Row],[Plan]])</f>
        <v>DECEMBER 22 PLANNED</v>
      </c>
    </row>
    <row r="266" spans="1:11" x14ac:dyDescent="0.25">
      <c r="A266" s="5">
        <f t="shared" si="12"/>
        <v>7</v>
      </c>
      <c r="B266" s="6">
        <v>44916</v>
      </c>
      <c r="C266" s="7" t="s">
        <v>270</v>
      </c>
      <c r="D266" s="7">
        <v>22</v>
      </c>
      <c r="E266" s="5">
        <f>DAY(TableAopCalendar[[#This Row],[Date]])</f>
        <v>21</v>
      </c>
      <c r="F26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6" s="5" t="str">
        <f t="shared" si="13"/>
        <v>Week 3</v>
      </c>
      <c r="H266" s="5" t="str">
        <f t="shared" si="14"/>
        <v>December 22 Week 3</v>
      </c>
      <c r="I266" s="5" t="str">
        <f>CONCATENATE(UPPER(TableAopCalendar[[#This Row],[Month]])," ",TableAopCalendar[[#This Row],[Year]])</f>
        <v>DECEMBER 22</v>
      </c>
      <c r="J266" s="8" t="s">
        <v>274</v>
      </c>
      <c r="K266" s="8" t="str">
        <f>CONCATENATE(TableAopCalendar[[#This Row],[Month for Plan]]," ",TableAopCalendar[[#This Row],[Plan]])</f>
        <v>DECEMBER 22 PLANNED</v>
      </c>
    </row>
    <row r="267" spans="1:11" x14ac:dyDescent="0.25">
      <c r="A267" s="5">
        <f t="shared" si="12"/>
        <v>1</v>
      </c>
      <c r="B267" s="6">
        <v>44917</v>
      </c>
      <c r="C267" s="7" t="s">
        <v>270</v>
      </c>
      <c r="D267" s="7">
        <v>22</v>
      </c>
      <c r="E267" s="5">
        <f>DAY(TableAopCalendar[[#This Row],[Date]])</f>
        <v>22</v>
      </c>
      <c r="F26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" s="5" t="str">
        <f t="shared" si="13"/>
        <v>Week 4</v>
      </c>
      <c r="H267" s="5" t="str">
        <f t="shared" si="14"/>
        <v>December 22 Week 4</v>
      </c>
      <c r="I267" s="5" t="str">
        <f>CONCATENATE(UPPER(TableAopCalendar[[#This Row],[Month]])," ",TableAopCalendar[[#This Row],[Year]])</f>
        <v>DECEMBER 22</v>
      </c>
      <c r="J267" s="8" t="s">
        <v>274</v>
      </c>
      <c r="K267" s="8" t="str">
        <f>CONCATENATE(TableAopCalendar[[#This Row],[Month for Plan]]," ",TableAopCalendar[[#This Row],[Plan]])</f>
        <v>DECEMBER 22 PLANNED</v>
      </c>
    </row>
    <row r="268" spans="1:11" x14ac:dyDescent="0.25">
      <c r="A268" s="5">
        <f t="shared" si="12"/>
        <v>2</v>
      </c>
      <c r="B268" s="6">
        <v>44918</v>
      </c>
      <c r="C268" s="7" t="s">
        <v>270</v>
      </c>
      <c r="D268" s="7">
        <v>22</v>
      </c>
      <c r="E268" s="5">
        <f>DAY(TableAopCalendar[[#This Row],[Date]])</f>
        <v>23</v>
      </c>
      <c r="F26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8" s="5" t="str">
        <f t="shared" si="13"/>
        <v>Week 4</v>
      </c>
      <c r="H268" s="5" t="str">
        <f t="shared" si="14"/>
        <v>December 22 Week 4</v>
      </c>
      <c r="I268" s="5" t="str">
        <f>CONCATENATE(UPPER(TableAopCalendar[[#This Row],[Month]])," ",TableAopCalendar[[#This Row],[Year]])</f>
        <v>DECEMBER 22</v>
      </c>
      <c r="J268" s="8" t="s">
        <v>274</v>
      </c>
      <c r="K268" s="8" t="str">
        <f>CONCATENATE(TableAopCalendar[[#This Row],[Month for Plan]]," ",TableAopCalendar[[#This Row],[Plan]])</f>
        <v>DECEMBER 22 PLANNED</v>
      </c>
    </row>
    <row r="269" spans="1:11" x14ac:dyDescent="0.25">
      <c r="A269" s="5">
        <f t="shared" si="12"/>
        <v>3</v>
      </c>
      <c r="B269" s="6">
        <v>44919</v>
      </c>
      <c r="C269" s="7" t="s">
        <v>270</v>
      </c>
      <c r="D269" s="7">
        <v>22</v>
      </c>
      <c r="E269" s="5">
        <f>DAY(TableAopCalendar[[#This Row],[Date]])</f>
        <v>24</v>
      </c>
      <c r="F26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9" s="5" t="str">
        <f t="shared" si="13"/>
        <v>Week 4</v>
      </c>
      <c r="H269" s="5" t="str">
        <f t="shared" si="14"/>
        <v>December 22 Week 4</v>
      </c>
      <c r="I269" s="5" t="str">
        <f>CONCATENATE(UPPER(TableAopCalendar[[#This Row],[Month]])," ",TableAopCalendar[[#This Row],[Year]])</f>
        <v>DECEMBER 22</v>
      </c>
      <c r="J269" s="8" t="s">
        <v>274</v>
      </c>
      <c r="K269" s="8" t="str">
        <f>CONCATENATE(TableAopCalendar[[#This Row],[Month for Plan]]," ",TableAopCalendar[[#This Row],[Plan]])</f>
        <v>DECEMBER 22 PLANNED</v>
      </c>
    </row>
    <row r="270" spans="1:11" x14ac:dyDescent="0.25">
      <c r="A270" s="5">
        <f t="shared" si="12"/>
        <v>4</v>
      </c>
      <c r="B270" s="6">
        <v>44920</v>
      </c>
      <c r="C270" s="7" t="s">
        <v>270</v>
      </c>
      <c r="D270" s="7">
        <v>22</v>
      </c>
      <c r="E270" s="5">
        <f>DAY(TableAopCalendar[[#This Row],[Date]])</f>
        <v>25</v>
      </c>
      <c r="F27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" s="5" t="str">
        <f t="shared" si="13"/>
        <v>Week 4</v>
      </c>
      <c r="H270" s="5" t="str">
        <f t="shared" si="14"/>
        <v>December 22 Week 4</v>
      </c>
      <c r="I270" s="5" t="str">
        <f>CONCATENATE(UPPER(TableAopCalendar[[#This Row],[Month]])," ",TableAopCalendar[[#This Row],[Year]])</f>
        <v>DECEMBER 22</v>
      </c>
      <c r="J270" s="8" t="s">
        <v>274</v>
      </c>
      <c r="K270" s="8" t="str">
        <f>CONCATENATE(TableAopCalendar[[#This Row],[Month for Plan]]," ",TableAopCalendar[[#This Row],[Plan]])</f>
        <v>DECEMBER 22 PLANNED</v>
      </c>
    </row>
    <row r="271" spans="1:11" x14ac:dyDescent="0.25">
      <c r="A271" s="5">
        <f t="shared" si="12"/>
        <v>5</v>
      </c>
      <c r="B271" s="6">
        <v>44921</v>
      </c>
      <c r="C271" s="7" t="s">
        <v>270</v>
      </c>
      <c r="D271" s="7">
        <v>22</v>
      </c>
      <c r="E271" s="5">
        <f>DAY(TableAopCalendar[[#This Row],[Date]])</f>
        <v>26</v>
      </c>
      <c r="F271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1" s="5" t="str">
        <f t="shared" si="13"/>
        <v>Week 4</v>
      </c>
      <c r="H271" s="5" t="str">
        <f t="shared" si="14"/>
        <v>December 22 Week 4</v>
      </c>
      <c r="I271" s="5" t="str">
        <f>CONCATENATE(UPPER(TableAopCalendar[[#This Row],[Month]])," ",TableAopCalendar[[#This Row],[Year]])</f>
        <v>DECEMBER 22</v>
      </c>
      <c r="J271" s="8" t="s">
        <v>274</v>
      </c>
      <c r="K271" s="8" t="str">
        <f>CONCATENATE(TableAopCalendar[[#This Row],[Month for Plan]]," ",TableAopCalendar[[#This Row],[Plan]])</f>
        <v>DECEMBER 22 PLANNED</v>
      </c>
    </row>
    <row r="272" spans="1:11" x14ac:dyDescent="0.25">
      <c r="A272" s="5">
        <f t="shared" si="12"/>
        <v>6</v>
      </c>
      <c r="B272" s="6">
        <v>44922</v>
      </c>
      <c r="C272" s="7" t="s">
        <v>270</v>
      </c>
      <c r="D272" s="7">
        <v>22</v>
      </c>
      <c r="E272" s="5">
        <f>DAY(TableAopCalendar[[#This Row],[Date]])</f>
        <v>27</v>
      </c>
      <c r="F27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2" s="5" t="str">
        <f t="shared" si="13"/>
        <v>Week 4</v>
      </c>
      <c r="H272" s="5" t="str">
        <f t="shared" si="14"/>
        <v>December 22 Week 4</v>
      </c>
      <c r="I272" s="5" t="str">
        <f>CONCATENATE(UPPER(TableAopCalendar[[#This Row],[Month]])," ",TableAopCalendar[[#This Row],[Year]])</f>
        <v>DECEMBER 22</v>
      </c>
      <c r="J272" s="8" t="s">
        <v>274</v>
      </c>
      <c r="K272" s="8" t="str">
        <f>CONCATENATE(TableAopCalendar[[#This Row],[Month for Plan]]," ",TableAopCalendar[[#This Row],[Plan]])</f>
        <v>DECEMBER 22 PLANNED</v>
      </c>
    </row>
    <row r="273" spans="1:11" x14ac:dyDescent="0.25">
      <c r="A273" s="5">
        <f t="shared" si="12"/>
        <v>7</v>
      </c>
      <c r="B273" s="6">
        <v>44923</v>
      </c>
      <c r="C273" s="7" t="s">
        <v>270</v>
      </c>
      <c r="D273" s="7">
        <v>22</v>
      </c>
      <c r="E273" s="5">
        <f>DAY(TableAopCalendar[[#This Row],[Date]])</f>
        <v>28</v>
      </c>
      <c r="F27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" s="5" t="str">
        <f t="shared" si="13"/>
        <v>Week 4</v>
      </c>
      <c r="H273" s="5" t="str">
        <f t="shared" si="14"/>
        <v>December 22 Week 4</v>
      </c>
      <c r="I273" s="5" t="str">
        <f>CONCATENATE(UPPER(TableAopCalendar[[#This Row],[Month]])," ",TableAopCalendar[[#This Row],[Year]])</f>
        <v>DECEMBER 22</v>
      </c>
      <c r="J273" s="8" t="s">
        <v>274</v>
      </c>
      <c r="K273" s="8" t="str">
        <f>CONCATENATE(TableAopCalendar[[#This Row],[Month for Plan]]," ",TableAopCalendar[[#This Row],[Plan]])</f>
        <v>DECEMBER 22 PLANNED</v>
      </c>
    </row>
    <row r="274" spans="1:11" x14ac:dyDescent="0.25">
      <c r="A274" s="5">
        <f t="shared" si="12"/>
        <v>1</v>
      </c>
      <c r="B274" s="6">
        <v>44924</v>
      </c>
      <c r="C274" s="7" t="s">
        <v>270</v>
      </c>
      <c r="D274" s="7">
        <v>22</v>
      </c>
      <c r="E274" s="5">
        <f>DAY(TableAopCalendar[[#This Row],[Date]])</f>
        <v>29</v>
      </c>
      <c r="F274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4" s="5" t="str">
        <f t="shared" si="13"/>
        <v>Week 5</v>
      </c>
      <c r="H274" s="5" t="str">
        <f t="shared" si="14"/>
        <v>December 22 Week 5</v>
      </c>
      <c r="I274" s="5" t="str">
        <f>CONCATENATE(UPPER(TableAopCalendar[[#This Row],[Month]])," ",TableAopCalendar[[#This Row],[Year]])</f>
        <v>DECEMBER 22</v>
      </c>
      <c r="J274" s="8" t="s">
        <v>274</v>
      </c>
      <c r="K274" s="8" t="str">
        <f>CONCATENATE(TableAopCalendar[[#This Row],[Month for Plan]]," ",TableAopCalendar[[#This Row],[Plan]])</f>
        <v>DECEMBER 22 PLANNED</v>
      </c>
    </row>
    <row r="275" spans="1:11" x14ac:dyDescent="0.25">
      <c r="A275" s="5">
        <f t="shared" si="12"/>
        <v>2</v>
      </c>
      <c r="B275" s="6">
        <v>44925</v>
      </c>
      <c r="C275" s="7" t="s">
        <v>270</v>
      </c>
      <c r="D275" s="7">
        <v>22</v>
      </c>
      <c r="E275" s="5">
        <f>DAY(TableAopCalendar[[#This Row],[Date]])</f>
        <v>30</v>
      </c>
      <c r="F275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5" s="5" t="str">
        <f t="shared" si="13"/>
        <v>Week 5</v>
      </c>
      <c r="H275" s="5" t="str">
        <f t="shared" si="14"/>
        <v>December 22 Week 5</v>
      </c>
      <c r="I275" s="5" t="str">
        <f>CONCATENATE(UPPER(TableAopCalendar[[#This Row],[Month]])," ",TableAopCalendar[[#This Row],[Year]])</f>
        <v>DECEMBER 22</v>
      </c>
      <c r="J275" s="8" t="s">
        <v>274</v>
      </c>
      <c r="K275" s="8" t="str">
        <f>CONCATENATE(TableAopCalendar[[#This Row],[Month for Plan]]," ",TableAopCalendar[[#This Row],[Plan]])</f>
        <v>DECEMBER 22 PLANNED</v>
      </c>
    </row>
    <row r="276" spans="1:11" x14ac:dyDescent="0.25">
      <c r="A276" s="5">
        <f t="shared" si="12"/>
        <v>3</v>
      </c>
      <c r="B276" s="6">
        <v>44926</v>
      </c>
      <c r="C276" s="7" t="s">
        <v>270</v>
      </c>
      <c r="D276" s="7">
        <v>22</v>
      </c>
      <c r="E276" s="5">
        <f>DAY(TableAopCalendar[[#This Row],[Date]])</f>
        <v>31</v>
      </c>
      <c r="F276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6" s="5" t="str">
        <f t="shared" si="13"/>
        <v>Week 5</v>
      </c>
      <c r="H276" s="5" t="str">
        <f t="shared" si="14"/>
        <v>December 22 Week 5</v>
      </c>
      <c r="I276" s="5" t="str">
        <f>CONCATENATE(UPPER(TableAopCalendar[[#This Row],[Month]])," ",TableAopCalendar[[#This Row],[Year]])</f>
        <v>DECEMBER 22</v>
      </c>
      <c r="J276" s="8" t="s">
        <v>274</v>
      </c>
      <c r="K276" s="8" t="str">
        <f>CONCATENATE(TableAopCalendar[[#This Row],[Month for Plan]]," ",TableAopCalendar[[#This Row],[Plan]])</f>
        <v>DECEMBER 22 PLANNED</v>
      </c>
    </row>
    <row r="277" spans="1:11" x14ac:dyDescent="0.25">
      <c r="A277" s="5">
        <f t="shared" si="12"/>
        <v>1</v>
      </c>
      <c r="B277" s="6">
        <v>44927</v>
      </c>
      <c r="C277" s="7" t="s">
        <v>271</v>
      </c>
      <c r="D277" s="7">
        <v>23</v>
      </c>
      <c r="E277" s="5">
        <f>DAY(TableAopCalendar[[#This Row],[Date]])</f>
        <v>1</v>
      </c>
      <c r="F27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" s="5" t="str">
        <f t="shared" si="13"/>
        <v>Week 1</v>
      </c>
      <c r="H277" s="5" t="str">
        <f t="shared" si="14"/>
        <v>January 23 Week 1</v>
      </c>
      <c r="I277" s="5" t="str">
        <f>CONCATENATE(UPPER(TableAopCalendar[[#This Row],[Month]])," ",TableAopCalendar[[#This Row],[Year]])</f>
        <v>JANUARY 23</v>
      </c>
      <c r="J277" s="8" t="s">
        <v>274</v>
      </c>
      <c r="K277" s="8" t="str">
        <f>CONCATENATE(TableAopCalendar[[#This Row],[Month for Plan]]," ",TableAopCalendar[[#This Row],[Plan]])</f>
        <v>JANUARY 23 PLANNED</v>
      </c>
    </row>
    <row r="278" spans="1:11" x14ac:dyDescent="0.25">
      <c r="A278" s="5">
        <f t="shared" si="12"/>
        <v>2</v>
      </c>
      <c r="B278" s="6">
        <v>44928</v>
      </c>
      <c r="C278" s="7" t="s">
        <v>271</v>
      </c>
      <c r="D278" s="7">
        <v>23</v>
      </c>
      <c r="E278" s="5">
        <f>DAY(TableAopCalendar[[#This Row],[Date]])</f>
        <v>2</v>
      </c>
      <c r="F27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8" s="5" t="str">
        <f t="shared" si="13"/>
        <v>Week 1</v>
      </c>
      <c r="H278" s="5" t="str">
        <f t="shared" si="14"/>
        <v>January 23 Week 1</v>
      </c>
      <c r="I278" s="5" t="str">
        <f>CONCATENATE(UPPER(TableAopCalendar[[#This Row],[Month]])," ",TableAopCalendar[[#This Row],[Year]])</f>
        <v>JANUARY 23</v>
      </c>
      <c r="J278" s="8" t="s">
        <v>274</v>
      </c>
      <c r="K278" s="8" t="str">
        <f>CONCATENATE(TableAopCalendar[[#This Row],[Month for Plan]]," ",TableAopCalendar[[#This Row],[Plan]])</f>
        <v>JANUARY 23 PLANNED</v>
      </c>
    </row>
    <row r="279" spans="1:11" x14ac:dyDescent="0.25">
      <c r="A279" s="5">
        <f t="shared" si="12"/>
        <v>3</v>
      </c>
      <c r="B279" s="6">
        <v>44929</v>
      </c>
      <c r="C279" s="7" t="s">
        <v>271</v>
      </c>
      <c r="D279" s="7">
        <v>23</v>
      </c>
      <c r="E279" s="5">
        <f>DAY(TableAopCalendar[[#This Row],[Date]])</f>
        <v>3</v>
      </c>
      <c r="F27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9" s="5" t="str">
        <f t="shared" si="13"/>
        <v>Week 1</v>
      </c>
      <c r="H279" s="5" t="str">
        <f t="shared" si="14"/>
        <v>January 23 Week 1</v>
      </c>
      <c r="I279" s="5" t="str">
        <f>CONCATENATE(UPPER(TableAopCalendar[[#This Row],[Month]])," ",TableAopCalendar[[#This Row],[Year]])</f>
        <v>JANUARY 23</v>
      </c>
      <c r="J279" s="8" t="s">
        <v>274</v>
      </c>
      <c r="K279" s="8" t="str">
        <f>CONCATENATE(TableAopCalendar[[#This Row],[Month for Plan]]," ",TableAopCalendar[[#This Row],[Plan]])</f>
        <v>JANUARY 23 PLANNED</v>
      </c>
    </row>
    <row r="280" spans="1:11" x14ac:dyDescent="0.25">
      <c r="A280" s="5">
        <f t="shared" si="12"/>
        <v>4</v>
      </c>
      <c r="B280" s="6">
        <v>44930</v>
      </c>
      <c r="C280" s="7" t="s">
        <v>271</v>
      </c>
      <c r="D280" s="7">
        <v>23</v>
      </c>
      <c r="E280" s="5">
        <f>DAY(TableAopCalendar[[#This Row],[Date]])</f>
        <v>4</v>
      </c>
      <c r="F280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" s="5" t="str">
        <f t="shared" si="13"/>
        <v>Week 1</v>
      </c>
      <c r="H280" s="5" t="str">
        <f t="shared" si="14"/>
        <v>January 23 Week 1</v>
      </c>
      <c r="I280" s="5" t="str">
        <f>CONCATENATE(UPPER(TableAopCalendar[[#This Row],[Month]])," ",TableAopCalendar[[#This Row],[Year]])</f>
        <v>JANUARY 23</v>
      </c>
      <c r="J280" s="8" t="s">
        <v>274</v>
      </c>
      <c r="K280" s="8" t="str">
        <f>CONCATENATE(TableAopCalendar[[#This Row],[Month for Plan]]," ",TableAopCalendar[[#This Row],[Plan]])</f>
        <v>JANUARY 23 PLANNED</v>
      </c>
    </row>
    <row r="281" spans="1:11" x14ac:dyDescent="0.25">
      <c r="A281" s="5">
        <f t="shared" si="12"/>
        <v>5</v>
      </c>
      <c r="B281" s="6">
        <v>44931</v>
      </c>
      <c r="C281" s="7" t="s">
        <v>271</v>
      </c>
      <c r="D281" s="7">
        <v>23</v>
      </c>
      <c r="E281" s="5">
        <f>DAY(TableAopCalendar[[#This Row],[Date]])</f>
        <v>5</v>
      </c>
      <c r="F28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1" s="5" t="str">
        <f t="shared" si="13"/>
        <v>Week 1</v>
      </c>
      <c r="H281" s="5" t="str">
        <f t="shared" si="14"/>
        <v>January 23 Week 1</v>
      </c>
      <c r="I281" s="5" t="str">
        <f>CONCATENATE(UPPER(TableAopCalendar[[#This Row],[Month]])," ",TableAopCalendar[[#This Row],[Year]])</f>
        <v>JANUARY 23</v>
      </c>
      <c r="J281" s="8" t="s">
        <v>274</v>
      </c>
      <c r="K281" s="8" t="str">
        <f>CONCATENATE(TableAopCalendar[[#This Row],[Month for Plan]]," ",TableAopCalendar[[#This Row],[Plan]])</f>
        <v>JANUARY 23 PLANNED</v>
      </c>
    </row>
    <row r="282" spans="1:11" x14ac:dyDescent="0.25">
      <c r="A282" s="5">
        <f t="shared" si="12"/>
        <v>6</v>
      </c>
      <c r="B282" s="6">
        <v>44932</v>
      </c>
      <c r="C282" s="7" t="s">
        <v>271</v>
      </c>
      <c r="D282" s="7">
        <v>23</v>
      </c>
      <c r="E282" s="5">
        <f>DAY(TableAopCalendar[[#This Row],[Date]])</f>
        <v>6</v>
      </c>
      <c r="F28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2" s="5" t="str">
        <f t="shared" si="13"/>
        <v>Week 1</v>
      </c>
      <c r="H282" s="5" t="str">
        <f t="shared" si="14"/>
        <v>January 23 Week 1</v>
      </c>
      <c r="I282" s="5" t="str">
        <f>CONCATENATE(UPPER(TableAopCalendar[[#This Row],[Month]])," ",TableAopCalendar[[#This Row],[Year]])</f>
        <v>JANUARY 23</v>
      </c>
      <c r="J282" s="8" t="s">
        <v>274</v>
      </c>
      <c r="K282" s="8" t="str">
        <f>CONCATENATE(TableAopCalendar[[#This Row],[Month for Plan]]," ",TableAopCalendar[[#This Row],[Plan]])</f>
        <v>JANUARY 23 PLANNED</v>
      </c>
    </row>
    <row r="283" spans="1:11" x14ac:dyDescent="0.25">
      <c r="A283" s="5">
        <f t="shared" si="12"/>
        <v>7</v>
      </c>
      <c r="B283" s="6">
        <v>44933</v>
      </c>
      <c r="C283" s="7" t="s">
        <v>271</v>
      </c>
      <c r="D283" s="7">
        <v>23</v>
      </c>
      <c r="E283" s="5">
        <f>DAY(TableAopCalendar[[#This Row],[Date]])</f>
        <v>7</v>
      </c>
      <c r="F28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3" s="5" t="str">
        <f t="shared" si="13"/>
        <v>Week 1</v>
      </c>
      <c r="H283" s="5" t="str">
        <f t="shared" si="14"/>
        <v>January 23 Week 1</v>
      </c>
      <c r="I283" s="5" t="str">
        <f>CONCATENATE(UPPER(TableAopCalendar[[#This Row],[Month]])," ",TableAopCalendar[[#This Row],[Year]])</f>
        <v>JANUARY 23</v>
      </c>
      <c r="J283" s="8" t="s">
        <v>274</v>
      </c>
      <c r="K283" s="8" t="str">
        <f>CONCATENATE(TableAopCalendar[[#This Row],[Month for Plan]]," ",TableAopCalendar[[#This Row],[Plan]])</f>
        <v>JANUARY 23 PLANNED</v>
      </c>
    </row>
    <row r="284" spans="1:11" x14ac:dyDescent="0.25">
      <c r="A284" s="5">
        <f t="shared" si="12"/>
        <v>1</v>
      </c>
      <c r="B284" s="6">
        <v>44934</v>
      </c>
      <c r="C284" s="7" t="s">
        <v>271</v>
      </c>
      <c r="D284" s="7">
        <v>23</v>
      </c>
      <c r="E284" s="5">
        <f>DAY(TableAopCalendar[[#This Row],[Date]])</f>
        <v>8</v>
      </c>
      <c r="F28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" s="5" t="str">
        <f t="shared" si="13"/>
        <v>Week 2</v>
      </c>
      <c r="H284" s="5" t="str">
        <f t="shared" si="14"/>
        <v>January 23 Week 2</v>
      </c>
      <c r="I284" s="5" t="str">
        <f>CONCATENATE(UPPER(TableAopCalendar[[#This Row],[Month]])," ",TableAopCalendar[[#This Row],[Year]])</f>
        <v>JANUARY 23</v>
      </c>
      <c r="J284" s="8" t="s">
        <v>274</v>
      </c>
      <c r="K284" s="8" t="str">
        <f>CONCATENATE(TableAopCalendar[[#This Row],[Month for Plan]]," ",TableAopCalendar[[#This Row],[Plan]])</f>
        <v>JANUARY 23 PLANNED</v>
      </c>
    </row>
    <row r="285" spans="1:11" x14ac:dyDescent="0.25">
      <c r="A285" s="5">
        <f t="shared" si="12"/>
        <v>2</v>
      </c>
      <c r="B285" s="6">
        <v>44935</v>
      </c>
      <c r="C285" s="7" t="s">
        <v>271</v>
      </c>
      <c r="D285" s="7">
        <v>23</v>
      </c>
      <c r="E285" s="5">
        <f>DAY(TableAopCalendar[[#This Row],[Date]])</f>
        <v>9</v>
      </c>
      <c r="F28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5" s="5" t="str">
        <f t="shared" si="13"/>
        <v>Week 2</v>
      </c>
      <c r="H285" s="5" t="str">
        <f t="shared" si="14"/>
        <v>January 23 Week 2</v>
      </c>
      <c r="I285" s="5" t="str">
        <f>CONCATENATE(UPPER(TableAopCalendar[[#This Row],[Month]])," ",TableAopCalendar[[#This Row],[Year]])</f>
        <v>JANUARY 23</v>
      </c>
      <c r="J285" s="8" t="s">
        <v>274</v>
      </c>
      <c r="K285" s="8" t="str">
        <f>CONCATENATE(TableAopCalendar[[#This Row],[Month for Plan]]," ",TableAopCalendar[[#This Row],[Plan]])</f>
        <v>JANUARY 23 PLANNED</v>
      </c>
    </row>
    <row r="286" spans="1:11" x14ac:dyDescent="0.25">
      <c r="A286" s="5">
        <f t="shared" si="12"/>
        <v>3</v>
      </c>
      <c r="B286" s="6">
        <v>44936</v>
      </c>
      <c r="C286" s="7" t="s">
        <v>271</v>
      </c>
      <c r="D286" s="7">
        <v>23</v>
      </c>
      <c r="E286" s="5">
        <f>DAY(TableAopCalendar[[#This Row],[Date]])</f>
        <v>10</v>
      </c>
      <c r="F28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6" s="5" t="str">
        <f t="shared" si="13"/>
        <v>Week 2</v>
      </c>
      <c r="H286" s="5" t="str">
        <f t="shared" si="14"/>
        <v>January 23 Week 2</v>
      </c>
      <c r="I286" s="5" t="str">
        <f>CONCATENATE(UPPER(TableAopCalendar[[#This Row],[Month]])," ",TableAopCalendar[[#This Row],[Year]])</f>
        <v>JANUARY 23</v>
      </c>
      <c r="J286" s="8" t="s">
        <v>274</v>
      </c>
      <c r="K286" s="8" t="str">
        <f>CONCATENATE(TableAopCalendar[[#This Row],[Month for Plan]]," ",TableAopCalendar[[#This Row],[Plan]])</f>
        <v>JANUARY 23 PLANNED</v>
      </c>
    </row>
    <row r="287" spans="1:11" x14ac:dyDescent="0.25">
      <c r="A287" s="5">
        <f t="shared" si="12"/>
        <v>4</v>
      </c>
      <c r="B287" s="6">
        <v>44937</v>
      </c>
      <c r="C287" s="7" t="s">
        <v>271</v>
      </c>
      <c r="D287" s="7">
        <v>23</v>
      </c>
      <c r="E287" s="5">
        <f>DAY(TableAopCalendar[[#This Row],[Date]])</f>
        <v>11</v>
      </c>
      <c r="F287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" s="5" t="str">
        <f t="shared" si="13"/>
        <v>Week 2</v>
      </c>
      <c r="H287" s="5" t="str">
        <f t="shared" si="14"/>
        <v>January 23 Week 2</v>
      </c>
      <c r="I287" s="5" t="str">
        <f>CONCATENATE(UPPER(TableAopCalendar[[#This Row],[Month]])," ",TableAopCalendar[[#This Row],[Year]])</f>
        <v>JANUARY 23</v>
      </c>
      <c r="J287" s="8" t="s">
        <v>274</v>
      </c>
      <c r="K287" s="8" t="str">
        <f>CONCATENATE(TableAopCalendar[[#This Row],[Month for Plan]]," ",TableAopCalendar[[#This Row],[Plan]])</f>
        <v>JANUARY 23 PLANNED</v>
      </c>
    </row>
    <row r="288" spans="1:11" x14ac:dyDescent="0.25">
      <c r="A288" s="5">
        <f t="shared" si="12"/>
        <v>5</v>
      </c>
      <c r="B288" s="6">
        <v>44938</v>
      </c>
      <c r="C288" s="7" t="s">
        <v>271</v>
      </c>
      <c r="D288" s="7">
        <v>23</v>
      </c>
      <c r="E288" s="5">
        <f>DAY(TableAopCalendar[[#This Row],[Date]])</f>
        <v>12</v>
      </c>
      <c r="F28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8" s="5" t="str">
        <f t="shared" si="13"/>
        <v>Week 2</v>
      </c>
      <c r="H288" s="5" t="str">
        <f t="shared" si="14"/>
        <v>January 23 Week 2</v>
      </c>
      <c r="I288" s="5" t="str">
        <f>CONCATENATE(UPPER(TableAopCalendar[[#This Row],[Month]])," ",TableAopCalendar[[#This Row],[Year]])</f>
        <v>JANUARY 23</v>
      </c>
      <c r="J288" s="8" t="s">
        <v>274</v>
      </c>
      <c r="K288" s="8" t="str">
        <f>CONCATENATE(TableAopCalendar[[#This Row],[Month for Plan]]," ",TableAopCalendar[[#This Row],[Plan]])</f>
        <v>JANUARY 23 PLANNED</v>
      </c>
    </row>
    <row r="289" spans="1:11" x14ac:dyDescent="0.25">
      <c r="A289" s="5">
        <f t="shared" si="12"/>
        <v>6</v>
      </c>
      <c r="B289" s="6">
        <v>44939</v>
      </c>
      <c r="C289" s="7" t="s">
        <v>271</v>
      </c>
      <c r="D289" s="7">
        <v>23</v>
      </c>
      <c r="E289" s="5">
        <f>DAY(TableAopCalendar[[#This Row],[Date]])</f>
        <v>13</v>
      </c>
      <c r="F28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9" s="5" t="str">
        <f t="shared" si="13"/>
        <v>Week 2</v>
      </c>
      <c r="H289" s="5" t="str">
        <f t="shared" si="14"/>
        <v>January 23 Week 2</v>
      </c>
      <c r="I289" s="5" t="str">
        <f>CONCATENATE(UPPER(TableAopCalendar[[#This Row],[Month]])," ",TableAopCalendar[[#This Row],[Year]])</f>
        <v>JANUARY 23</v>
      </c>
      <c r="J289" s="8" t="s">
        <v>274</v>
      </c>
      <c r="K289" s="8" t="str">
        <f>CONCATENATE(TableAopCalendar[[#This Row],[Month for Plan]]," ",TableAopCalendar[[#This Row],[Plan]])</f>
        <v>JANUARY 23 PLANNED</v>
      </c>
    </row>
    <row r="290" spans="1:11" x14ac:dyDescent="0.25">
      <c r="A290" s="5">
        <f t="shared" si="12"/>
        <v>7</v>
      </c>
      <c r="B290" s="6">
        <v>44940</v>
      </c>
      <c r="C290" s="7" t="s">
        <v>271</v>
      </c>
      <c r="D290" s="7">
        <v>23</v>
      </c>
      <c r="E290" s="5">
        <f>DAY(TableAopCalendar[[#This Row],[Date]])</f>
        <v>14</v>
      </c>
      <c r="F29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" s="5" t="str">
        <f t="shared" si="13"/>
        <v>Week 2</v>
      </c>
      <c r="H290" s="5" t="str">
        <f t="shared" si="14"/>
        <v>January 23 Week 2</v>
      </c>
      <c r="I290" s="5" t="str">
        <f>CONCATENATE(UPPER(TableAopCalendar[[#This Row],[Month]])," ",TableAopCalendar[[#This Row],[Year]])</f>
        <v>JANUARY 23</v>
      </c>
      <c r="J290" s="8" t="s">
        <v>274</v>
      </c>
      <c r="K290" s="8" t="str">
        <f>CONCATENATE(TableAopCalendar[[#This Row],[Month for Plan]]," ",TableAopCalendar[[#This Row],[Plan]])</f>
        <v>JANUARY 23 PLANNED</v>
      </c>
    </row>
    <row r="291" spans="1:11" x14ac:dyDescent="0.25">
      <c r="A291" s="5">
        <f t="shared" si="12"/>
        <v>1</v>
      </c>
      <c r="B291" s="6">
        <v>44941</v>
      </c>
      <c r="C291" s="7" t="s">
        <v>271</v>
      </c>
      <c r="D291" s="7">
        <v>23</v>
      </c>
      <c r="E291" s="5">
        <f>DAY(TableAopCalendar[[#This Row],[Date]])</f>
        <v>15</v>
      </c>
      <c r="F29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1" s="5" t="str">
        <f t="shared" si="13"/>
        <v>Week 3</v>
      </c>
      <c r="H291" s="5" t="str">
        <f t="shared" si="14"/>
        <v>January 23 Week 3</v>
      </c>
      <c r="I291" s="5" t="str">
        <f>CONCATENATE(UPPER(TableAopCalendar[[#This Row],[Month]])," ",TableAopCalendar[[#This Row],[Year]])</f>
        <v>JANUARY 23</v>
      </c>
      <c r="J291" s="8" t="s">
        <v>274</v>
      </c>
      <c r="K291" s="8" t="str">
        <f>CONCATENATE(TableAopCalendar[[#This Row],[Month for Plan]]," ",TableAopCalendar[[#This Row],[Plan]])</f>
        <v>JANUARY 23 PLANNED</v>
      </c>
    </row>
    <row r="292" spans="1:11" x14ac:dyDescent="0.25">
      <c r="A292" s="5">
        <f t="shared" si="12"/>
        <v>2</v>
      </c>
      <c r="B292" s="6">
        <v>44942</v>
      </c>
      <c r="C292" s="7" t="s">
        <v>271</v>
      </c>
      <c r="D292" s="7">
        <v>23</v>
      </c>
      <c r="E292" s="5">
        <f>DAY(TableAopCalendar[[#This Row],[Date]])</f>
        <v>16</v>
      </c>
      <c r="F29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2" s="5" t="str">
        <f t="shared" si="13"/>
        <v>Week 3</v>
      </c>
      <c r="H292" s="5" t="str">
        <f t="shared" si="14"/>
        <v>January 23 Week 3</v>
      </c>
      <c r="I292" s="5" t="str">
        <f>CONCATENATE(UPPER(TableAopCalendar[[#This Row],[Month]])," ",TableAopCalendar[[#This Row],[Year]])</f>
        <v>JANUARY 23</v>
      </c>
      <c r="J292" s="8" t="s">
        <v>274</v>
      </c>
      <c r="K292" s="8" t="str">
        <f>CONCATENATE(TableAopCalendar[[#This Row],[Month for Plan]]," ",TableAopCalendar[[#This Row],[Plan]])</f>
        <v>JANUARY 23 PLANNED</v>
      </c>
    </row>
    <row r="293" spans="1:11" x14ac:dyDescent="0.25">
      <c r="A293" s="5">
        <f t="shared" si="12"/>
        <v>3</v>
      </c>
      <c r="B293" s="6">
        <v>44943</v>
      </c>
      <c r="C293" s="7" t="s">
        <v>271</v>
      </c>
      <c r="D293" s="7">
        <v>23</v>
      </c>
      <c r="E293" s="5">
        <f>DAY(TableAopCalendar[[#This Row],[Date]])</f>
        <v>17</v>
      </c>
      <c r="F29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3" s="5" t="str">
        <f t="shared" si="13"/>
        <v>Week 3</v>
      </c>
      <c r="H293" s="5" t="str">
        <f t="shared" si="14"/>
        <v>January 23 Week 3</v>
      </c>
      <c r="I293" s="5" t="str">
        <f>CONCATENATE(UPPER(TableAopCalendar[[#This Row],[Month]])," ",TableAopCalendar[[#This Row],[Year]])</f>
        <v>JANUARY 23</v>
      </c>
      <c r="J293" s="8" t="s">
        <v>274</v>
      </c>
      <c r="K293" s="8" t="str">
        <f>CONCATENATE(TableAopCalendar[[#This Row],[Month for Plan]]," ",TableAopCalendar[[#This Row],[Plan]])</f>
        <v>JANUARY 23 PLANNED</v>
      </c>
    </row>
    <row r="294" spans="1:11" x14ac:dyDescent="0.25">
      <c r="A294" s="5">
        <f t="shared" si="12"/>
        <v>4</v>
      </c>
      <c r="B294" s="6">
        <v>44944</v>
      </c>
      <c r="C294" s="7" t="s">
        <v>271</v>
      </c>
      <c r="D294" s="7">
        <v>23</v>
      </c>
      <c r="E294" s="5">
        <f>DAY(TableAopCalendar[[#This Row],[Date]])</f>
        <v>18</v>
      </c>
      <c r="F294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4" s="5" t="str">
        <f t="shared" si="13"/>
        <v>Week 3</v>
      </c>
      <c r="H294" s="5" t="str">
        <f t="shared" si="14"/>
        <v>January 23 Week 3</v>
      </c>
      <c r="I294" s="5" t="str">
        <f>CONCATENATE(UPPER(TableAopCalendar[[#This Row],[Month]])," ",TableAopCalendar[[#This Row],[Year]])</f>
        <v>JANUARY 23</v>
      </c>
      <c r="J294" s="8" t="s">
        <v>274</v>
      </c>
      <c r="K294" s="8" t="str">
        <f>CONCATENATE(TableAopCalendar[[#This Row],[Month for Plan]]," ",TableAopCalendar[[#This Row],[Plan]])</f>
        <v>JANUARY 23 PLANNED</v>
      </c>
    </row>
    <row r="295" spans="1:11" x14ac:dyDescent="0.25">
      <c r="A295" s="5">
        <f t="shared" si="12"/>
        <v>5</v>
      </c>
      <c r="B295" s="6">
        <v>44945</v>
      </c>
      <c r="C295" s="7" t="s">
        <v>271</v>
      </c>
      <c r="D295" s="7">
        <v>23</v>
      </c>
      <c r="E295" s="5">
        <f>DAY(TableAopCalendar[[#This Row],[Date]])</f>
        <v>19</v>
      </c>
      <c r="F29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5" s="5" t="str">
        <f t="shared" si="13"/>
        <v>Week 3</v>
      </c>
      <c r="H295" s="5" t="str">
        <f t="shared" si="14"/>
        <v>January 23 Week 3</v>
      </c>
      <c r="I295" s="5" t="str">
        <f>CONCATENATE(UPPER(TableAopCalendar[[#This Row],[Month]])," ",TableAopCalendar[[#This Row],[Year]])</f>
        <v>JANUARY 23</v>
      </c>
      <c r="J295" s="8" t="s">
        <v>274</v>
      </c>
      <c r="K295" s="8" t="str">
        <f>CONCATENATE(TableAopCalendar[[#This Row],[Month for Plan]]," ",TableAopCalendar[[#This Row],[Plan]])</f>
        <v>JANUARY 23 PLANNED</v>
      </c>
    </row>
    <row r="296" spans="1:11" x14ac:dyDescent="0.25">
      <c r="A296" s="5">
        <f t="shared" si="12"/>
        <v>6</v>
      </c>
      <c r="B296" s="6">
        <v>44946</v>
      </c>
      <c r="C296" s="7" t="s">
        <v>271</v>
      </c>
      <c r="D296" s="7">
        <v>23</v>
      </c>
      <c r="E296" s="5">
        <f>DAY(TableAopCalendar[[#This Row],[Date]])</f>
        <v>20</v>
      </c>
      <c r="F29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6" s="5" t="str">
        <f t="shared" si="13"/>
        <v>Week 3</v>
      </c>
      <c r="H296" s="5" t="str">
        <f t="shared" si="14"/>
        <v>January 23 Week 3</v>
      </c>
      <c r="I296" s="5" t="str">
        <f>CONCATENATE(UPPER(TableAopCalendar[[#This Row],[Month]])," ",TableAopCalendar[[#This Row],[Year]])</f>
        <v>JANUARY 23</v>
      </c>
      <c r="J296" s="8" t="s">
        <v>274</v>
      </c>
      <c r="K296" s="8" t="str">
        <f>CONCATENATE(TableAopCalendar[[#This Row],[Month for Plan]]," ",TableAopCalendar[[#This Row],[Plan]])</f>
        <v>JANUARY 23 PLANNED</v>
      </c>
    </row>
    <row r="297" spans="1:11" x14ac:dyDescent="0.25">
      <c r="A297" s="5">
        <f t="shared" si="12"/>
        <v>7</v>
      </c>
      <c r="B297" s="6">
        <v>44947</v>
      </c>
      <c r="C297" s="7" t="s">
        <v>271</v>
      </c>
      <c r="D297" s="7">
        <v>23</v>
      </c>
      <c r="E297" s="5">
        <f>DAY(TableAopCalendar[[#This Row],[Date]])</f>
        <v>21</v>
      </c>
      <c r="F29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7" s="5" t="str">
        <f t="shared" si="13"/>
        <v>Week 3</v>
      </c>
      <c r="H297" s="5" t="str">
        <f t="shared" si="14"/>
        <v>January 23 Week 3</v>
      </c>
      <c r="I297" s="5" t="str">
        <f>CONCATENATE(UPPER(TableAopCalendar[[#This Row],[Month]])," ",TableAopCalendar[[#This Row],[Year]])</f>
        <v>JANUARY 23</v>
      </c>
      <c r="J297" s="8" t="s">
        <v>274</v>
      </c>
      <c r="K297" s="8" t="str">
        <f>CONCATENATE(TableAopCalendar[[#This Row],[Month for Plan]]," ",TableAopCalendar[[#This Row],[Plan]])</f>
        <v>JANUARY 23 PLANNED</v>
      </c>
    </row>
    <row r="298" spans="1:11" x14ac:dyDescent="0.25">
      <c r="A298" s="5">
        <f t="shared" si="12"/>
        <v>1</v>
      </c>
      <c r="B298" s="6">
        <v>44948</v>
      </c>
      <c r="C298" s="7" t="s">
        <v>271</v>
      </c>
      <c r="D298" s="7">
        <v>23</v>
      </c>
      <c r="E298" s="5">
        <f>DAY(TableAopCalendar[[#This Row],[Date]])</f>
        <v>22</v>
      </c>
      <c r="F29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8" s="5" t="str">
        <f t="shared" si="13"/>
        <v>Week 4</v>
      </c>
      <c r="H298" s="5" t="str">
        <f t="shared" si="14"/>
        <v>January 23 Week 4</v>
      </c>
      <c r="I298" s="5" t="str">
        <f>CONCATENATE(UPPER(TableAopCalendar[[#This Row],[Month]])," ",TableAopCalendar[[#This Row],[Year]])</f>
        <v>JANUARY 23</v>
      </c>
      <c r="J298" s="8" t="s">
        <v>274</v>
      </c>
      <c r="K298" s="8" t="str">
        <f>CONCATENATE(TableAopCalendar[[#This Row],[Month for Plan]]," ",TableAopCalendar[[#This Row],[Plan]])</f>
        <v>JANUARY 23 PLANNED</v>
      </c>
    </row>
    <row r="299" spans="1:11" x14ac:dyDescent="0.25">
      <c r="A299" s="5">
        <f t="shared" si="12"/>
        <v>2</v>
      </c>
      <c r="B299" s="6">
        <v>44949</v>
      </c>
      <c r="C299" s="7" t="s">
        <v>271</v>
      </c>
      <c r="D299" s="7">
        <v>23</v>
      </c>
      <c r="E299" s="5">
        <f>DAY(TableAopCalendar[[#This Row],[Date]])</f>
        <v>23</v>
      </c>
      <c r="F29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9" s="5" t="str">
        <f t="shared" si="13"/>
        <v>Week 4</v>
      </c>
      <c r="H299" s="5" t="str">
        <f t="shared" si="14"/>
        <v>January 23 Week 4</v>
      </c>
      <c r="I299" s="5" t="str">
        <f>CONCATENATE(UPPER(TableAopCalendar[[#This Row],[Month]])," ",TableAopCalendar[[#This Row],[Year]])</f>
        <v>JANUARY 23</v>
      </c>
      <c r="J299" s="8" t="s">
        <v>274</v>
      </c>
      <c r="K299" s="8" t="str">
        <f>CONCATENATE(TableAopCalendar[[#This Row],[Month for Plan]]," ",TableAopCalendar[[#This Row],[Plan]])</f>
        <v>JANUARY 23 PLANNED</v>
      </c>
    </row>
    <row r="300" spans="1:11" x14ac:dyDescent="0.25">
      <c r="A300" s="5">
        <f t="shared" si="12"/>
        <v>3</v>
      </c>
      <c r="B300" s="6">
        <v>44950</v>
      </c>
      <c r="C300" s="7" t="s">
        <v>271</v>
      </c>
      <c r="D300" s="7">
        <v>23</v>
      </c>
      <c r="E300" s="5">
        <f>DAY(TableAopCalendar[[#This Row],[Date]])</f>
        <v>24</v>
      </c>
      <c r="F30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00" s="5" t="str">
        <f t="shared" si="13"/>
        <v>Week 4</v>
      </c>
      <c r="H300" s="5" t="str">
        <f t="shared" si="14"/>
        <v>January 23 Week 4</v>
      </c>
      <c r="I300" s="5" t="str">
        <f>CONCATENATE(UPPER(TableAopCalendar[[#This Row],[Month]])," ",TableAopCalendar[[#This Row],[Year]])</f>
        <v>JANUARY 23</v>
      </c>
      <c r="J300" s="8" t="s">
        <v>274</v>
      </c>
      <c r="K300" s="8" t="str">
        <f>CONCATENATE(TableAopCalendar[[#This Row],[Month for Plan]]," ",TableAopCalendar[[#This Row],[Plan]])</f>
        <v>JANUARY 23 PLANNED</v>
      </c>
    </row>
    <row r="301" spans="1:11" x14ac:dyDescent="0.25">
      <c r="A301" s="5">
        <f t="shared" si="12"/>
        <v>4</v>
      </c>
      <c r="B301" s="6">
        <v>44951</v>
      </c>
      <c r="C301" s="7" t="s">
        <v>271</v>
      </c>
      <c r="D301" s="7">
        <v>23</v>
      </c>
      <c r="E301" s="5">
        <f>DAY(TableAopCalendar[[#This Row],[Date]])</f>
        <v>25</v>
      </c>
      <c r="F301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01" s="5" t="str">
        <f t="shared" si="13"/>
        <v>Week 4</v>
      </c>
      <c r="H301" s="5" t="str">
        <f t="shared" si="14"/>
        <v>January 23 Week 4</v>
      </c>
      <c r="I301" s="5" t="str">
        <f>CONCATENATE(UPPER(TableAopCalendar[[#This Row],[Month]])," ",TableAopCalendar[[#This Row],[Year]])</f>
        <v>JANUARY 23</v>
      </c>
      <c r="J301" s="8" t="s">
        <v>274</v>
      </c>
      <c r="K301" s="8" t="str">
        <f>CONCATENATE(TableAopCalendar[[#This Row],[Month for Plan]]," ",TableAopCalendar[[#This Row],[Plan]])</f>
        <v>JANUARY 23 PLANNED</v>
      </c>
    </row>
    <row r="302" spans="1:11" x14ac:dyDescent="0.25">
      <c r="A302" s="5">
        <f t="shared" si="12"/>
        <v>5</v>
      </c>
      <c r="B302" s="6">
        <v>44952</v>
      </c>
      <c r="C302" s="7" t="s">
        <v>271</v>
      </c>
      <c r="D302" s="7">
        <v>23</v>
      </c>
      <c r="E302" s="5">
        <f>DAY(TableAopCalendar[[#This Row],[Date]])</f>
        <v>26</v>
      </c>
      <c r="F30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02" s="5" t="str">
        <f t="shared" si="13"/>
        <v>Week 4</v>
      </c>
      <c r="H302" s="5" t="str">
        <f t="shared" si="14"/>
        <v>January 23 Week 4</v>
      </c>
      <c r="I302" s="5" t="str">
        <f>CONCATENATE(UPPER(TableAopCalendar[[#This Row],[Month]])," ",TableAopCalendar[[#This Row],[Year]])</f>
        <v>JANUARY 23</v>
      </c>
      <c r="J302" s="8" t="s">
        <v>274</v>
      </c>
      <c r="K302" s="8" t="str">
        <f>CONCATENATE(TableAopCalendar[[#This Row],[Month for Plan]]," ",TableAopCalendar[[#This Row],[Plan]])</f>
        <v>JANUARY 23 PLANNED</v>
      </c>
    </row>
    <row r="303" spans="1:11" x14ac:dyDescent="0.25">
      <c r="A303" s="5">
        <f t="shared" si="12"/>
        <v>6</v>
      </c>
      <c r="B303" s="6">
        <v>44953</v>
      </c>
      <c r="C303" s="7" t="s">
        <v>271</v>
      </c>
      <c r="D303" s="7">
        <v>23</v>
      </c>
      <c r="E303" s="5">
        <f>DAY(TableAopCalendar[[#This Row],[Date]])</f>
        <v>27</v>
      </c>
      <c r="F30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03" s="5" t="str">
        <f t="shared" si="13"/>
        <v>Week 4</v>
      </c>
      <c r="H303" s="5" t="str">
        <f t="shared" si="14"/>
        <v>January 23 Week 4</v>
      </c>
      <c r="I303" s="5" t="str">
        <f>CONCATENATE(UPPER(TableAopCalendar[[#This Row],[Month]])," ",TableAopCalendar[[#This Row],[Year]])</f>
        <v>JANUARY 23</v>
      </c>
      <c r="J303" s="8" t="s">
        <v>274</v>
      </c>
      <c r="K303" s="8" t="str">
        <f>CONCATENATE(TableAopCalendar[[#This Row],[Month for Plan]]," ",TableAopCalendar[[#This Row],[Plan]])</f>
        <v>JANUARY 23 PLANNED</v>
      </c>
    </row>
    <row r="304" spans="1:11" x14ac:dyDescent="0.25">
      <c r="A304" s="5">
        <f t="shared" si="12"/>
        <v>7</v>
      </c>
      <c r="B304" s="6">
        <v>44954</v>
      </c>
      <c r="C304" s="7" t="s">
        <v>271</v>
      </c>
      <c r="D304" s="7">
        <v>23</v>
      </c>
      <c r="E304" s="5">
        <f>DAY(TableAopCalendar[[#This Row],[Date]])</f>
        <v>28</v>
      </c>
      <c r="F30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04" s="5" t="str">
        <f t="shared" si="13"/>
        <v>Week 4</v>
      </c>
      <c r="H304" s="5" t="str">
        <f t="shared" si="14"/>
        <v>January 23 Week 4</v>
      </c>
      <c r="I304" s="5" t="str">
        <f>CONCATENATE(UPPER(TableAopCalendar[[#This Row],[Month]])," ",TableAopCalendar[[#This Row],[Year]])</f>
        <v>JANUARY 23</v>
      </c>
      <c r="J304" s="8" t="s">
        <v>274</v>
      </c>
      <c r="K304" s="8" t="str">
        <f>CONCATENATE(TableAopCalendar[[#This Row],[Month for Plan]]," ",TableAopCalendar[[#This Row],[Plan]])</f>
        <v>JANUARY 23 PLANNED</v>
      </c>
    </row>
    <row r="305" spans="1:11" x14ac:dyDescent="0.25">
      <c r="A305" s="5">
        <f t="shared" si="12"/>
        <v>1</v>
      </c>
      <c r="B305" s="6">
        <v>44955</v>
      </c>
      <c r="C305" s="7" t="s">
        <v>271</v>
      </c>
      <c r="D305" s="7">
        <v>23</v>
      </c>
      <c r="E305" s="5">
        <f>DAY(TableAopCalendar[[#This Row],[Date]])</f>
        <v>29</v>
      </c>
      <c r="F305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05" s="5" t="str">
        <f t="shared" si="13"/>
        <v>Week 5</v>
      </c>
      <c r="H305" s="5" t="str">
        <f t="shared" si="14"/>
        <v>January 23 Week 5</v>
      </c>
      <c r="I305" s="5" t="str">
        <f>CONCATENATE(UPPER(TableAopCalendar[[#This Row],[Month]])," ",TableAopCalendar[[#This Row],[Year]])</f>
        <v>JANUARY 23</v>
      </c>
      <c r="J305" s="8" t="s">
        <v>274</v>
      </c>
      <c r="K305" s="8" t="str">
        <f>CONCATENATE(TableAopCalendar[[#This Row],[Month for Plan]]," ",TableAopCalendar[[#This Row],[Plan]])</f>
        <v>JANUARY 23 PLANNED</v>
      </c>
    </row>
    <row r="306" spans="1:11" x14ac:dyDescent="0.25">
      <c r="A306" s="5">
        <f t="shared" si="12"/>
        <v>2</v>
      </c>
      <c r="B306" s="6">
        <v>44956</v>
      </c>
      <c r="C306" s="7" t="s">
        <v>271</v>
      </c>
      <c r="D306" s="7">
        <v>23</v>
      </c>
      <c r="E306" s="5">
        <f>DAY(TableAopCalendar[[#This Row],[Date]])</f>
        <v>30</v>
      </c>
      <c r="F306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06" s="5" t="str">
        <f t="shared" si="13"/>
        <v>Week 5</v>
      </c>
      <c r="H306" s="5" t="str">
        <f t="shared" si="14"/>
        <v>January 23 Week 5</v>
      </c>
      <c r="I306" s="5" t="str">
        <f>CONCATENATE(UPPER(TableAopCalendar[[#This Row],[Month]])," ",TableAopCalendar[[#This Row],[Year]])</f>
        <v>JANUARY 23</v>
      </c>
      <c r="J306" s="8" t="s">
        <v>274</v>
      </c>
      <c r="K306" s="8" t="str">
        <f>CONCATENATE(TableAopCalendar[[#This Row],[Month for Plan]]," ",TableAopCalendar[[#This Row],[Plan]])</f>
        <v>JANUARY 23 PLANNED</v>
      </c>
    </row>
    <row r="307" spans="1:11" x14ac:dyDescent="0.25">
      <c r="A307" s="5">
        <f t="shared" si="12"/>
        <v>3</v>
      </c>
      <c r="B307" s="6">
        <v>44957</v>
      </c>
      <c r="C307" s="7" t="s">
        <v>271</v>
      </c>
      <c r="D307" s="7">
        <v>23</v>
      </c>
      <c r="E307" s="5">
        <f>DAY(TableAopCalendar[[#This Row],[Date]])</f>
        <v>31</v>
      </c>
      <c r="F307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07" s="5" t="str">
        <f t="shared" si="13"/>
        <v>Week 5</v>
      </c>
      <c r="H307" s="5" t="str">
        <f t="shared" si="14"/>
        <v>January 23 Week 5</v>
      </c>
      <c r="I307" s="5" t="str">
        <f>CONCATENATE(UPPER(TableAopCalendar[[#This Row],[Month]])," ",TableAopCalendar[[#This Row],[Year]])</f>
        <v>JANUARY 23</v>
      </c>
      <c r="J307" s="8" t="s">
        <v>274</v>
      </c>
      <c r="K307" s="8" t="str">
        <f>CONCATENATE(TableAopCalendar[[#This Row],[Month for Plan]]," ",TableAopCalendar[[#This Row],[Plan]])</f>
        <v>JANUARY 23 PLANNED</v>
      </c>
    </row>
    <row r="308" spans="1:11" x14ac:dyDescent="0.25">
      <c r="A308" s="5">
        <f t="shared" si="12"/>
        <v>1</v>
      </c>
      <c r="B308" s="6">
        <v>44958</v>
      </c>
      <c r="C308" s="7" t="s">
        <v>272</v>
      </c>
      <c r="D308" s="7">
        <v>23</v>
      </c>
      <c r="E308" s="5">
        <f>DAY(TableAopCalendar[[#This Row],[Date]])</f>
        <v>1</v>
      </c>
      <c r="F30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08" s="5" t="str">
        <f t="shared" si="13"/>
        <v>Week 1</v>
      </c>
      <c r="H308" s="5" t="str">
        <f t="shared" si="14"/>
        <v>February 23 Week 1</v>
      </c>
      <c r="I308" s="5" t="str">
        <f>CONCATENATE(UPPER(TableAopCalendar[[#This Row],[Month]])," ",TableAopCalendar[[#This Row],[Year]])</f>
        <v>FEBRUARY 23</v>
      </c>
      <c r="J308" s="8" t="s">
        <v>274</v>
      </c>
      <c r="K308" s="8" t="str">
        <f>CONCATENATE(TableAopCalendar[[#This Row],[Month for Plan]]," ",TableAopCalendar[[#This Row],[Plan]])</f>
        <v>FEBRUARY 23 PLANNED</v>
      </c>
    </row>
    <row r="309" spans="1:11" x14ac:dyDescent="0.25">
      <c r="A309" s="5">
        <f t="shared" si="12"/>
        <v>2</v>
      </c>
      <c r="B309" s="6">
        <v>44959</v>
      </c>
      <c r="C309" s="7" t="s">
        <v>272</v>
      </c>
      <c r="D309" s="7">
        <v>23</v>
      </c>
      <c r="E309" s="5">
        <f>DAY(TableAopCalendar[[#This Row],[Date]])</f>
        <v>2</v>
      </c>
      <c r="F30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09" s="5" t="str">
        <f t="shared" si="13"/>
        <v>Week 1</v>
      </c>
      <c r="H309" s="5" t="str">
        <f t="shared" si="14"/>
        <v>February 23 Week 1</v>
      </c>
      <c r="I309" s="5" t="str">
        <f>CONCATENATE(UPPER(TableAopCalendar[[#This Row],[Month]])," ",TableAopCalendar[[#This Row],[Year]])</f>
        <v>FEBRUARY 23</v>
      </c>
      <c r="J309" s="8" t="s">
        <v>274</v>
      </c>
      <c r="K309" s="8" t="str">
        <f>CONCATENATE(TableAopCalendar[[#This Row],[Month for Plan]]," ",TableAopCalendar[[#This Row],[Plan]])</f>
        <v>FEBRUARY 23 PLANNED</v>
      </c>
    </row>
    <row r="310" spans="1:11" x14ac:dyDescent="0.25">
      <c r="A310" s="5">
        <f t="shared" si="12"/>
        <v>3</v>
      </c>
      <c r="B310" s="6">
        <v>44960</v>
      </c>
      <c r="C310" s="7" t="s">
        <v>272</v>
      </c>
      <c r="D310" s="7">
        <v>23</v>
      </c>
      <c r="E310" s="5">
        <f>DAY(TableAopCalendar[[#This Row],[Date]])</f>
        <v>3</v>
      </c>
      <c r="F310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10" s="5" t="str">
        <f t="shared" si="13"/>
        <v>Week 1</v>
      </c>
      <c r="H310" s="5" t="str">
        <f t="shared" si="14"/>
        <v>February 23 Week 1</v>
      </c>
      <c r="I310" s="5" t="str">
        <f>CONCATENATE(UPPER(TableAopCalendar[[#This Row],[Month]])," ",TableAopCalendar[[#This Row],[Year]])</f>
        <v>FEBRUARY 23</v>
      </c>
      <c r="J310" s="8" t="s">
        <v>274</v>
      </c>
      <c r="K310" s="8" t="str">
        <f>CONCATENATE(TableAopCalendar[[#This Row],[Month for Plan]]," ",TableAopCalendar[[#This Row],[Plan]])</f>
        <v>FEBRUARY 23 PLANNED</v>
      </c>
    </row>
    <row r="311" spans="1:11" x14ac:dyDescent="0.25">
      <c r="A311" s="5">
        <f t="shared" si="12"/>
        <v>4</v>
      </c>
      <c r="B311" s="6">
        <v>44961</v>
      </c>
      <c r="C311" s="7" t="s">
        <v>272</v>
      </c>
      <c r="D311" s="7">
        <v>23</v>
      </c>
      <c r="E311" s="5">
        <f>DAY(TableAopCalendar[[#This Row],[Date]])</f>
        <v>4</v>
      </c>
      <c r="F31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11" s="5" t="str">
        <f t="shared" si="13"/>
        <v>Week 1</v>
      </c>
      <c r="H311" s="5" t="str">
        <f t="shared" si="14"/>
        <v>February 23 Week 1</v>
      </c>
      <c r="I311" s="5" t="str">
        <f>CONCATENATE(UPPER(TableAopCalendar[[#This Row],[Month]])," ",TableAopCalendar[[#This Row],[Year]])</f>
        <v>FEBRUARY 23</v>
      </c>
      <c r="J311" s="8" t="s">
        <v>274</v>
      </c>
      <c r="K311" s="8" t="str">
        <f>CONCATENATE(TableAopCalendar[[#This Row],[Month for Plan]]," ",TableAopCalendar[[#This Row],[Plan]])</f>
        <v>FEBRUARY 23 PLANNED</v>
      </c>
    </row>
    <row r="312" spans="1:11" x14ac:dyDescent="0.25">
      <c r="A312" s="5">
        <f t="shared" si="12"/>
        <v>5</v>
      </c>
      <c r="B312" s="6">
        <v>44962</v>
      </c>
      <c r="C312" s="7" t="s">
        <v>272</v>
      </c>
      <c r="D312" s="7">
        <v>23</v>
      </c>
      <c r="E312" s="5">
        <f>DAY(TableAopCalendar[[#This Row],[Date]])</f>
        <v>5</v>
      </c>
      <c r="F31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12" s="5" t="str">
        <f t="shared" si="13"/>
        <v>Week 1</v>
      </c>
      <c r="H312" s="5" t="str">
        <f t="shared" si="14"/>
        <v>February 23 Week 1</v>
      </c>
      <c r="I312" s="5" t="str">
        <f>CONCATENATE(UPPER(TableAopCalendar[[#This Row],[Month]])," ",TableAopCalendar[[#This Row],[Year]])</f>
        <v>FEBRUARY 23</v>
      </c>
      <c r="J312" s="8" t="s">
        <v>274</v>
      </c>
      <c r="K312" s="8" t="str">
        <f>CONCATENATE(TableAopCalendar[[#This Row],[Month for Plan]]," ",TableAopCalendar[[#This Row],[Plan]])</f>
        <v>FEBRUARY 23 PLANNED</v>
      </c>
    </row>
    <row r="313" spans="1:11" x14ac:dyDescent="0.25">
      <c r="A313" s="5">
        <f t="shared" si="12"/>
        <v>6</v>
      </c>
      <c r="B313" s="6">
        <v>44963</v>
      </c>
      <c r="C313" s="7" t="s">
        <v>272</v>
      </c>
      <c r="D313" s="7">
        <v>23</v>
      </c>
      <c r="E313" s="5">
        <f>DAY(TableAopCalendar[[#This Row],[Date]])</f>
        <v>6</v>
      </c>
      <c r="F31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13" s="5" t="str">
        <f t="shared" si="13"/>
        <v>Week 1</v>
      </c>
      <c r="H313" s="5" t="str">
        <f t="shared" si="14"/>
        <v>February 23 Week 1</v>
      </c>
      <c r="I313" s="5" t="str">
        <f>CONCATENATE(UPPER(TableAopCalendar[[#This Row],[Month]])," ",TableAopCalendar[[#This Row],[Year]])</f>
        <v>FEBRUARY 23</v>
      </c>
      <c r="J313" s="8" t="s">
        <v>274</v>
      </c>
      <c r="K313" s="8" t="str">
        <f>CONCATENATE(TableAopCalendar[[#This Row],[Month for Plan]]," ",TableAopCalendar[[#This Row],[Plan]])</f>
        <v>FEBRUARY 23 PLANNED</v>
      </c>
    </row>
    <row r="314" spans="1:11" x14ac:dyDescent="0.25">
      <c r="A314" s="5">
        <f t="shared" si="12"/>
        <v>7</v>
      </c>
      <c r="B314" s="6">
        <v>44964</v>
      </c>
      <c r="C314" s="7" t="s">
        <v>272</v>
      </c>
      <c r="D314" s="7">
        <v>23</v>
      </c>
      <c r="E314" s="5">
        <f>DAY(TableAopCalendar[[#This Row],[Date]])</f>
        <v>7</v>
      </c>
      <c r="F31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14" s="5" t="str">
        <f t="shared" si="13"/>
        <v>Week 1</v>
      </c>
      <c r="H314" s="5" t="str">
        <f t="shared" si="14"/>
        <v>February 23 Week 1</v>
      </c>
      <c r="I314" s="5" t="str">
        <f>CONCATENATE(UPPER(TableAopCalendar[[#This Row],[Month]])," ",TableAopCalendar[[#This Row],[Year]])</f>
        <v>FEBRUARY 23</v>
      </c>
      <c r="J314" s="8" t="s">
        <v>274</v>
      </c>
      <c r="K314" s="8" t="str">
        <f>CONCATENATE(TableAopCalendar[[#This Row],[Month for Plan]]," ",TableAopCalendar[[#This Row],[Plan]])</f>
        <v>FEBRUARY 23 PLANNED</v>
      </c>
    </row>
    <row r="315" spans="1:11" x14ac:dyDescent="0.25">
      <c r="A315" s="5">
        <f t="shared" si="12"/>
        <v>1</v>
      </c>
      <c r="B315" s="6">
        <v>44965</v>
      </c>
      <c r="C315" s="7" t="s">
        <v>272</v>
      </c>
      <c r="D315" s="7">
        <v>23</v>
      </c>
      <c r="E315" s="5">
        <f>DAY(TableAopCalendar[[#This Row],[Date]])</f>
        <v>8</v>
      </c>
      <c r="F31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15" s="5" t="str">
        <f t="shared" si="13"/>
        <v>Week 2</v>
      </c>
      <c r="H315" s="5" t="str">
        <f t="shared" si="14"/>
        <v>February 23 Week 2</v>
      </c>
      <c r="I315" s="5" t="str">
        <f>CONCATENATE(UPPER(TableAopCalendar[[#This Row],[Month]])," ",TableAopCalendar[[#This Row],[Year]])</f>
        <v>FEBRUARY 23</v>
      </c>
      <c r="J315" s="8" t="s">
        <v>274</v>
      </c>
      <c r="K315" s="8" t="str">
        <f>CONCATENATE(TableAopCalendar[[#This Row],[Month for Plan]]," ",TableAopCalendar[[#This Row],[Plan]])</f>
        <v>FEBRUARY 23 PLANNED</v>
      </c>
    </row>
    <row r="316" spans="1:11" x14ac:dyDescent="0.25">
      <c r="A316" s="5">
        <f t="shared" si="12"/>
        <v>2</v>
      </c>
      <c r="B316" s="6">
        <v>44966</v>
      </c>
      <c r="C316" s="7" t="s">
        <v>272</v>
      </c>
      <c r="D316" s="7">
        <v>23</v>
      </c>
      <c r="E316" s="5">
        <f>DAY(TableAopCalendar[[#This Row],[Date]])</f>
        <v>9</v>
      </c>
      <c r="F31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16" s="5" t="str">
        <f t="shared" si="13"/>
        <v>Week 2</v>
      </c>
      <c r="H316" s="5" t="str">
        <f t="shared" si="14"/>
        <v>February 23 Week 2</v>
      </c>
      <c r="I316" s="5" t="str">
        <f>CONCATENATE(UPPER(TableAopCalendar[[#This Row],[Month]])," ",TableAopCalendar[[#This Row],[Year]])</f>
        <v>FEBRUARY 23</v>
      </c>
      <c r="J316" s="8" t="s">
        <v>274</v>
      </c>
      <c r="K316" s="8" t="str">
        <f>CONCATENATE(TableAopCalendar[[#This Row],[Month for Plan]]," ",TableAopCalendar[[#This Row],[Plan]])</f>
        <v>FEBRUARY 23 PLANNED</v>
      </c>
    </row>
    <row r="317" spans="1:11" x14ac:dyDescent="0.25">
      <c r="A317" s="5">
        <f t="shared" si="12"/>
        <v>3</v>
      </c>
      <c r="B317" s="6">
        <v>44967</v>
      </c>
      <c r="C317" s="7" t="s">
        <v>272</v>
      </c>
      <c r="D317" s="7">
        <v>23</v>
      </c>
      <c r="E317" s="5">
        <f>DAY(TableAopCalendar[[#This Row],[Date]])</f>
        <v>10</v>
      </c>
      <c r="F317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17" s="5" t="str">
        <f t="shared" si="13"/>
        <v>Week 2</v>
      </c>
      <c r="H317" s="5" t="str">
        <f t="shared" si="14"/>
        <v>February 23 Week 2</v>
      </c>
      <c r="I317" s="5" t="str">
        <f>CONCATENATE(UPPER(TableAopCalendar[[#This Row],[Month]])," ",TableAopCalendar[[#This Row],[Year]])</f>
        <v>FEBRUARY 23</v>
      </c>
      <c r="J317" s="8" t="s">
        <v>274</v>
      </c>
      <c r="K317" s="8" t="str">
        <f>CONCATENATE(TableAopCalendar[[#This Row],[Month for Plan]]," ",TableAopCalendar[[#This Row],[Plan]])</f>
        <v>FEBRUARY 23 PLANNED</v>
      </c>
    </row>
    <row r="318" spans="1:11" x14ac:dyDescent="0.25">
      <c r="A318" s="5">
        <f t="shared" si="12"/>
        <v>4</v>
      </c>
      <c r="B318" s="6">
        <v>44968</v>
      </c>
      <c r="C318" s="7" t="s">
        <v>272</v>
      </c>
      <c r="D318" s="7">
        <v>23</v>
      </c>
      <c r="E318" s="5">
        <f>DAY(TableAopCalendar[[#This Row],[Date]])</f>
        <v>11</v>
      </c>
      <c r="F31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18" s="5" t="str">
        <f t="shared" si="13"/>
        <v>Week 2</v>
      </c>
      <c r="H318" s="5" t="str">
        <f t="shared" si="14"/>
        <v>February 23 Week 2</v>
      </c>
      <c r="I318" s="5" t="str">
        <f>CONCATENATE(UPPER(TableAopCalendar[[#This Row],[Month]])," ",TableAopCalendar[[#This Row],[Year]])</f>
        <v>FEBRUARY 23</v>
      </c>
      <c r="J318" s="8" t="s">
        <v>274</v>
      </c>
      <c r="K318" s="8" t="str">
        <f>CONCATENATE(TableAopCalendar[[#This Row],[Month for Plan]]," ",TableAopCalendar[[#This Row],[Plan]])</f>
        <v>FEBRUARY 23 PLANNED</v>
      </c>
    </row>
    <row r="319" spans="1:11" x14ac:dyDescent="0.25">
      <c r="A319" s="5">
        <f t="shared" si="12"/>
        <v>5</v>
      </c>
      <c r="B319" s="6">
        <v>44969</v>
      </c>
      <c r="C319" s="7" t="s">
        <v>272</v>
      </c>
      <c r="D319" s="7">
        <v>23</v>
      </c>
      <c r="E319" s="5">
        <f>DAY(TableAopCalendar[[#This Row],[Date]])</f>
        <v>12</v>
      </c>
      <c r="F31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19" s="5" t="str">
        <f t="shared" si="13"/>
        <v>Week 2</v>
      </c>
      <c r="H319" s="5" t="str">
        <f t="shared" si="14"/>
        <v>February 23 Week 2</v>
      </c>
      <c r="I319" s="5" t="str">
        <f>CONCATENATE(UPPER(TableAopCalendar[[#This Row],[Month]])," ",TableAopCalendar[[#This Row],[Year]])</f>
        <v>FEBRUARY 23</v>
      </c>
      <c r="J319" s="8" t="s">
        <v>274</v>
      </c>
      <c r="K319" s="8" t="str">
        <f>CONCATENATE(TableAopCalendar[[#This Row],[Month for Plan]]," ",TableAopCalendar[[#This Row],[Plan]])</f>
        <v>FEBRUARY 23 PLANNED</v>
      </c>
    </row>
    <row r="320" spans="1:11" x14ac:dyDescent="0.25">
      <c r="A320" s="5">
        <f t="shared" si="12"/>
        <v>6</v>
      </c>
      <c r="B320" s="6">
        <v>44970</v>
      </c>
      <c r="C320" s="7" t="s">
        <v>272</v>
      </c>
      <c r="D320" s="7">
        <v>23</v>
      </c>
      <c r="E320" s="5">
        <f>DAY(TableAopCalendar[[#This Row],[Date]])</f>
        <v>13</v>
      </c>
      <c r="F32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20" s="5" t="str">
        <f t="shared" si="13"/>
        <v>Week 2</v>
      </c>
      <c r="H320" s="5" t="str">
        <f t="shared" si="14"/>
        <v>February 23 Week 2</v>
      </c>
      <c r="I320" s="5" t="str">
        <f>CONCATENATE(UPPER(TableAopCalendar[[#This Row],[Month]])," ",TableAopCalendar[[#This Row],[Year]])</f>
        <v>FEBRUARY 23</v>
      </c>
      <c r="J320" s="8" t="s">
        <v>274</v>
      </c>
      <c r="K320" s="8" t="str">
        <f>CONCATENATE(TableAopCalendar[[#This Row],[Month for Plan]]," ",TableAopCalendar[[#This Row],[Plan]])</f>
        <v>FEBRUARY 23 PLANNED</v>
      </c>
    </row>
    <row r="321" spans="1:11" x14ac:dyDescent="0.25">
      <c r="A321" s="5">
        <f t="shared" si="12"/>
        <v>7</v>
      </c>
      <c r="B321" s="6">
        <v>44971</v>
      </c>
      <c r="C321" s="7" t="s">
        <v>272</v>
      </c>
      <c r="D321" s="7">
        <v>23</v>
      </c>
      <c r="E321" s="5">
        <f>DAY(TableAopCalendar[[#This Row],[Date]])</f>
        <v>14</v>
      </c>
      <c r="F32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21" s="5" t="str">
        <f t="shared" si="13"/>
        <v>Week 2</v>
      </c>
      <c r="H321" s="5" t="str">
        <f t="shared" si="14"/>
        <v>February 23 Week 2</v>
      </c>
      <c r="I321" s="5" t="str">
        <f>CONCATENATE(UPPER(TableAopCalendar[[#This Row],[Month]])," ",TableAopCalendar[[#This Row],[Year]])</f>
        <v>FEBRUARY 23</v>
      </c>
      <c r="J321" s="8" t="s">
        <v>274</v>
      </c>
      <c r="K321" s="8" t="str">
        <f>CONCATENATE(TableAopCalendar[[#This Row],[Month for Plan]]," ",TableAopCalendar[[#This Row],[Plan]])</f>
        <v>FEBRUARY 23 PLANNED</v>
      </c>
    </row>
    <row r="322" spans="1:11" x14ac:dyDescent="0.25">
      <c r="A322" s="5">
        <f t="shared" ref="A322:A385" si="15">IF(G322=G321,A321+1,1)</f>
        <v>1</v>
      </c>
      <c r="B322" s="6">
        <v>44972</v>
      </c>
      <c r="C322" s="7" t="s">
        <v>272</v>
      </c>
      <c r="D322" s="7">
        <v>23</v>
      </c>
      <c r="E322" s="5">
        <f>DAY(TableAopCalendar[[#This Row],[Date]])</f>
        <v>15</v>
      </c>
      <c r="F32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22" s="5" t="str">
        <f t="shared" ref="G322:G385" si="16">"Week"&amp;" "&amp;F322</f>
        <v>Week 3</v>
      </c>
      <c r="H322" s="5" t="str">
        <f t="shared" ref="H322:H385" si="17">CONCATENATE(C322," ",D322," ",G322)</f>
        <v>February 23 Week 3</v>
      </c>
      <c r="I322" s="5" t="str">
        <f>CONCATENATE(UPPER(TableAopCalendar[[#This Row],[Month]])," ",TableAopCalendar[[#This Row],[Year]])</f>
        <v>FEBRUARY 23</v>
      </c>
      <c r="J322" s="8" t="s">
        <v>274</v>
      </c>
      <c r="K322" s="8" t="str">
        <f>CONCATENATE(TableAopCalendar[[#This Row],[Month for Plan]]," ",TableAopCalendar[[#This Row],[Plan]])</f>
        <v>FEBRUARY 23 PLANNED</v>
      </c>
    </row>
    <row r="323" spans="1:11" x14ac:dyDescent="0.25">
      <c r="A323" s="5">
        <f t="shared" si="15"/>
        <v>2</v>
      </c>
      <c r="B323" s="6">
        <v>44973</v>
      </c>
      <c r="C323" s="7" t="s">
        <v>272</v>
      </c>
      <c r="D323" s="7">
        <v>23</v>
      </c>
      <c r="E323" s="5">
        <f>DAY(TableAopCalendar[[#This Row],[Date]])</f>
        <v>16</v>
      </c>
      <c r="F32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23" s="5" t="str">
        <f t="shared" si="16"/>
        <v>Week 3</v>
      </c>
      <c r="H323" s="5" t="str">
        <f t="shared" si="17"/>
        <v>February 23 Week 3</v>
      </c>
      <c r="I323" s="5" t="str">
        <f>CONCATENATE(UPPER(TableAopCalendar[[#This Row],[Month]])," ",TableAopCalendar[[#This Row],[Year]])</f>
        <v>FEBRUARY 23</v>
      </c>
      <c r="J323" s="8" t="s">
        <v>274</v>
      </c>
      <c r="K323" s="8" t="str">
        <f>CONCATENATE(TableAopCalendar[[#This Row],[Month for Plan]]," ",TableAopCalendar[[#This Row],[Plan]])</f>
        <v>FEBRUARY 23 PLANNED</v>
      </c>
    </row>
    <row r="324" spans="1:11" x14ac:dyDescent="0.25">
      <c r="A324" s="5">
        <f t="shared" si="15"/>
        <v>3</v>
      </c>
      <c r="B324" s="6">
        <v>44974</v>
      </c>
      <c r="C324" s="7" t="s">
        <v>272</v>
      </c>
      <c r="D324" s="7">
        <v>23</v>
      </c>
      <c r="E324" s="5">
        <f>DAY(TableAopCalendar[[#This Row],[Date]])</f>
        <v>17</v>
      </c>
      <c r="F324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24" s="5" t="str">
        <f t="shared" si="16"/>
        <v>Week 3</v>
      </c>
      <c r="H324" s="5" t="str">
        <f t="shared" si="17"/>
        <v>February 23 Week 3</v>
      </c>
      <c r="I324" s="5" t="str">
        <f>CONCATENATE(UPPER(TableAopCalendar[[#This Row],[Month]])," ",TableAopCalendar[[#This Row],[Year]])</f>
        <v>FEBRUARY 23</v>
      </c>
      <c r="J324" s="8" t="s">
        <v>274</v>
      </c>
      <c r="K324" s="8" t="str">
        <f>CONCATENATE(TableAopCalendar[[#This Row],[Month for Plan]]," ",TableAopCalendar[[#This Row],[Plan]])</f>
        <v>FEBRUARY 23 PLANNED</v>
      </c>
    </row>
    <row r="325" spans="1:11" x14ac:dyDescent="0.25">
      <c r="A325" s="5">
        <f t="shared" si="15"/>
        <v>4</v>
      </c>
      <c r="B325" s="6">
        <v>44975</v>
      </c>
      <c r="C325" s="7" t="s">
        <v>272</v>
      </c>
      <c r="D325" s="7">
        <v>23</v>
      </c>
      <c r="E325" s="5">
        <f>DAY(TableAopCalendar[[#This Row],[Date]])</f>
        <v>18</v>
      </c>
      <c r="F32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25" s="5" t="str">
        <f t="shared" si="16"/>
        <v>Week 3</v>
      </c>
      <c r="H325" s="5" t="str">
        <f t="shared" si="17"/>
        <v>February 23 Week 3</v>
      </c>
      <c r="I325" s="5" t="str">
        <f>CONCATENATE(UPPER(TableAopCalendar[[#This Row],[Month]])," ",TableAopCalendar[[#This Row],[Year]])</f>
        <v>FEBRUARY 23</v>
      </c>
      <c r="J325" s="8" t="s">
        <v>274</v>
      </c>
      <c r="K325" s="8" t="str">
        <f>CONCATENATE(TableAopCalendar[[#This Row],[Month for Plan]]," ",TableAopCalendar[[#This Row],[Plan]])</f>
        <v>FEBRUARY 23 PLANNED</v>
      </c>
    </row>
    <row r="326" spans="1:11" x14ac:dyDescent="0.25">
      <c r="A326" s="5">
        <f t="shared" si="15"/>
        <v>5</v>
      </c>
      <c r="B326" s="6">
        <v>44976</v>
      </c>
      <c r="C326" s="7" t="s">
        <v>272</v>
      </c>
      <c r="D326" s="7">
        <v>23</v>
      </c>
      <c r="E326" s="5">
        <f>DAY(TableAopCalendar[[#This Row],[Date]])</f>
        <v>19</v>
      </c>
      <c r="F32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26" s="5" t="str">
        <f t="shared" si="16"/>
        <v>Week 3</v>
      </c>
      <c r="H326" s="5" t="str">
        <f t="shared" si="17"/>
        <v>February 23 Week 3</v>
      </c>
      <c r="I326" s="5" t="str">
        <f>CONCATENATE(UPPER(TableAopCalendar[[#This Row],[Month]])," ",TableAopCalendar[[#This Row],[Year]])</f>
        <v>FEBRUARY 23</v>
      </c>
      <c r="J326" s="8" t="s">
        <v>274</v>
      </c>
      <c r="K326" s="8" t="str">
        <f>CONCATENATE(TableAopCalendar[[#This Row],[Month for Plan]]," ",TableAopCalendar[[#This Row],[Plan]])</f>
        <v>FEBRUARY 23 PLANNED</v>
      </c>
    </row>
    <row r="327" spans="1:11" x14ac:dyDescent="0.25">
      <c r="A327" s="5">
        <f t="shared" si="15"/>
        <v>6</v>
      </c>
      <c r="B327" s="6">
        <v>44977</v>
      </c>
      <c r="C327" s="7" t="s">
        <v>272</v>
      </c>
      <c r="D327" s="7">
        <v>23</v>
      </c>
      <c r="E327" s="5">
        <f>DAY(TableAopCalendar[[#This Row],[Date]])</f>
        <v>20</v>
      </c>
      <c r="F32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27" s="5" t="str">
        <f t="shared" si="16"/>
        <v>Week 3</v>
      </c>
      <c r="H327" s="5" t="str">
        <f t="shared" si="17"/>
        <v>February 23 Week 3</v>
      </c>
      <c r="I327" s="5" t="str">
        <f>CONCATENATE(UPPER(TableAopCalendar[[#This Row],[Month]])," ",TableAopCalendar[[#This Row],[Year]])</f>
        <v>FEBRUARY 23</v>
      </c>
      <c r="J327" s="8" t="s">
        <v>274</v>
      </c>
      <c r="K327" s="8" t="str">
        <f>CONCATENATE(TableAopCalendar[[#This Row],[Month for Plan]]," ",TableAopCalendar[[#This Row],[Plan]])</f>
        <v>FEBRUARY 23 PLANNED</v>
      </c>
    </row>
    <row r="328" spans="1:11" x14ac:dyDescent="0.25">
      <c r="A328" s="5">
        <f t="shared" si="15"/>
        <v>7</v>
      </c>
      <c r="B328" s="6">
        <v>44978</v>
      </c>
      <c r="C328" s="7" t="s">
        <v>272</v>
      </c>
      <c r="D328" s="7">
        <v>23</v>
      </c>
      <c r="E328" s="5">
        <f>DAY(TableAopCalendar[[#This Row],[Date]])</f>
        <v>21</v>
      </c>
      <c r="F32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28" s="5" t="str">
        <f t="shared" si="16"/>
        <v>Week 3</v>
      </c>
      <c r="H328" s="5" t="str">
        <f t="shared" si="17"/>
        <v>February 23 Week 3</v>
      </c>
      <c r="I328" s="5" t="str">
        <f>CONCATENATE(UPPER(TableAopCalendar[[#This Row],[Month]])," ",TableAopCalendar[[#This Row],[Year]])</f>
        <v>FEBRUARY 23</v>
      </c>
      <c r="J328" s="8" t="s">
        <v>274</v>
      </c>
      <c r="K328" s="8" t="str">
        <f>CONCATENATE(TableAopCalendar[[#This Row],[Month for Plan]]," ",TableAopCalendar[[#This Row],[Plan]])</f>
        <v>FEBRUARY 23 PLANNED</v>
      </c>
    </row>
    <row r="329" spans="1:11" x14ac:dyDescent="0.25">
      <c r="A329" s="5">
        <f t="shared" si="15"/>
        <v>1</v>
      </c>
      <c r="B329" s="6">
        <v>44979</v>
      </c>
      <c r="C329" s="7" t="s">
        <v>272</v>
      </c>
      <c r="D329" s="7">
        <v>23</v>
      </c>
      <c r="E329" s="5">
        <f>DAY(TableAopCalendar[[#This Row],[Date]])</f>
        <v>22</v>
      </c>
      <c r="F32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29" s="5" t="str">
        <f t="shared" si="16"/>
        <v>Week 4</v>
      </c>
      <c r="H329" s="5" t="str">
        <f t="shared" si="17"/>
        <v>February 23 Week 4</v>
      </c>
      <c r="I329" s="5" t="str">
        <f>CONCATENATE(UPPER(TableAopCalendar[[#This Row],[Month]])," ",TableAopCalendar[[#This Row],[Year]])</f>
        <v>FEBRUARY 23</v>
      </c>
      <c r="J329" s="8" t="s">
        <v>274</v>
      </c>
      <c r="K329" s="8" t="str">
        <f>CONCATENATE(TableAopCalendar[[#This Row],[Month for Plan]]," ",TableAopCalendar[[#This Row],[Plan]])</f>
        <v>FEBRUARY 23 PLANNED</v>
      </c>
    </row>
    <row r="330" spans="1:11" x14ac:dyDescent="0.25">
      <c r="A330" s="5">
        <f t="shared" si="15"/>
        <v>2</v>
      </c>
      <c r="B330" s="6">
        <v>44980</v>
      </c>
      <c r="C330" s="7" t="s">
        <v>272</v>
      </c>
      <c r="D330" s="7">
        <v>23</v>
      </c>
      <c r="E330" s="5">
        <f>DAY(TableAopCalendar[[#This Row],[Date]])</f>
        <v>23</v>
      </c>
      <c r="F33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30" s="5" t="str">
        <f t="shared" si="16"/>
        <v>Week 4</v>
      </c>
      <c r="H330" s="5" t="str">
        <f t="shared" si="17"/>
        <v>February 23 Week 4</v>
      </c>
      <c r="I330" s="5" t="str">
        <f>CONCATENATE(UPPER(TableAopCalendar[[#This Row],[Month]])," ",TableAopCalendar[[#This Row],[Year]])</f>
        <v>FEBRUARY 23</v>
      </c>
      <c r="J330" s="8" t="s">
        <v>274</v>
      </c>
      <c r="K330" s="8" t="str">
        <f>CONCATENATE(TableAopCalendar[[#This Row],[Month for Plan]]," ",TableAopCalendar[[#This Row],[Plan]])</f>
        <v>FEBRUARY 23 PLANNED</v>
      </c>
    </row>
    <row r="331" spans="1:11" x14ac:dyDescent="0.25">
      <c r="A331" s="5">
        <f t="shared" si="15"/>
        <v>3</v>
      </c>
      <c r="B331" s="6">
        <v>44981</v>
      </c>
      <c r="C331" s="7" t="s">
        <v>272</v>
      </c>
      <c r="D331" s="7">
        <v>23</v>
      </c>
      <c r="E331" s="5">
        <f>DAY(TableAopCalendar[[#This Row],[Date]])</f>
        <v>24</v>
      </c>
      <c r="F331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31" s="5" t="str">
        <f t="shared" si="16"/>
        <v>Week 4</v>
      </c>
      <c r="H331" s="5" t="str">
        <f t="shared" si="17"/>
        <v>February 23 Week 4</v>
      </c>
      <c r="I331" s="5" t="str">
        <f>CONCATENATE(UPPER(TableAopCalendar[[#This Row],[Month]])," ",TableAopCalendar[[#This Row],[Year]])</f>
        <v>FEBRUARY 23</v>
      </c>
      <c r="J331" s="8" t="s">
        <v>274</v>
      </c>
      <c r="K331" s="8" t="str">
        <f>CONCATENATE(TableAopCalendar[[#This Row],[Month for Plan]]," ",TableAopCalendar[[#This Row],[Plan]])</f>
        <v>FEBRUARY 23 PLANNED</v>
      </c>
    </row>
    <row r="332" spans="1:11" x14ac:dyDescent="0.25">
      <c r="A332" s="5">
        <f t="shared" si="15"/>
        <v>4</v>
      </c>
      <c r="B332" s="6">
        <v>44982</v>
      </c>
      <c r="C332" s="7" t="s">
        <v>272</v>
      </c>
      <c r="D332" s="7">
        <v>23</v>
      </c>
      <c r="E332" s="5">
        <f>DAY(TableAopCalendar[[#This Row],[Date]])</f>
        <v>25</v>
      </c>
      <c r="F33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32" s="5" t="str">
        <f t="shared" si="16"/>
        <v>Week 4</v>
      </c>
      <c r="H332" s="5" t="str">
        <f t="shared" si="17"/>
        <v>February 23 Week 4</v>
      </c>
      <c r="I332" s="5" t="str">
        <f>CONCATENATE(UPPER(TableAopCalendar[[#This Row],[Month]])," ",TableAopCalendar[[#This Row],[Year]])</f>
        <v>FEBRUARY 23</v>
      </c>
      <c r="J332" s="8" t="s">
        <v>274</v>
      </c>
      <c r="K332" s="8" t="str">
        <f>CONCATENATE(TableAopCalendar[[#This Row],[Month for Plan]]," ",TableAopCalendar[[#This Row],[Plan]])</f>
        <v>FEBRUARY 23 PLANNED</v>
      </c>
    </row>
    <row r="333" spans="1:11" x14ac:dyDescent="0.25">
      <c r="A333" s="5">
        <f t="shared" si="15"/>
        <v>5</v>
      </c>
      <c r="B333" s="6">
        <v>44983</v>
      </c>
      <c r="C333" s="7" t="s">
        <v>272</v>
      </c>
      <c r="D333" s="7">
        <v>23</v>
      </c>
      <c r="E333" s="5">
        <f>DAY(TableAopCalendar[[#This Row],[Date]])</f>
        <v>26</v>
      </c>
      <c r="F33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33" s="5" t="str">
        <f t="shared" si="16"/>
        <v>Week 4</v>
      </c>
      <c r="H333" s="5" t="str">
        <f t="shared" si="17"/>
        <v>February 23 Week 4</v>
      </c>
      <c r="I333" s="5" t="str">
        <f>CONCATENATE(UPPER(TableAopCalendar[[#This Row],[Month]])," ",TableAopCalendar[[#This Row],[Year]])</f>
        <v>FEBRUARY 23</v>
      </c>
      <c r="J333" s="8" t="s">
        <v>274</v>
      </c>
      <c r="K333" s="8" t="str">
        <f>CONCATENATE(TableAopCalendar[[#This Row],[Month for Plan]]," ",TableAopCalendar[[#This Row],[Plan]])</f>
        <v>FEBRUARY 23 PLANNED</v>
      </c>
    </row>
    <row r="334" spans="1:11" x14ac:dyDescent="0.25">
      <c r="A334" s="5">
        <f t="shared" si="15"/>
        <v>6</v>
      </c>
      <c r="B334" s="6">
        <v>44984</v>
      </c>
      <c r="C334" s="7" t="s">
        <v>272</v>
      </c>
      <c r="D334" s="7">
        <v>23</v>
      </c>
      <c r="E334" s="5">
        <f>DAY(TableAopCalendar[[#This Row],[Date]])</f>
        <v>27</v>
      </c>
      <c r="F33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34" s="5" t="str">
        <f t="shared" si="16"/>
        <v>Week 4</v>
      </c>
      <c r="H334" s="5" t="str">
        <f t="shared" si="17"/>
        <v>February 23 Week 4</v>
      </c>
      <c r="I334" s="5" t="str">
        <f>CONCATENATE(UPPER(TableAopCalendar[[#This Row],[Month]])," ",TableAopCalendar[[#This Row],[Year]])</f>
        <v>FEBRUARY 23</v>
      </c>
      <c r="J334" s="8" t="s">
        <v>274</v>
      </c>
      <c r="K334" s="8" t="str">
        <f>CONCATENATE(TableAopCalendar[[#This Row],[Month for Plan]]," ",TableAopCalendar[[#This Row],[Plan]])</f>
        <v>FEBRUARY 23 PLANNED</v>
      </c>
    </row>
    <row r="335" spans="1:11" x14ac:dyDescent="0.25">
      <c r="A335" s="5">
        <f t="shared" si="15"/>
        <v>7</v>
      </c>
      <c r="B335" s="6">
        <v>44985</v>
      </c>
      <c r="C335" s="7" t="s">
        <v>272</v>
      </c>
      <c r="D335" s="7">
        <v>23</v>
      </c>
      <c r="E335" s="5">
        <f>DAY(TableAopCalendar[[#This Row],[Date]])</f>
        <v>28</v>
      </c>
      <c r="F33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35" s="5" t="str">
        <f t="shared" si="16"/>
        <v>Week 4</v>
      </c>
      <c r="H335" s="5" t="str">
        <f t="shared" si="17"/>
        <v>February 23 Week 4</v>
      </c>
      <c r="I335" s="5" t="str">
        <f>CONCATENATE(UPPER(TableAopCalendar[[#This Row],[Month]])," ",TableAopCalendar[[#This Row],[Year]])</f>
        <v>FEBRUARY 23</v>
      </c>
      <c r="J335" s="8" t="s">
        <v>274</v>
      </c>
      <c r="K335" s="8" t="str">
        <f>CONCATENATE(TableAopCalendar[[#This Row],[Month for Plan]]," ",TableAopCalendar[[#This Row],[Plan]])</f>
        <v>FEBRUARY 23 PLANNED</v>
      </c>
    </row>
    <row r="336" spans="1:11" x14ac:dyDescent="0.25">
      <c r="A336" s="5">
        <f t="shared" si="15"/>
        <v>1</v>
      </c>
      <c r="B336" s="6">
        <v>44986</v>
      </c>
      <c r="C336" s="7" t="s">
        <v>273</v>
      </c>
      <c r="D336" s="7">
        <v>23</v>
      </c>
      <c r="E336" s="5">
        <f>DAY(TableAopCalendar[[#This Row],[Date]])</f>
        <v>1</v>
      </c>
      <c r="F33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36" s="5" t="str">
        <f t="shared" si="16"/>
        <v>Week 1</v>
      </c>
      <c r="H336" s="5" t="str">
        <f t="shared" si="17"/>
        <v>March 23 Week 1</v>
      </c>
      <c r="I336" s="5" t="str">
        <f>CONCATENATE(UPPER(TableAopCalendar[[#This Row],[Month]])," ",TableAopCalendar[[#This Row],[Year]])</f>
        <v>MARCH 23</v>
      </c>
      <c r="J336" s="8" t="s">
        <v>274</v>
      </c>
      <c r="K336" s="8" t="str">
        <f>CONCATENATE(TableAopCalendar[[#This Row],[Month for Plan]]," ",TableAopCalendar[[#This Row],[Plan]])</f>
        <v>MARCH 23 PLANNED</v>
      </c>
    </row>
    <row r="337" spans="1:11" x14ac:dyDescent="0.25">
      <c r="A337" s="5">
        <f t="shared" si="15"/>
        <v>2</v>
      </c>
      <c r="B337" s="6">
        <v>44987</v>
      </c>
      <c r="C337" s="7" t="s">
        <v>273</v>
      </c>
      <c r="D337" s="7">
        <v>23</v>
      </c>
      <c r="E337" s="5">
        <f>DAY(TableAopCalendar[[#This Row],[Date]])</f>
        <v>2</v>
      </c>
      <c r="F33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37" s="5" t="str">
        <f t="shared" si="16"/>
        <v>Week 1</v>
      </c>
      <c r="H337" s="5" t="str">
        <f t="shared" si="17"/>
        <v>March 23 Week 1</v>
      </c>
      <c r="I337" s="5" t="str">
        <f>CONCATENATE(UPPER(TableAopCalendar[[#This Row],[Month]])," ",TableAopCalendar[[#This Row],[Year]])</f>
        <v>MARCH 23</v>
      </c>
      <c r="J337" s="8" t="s">
        <v>274</v>
      </c>
      <c r="K337" s="8" t="str">
        <f>CONCATENATE(TableAopCalendar[[#This Row],[Month for Plan]]," ",TableAopCalendar[[#This Row],[Plan]])</f>
        <v>MARCH 23 PLANNED</v>
      </c>
    </row>
    <row r="338" spans="1:11" x14ac:dyDescent="0.25">
      <c r="A338" s="5">
        <f t="shared" si="15"/>
        <v>3</v>
      </c>
      <c r="B338" s="6">
        <v>44988</v>
      </c>
      <c r="C338" s="7" t="s">
        <v>273</v>
      </c>
      <c r="D338" s="7">
        <v>23</v>
      </c>
      <c r="E338" s="5">
        <f>DAY(TableAopCalendar[[#This Row],[Date]])</f>
        <v>3</v>
      </c>
      <c r="F33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38" s="5" t="str">
        <f t="shared" si="16"/>
        <v>Week 1</v>
      </c>
      <c r="H338" s="5" t="str">
        <f t="shared" si="17"/>
        <v>March 23 Week 1</v>
      </c>
      <c r="I338" s="5" t="str">
        <f>CONCATENATE(UPPER(TableAopCalendar[[#This Row],[Month]])," ",TableAopCalendar[[#This Row],[Year]])</f>
        <v>MARCH 23</v>
      </c>
      <c r="J338" s="8" t="s">
        <v>274</v>
      </c>
      <c r="K338" s="8" t="str">
        <f>CONCATENATE(TableAopCalendar[[#This Row],[Month for Plan]]," ",TableAopCalendar[[#This Row],[Plan]])</f>
        <v>MARCH 23 PLANNED</v>
      </c>
    </row>
    <row r="339" spans="1:11" x14ac:dyDescent="0.25">
      <c r="A339" s="5">
        <f t="shared" si="15"/>
        <v>4</v>
      </c>
      <c r="B339" s="6">
        <v>44989</v>
      </c>
      <c r="C339" s="7" t="s">
        <v>273</v>
      </c>
      <c r="D339" s="7">
        <v>23</v>
      </c>
      <c r="E339" s="5">
        <f>DAY(TableAopCalendar[[#This Row],[Date]])</f>
        <v>4</v>
      </c>
      <c r="F33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39" s="5" t="str">
        <f t="shared" si="16"/>
        <v>Week 1</v>
      </c>
      <c r="H339" s="5" t="str">
        <f t="shared" si="17"/>
        <v>March 23 Week 1</v>
      </c>
      <c r="I339" s="5" t="str">
        <f>CONCATENATE(UPPER(TableAopCalendar[[#This Row],[Month]])," ",TableAopCalendar[[#This Row],[Year]])</f>
        <v>MARCH 23</v>
      </c>
      <c r="J339" s="8" t="s">
        <v>274</v>
      </c>
      <c r="K339" s="8" t="str">
        <f>CONCATENATE(TableAopCalendar[[#This Row],[Month for Plan]]," ",TableAopCalendar[[#This Row],[Plan]])</f>
        <v>MARCH 23 PLANNED</v>
      </c>
    </row>
    <row r="340" spans="1:11" x14ac:dyDescent="0.25">
      <c r="A340" s="5">
        <f t="shared" si="15"/>
        <v>5</v>
      </c>
      <c r="B340" s="6">
        <v>44990</v>
      </c>
      <c r="C340" s="7" t="s">
        <v>273</v>
      </c>
      <c r="D340" s="7">
        <v>23</v>
      </c>
      <c r="E340" s="5">
        <f>DAY(TableAopCalendar[[#This Row],[Date]])</f>
        <v>5</v>
      </c>
      <c r="F340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40" s="5" t="str">
        <f t="shared" si="16"/>
        <v>Week 1</v>
      </c>
      <c r="H340" s="5" t="str">
        <f t="shared" si="17"/>
        <v>March 23 Week 1</v>
      </c>
      <c r="I340" s="5" t="str">
        <f>CONCATENATE(UPPER(TableAopCalendar[[#This Row],[Month]])," ",TableAopCalendar[[#This Row],[Year]])</f>
        <v>MARCH 23</v>
      </c>
      <c r="J340" s="8" t="s">
        <v>274</v>
      </c>
      <c r="K340" s="8" t="str">
        <f>CONCATENATE(TableAopCalendar[[#This Row],[Month for Plan]]," ",TableAopCalendar[[#This Row],[Plan]])</f>
        <v>MARCH 23 PLANNED</v>
      </c>
    </row>
    <row r="341" spans="1:11" x14ac:dyDescent="0.25">
      <c r="A341" s="5">
        <f t="shared" si="15"/>
        <v>6</v>
      </c>
      <c r="B341" s="6">
        <v>44991</v>
      </c>
      <c r="C341" s="7" t="s">
        <v>273</v>
      </c>
      <c r="D341" s="7">
        <v>23</v>
      </c>
      <c r="E341" s="5">
        <f>DAY(TableAopCalendar[[#This Row],[Date]])</f>
        <v>6</v>
      </c>
      <c r="F34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41" s="5" t="str">
        <f t="shared" si="16"/>
        <v>Week 1</v>
      </c>
      <c r="H341" s="5" t="str">
        <f t="shared" si="17"/>
        <v>March 23 Week 1</v>
      </c>
      <c r="I341" s="5" t="str">
        <f>CONCATENATE(UPPER(TableAopCalendar[[#This Row],[Month]])," ",TableAopCalendar[[#This Row],[Year]])</f>
        <v>MARCH 23</v>
      </c>
      <c r="J341" s="8" t="s">
        <v>274</v>
      </c>
      <c r="K341" s="8" t="str">
        <f>CONCATENATE(TableAopCalendar[[#This Row],[Month for Plan]]," ",TableAopCalendar[[#This Row],[Plan]])</f>
        <v>MARCH 23 PLANNED</v>
      </c>
    </row>
    <row r="342" spans="1:11" x14ac:dyDescent="0.25">
      <c r="A342" s="5">
        <f t="shared" si="15"/>
        <v>7</v>
      </c>
      <c r="B342" s="6">
        <v>44992</v>
      </c>
      <c r="C342" s="7" t="s">
        <v>273</v>
      </c>
      <c r="D342" s="7">
        <v>23</v>
      </c>
      <c r="E342" s="5">
        <f>DAY(TableAopCalendar[[#This Row],[Date]])</f>
        <v>7</v>
      </c>
      <c r="F34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42" s="5" t="str">
        <f t="shared" si="16"/>
        <v>Week 1</v>
      </c>
      <c r="H342" s="5" t="str">
        <f t="shared" si="17"/>
        <v>March 23 Week 1</v>
      </c>
      <c r="I342" s="5" t="str">
        <f>CONCATENATE(UPPER(TableAopCalendar[[#This Row],[Month]])," ",TableAopCalendar[[#This Row],[Year]])</f>
        <v>MARCH 23</v>
      </c>
      <c r="J342" s="8" t="s">
        <v>274</v>
      </c>
      <c r="K342" s="8" t="str">
        <f>CONCATENATE(TableAopCalendar[[#This Row],[Month for Plan]]," ",TableAopCalendar[[#This Row],[Plan]])</f>
        <v>MARCH 23 PLANNED</v>
      </c>
    </row>
    <row r="343" spans="1:11" x14ac:dyDescent="0.25">
      <c r="A343" s="5">
        <f t="shared" si="15"/>
        <v>1</v>
      </c>
      <c r="B343" s="6">
        <v>44993</v>
      </c>
      <c r="C343" s="7" t="s">
        <v>273</v>
      </c>
      <c r="D343" s="7">
        <v>23</v>
      </c>
      <c r="E343" s="5">
        <f>DAY(TableAopCalendar[[#This Row],[Date]])</f>
        <v>8</v>
      </c>
      <c r="F34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43" s="5" t="str">
        <f t="shared" si="16"/>
        <v>Week 2</v>
      </c>
      <c r="H343" s="5" t="str">
        <f t="shared" si="17"/>
        <v>March 23 Week 2</v>
      </c>
      <c r="I343" s="5" t="str">
        <f>CONCATENATE(UPPER(TableAopCalendar[[#This Row],[Month]])," ",TableAopCalendar[[#This Row],[Year]])</f>
        <v>MARCH 23</v>
      </c>
      <c r="J343" s="8" t="s">
        <v>274</v>
      </c>
      <c r="K343" s="8" t="str">
        <f>CONCATENATE(TableAopCalendar[[#This Row],[Month for Plan]]," ",TableAopCalendar[[#This Row],[Plan]])</f>
        <v>MARCH 23 PLANNED</v>
      </c>
    </row>
    <row r="344" spans="1:11" x14ac:dyDescent="0.25">
      <c r="A344" s="5">
        <f t="shared" si="15"/>
        <v>2</v>
      </c>
      <c r="B344" s="6">
        <v>44994</v>
      </c>
      <c r="C344" s="7" t="s">
        <v>273</v>
      </c>
      <c r="D344" s="7">
        <v>23</v>
      </c>
      <c r="E344" s="5">
        <f>DAY(TableAopCalendar[[#This Row],[Date]])</f>
        <v>9</v>
      </c>
      <c r="F34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44" s="5" t="str">
        <f t="shared" si="16"/>
        <v>Week 2</v>
      </c>
      <c r="H344" s="5" t="str">
        <f t="shared" si="17"/>
        <v>March 23 Week 2</v>
      </c>
      <c r="I344" s="5" t="str">
        <f>CONCATENATE(UPPER(TableAopCalendar[[#This Row],[Month]])," ",TableAopCalendar[[#This Row],[Year]])</f>
        <v>MARCH 23</v>
      </c>
      <c r="J344" s="8" t="s">
        <v>274</v>
      </c>
      <c r="K344" s="8" t="str">
        <f>CONCATENATE(TableAopCalendar[[#This Row],[Month for Plan]]," ",TableAopCalendar[[#This Row],[Plan]])</f>
        <v>MARCH 23 PLANNED</v>
      </c>
    </row>
    <row r="345" spans="1:11" x14ac:dyDescent="0.25">
      <c r="A345" s="5">
        <f t="shared" si="15"/>
        <v>3</v>
      </c>
      <c r="B345" s="6">
        <v>44995</v>
      </c>
      <c r="C345" s="7" t="s">
        <v>273</v>
      </c>
      <c r="D345" s="7">
        <v>23</v>
      </c>
      <c r="E345" s="5">
        <f>DAY(TableAopCalendar[[#This Row],[Date]])</f>
        <v>10</v>
      </c>
      <c r="F34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45" s="5" t="str">
        <f t="shared" si="16"/>
        <v>Week 2</v>
      </c>
      <c r="H345" s="5" t="str">
        <f t="shared" si="17"/>
        <v>March 23 Week 2</v>
      </c>
      <c r="I345" s="5" t="str">
        <f>CONCATENATE(UPPER(TableAopCalendar[[#This Row],[Month]])," ",TableAopCalendar[[#This Row],[Year]])</f>
        <v>MARCH 23</v>
      </c>
      <c r="J345" s="8" t="s">
        <v>274</v>
      </c>
      <c r="K345" s="8" t="str">
        <f>CONCATENATE(TableAopCalendar[[#This Row],[Month for Plan]]," ",TableAopCalendar[[#This Row],[Plan]])</f>
        <v>MARCH 23 PLANNED</v>
      </c>
    </row>
    <row r="346" spans="1:11" x14ac:dyDescent="0.25">
      <c r="A346" s="5">
        <f t="shared" si="15"/>
        <v>4</v>
      </c>
      <c r="B346" s="6">
        <v>44996</v>
      </c>
      <c r="C346" s="7" t="s">
        <v>273</v>
      </c>
      <c r="D346" s="7">
        <v>23</v>
      </c>
      <c r="E346" s="5">
        <f>DAY(TableAopCalendar[[#This Row],[Date]])</f>
        <v>11</v>
      </c>
      <c r="F34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46" s="5" t="str">
        <f t="shared" si="16"/>
        <v>Week 2</v>
      </c>
      <c r="H346" s="5" t="str">
        <f t="shared" si="17"/>
        <v>March 23 Week 2</v>
      </c>
      <c r="I346" s="5" t="str">
        <f>CONCATENATE(UPPER(TableAopCalendar[[#This Row],[Month]])," ",TableAopCalendar[[#This Row],[Year]])</f>
        <v>MARCH 23</v>
      </c>
      <c r="J346" s="8" t="s">
        <v>274</v>
      </c>
      <c r="K346" s="8" t="str">
        <f>CONCATENATE(TableAopCalendar[[#This Row],[Month for Plan]]," ",TableAopCalendar[[#This Row],[Plan]])</f>
        <v>MARCH 23 PLANNED</v>
      </c>
    </row>
    <row r="347" spans="1:11" x14ac:dyDescent="0.25">
      <c r="A347" s="5">
        <f t="shared" si="15"/>
        <v>5</v>
      </c>
      <c r="B347" s="6">
        <v>44997</v>
      </c>
      <c r="C347" s="7" t="s">
        <v>273</v>
      </c>
      <c r="D347" s="7">
        <v>23</v>
      </c>
      <c r="E347" s="5">
        <f>DAY(TableAopCalendar[[#This Row],[Date]])</f>
        <v>12</v>
      </c>
      <c r="F347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47" s="5" t="str">
        <f t="shared" si="16"/>
        <v>Week 2</v>
      </c>
      <c r="H347" s="5" t="str">
        <f t="shared" si="17"/>
        <v>March 23 Week 2</v>
      </c>
      <c r="I347" s="5" t="str">
        <f>CONCATENATE(UPPER(TableAopCalendar[[#This Row],[Month]])," ",TableAopCalendar[[#This Row],[Year]])</f>
        <v>MARCH 23</v>
      </c>
      <c r="J347" s="8" t="s">
        <v>274</v>
      </c>
      <c r="K347" s="8" t="str">
        <f>CONCATENATE(TableAopCalendar[[#This Row],[Month for Plan]]," ",TableAopCalendar[[#This Row],[Plan]])</f>
        <v>MARCH 23 PLANNED</v>
      </c>
    </row>
    <row r="348" spans="1:11" x14ac:dyDescent="0.25">
      <c r="A348" s="5">
        <f t="shared" si="15"/>
        <v>6</v>
      </c>
      <c r="B348" s="6">
        <v>44998</v>
      </c>
      <c r="C348" s="7" t="s">
        <v>273</v>
      </c>
      <c r="D348" s="7">
        <v>23</v>
      </c>
      <c r="E348" s="5">
        <f>DAY(TableAopCalendar[[#This Row],[Date]])</f>
        <v>13</v>
      </c>
      <c r="F34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48" s="5" t="str">
        <f t="shared" si="16"/>
        <v>Week 2</v>
      </c>
      <c r="H348" s="5" t="str">
        <f t="shared" si="17"/>
        <v>March 23 Week 2</v>
      </c>
      <c r="I348" s="5" t="str">
        <f>CONCATENATE(UPPER(TableAopCalendar[[#This Row],[Month]])," ",TableAopCalendar[[#This Row],[Year]])</f>
        <v>MARCH 23</v>
      </c>
      <c r="J348" s="8" t="s">
        <v>274</v>
      </c>
      <c r="K348" s="8" t="str">
        <f>CONCATENATE(TableAopCalendar[[#This Row],[Month for Plan]]," ",TableAopCalendar[[#This Row],[Plan]])</f>
        <v>MARCH 23 PLANNED</v>
      </c>
    </row>
    <row r="349" spans="1:11" x14ac:dyDescent="0.25">
      <c r="A349" s="5">
        <f t="shared" si="15"/>
        <v>7</v>
      </c>
      <c r="B349" s="6">
        <v>44999</v>
      </c>
      <c r="C349" s="7" t="s">
        <v>273</v>
      </c>
      <c r="D349" s="7">
        <v>23</v>
      </c>
      <c r="E349" s="5">
        <f>DAY(TableAopCalendar[[#This Row],[Date]])</f>
        <v>14</v>
      </c>
      <c r="F34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49" s="5" t="str">
        <f t="shared" si="16"/>
        <v>Week 2</v>
      </c>
      <c r="H349" s="5" t="str">
        <f t="shared" si="17"/>
        <v>March 23 Week 2</v>
      </c>
      <c r="I349" s="5" t="str">
        <f>CONCATENATE(UPPER(TableAopCalendar[[#This Row],[Month]])," ",TableAopCalendar[[#This Row],[Year]])</f>
        <v>MARCH 23</v>
      </c>
      <c r="J349" s="8" t="s">
        <v>274</v>
      </c>
      <c r="K349" s="8" t="str">
        <f>CONCATENATE(TableAopCalendar[[#This Row],[Month for Plan]]," ",TableAopCalendar[[#This Row],[Plan]])</f>
        <v>MARCH 23 PLANNED</v>
      </c>
    </row>
    <row r="350" spans="1:11" x14ac:dyDescent="0.25">
      <c r="A350" s="5">
        <f t="shared" si="15"/>
        <v>1</v>
      </c>
      <c r="B350" s="6">
        <v>45000</v>
      </c>
      <c r="C350" s="7" t="s">
        <v>273</v>
      </c>
      <c r="D350" s="7">
        <v>23</v>
      </c>
      <c r="E350" s="5">
        <f>DAY(TableAopCalendar[[#This Row],[Date]])</f>
        <v>15</v>
      </c>
      <c r="F35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50" s="5" t="str">
        <f t="shared" si="16"/>
        <v>Week 3</v>
      </c>
      <c r="H350" s="5" t="str">
        <f t="shared" si="17"/>
        <v>March 23 Week 3</v>
      </c>
      <c r="I350" s="5" t="str">
        <f>CONCATENATE(UPPER(TableAopCalendar[[#This Row],[Month]])," ",TableAopCalendar[[#This Row],[Year]])</f>
        <v>MARCH 23</v>
      </c>
      <c r="J350" s="8" t="s">
        <v>274</v>
      </c>
      <c r="K350" s="8" t="str">
        <f>CONCATENATE(TableAopCalendar[[#This Row],[Month for Plan]]," ",TableAopCalendar[[#This Row],[Plan]])</f>
        <v>MARCH 23 PLANNED</v>
      </c>
    </row>
    <row r="351" spans="1:11" x14ac:dyDescent="0.25">
      <c r="A351" s="5">
        <f t="shared" si="15"/>
        <v>2</v>
      </c>
      <c r="B351" s="6">
        <v>45001</v>
      </c>
      <c r="C351" s="7" t="s">
        <v>273</v>
      </c>
      <c r="D351" s="7">
        <v>23</v>
      </c>
      <c r="E351" s="5">
        <f>DAY(TableAopCalendar[[#This Row],[Date]])</f>
        <v>16</v>
      </c>
      <c r="F35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51" s="5" t="str">
        <f t="shared" si="16"/>
        <v>Week 3</v>
      </c>
      <c r="H351" s="5" t="str">
        <f t="shared" si="17"/>
        <v>March 23 Week 3</v>
      </c>
      <c r="I351" s="5" t="str">
        <f>CONCATENATE(UPPER(TableAopCalendar[[#This Row],[Month]])," ",TableAopCalendar[[#This Row],[Year]])</f>
        <v>MARCH 23</v>
      </c>
      <c r="J351" s="8" t="s">
        <v>274</v>
      </c>
      <c r="K351" s="8" t="str">
        <f>CONCATENATE(TableAopCalendar[[#This Row],[Month for Plan]]," ",TableAopCalendar[[#This Row],[Plan]])</f>
        <v>MARCH 23 PLANNED</v>
      </c>
    </row>
    <row r="352" spans="1:11" x14ac:dyDescent="0.25">
      <c r="A352" s="5">
        <f t="shared" si="15"/>
        <v>3</v>
      </c>
      <c r="B352" s="6">
        <v>45002</v>
      </c>
      <c r="C352" s="7" t="s">
        <v>273</v>
      </c>
      <c r="D352" s="7">
        <v>23</v>
      </c>
      <c r="E352" s="5">
        <f>DAY(TableAopCalendar[[#This Row],[Date]])</f>
        <v>17</v>
      </c>
      <c r="F35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52" s="5" t="str">
        <f t="shared" si="16"/>
        <v>Week 3</v>
      </c>
      <c r="H352" s="5" t="str">
        <f t="shared" si="17"/>
        <v>March 23 Week 3</v>
      </c>
      <c r="I352" s="5" t="str">
        <f>CONCATENATE(UPPER(TableAopCalendar[[#This Row],[Month]])," ",TableAopCalendar[[#This Row],[Year]])</f>
        <v>MARCH 23</v>
      </c>
      <c r="J352" s="8" t="s">
        <v>274</v>
      </c>
      <c r="K352" s="8" t="str">
        <f>CONCATENATE(TableAopCalendar[[#This Row],[Month for Plan]]," ",TableAopCalendar[[#This Row],[Plan]])</f>
        <v>MARCH 23 PLANNED</v>
      </c>
    </row>
    <row r="353" spans="1:11" x14ac:dyDescent="0.25">
      <c r="A353" s="5">
        <f t="shared" si="15"/>
        <v>4</v>
      </c>
      <c r="B353" s="6">
        <v>45003</v>
      </c>
      <c r="C353" s="7" t="s">
        <v>273</v>
      </c>
      <c r="D353" s="7">
        <v>23</v>
      </c>
      <c r="E353" s="5">
        <f>DAY(TableAopCalendar[[#This Row],[Date]])</f>
        <v>18</v>
      </c>
      <c r="F35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53" s="5" t="str">
        <f t="shared" si="16"/>
        <v>Week 3</v>
      </c>
      <c r="H353" s="5" t="str">
        <f t="shared" si="17"/>
        <v>March 23 Week 3</v>
      </c>
      <c r="I353" s="5" t="str">
        <f>CONCATENATE(UPPER(TableAopCalendar[[#This Row],[Month]])," ",TableAopCalendar[[#This Row],[Year]])</f>
        <v>MARCH 23</v>
      </c>
      <c r="J353" s="8" t="s">
        <v>274</v>
      </c>
      <c r="K353" s="8" t="str">
        <f>CONCATENATE(TableAopCalendar[[#This Row],[Month for Plan]]," ",TableAopCalendar[[#This Row],[Plan]])</f>
        <v>MARCH 23 PLANNED</v>
      </c>
    </row>
    <row r="354" spans="1:11" x14ac:dyDescent="0.25">
      <c r="A354" s="5">
        <f t="shared" si="15"/>
        <v>5</v>
      </c>
      <c r="B354" s="6">
        <v>45004</v>
      </c>
      <c r="C354" s="7" t="s">
        <v>273</v>
      </c>
      <c r="D354" s="7">
        <v>23</v>
      </c>
      <c r="E354" s="5">
        <f>DAY(TableAopCalendar[[#This Row],[Date]])</f>
        <v>19</v>
      </c>
      <c r="F354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54" s="5" t="str">
        <f t="shared" si="16"/>
        <v>Week 3</v>
      </c>
      <c r="H354" s="5" t="str">
        <f t="shared" si="17"/>
        <v>March 23 Week 3</v>
      </c>
      <c r="I354" s="5" t="str">
        <f>CONCATENATE(UPPER(TableAopCalendar[[#This Row],[Month]])," ",TableAopCalendar[[#This Row],[Year]])</f>
        <v>MARCH 23</v>
      </c>
      <c r="J354" s="8" t="s">
        <v>274</v>
      </c>
      <c r="K354" s="8" t="str">
        <f>CONCATENATE(TableAopCalendar[[#This Row],[Month for Plan]]," ",TableAopCalendar[[#This Row],[Plan]])</f>
        <v>MARCH 23 PLANNED</v>
      </c>
    </row>
    <row r="355" spans="1:11" x14ac:dyDescent="0.25">
      <c r="A355" s="5">
        <f t="shared" si="15"/>
        <v>6</v>
      </c>
      <c r="B355" s="6">
        <v>45005</v>
      </c>
      <c r="C355" s="7" t="s">
        <v>273</v>
      </c>
      <c r="D355" s="7">
        <v>23</v>
      </c>
      <c r="E355" s="5">
        <f>DAY(TableAopCalendar[[#This Row],[Date]])</f>
        <v>20</v>
      </c>
      <c r="F35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55" s="5" t="str">
        <f t="shared" si="16"/>
        <v>Week 3</v>
      </c>
      <c r="H355" s="5" t="str">
        <f t="shared" si="17"/>
        <v>March 23 Week 3</v>
      </c>
      <c r="I355" s="5" t="str">
        <f>CONCATENATE(UPPER(TableAopCalendar[[#This Row],[Month]])," ",TableAopCalendar[[#This Row],[Year]])</f>
        <v>MARCH 23</v>
      </c>
      <c r="J355" s="8" t="s">
        <v>274</v>
      </c>
      <c r="K355" s="8" t="str">
        <f>CONCATENATE(TableAopCalendar[[#This Row],[Month for Plan]]," ",TableAopCalendar[[#This Row],[Plan]])</f>
        <v>MARCH 23 PLANNED</v>
      </c>
    </row>
    <row r="356" spans="1:11" x14ac:dyDescent="0.25">
      <c r="A356" s="5">
        <f t="shared" si="15"/>
        <v>7</v>
      </c>
      <c r="B356" s="6">
        <v>45006</v>
      </c>
      <c r="C356" s="7" t="s">
        <v>273</v>
      </c>
      <c r="D356" s="7">
        <v>23</v>
      </c>
      <c r="E356" s="5">
        <f>DAY(TableAopCalendar[[#This Row],[Date]])</f>
        <v>21</v>
      </c>
      <c r="F35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56" s="5" t="str">
        <f t="shared" si="16"/>
        <v>Week 3</v>
      </c>
      <c r="H356" s="5" t="str">
        <f t="shared" si="17"/>
        <v>March 23 Week 3</v>
      </c>
      <c r="I356" s="5" t="str">
        <f>CONCATENATE(UPPER(TableAopCalendar[[#This Row],[Month]])," ",TableAopCalendar[[#This Row],[Year]])</f>
        <v>MARCH 23</v>
      </c>
      <c r="J356" s="8" t="s">
        <v>274</v>
      </c>
      <c r="K356" s="8" t="str">
        <f>CONCATENATE(TableAopCalendar[[#This Row],[Month for Plan]]," ",TableAopCalendar[[#This Row],[Plan]])</f>
        <v>MARCH 23 PLANNED</v>
      </c>
    </row>
    <row r="357" spans="1:11" x14ac:dyDescent="0.25">
      <c r="A357" s="5">
        <f t="shared" si="15"/>
        <v>1</v>
      </c>
      <c r="B357" s="6">
        <v>45007</v>
      </c>
      <c r="C357" s="7" t="s">
        <v>273</v>
      </c>
      <c r="D357" s="7">
        <v>23</v>
      </c>
      <c r="E357" s="5">
        <f>DAY(TableAopCalendar[[#This Row],[Date]])</f>
        <v>22</v>
      </c>
      <c r="F35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57" s="5" t="str">
        <f t="shared" si="16"/>
        <v>Week 4</v>
      </c>
      <c r="H357" s="5" t="str">
        <f t="shared" si="17"/>
        <v>March 23 Week 4</v>
      </c>
      <c r="I357" s="5" t="str">
        <f>CONCATENATE(UPPER(TableAopCalendar[[#This Row],[Month]])," ",TableAopCalendar[[#This Row],[Year]])</f>
        <v>MARCH 23</v>
      </c>
      <c r="J357" s="8" t="s">
        <v>274</v>
      </c>
      <c r="K357" s="8" t="str">
        <f>CONCATENATE(TableAopCalendar[[#This Row],[Month for Plan]]," ",TableAopCalendar[[#This Row],[Plan]])</f>
        <v>MARCH 23 PLANNED</v>
      </c>
    </row>
    <row r="358" spans="1:11" x14ac:dyDescent="0.25">
      <c r="A358" s="5">
        <f t="shared" si="15"/>
        <v>2</v>
      </c>
      <c r="B358" s="6">
        <v>45008</v>
      </c>
      <c r="C358" s="7" t="s">
        <v>273</v>
      </c>
      <c r="D358" s="7">
        <v>23</v>
      </c>
      <c r="E358" s="5">
        <f>DAY(TableAopCalendar[[#This Row],[Date]])</f>
        <v>23</v>
      </c>
      <c r="F35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58" s="5" t="str">
        <f t="shared" si="16"/>
        <v>Week 4</v>
      </c>
      <c r="H358" s="5" t="str">
        <f t="shared" si="17"/>
        <v>March 23 Week 4</v>
      </c>
      <c r="I358" s="5" t="str">
        <f>CONCATENATE(UPPER(TableAopCalendar[[#This Row],[Month]])," ",TableAopCalendar[[#This Row],[Year]])</f>
        <v>MARCH 23</v>
      </c>
      <c r="J358" s="8" t="s">
        <v>274</v>
      </c>
      <c r="K358" s="8" t="str">
        <f>CONCATENATE(TableAopCalendar[[#This Row],[Month for Plan]]," ",TableAopCalendar[[#This Row],[Plan]])</f>
        <v>MARCH 23 PLANNED</v>
      </c>
    </row>
    <row r="359" spans="1:11" x14ac:dyDescent="0.25">
      <c r="A359" s="5">
        <f t="shared" si="15"/>
        <v>3</v>
      </c>
      <c r="B359" s="6">
        <v>45009</v>
      </c>
      <c r="C359" s="7" t="s">
        <v>273</v>
      </c>
      <c r="D359" s="7">
        <v>23</v>
      </c>
      <c r="E359" s="5">
        <f>DAY(TableAopCalendar[[#This Row],[Date]])</f>
        <v>24</v>
      </c>
      <c r="F35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59" s="5" t="str">
        <f t="shared" si="16"/>
        <v>Week 4</v>
      </c>
      <c r="H359" s="5" t="str">
        <f t="shared" si="17"/>
        <v>March 23 Week 4</v>
      </c>
      <c r="I359" s="5" t="str">
        <f>CONCATENATE(UPPER(TableAopCalendar[[#This Row],[Month]])," ",TableAopCalendar[[#This Row],[Year]])</f>
        <v>MARCH 23</v>
      </c>
      <c r="J359" s="8" t="s">
        <v>274</v>
      </c>
      <c r="K359" s="8" t="str">
        <f>CONCATENATE(TableAopCalendar[[#This Row],[Month for Plan]]," ",TableAopCalendar[[#This Row],[Plan]])</f>
        <v>MARCH 23 PLANNED</v>
      </c>
    </row>
    <row r="360" spans="1:11" x14ac:dyDescent="0.25">
      <c r="A360" s="5">
        <f t="shared" si="15"/>
        <v>4</v>
      </c>
      <c r="B360" s="6">
        <v>45010</v>
      </c>
      <c r="C360" s="7" t="s">
        <v>273</v>
      </c>
      <c r="D360" s="7">
        <v>23</v>
      </c>
      <c r="E360" s="5">
        <f>DAY(TableAopCalendar[[#This Row],[Date]])</f>
        <v>25</v>
      </c>
      <c r="F36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60" s="5" t="str">
        <f t="shared" si="16"/>
        <v>Week 4</v>
      </c>
      <c r="H360" s="5" t="str">
        <f t="shared" si="17"/>
        <v>March 23 Week 4</v>
      </c>
      <c r="I360" s="5" t="str">
        <f>CONCATENATE(UPPER(TableAopCalendar[[#This Row],[Month]])," ",TableAopCalendar[[#This Row],[Year]])</f>
        <v>MARCH 23</v>
      </c>
      <c r="J360" s="8" t="s">
        <v>274</v>
      </c>
      <c r="K360" s="8" t="str">
        <f>CONCATENATE(TableAopCalendar[[#This Row],[Month for Plan]]," ",TableAopCalendar[[#This Row],[Plan]])</f>
        <v>MARCH 23 PLANNED</v>
      </c>
    </row>
    <row r="361" spans="1:11" x14ac:dyDescent="0.25">
      <c r="A361" s="5">
        <f t="shared" si="15"/>
        <v>5</v>
      </c>
      <c r="B361" s="6">
        <v>45011</v>
      </c>
      <c r="C361" s="7" t="s">
        <v>273</v>
      </c>
      <c r="D361" s="7">
        <v>23</v>
      </c>
      <c r="E361" s="5">
        <f>DAY(TableAopCalendar[[#This Row],[Date]])</f>
        <v>26</v>
      </c>
      <c r="F361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61" s="5" t="str">
        <f t="shared" si="16"/>
        <v>Week 4</v>
      </c>
      <c r="H361" s="5" t="str">
        <f t="shared" si="17"/>
        <v>March 23 Week 4</v>
      </c>
      <c r="I361" s="5" t="str">
        <f>CONCATENATE(UPPER(TableAopCalendar[[#This Row],[Month]])," ",TableAopCalendar[[#This Row],[Year]])</f>
        <v>MARCH 23</v>
      </c>
      <c r="J361" s="8" t="s">
        <v>274</v>
      </c>
      <c r="K361" s="8" t="str">
        <f>CONCATENATE(TableAopCalendar[[#This Row],[Month for Plan]]," ",TableAopCalendar[[#This Row],[Plan]])</f>
        <v>MARCH 23 PLANNED</v>
      </c>
    </row>
    <row r="362" spans="1:11" x14ac:dyDescent="0.25">
      <c r="A362" s="5">
        <f t="shared" si="15"/>
        <v>6</v>
      </c>
      <c r="B362" s="6">
        <v>45012</v>
      </c>
      <c r="C362" s="7" t="s">
        <v>273</v>
      </c>
      <c r="D362" s="7">
        <v>23</v>
      </c>
      <c r="E362" s="5">
        <f>DAY(TableAopCalendar[[#This Row],[Date]])</f>
        <v>27</v>
      </c>
      <c r="F36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62" s="5" t="str">
        <f t="shared" si="16"/>
        <v>Week 4</v>
      </c>
      <c r="H362" s="5" t="str">
        <f t="shared" si="17"/>
        <v>March 23 Week 4</v>
      </c>
      <c r="I362" s="5" t="str">
        <f>CONCATENATE(UPPER(TableAopCalendar[[#This Row],[Month]])," ",TableAopCalendar[[#This Row],[Year]])</f>
        <v>MARCH 23</v>
      </c>
      <c r="J362" s="8" t="s">
        <v>274</v>
      </c>
      <c r="K362" s="8" t="str">
        <f>CONCATENATE(TableAopCalendar[[#This Row],[Month for Plan]]," ",TableAopCalendar[[#This Row],[Plan]])</f>
        <v>MARCH 23 PLANNED</v>
      </c>
    </row>
    <row r="363" spans="1:11" x14ac:dyDescent="0.25">
      <c r="A363" s="5">
        <f t="shared" si="15"/>
        <v>7</v>
      </c>
      <c r="B363" s="6">
        <v>45013</v>
      </c>
      <c r="C363" s="7" t="s">
        <v>273</v>
      </c>
      <c r="D363" s="7">
        <v>23</v>
      </c>
      <c r="E363" s="5">
        <f>DAY(TableAopCalendar[[#This Row],[Date]])</f>
        <v>28</v>
      </c>
      <c r="F36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63" s="5" t="str">
        <f t="shared" si="16"/>
        <v>Week 4</v>
      </c>
      <c r="H363" s="5" t="str">
        <f t="shared" si="17"/>
        <v>March 23 Week 4</v>
      </c>
      <c r="I363" s="5" t="str">
        <f>CONCATENATE(UPPER(TableAopCalendar[[#This Row],[Month]])," ",TableAopCalendar[[#This Row],[Year]])</f>
        <v>MARCH 23</v>
      </c>
      <c r="J363" s="8" t="s">
        <v>274</v>
      </c>
      <c r="K363" s="8" t="str">
        <f>CONCATENATE(TableAopCalendar[[#This Row],[Month for Plan]]," ",TableAopCalendar[[#This Row],[Plan]])</f>
        <v>MARCH 23 PLANNED</v>
      </c>
    </row>
    <row r="364" spans="1:11" x14ac:dyDescent="0.25">
      <c r="A364" s="5">
        <f t="shared" si="15"/>
        <v>1</v>
      </c>
      <c r="B364" s="6">
        <v>45014</v>
      </c>
      <c r="C364" s="7" t="s">
        <v>273</v>
      </c>
      <c r="D364" s="7">
        <v>23</v>
      </c>
      <c r="E364" s="5">
        <f>DAY(TableAopCalendar[[#This Row],[Date]])</f>
        <v>29</v>
      </c>
      <c r="F364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64" s="5" t="str">
        <f t="shared" si="16"/>
        <v>Week 5</v>
      </c>
      <c r="H364" s="5" t="str">
        <f t="shared" si="17"/>
        <v>March 23 Week 5</v>
      </c>
      <c r="I364" s="5" t="str">
        <f>CONCATENATE(UPPER(TableAopCalendar[[#This Row],[Month]])," ",TableAopCalendar[[#This Row],[Year]])</f>
        <v>MARCH 23</v>
      </c>
      <c r="J364" s="8" t="s">
        <v>274</v>
      </c>
      <c r="K364" s="8" t="str">
        <f>CONCATENATE(TableAopCalendar[[#This Row],[Month for Plan]]," ",TableAopCalendar[[#This Row],[Plan]])</f>
        <v>MARCH 23 PLANNED</v>
      </c>
    </row>
    <row r="365" spans="1:11" x14ac:dyDescent="0.25">
      <c r="A365" s="5">
        <f t="shared" si="15"/>
        <v>2</v>
      </c>
      <c r="B365" s="6">
        <v>45015</v>
      </c>
      <c r="C365" s="7" t="s">
        <v>273</v>
      </c>
      <c r="D365" s="7">
        <v>23</v>
      </c>
      <c r="E365" s="5">
        <f>DAY(TableAopCalendar[[#This Row],[Date]])</f>
        <v>30</v>
      </c>
      <c r="F365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65" s="5" t="str">
        <f t="shared" si="16"/>
        <v>Week 5</v>
      </c>
      <c r="H365" s="5" t="str">
        <f t="shared" si="17"/>
        <v>March 23 Week 5</v>
      </c>
      <c r="I365" s="5" t="str">
        <f>CONCATENATE(UPPER(TableAopCalendar[[#This Row],[Month]])," ",TableAopCalendar[[#This Row],[Year]])</f>
        <v>MARCH 23</v>
      </c>
      <c r="J365" s="8" t="s">
        <v>274</v>
      </c>
      <c r="K365" s="8" t="str">
        <f>CONCATENATE(TableAopCalendar[[#This Row],[Month for Plan]]," ",TableAopCalendar[[#This Row],[Plan]])</f>
        <v>MARCH 23 PLANNED</v>
      </c>
    </row>
    <row r="366" spans="1:11" x14ac:dyDescent="0.25">
      <c r="A366" s="5">
        <f t="shared" si="15"/>
        <v>3</v>
      </c>
      <c r="B366" s="6">
        <v>45016</v>
      </c>
      <c r="C366" s="7" t="s">
        <v>273</v>
      </c>
      <c r="D366" s="7">
        <v>23</v>
      </c>
      <c r="E366" s="5">
        <f>DAY(TableAopCalendar[[#This Row],[Date]])</f>
        <v>31</v>
      </c>
      <c r="F366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66" s="5" t="str">
        <f t="shared" si="16"/>
        <v>Week 5</v>
      </c>
      <c r="H366" s="5" t="str">
        <f t="shared" si="17"/>
        <v>March 23 Week 5</v>
      </c>
      <c r="I366" s="5" t="str">
        <f>CONCATENATE(UPPER(TableAopCalendar[[#This Row],[Month]])," ",TableAopCalendar[[#This Row],[Year]])</f>
        <v>MARCH 23</v>
      </c>
      <c r="J366" s="8" t="s">
        <v>274</v>
      </c>
      <c r="K366" s="8" t="str">
        <f>CONCATENATE(TableAopCalendar[[#This Row],[Month for Plan]]," ",TableAopCalendar[[#This Row],[Plan]])</f>
        <v>MARCH 23 PLANNED</v>
      </c>
    </row>
    <row r="367" spans="1:11" x14ac:dyDescent="0.25">
      <c r="A367" s="5">
        <f t="shared" si="15"/>
        <v>1</v>
      </c>
      <c r="B367" s="6">
        <v>45017</v>
      </c>
      <c r="C367" s="7" t="s">
        <v>264</v>
      </c>
      <c r="D367" s="7">
        <v>23</v>
      </c>
      <c r="E367" s="5">
        <f>DAY(TableAopCalendar[[#This Row],[Date]])</f>
        <v>1</v>
      </c>
      <c r="F36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67" s="5" t="str">
        <f t="shared" si="16"/>
        <v>Week 1</v>
      </c>
      <c r="H367" s="8" t="str">
        <f t="shared" si="17"/>
        <v>April 23 Week 1</v>
      </c>
      <c r="I367" s="5" t="str">
        <f>CONCATENATE(UPPER(TableAopCalendar[[#This Row],[Month]])," ",TableAopCalendar[[#This Row],[Year]])</f>
        <v>APRIL 23</v>
      </c>
      <c r="J367" s="8" t="s">
        <v>274</v>
      </c>
      <c r="K367" s="8" t="str">
        <f>CONCATENATE(TableAopCalendar[[#This Row],[Month for Plan]]," ",TableAopCalendar[[#This Row],[Plan]])</f>
        <v>APRIL 23 PLANNED</v>
      </c>
    </row>
    <row r="368" spans="1:11" x14ac:dyDescent="0.25">
      <c r="A368" s="5">
        <f t="shared" si="15"/>
        <v>2</v>
      </c>
      <c r="B368" s="6">
        <v>45018</v>
      </c>
      <c r="C368" s="7" t="s">
        <v>264</v>
      </c>
      <c r="D368" s="7">
        <v>23</v>
      </c>
      <c r="E368" s="5">
        <f>DAY(TableAopCalendar[[#This Row],[Date]])</f>
        <v>2</v>
      </c>
      <c r="F36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68" s="5" t="str">
        <f t="shared" si="16"/>
        <v>Week 1</v>
      </c>
      <c r="H368" s="8" t="str">
        <f t="shared" si="17"/>
        <v>April 23 Week 1</v>
      </c>
      <c r="I368" s="5" t="str">
        <f>CONCATENATE(UPPER(TableAopCalendar[[#This Row],[Month]])," ",TableAopCalendar[[#This Row],[Year]])</f>
        <v>APRIL 23</v>
      </c>
      <c r="J368" s="8" t="s">
        <v>274</v>
      </c>
      <c r="K368" s="8" t="str">
        <f>CONCATENATE(TableAopCalendar[[#This Row],[Month for Plan]]," ",TableAopCalendar[[#This Row],[Plan]])</f>
        <v>APRIL 23 PLANNED</v>
      </c>
    </row>
    <row r="369" spans="1:11" x14ac:dyDescent="0.25">
      <c r="A369" s="5">
        <f t="shared" si="15"/>
        <v>3</v>
      </c>
      <c r="B369" s="6">
        <v>45019</v>
      </c>
      <c r="C369" s="7" t="s">
        <v>264</v>
      </c>
      <c r="D369" s="7">
        <v>23</v>
      </c>
      <c r="E369" s="5">
        <f>DAY(TableAopCalendar[[#This Row],[Date]])</f>
        <v>3</v>
      </c>
      <c r="F36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69" s="5" t="str">
        <f t="shared" si="16"/>
        <v>Week 1</v>
      </c>
      <c r="H369" s="8" t="str">
        <f t="shared" si="17"/>
        <v>April 23 Week 1</v>
      </c>
      <c r="I369" s="5" t="str">
        <f>CONCATENATE(UPPER(TableAopCalendar[[#This Row],[Month]])," ",TableAopCalendar[[#This Row],[Year]])</f>
        <v>APRIL 23</v>
      </c>
      <c r="J369" s="8" t="s">
        <v>274</v>
      </c>
      <c r="K369" s="8" t="str">
        <f>CONCATENATE(TableAopCalendar[[#This Row],[Month for Plan]]," ",TableAopCalendar[[#This Row],[Plan]])</f>
        <v>APRIL 23 PLANNED</v>
      </c>
    </row>
    <row r="370" spans="1:11" x14ac:dyDescent="0.25">
      <c r="A370" s="5">
        <f t="shared" si="15"/>
        <v>4</v>
      </c>
      <c r="B370" s="6">
        <v>45020</v>
      </c>
      <c r="C370" s="7" t="s">
        <v>264</v>
      </c>
      <c r="D370" s="7">
        <v>23</v>
      </c>
      <c r="E370" s="5">
        <f>DAY(TableAopCalendar[[#This Row],[Date]])</f>
        <v>4</v>
      </c>
      <c r="F370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70" s="5" t="str">
        <f t="shared" si="16"/>
        <v>Week 1</v>
      </c>
      <c r="H370" s="8" t="str">
        <f t="shared" si="17"/>
        <v>April 23 Week 1</v>
      </c>
      <c r="I370" s="5" t="str">
        <f>CONCATENATE(UPPER(TableAopCalendar[[#This Row],[Month]])," ",TableAopCalendar[[#This Row],[Year]])</f>
        <v>APRIL 23</v>
      </c>
      <c r="J370" s="8" t="s">
        <v>274</v>
      </c>
      <c r="K370" s="8" t="str">
        <f>CONCATENATE(TableAopCalendar[[#This Row],[Month for Plan]]," ",TableAopCalendar[[#This Row],[Plan]])</f>
        <v>APRIL 23 PLANNED</v>
      </c>
    </row>
    <row r="371" spans="1:11" x14ac:dyDescent="0.25">
      <c r="A371" s="5">
        <f t="shared" si="15"/>
        <v>5</v>
      </c>
      <c r="B371" s="6">
        <v>45021</v>
      </c>
      <c r="C371" s="7" t="s">
        <v>264</v>
      </c>
      <c r="D371" s="7">
        <v>23</v>
      </c>
      <c r="E371" s="5">
        <f>DAY(TableAopCalendar[[#This Row],[Date]])</f>
        <v>5</v>
      </c>
      <c r="F37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71" s="5" t="str">
        <f t="shared" si="16"/>
        <v>Week 1</v>
      </c>
      <c r="H371" s="8" t="str">
        <f t="shared" si="17"/>
        <v>April 23 Week 1</v>
      </c>
      <c r="I371" s="5" t="str">
        <f>CONCATENATE(UPPER(TableAopCalendar[[#This Row],[Month]])," ",TableAopCalendar[[#This Row],[Year]])</f>
        <v>APRIL 23</v>
      </c>
      <c r="J371" s="8" t="s">
        <v>274</v>
      </c>
      <c r="K371" s="8" t="str">
        <f>CONCATENATE(TableAopCalendar[[#This Row],[Month for Plan]]," ",TableAopCalendar[[#This Row],[Plan]])</f>
        <v>APRIL 23 PLANNED</v>
      </c>
    </row>
    <row r="372" spans="1:11" x14ac:dyDescent="0.25">
      <c r="A372" s="5">
        <f t="shared" si="15"/>
        <v>6</v>
      </c>
      <c r="B372" s="6">
        <v>45022</v>
      </c>
      <c r="C372" s="7" t="s">
        <v>264</v>
      </c>
      <c r="D372" s="7">
        <v>23</v>
      </c>
      <c r="E372" s="5">
        <f>DAY(TableAopCalendar[[#This Row],[Date]])</f>
        <v>6</v>
      </c>
      <c r="F37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72" s="5" t="str">
        <f t="shared" si="16"/>
        <v>Week 1</v>
      </c>
      <c r="H372" s="8" t="str">
        <f t="shared" si="17"/>
        <v>April 23 Week 1</v>
      </c>
      <c r="I372" s="5" t="str">
        <f>CONCATENATE(UPPER(TableAopCalendar[[#This Row],[Month]])," ",TableAopCalendar[[#This Row],[Year]])</f>
        <v>APRIL 23</v>
      </c>
      <c r="J372" s="8" t="s">
        <v>274</v>
      </c>
      <c r="K372" s="8" t="str">
        <f>CONCATENATE(TableAopCalendar[[#This Row],[Month for Plan]]," ",TableAopCalendar[[#This Row],[Plan]])</f>
        <v>APRIL 23 PLANNED</v>
      </c>
    </row>
    <row r="373" spans="1:11" x14ac:dyDescent="0.25">
      <c r="A373" s="5">
        <f t="shared" si="15"/>
        <v>7</v>
      </c>
      <c r="B373" s="6">
        <v>45023</v>
      </c>
      <c r="C373" s="7" t="s">
        <v>264</v>
      </c>
      <c r="D373" s="7">
        <v>23</v>
      </c>
      <c r="E373" s="5">
        <f>DAY(TableAopCalendar[[#This Row],[Date]])</f>
        <v>7</v>
      </c>
      <c r="F37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73" s="5" t="str">
        <f t="shared" si="16"/>
        <v>Week 1</v>
      </c>
      <c r="H373" s="8" t="str">
        <f t="shared" si="17"/>
        <v>April 23 Week 1</v>
      </c>
      <c r="I373" s="5" t="str">
        <f>CONCATENATE(UPPER(TableAopCalendar[[#This Row],[Month]])," ",TableAopCalendar[[#This Row],[Year]])</f>
        <v>APRIL 23</v>
      </c>
      <c r="J373" s="8" t="s">
        <v>274</v>
      </c>
      <c r="K373" s="8" t="str">
        <f>CONCATENATE(TableAopCalendar[[#This Row],[Month for Plan]]," ",TableAopCalendar[[#This Row],[Plan]])</f>
        <v>APRIL 23 PLANNED</v>
      </c>
    </row>
    <row r="374" spans="1:11" x14ac:dyDescent="0.25">
      <c r="A374" s="5">
        <f t="shared" si="15"/>
        <v>1</v>
      </c>
      <c r="B374" s="6">
        <v>45024</v>
      </c>
      <c r="C374" s="7" t="s">
        <v>264</v>
      </c>
      <c r="D374" s="7">
        <v>23</v>
      </c>
      <c r="E374" s="5">
        <f>DAY(TableAopCalendar[[#This Row],[Date]])</f>
        <v>8</v>
      </c>
      <c r="F37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74" s="5" t="str">
        <f t="shared" si="16"/>
        <v>Week 2</v>
      </c>
      <c r="H374" s="8" t="str">
        <f t="shared" si="17"/>
        <v>April 23 Week 2</v>
      </c>
      <c r="I374" s="5" t="str">
        <f>CONCATENATE(UPPER(TableAopCalendar[[#This Row],[Month]])," ",TableAopCalendar[[#This Row],[Year]])</f>
        <v>APRIL 23</v>
      </c>
      <c r="J374" s="8" t="s">
        <v>274</v>
      </c>
      <c r="K374" s="8" t="str">
        <f>CONCATENATE(TableAopCalendar[[#This Row],[Month for Plan]]," ",TableAopCalendar[[#This Row],[Plan]])</f>
        <v>APRIL 23 PLANNED</v>
      </c>
    </row>
    <row r="375" spans="1:11" x14ac:dyDescent="0.25">
      <c r="A375" s="5">
        <f t="shared" si="15"/>
        <v>2</v>
      </c>
      <c r="B375" s="6">
        <v>45025</v>
      </c>
      <c r="C375" s="7" t="s">
        <v>264</v>
      </c>
      <c r="D375" s="7">
        <v>23</v>
      </c>
      <c r="E375" s="5">
        <f>DAY(TableAopCalendar[[#This Row],[Date]])</f>
        <v>9</v>
      </c>
      <c r="F37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75" s="5" t="str">
        <f t="shared" si="16"/>
        <v>Week 2</v>
      </c>
      <c r="H375" s="8" t="str">
        <f t="shared" si="17"/>
        <v>April 23 Week 2</v>
      </c>
      <c r="I375" s="5" t="str">
        <f>CONCATENATE(UPPER(TableAopCalendar[[#This Row],[Month]])," ",TableAopCalendar[[#This Row],[Year]])</f>
        <v>APRIL 23</v>
      </c>
      <c r="J375" s="8" t="s">
        <v>274</v>
      </c>
      <c r="K375" s="8" t="str">
        <f>CONCATENATE(TableAopCalendar[[#This Row],[Month for Plan]]," ",TableAopCalendar[[#This Row],[Plan]])</f>
        <v>APRIL 23 PLANNED</v>
      </c>
    </row>
    <row r="376" spans="1:11" x14ac:dyDescent="0.25">
      <c r="A376" s="5">
        <f t="shared" si="15"/>
        <v>3</v>
      </c>
      <c r="B376" s="6">
        <v>45026</v>
      </c>
      <c r="C376" s="7" t="s">
        <v>264</v>
      </c>
      <c r="D376" s="7">
        <v>23</v>
      </c>
      <c r="E376" s="5">
        <f>DAY(TableAopCalendar[[#This Row],[Date]])</f>
        <v>10</v>
      </c>
      <c r="F37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76" s="5" t="str">
        <f t="shared" si="16"/>
        <v>Week 2</v>
      </c>
      <c r="H376" s="8" t="str">
        <f t="shared" si="17"/>
        <v>April 23 Week 2</v>
      </c>
      <c r="I376" s="5" t="str">
        <f>CONCATENATE(UPPER(TableAopCalendar[[#This Row],[Month]])," ",TableAopCalendar[[#This Row],[Year]])</f>
        <v>APRIL 23</v>
      </c>
      <c r="J376" s="8" t="s">
        <v>274</v>
      </c>
      <c r="K376" s="8" t="str">
        <f>CONCATENATE(TableAopCalendar[[#This Row],[Month for Plan]]," ",TableAopCalendar[[#This Row],[Plan]])</f>
        <v>APRIL 23 PLANNED</v>
      </c>
    </row>
    <row r="377" spans="1:11" x14ac:dyDescent="0.25">
      <c r="A377" s="5">
        <f t="shared" si="15"/>
        <v>4</v>
      </c>
      <c r="B377" s="6">
        <v>45027</v>
      </c>
      <c r="C377" s="7" t="s">
        <v>264</v>
      </c>
      <c r="D377" s="7">
        <v>23</v>
      </c>
      <c r="E377" s="5">
        <f>DAY(TableAopCalendar[[#This Row],[Date]])</f>
        <v>11</v>
      </c>
      <c r="F377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77" s="5" t="str">
        <f t="shared" si="16"/>
        <v>Week 2</v>
      </c>
      <c r="H377" s="8" t="str">
        <f t="shared" si="17"/>
        <v>April 23 Week 2</v>
      </c>
      <c r="I377" s="5" t="str">
        <f>CONCATENATE(UPPER(TableAopCalendar[[#This Row],[Month]])," ",TableAopCalendar[[#This Row],[Year]])</f>
        <v>APRIL 23</v>
      </c>
      <c r="J377" s="8" t="s">
        <v>274</v>
      </c>
      <c r="K377" s="8" t="str">
        <f>CONCATENATE(TableAopCalendar[[#This Row],[Month for Plan]]," ",TableAopCalendar[[#This Row],[Plan]])</f>
        <v>APRIL 23 PLANNED</v>
      </c>
    </row>
    <row r="378" spans="1:11" x14ac:dyDescent="0.25">
      <c r="A378" s="5">
        <f t="shared" si="15"/>
        <v>5</v>
      </c>
      <c r="B378" s="6">
        <v>45028</v>
      </c>
      <c r="C378" s="7" t="s">
        <v>264</v>
      </c>
      <c r="D378" s="7">
        <v>23</v>
      </c>
      <c r="E378" s="5">
        <f>DAY(TableAopCalendar[[#This Row],[Date]])</f>
        <v>12</v>
      </c>
      <c r="F37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78" s="5" t="str">
        <f t="shared" si="16"/>
        <v>Week 2</v>
      </c>
      <c r="H378" s="8" t="str">
        <f t="shared" si="17"/>
        <v>April 23 Week 2</v>
      </c>
      <c r="I378" s="5" t="str">
        <f>CONCATENATE(UPPER(TableAopCalendar[[#This Row],[Month]])," ",TableAopCalendar[[#This Row],[Year]])</f>
        <v>APRIL 23</v>
      </c>
      <c r="J378" s="8" t="s">
        <v>274</v>
      </c>
      <c r="K378" s="8" t="str">
        <f>CONCATENATE(TableAopCalendar[[#This Row],[Month for Plan]]," ",TableAopCalendar[[#This Row],[Plan]])</f>
        <v>APRIL 23 PLANNED</v>
      </c>
    </row>
    <row r="379" spans="1:11" x14ac:dyDescent="0.25">
      <c r="A379" s="5">
        <f t="shared" si="15"/>
        <v>6</v>
      </c>
      <c r="B379" s="6">
        <v>45029</v>
      </c>
      <c r="C379" s="7" t="s">
        <v>264</v>
      </c>
      <c r="D379" s="7">
        <v>23</v>
      </c>
      <c r="E379" s="5">
        <f>DAY(TableAopCalendar[[#This Row],[Date]])</f>
        <v>13</v>
      </c>
      <c r="F37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79" s="5" t="str">
        <f t="shared" si="16"/>
        <v>Week 2</v>
      </c>
      <c r="H379" s="8" t="str">
        <f t="shared" si="17"/>
        <v>April 23 Week 2</v>
      </c>
      <c r="I379" s="5" t="str">
        <f>CONCATENATE(UPPER(TableAopCalendar[[#This Row],[Month]])," ",TableAopCalendar[[#This Row],[Year]])</f>
        <v>APRIL 23</v>
      </c>
      <c r="J379" s="8" t="s">
        <v>274</v>
      </c>
      <c r="K379" s="8" t="str">
        <f>CONCATENATE(TableAopCalendar[[#This Row],[Month for Plan]]," ",TableAopCalendar[[#This Row],[Plan]])</f>
        <v>APRIL 23 PLANNED</v>
      </c>
    </row>
    <row r="380" spans="1:11" x14ac:dyDescent="0.25">
      <c r="A380" s="5">
        <f t="shared" si="15"/>
        <v>7</v>
      </c>
      <c r="B380" s="6">
        <v>45030</v>
      </c>
      <c r="C380" s="7" t="s">
        <v>264</v>
      </c>
      <c r="D380" s="7">
        <v>23</v>
      </c>
      <c r="E380" s="5">
        <f>DAY(TableAopCalendar[[#This Row],[Date]])</f>
        <v>14</v>
      </c>
      <c r="F38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380" s="5" t="str">
        <f t="shared" si="16"/>
        <v>Week 2</v>
      </c>
      <c r="H380" s="8" t="str">
        <f t="shared" si="17"/>
        <v>April 23 Week 2</v>
      </c>
      <c r="I380" s="5" t="str">
        <f>CONCATENATE(UPPER(TableAopCalendar[[#This Row],[Month]])," ",TableAopCalendar[[#This Row],[Year]])</f>
        <v>APRIL 23</v>
      </c>
      <c r="J380" s="8" t="s">
        <v>274</v>
      </c>
      <c r="K380" s="8" t="str">
        <f>CONCATENATE(TableAopCalendar[[#This Row],[Month for Plan]]," ",TableAopCalendar[[#This Row],[Plan]])</f>
        <v>APRIL 23 PLANNED</v>
      </c>
    </row>
    <row r="381" spans="1:11" x14ac:dyDescent="0.25">
      <c r="A381" s="5">
        <f t="shared" si="15"/>
        <v>1</v>
      </c>
      <c r="B381" s="6">
        <v>45031</v>
      </c>
      <c r="C381" s="7" t="s">
        <v>264</v>
      </c>
      <c r="D381" s="7">
        <v>23</v>
      </c>
      <c r="E381" s="5">
        <f>DAY(TableAopCalendar[[#This Row],[Date]])</f>
        <v>15</v>
      </c>
      <c r="F38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81" s="5" t="str">
        <f t="shared" si="16"/>
        <v>Week 3</v>
      </c>
      <c r="H381" s="8" t="str">
        <f t="shared" si="17"/>
        <v>April 23 Week 3</v>
      </c>
      <c r="I381" s="5" t="str">
        <f>CONCATENATE(UPPER(TableAopCalendar[[#This Row],[Month]])," ",TableAopCalendar[[#This Row],[Year]])</f>
        <v>APRIL 23</v>
      </c>
      <c r="J381" s="8" t="s">
        <v>274</v>
      </c>
      <c r="K381" s="8" t="str">
        <f>CONCATENATE(TableAopCalendar[[#This Row],[Month for Plan]]," ",TableAopCalendar[[#This Row],[Plan]])</f>
        <v>APRIL 23 PLANNED</v>
      </c>
    </row>
    <row r="382" spans="1:11" x14ac:dyDescent="0.25">
      <c r="A382" s="5">
        <f t="shared" si="15"/>
        <v>2</v>
      </c>
      <c r="B382" s="6">
        <v>45032</v>
      </c>
      <c r="C382" s="7" t="s">
        <v>264</v>
      </c>
      <c r="D382" s="7">
        <v>23</v>
      </c>
      <c r="E382" s="5">
        <f>DAY(TableAopCalendar[[#This Row],[Date]])</f>
        <v>16</v>
      </c>
      <c r="F38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82" s="5" t="str">
        <f t="shared" si="16"/>
        <v>Week 3</v>
      </c>
      <c r="H382" s="8" t="str">
        <f t="shared" si="17"/>
        <v>April 23 Week 3</v>
      </c>
      <c r="I382" s="5" t="str">
        <f>CONCATENATE(UPPER(TableAopCalendar[[#This Row],[Month]])," ",TableAopCalendar[[#This Row],[Year]])</f>
        <v>APRIL 23</v>
      </c>
      <c r="J382" s="8" t="s">
        <v>274</v>
      </c>
      <c r="K382" s="8" t="str">
        <f>CONCATENATE(TableAopCalendar[[#This Row],[Month for Plan]]," ",TableAopCalendar[[#This Row],[Plan]])</f>
        <v>APRIL 23 PLANNED</v>
      </c>
    </row>
    <row r="383" spans="1:11" x14ac:dyDescent="0.25">
      <c r="A383" s="5">
        <f t="shared" si="15"/>
        <v>3</v>
      </c>
      <c r="B383" s="6">
        <v>45033</v>
      </c>
      <c r="C383" s="7" t="s">
        <v>264</v>
      </c>
      <c r="D383" s="7">
        <v>23</v>
      </c>
      <c r="E383" s="5">
        <f>DAY(TableAopCalendar[[#This Row],[Date]])</f>
        <v>17</v>
      </c>
      <c r="F38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83" s="5" t="str">
        <f t="shared" si="16"/>
        <v>Week 3</v>
      </c>
      <c r="H383" s="8" t="str">
        <f t="shared" si="17"/>
        <v>April 23 Week 3</v>
      </c>
      <c r="I383" s="5" t="str">
        <f>CONCATENATE(UPPER(TableAopCalendar[[#This Row],[Month]])," ",TableAopCalendar[[#This Row],[Year]])</f>
        <v>APRIL 23</v>
      </c>
      <c r="J383" s="8" t="s">
        <v>274</v>
      </c>
      <c r="K383" s="8" t="str">
        <f>CONCATENATE(TableAopCalendar[[#This Row],[Month for Plan]]," ",TableAopCalendar[[#This Row],[Plan]])</f>
        <v>APRIL 23 PLANNED</v>
      </c>
    </row>
    <row r="384" spans="1:11" x14ac:dyDescent="0.25">
      <c r="A384" s="5">
        <f t="shared" si="15"/>
        <v>4</v>
      </c>
      <c r="B384" s="6">
        <v>45034</v>
      </c>
      <c r="C384" s="7" t="s">
        <v>264</v>
      </c>
      <c r="D384" s="7">
        <v>23</v>
      </c>
      <c r="E384" s="5">
        <f>DAY(TableAopCalendar[[#This Row],[Date]])</f>
        <v>18</v>
      </c>
      <c r="F384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84" s="5" t="str">
        <f t="shared" si="16"/>
        <v>Week 3</v>
      </c>
      <c r="H384" s="8" t="str">
        <f t="shared" si="17"/>
        <v>April 23 Week 3</v>
      </c>
      <c r="I384" s="5" t="str">
        <f>CONCATENATE(UPPER(TableAopCalendar[[#This Row],[Month]])," ",TableAopCalendar[[#This Row],[Year]])</f>
        <v>APRIL 23</v>
      </c>
      <c r="J384" s="8" t="s">
        <v>274</v>
      </c>
      <c r="K384" s="8" t="str">
        <f>CONCATENATE(TableAopCalendar[[#This Row],[Month for Plan]]," ",TableAopCalendar[[#This Row],[Plan]])</f>
        <v>APRIL 23 PLANNED</v>
      </c>
    </row>
    <row r="385" spans="1:11" x14ac:dyDescent="0.25">
      <c r="A385" s="5">
        <f t="shared" si="15"/>
        <v>5</v>
      </c>
      <c r="B385" s="6">
        <v>45035</v>
      </c>
      <c r="C385" s="7" t="s">
        <v>264</v>
      </c>
      <c r="D385" s="7">
        <v>23</v>
      </c>
      <c r="E385" s="5">
        <f>DAY(TableAopCalendar[[#This Row],[Date]])</f>
        <v>19</v>
      </c>
      <c r="F38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85" s="5" t="str">
        <f t="shared" si="16"/>
        <v>Week 3</v>
      </c>
      <c r="H385" s="8" t="str">
        <f t="shared" si="17"/>
        <v>April 23 Week 3</v>
      </c>
      <c r="I385" s="5" t="str">
        <f>CONCATENATE(UPPER(TableAopCalendar[[#This Row],[Month]])," ",TableAopCalendar[[#This Row],[Year]])</f>
        <v>APRIL 23</v>
      </c>
      <c r="J385" s="8" t="s">
        <v>274</v>
      </c>
      <c r="K385" s="8" t="str">
        <f>CONCATENATE(TableAopCalendar[[#This Row],[Month for Plan]]," ",TableAopCalendar[[#This Row],[Plan]])</f>
        <v>APRIL 23 PLANNED</v>
      </c>
    </row>
    <row r="386" spans="1:11" x14ac:dyDescent="0.25">
      <c r="A386" s="5">
        <f t="shared" ref="A386:A449" si="18">IF(G386=G385,A385+1,1)</f>
        <v>6</v>
      </c>
      <c r="B386" s="6">
        <v>45036</v>
      </c>
      <c r="C386" s="7" t="s">
        <v>264</v>
      </c>
      <c r="D386" s="7">
        <v>23</v>
      </c>
      <c r="E386" s="5">
        <f>DAY(TableAopCalendar[[#This Row],[Date]])</f>
        <v>20</v>
      </c>
      <c r="F38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86" s="5" t="str">
        <f t="shared" ref="G386:G449" si="19">"Week"&amp;" "&amp;F386</f>
        <v>Week 3</v>
      </c>
      <c r="H386" s="8" t="str">
        <f t="shared" ref="H386:H449" si="20">CONCATENATE(C386," ",D386," ",G386)</f>
        <v>April 23 Week 3</v>
      </c>
      <c r="I386" s="5" t="str">
        <f>CONCATENATE(UPPER(TableAopCalendar[[#This Row],[Month]])," ",TableAopCalendar[[#This Row],[Year]])</f>
        <v>APRIL 23</v>
      </c>
      <c r="J386" s="8" t="s">
        <v>274</v>
      </c>
      <c r="K386" s="8" t="str">
        <f>CONCATENATE(TableAopCalendar[[#This Row],[Month for Plan]]," ",TableAopCalendar[[#This Row],[Plan]])</f>
        <v>APRIL 23 PLANNED</v>
      </c>
    </row>
    <row r="387" spans="1:11" x14ac:dyDescent="0.25">
      <c r="A387" s="5">
        <f t="shared" si="18"/>
        <v>7</v>
      </c>
      <c r="B387" s="6">
        <v>45037</v>
      </c>
      <c r="C387" s="7" t="s">
        <v>264</v>
      </c>
      <c r="D387" s="7">
        <v>23</v>
      </c>
      <c r="E387" s="5">
        <f>DAY(TableAopCalendar[[#This Row],[Date]])</f>
        <v>21</v>
      </c>
      <c r="F38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387" s="5" t="str">
        <f t="shared" si="19"/>
        <v>Week 3</v>
      </c>
      <c r="H387" s="8" t="str">
        <f t="shared" si="20"/>
        <v>April 23 Week 3</v>
      </c>
      <c r="I387" s="5" t="str">
        <f>CONCATENATE(UPPER(TableAopCalendar[[#This Row],[Month]])," ",TableAopCalendar[[#This Row],[Year]])</f>
        <v>APRIL 23</v>
      </c>
      <c r="J387" s="8" t="s">
        <v>274</v>
      </c>
      <c r="K387" s="8" t="str">
        <f>CONCATENATE(TableAopCalendar[[#This Row],[Month for Plan]]," ",TableAopCalendar[[#This Row],[Plan]])</f>
        <v>APRIL 23 PLANNED</v>
      </c>
    </row>
    <row r="388" spans="1:11" x14ac:dyDescent="0.25">
      <c r="A388" s="5">
        <f t="shared" si="18"/>
        <v>1</v>
      </c>
      <c r="B388" s="6">
        <v>45038</v>
      </c>
      <c r="C388" s="7" t="s">
        <v>264</v>
      </c>
      <c r="D388" s="7">
        <v>23</v>
      </c>
      <c r="E388" s="5">
        <f>DAY(TableAopCalendar[[#This Row],[Date]])</f>
        <v>22</v>
      </c>
      <c r="F38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88" s="5" t="str">
        <f t="shared" si="19"/>
        <v>Week 4</v>
      </c>
      <c r="H388" s="8" t="str">
        <f t="shared" si="20"/>
        <v>April 23 Week 4</v>
      </c>
      <c r="I388" s="5" t="str">
        <f>CONCATENATE(UPPER(TableAopCalendar[[#This Row],[Month]])," ",TableAopCalendar[[#This Row],[Year]])</f>
        <v>APRIL 23</v>
      </c>
      <c r="J388" s="8" t="s">
        <v>274</v>
      </c>
      <c r="K388" s="8" t="str">
        <f>CONCATENATE(TableAopCalendar[[#This Row],[Month for Plan]]," ",TableAopCalendar[[#This Row],[Plan]])</f>
        <v>APRIL 23 PLANNED</v>
      </c>
    </row>
    <row r="389" spans="1:11" x14ac:dyDescent="0.25">
      <c r="A389" s="5">
        <f t="shared" si="18"/>
        <v>2</v>
      </c>
      <c r="B389" s="6">
        <v>45039</v>
      </c>
      <c r="C389" s="7" t="s">
        <v>264</v>
      </c>
      <c r="D389" s="7">
        <v>23</v>
      </c>
      <c r="E389" s="5">
        <f>DAY(TableAopCalendar[[#This Row],[Date]])</f>
        <v>23</v>
      </c>
      <c r="F38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89" s="5" t="str">
        <f t="shared" si="19"/>
        <v>Week 4</v>
      </c>
      <c r="H389" s="8" t="str">
        <f t="shared" si="20"/>
        <v>April 23 Week 4</v>
      </c>
      <c r="I389" s="5" t="str">
        <f>CONCATENATE(UPPER(TableAopCalendar[[#This Row],[Month]])," ",TableAopCalendar[[#This Row],[Year]])</f>
        <v>APRIL 23</v>
      </c>
      <c r="J389" s="8" t="s">
        <v>274</v>
      </c>
      <c r="K389" s="8" t="str">
        <f>CONCATENATE(TableAopCalendar[[#This Row],[Month for Plan]]," ",TableAopCalendar[[#This Row],[Plan]])</f>
        <v>APRIL 23 PLANNED</v>
      </c>
    </row>
    <row r="390" spans="1:11" x14ac:dyDescent="0.25">
      <c r="A390" s="5">
        <f t="shared" si="18"/>
        <v>3</v>
      </c>
      <c r="B390" s="6">
        <v>45040</v>
      </c>
      <c r="C390" s="7" t="s">
        <v>264</v>
      </c>
      <c r="D390" s="7">
        <v>23</v>
      </c>
      <c r="E390" s="5">
        <f>DAY(TableAopCalendar[[#This Row],[Date]])</f>
        <v>24</v>
      </c>
      <c r="F39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90" s="5" t="str">
        <f t="shared" si="19"/>
        <v>Week 4</v>
      </c>
      <c r="H390" s="8" t="str">
        <f t="shared" si="20"/>
        <v>April 23 Week 4</v>
      </c>
      <c r="I390" s="5" t="str">
        <f>CONCATENATE(UPPER(TableAopCalendar[[#This Row],[Month]])," ",TableAopCalendar[[#This Row],[Year]])</f>
        <v>APRIL 23</v>
      </c>
      <c r="J390" s="8" t="s">
        <v>274</v>
      </c>
      <c r="K390" s="8" t="str">
        <f>CONCATENATE(TableAopCalendar[[#This Row],[Month for Plan]]," ",TableAopCalendar[[#This Row],[Plan]])</f>
        <v>APRIL 23 PLANNED</v>
      </c>
    </row>
    <row r="391" spans="1:11" x14ac:dyDescent="0.25">
      <c r="A391" s="5">
        <f t="shared" si="18"/>
        <v>4</v>
      </c>
      <c r="B391" s="6">
        <v>45041</v>
      </c>
      <c r="C391" s="7" t="s">
        <v>264</v>
      </c>
      <c r="D391" s="7">
        <v>23</v>
      </c>
      <c r="E391" s="5">
        <f>DAY(TableAopCalendar[[#This Row],[Date]])</f>
        <v>25</v>
      </c>
      <c r="F391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91" s="5" t="str">
        <f t="shared" si="19"/>
        <v>Week 4</v>
      </c>
      <c r="H391" s="8" t="str">
        <f t="shared" si="20"/>
        <v>April 23 Week 4</v>
      </c>
      <c r="I391" s="5" t="str">
        <f>CONCATENATE(UPPER(TableAopCalendar[[#This Row],[Month]])," ",TableAopCalendar[[#This Row],[Year]])</f>
        <v>APRIL 23</v>
      </c>
      <c r="J391" s="8" t="s">
        <v>274</v>
      </c>
      <c r="K391" s="8" t="str">
        <f>CONCATENATE(TableAopCalendar[[#This Row],[Month for Plan]]," ",TableAopCalendar[[#This Row],[Plan]])</f>
        <v>APRIL 23 PLANNED</v>
      </c>
    </row>
    <row r="392" spans="1:11" x14ac:dyDescent="0.25">
      <c r="A392" s="5">
        <f t="shared" si="18"/>
        <v>5</v>
      </c>
      <c r="B392" s="6">
        <v>45042</v>
      </c>
      <c r="C392" s="7" t="s">
        <v>264</v>
      </c>
      <c r="D392" s="7">
        <v>23</v>
      </c>
      <c r="E392" s="5">
        <f>DAY(TableAopCalendar[[#This Row],[Date]])</f>
        <v>26</v>
      </c>
      <c r="F39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92" s="5" t="str">
        <f t="shared" si="19"/>
        <v>Week 4</v>
      </c>
      <c r="H392" s="8" t="str">
        <f t="shared" si="20"/>
        <v>April 23 Week 4</v>
      </c>
      <c r="I392" s="5" t="str">
        <f>CONCATENATE(UPPER(TableAopCalendar[[#This Row],[Month]])," ",TableAopCalendar[[#This Row],[Year]])</f>
        <v>APRIL 23</v>
      </c>
      <c r="J392" s="8" t="s">
        <v>274</v>
      </c>
      <c r="K392" s="8" t="str">
        <f>CONCATENATE(TableAopCalendar[[#This Row],[Month for Plan]]," ",TableAopCalendar[[#This Row],[Plan]])</f>
        <v>APRIL 23 PLANNED</v>
      </c>
    </row>
    <row r="393" spans="1:11" x14ac:dyDescent="0.25">
      <c r="A393" s="5">
        <f t="shared" si="18"/>
        <v>6</v>
      </c>
      <c r="B393" s="6">
        <v>45043</v>
      </c>
      <c r="C393" s="7" t="s">
        <v>264</v>
      </c>
      <c r="D393" s="7">
        <v>23</v>
      </c>
      <c r="E393" s="5">
        <f>DAY(TableAopCalendar[[#This Row],[Date]])</f>
        <v>27</v>
      </c>
      <c r="F39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93" s="5" t="str">
        <f t="shared" si="19"/>
        <v>Week 4</v>
      </c>
      <c r="H393" s="8" t="str">
        <f t="shared" si="20"/>
        <v>April 23 Week 4</v>
      </c>
      <c r="I393" s="5" t="str">
        <f>CONCATENATE(UPPER(TableAopCalendar[[#This Row],[Month]])," ",TableAopCalendar[[#This Row],[Year]])</f>
        <v>APRIL 23</v>
      </c>
      <c r="J393" s="8" t="s">
        <v>274</v>
      </c>
      <c r="K393" s="8" t="str">
        <f>CONCATENATE(TableAopCalendar[[#This Row],[Month for Plan]]," ",TableAopCalendar[[#This Row],[Plan]])</f>
        <v>APRIL 23 PLANNED</v>
      </c>
    </row>
    <row r="394" spans="1:11" x14ac:dyDescent="0.25">
      <c r="A394" s="5">
        <f t="shared" si="18"/>
        <v>7</v>
      </c>
      <c r="B394" s="6">
        <v>45044</v>
      </c>
      <c r="C394" s="7" t="s">
        <v>264</v>
      </c>
      <c r="D394" s="7">
        <v>23</v>
      </c>
      <c r="E394" s="5">
        <f>DAY(TableAopCalendar[[#This Row],[Date]])</f>
        <v>28</v>
      </c>
      <c r="F39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394" s="5" t="str">
        <f t="shared" si="19"/>
        <v>Week 4</v>
      </c>
      <c r="H394" s="8" t="str">
        <f t="shared" si="20"/>
        <v>April 23 Week 4</v>
      </c>
      <c r="I394" s="5" t="str">
        <f>CONCATENATE(UPPER(TableAopCalendar[[#This Row],[Month]])," ",TableAopCalendar[[#This Row],[Year]])</f>
        <v>APRIL 23</v>
      </c>
      <c r="J394" s="8" t="s">
        <v>274</v>
      </c>
      <c r="K394" s="8" t="str">
        <f>CONCATENATE(TableAopCalendar[[#This Row],[Month for Plan]]," ",TableAopCalendar[[#This Row],[Plan]])</f>
        <v>APRIL 23 PLANNED</v>
      </c>
    </row>
    <row r="395" spans="1:11" x14ac:dyDescent="0.25">
      <c r="A395" s="5">
        <f t="shared" si="18"/>
        <v>1</v>
      </c>
      <c r="B395" s="6">
        <v>45045</v>
      </c>
      <c r="C395" s="7" t="s">
        <v>264</v>
      </c>
      <c r="D395" s="7">
        <v>23</v>
      </c>
      <c r="E395" s="5">
        <f>DAY(TableAopCalendar[[#This Row],[Date]])</f>
        <v>29</v>
      </c>
      <c r="F395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95" s="5" t="str">
        <f t="shared" si="19"/>
        <v>Week 5</v>
      </c>
      <c r="H395" s="8" t="str">
        <f t="shared" si="20"/>
        <v>April 23 Week 5</v>
      </c>
      <c r="I395" s="5" t="str">
        <f>CONCATENATE(UPPER(TableAopCalendar[[#This Row],[Month]])," ",TableAopCalendar[[#This Row],[Year]])</f>
        <v>APRIL 23</v>
      </c>
      <c r="J395" s="8" t="s">
        <v>274</v>
      </c>
      <c r="K395" s="8" t="str">
        <f>CONCATENATE(TableAopCalendar[[#This Row],[Month for Plan]]," ",TableAopCalendar[[#This Row],[Plan]])</f>
        <v>APRIL 23 PLANNED</v>
      </c>
    </row>
    <row r="396" spans="1:11" x14ac:dyDescent="0.25">
      <c r="A396" s="5">
        <f t="shared" si="18"/>
        <v>2</v>
      </c>
      <c r="B396" s="6">
        <v>45046</v>
      </c>
      <c r="C396" s="7" t="s">
        <v>264</v>
      </c>
      <c r="D396" s="7">
        <v>23</v>
      </c>
      <c r="E396" s="5">
        <f>DAY(TableAopCalendar[[#This Row],[Date]])</f>
        <v>30</v>
      </c>
      <c r="F396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396" s="5" t="str">
        <f t="shared" si="19"/>
        <v>Week 5</v>
      </c>
      <c r="H396" s="8" t="str">
        <f t="shared" si="20"/>
        <v>April 23 Week 5</v>
      </c>
      <c r="I396" s="5" t="str">
        <f>CONCATENATE(UPPER(TableAopCalendar[[#This Row],[Month]])," ",TableAopCalendar[[#This Row],[Year]])</f>
        <v>APRIL 23</v>
      </c>
      <c r="J396" s="8" t="s">
        <v>274</v>
      </c>
      <c r="K396" s="8" t="str">
        <f>CONCATENATE(TableAopCalendar[[#This Row],[Month for Plan]]," ",TableAopCalendar[[#This Row],[Plan]])</f>
        <v>APRIL 23 PLANNED</v>
      </c>
    </row>
    <row r="397" spans="1:11" x14ac:dyDescent="0.25">
      <c r="A397" s="5">
        <f t="shared" si="18"/>
        <v>1</v>
      </c>
      <c r="B397" s="6">
        <v>45047</v>
      </c>
      <c r="C397" s="7" t="s">
        <v>265</v>
      </c>
      <c r="D397" s="7">
        <v>23</v>
      </c>
      <c r="E397" s="5">
        <f>DAY(TableAopCalendar[[#This Row],[Date]])</f>
        <v>1</v>
      </c>
      <c r="F39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97" s="5" t="str">
        <f t="shared" si="19"/>
        <v>Week 1</v>
      </c>
      <c r="H397" s="8" t="str">
        <f t="shared" si="20"/>
        <v>May 23 Week 1</v>
      </c>
      <c r="I397" s="5" t="str">
        <f>CONCATENATE(UPPER(TableAopCalendar[[#This Row],[Month]])," ",TableAopCalendar[[#This Row],[Year]])</f>
        <v>MAY 23</v>
      </c>
      <c r="J397" s="8" t="s">
        <v>274</v>
      </c>
      <c r="K397" s="8" t="str">
        <f>CONCATENATE(TableAopCalendar[[#This Row],[Month for Plan]]," ",TableAopCalendar[[#This Row],[Plan]])</f>
        <v>MAY 23 PLANNED</v>
      </c>
    </row>
    <row r="398" spans="1:11" x14ac:dyDescent="0.25">
      <c r="A398" s="5">
        <f t="shared" si="18"/>
        <v>2</v>
      </c>
      <c r="B398" s="6">
        <v>45048</v>
      </c>
      <c r="C398" s="7" t="s">
        <v>265</v>
      </c>
      <c r="D398" s="7">
        <v>23</v>
      </c>
      <c r="E398" s="5">
        <f>DAY(TableAopCalendar[[#This Row],[Date]])</f>
        <v>2</v>
      </c>
      <c r="F39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98" s="5" t="str">
        <f t="shared" si="19"/>
        <v>Week 1</v>
      </c>
      <c r="H398" s="8" t="str">
        <f t="shared" si="20"/>
        <v>May 23 Week 1</v>
      </c>
      <c r="I398" s="5" t="str">
        <f>CONCATENATE(UPPER(TableAopCalendar[[#This Row],[Month]])," ",TableAopCalendar[[#This Row],[Year]])</f>
        <v>MAY 23</v>
      </c>
      <c r="J398" s="8" t="s">
        <v>274</v>
      </c>
      <c r="K398" s="8" t="str">
        <f>CONCATENATE(TableAopCalendar[[#This Row],[Month for Plan]]," ",TableAopCalendar[[#This Row],[Plan]])</f>
        <v>MAY 23 PLANNED</v>
      </c>
    </row>
    <row r="399" spans="1:11" x14ac:dyDescent="0.25">
      <c r="A399" s="5">
        <f t="shared" si="18"/>
        <v>3</v>
      </c>
      <c r="B399" s="6">
        <v>45049</v>
      </c>
      <c r="C399" s="7" t="s">
        <v>265</v>
      </c>
      <c r="D399" s="7">
        <v>23</v>
      </c>
      <c r="E399" s="5">
        <f>DAY(TableAopCalendar[[#This Row],[Date]])</f>
        <v>3</v>
      </c>
      <c r="F39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399" s="5" t="str">
        <f t="shared" si="19"/>
        <v>Week 1</v>
      </c>
      <c r="H399" s="8" t="str">
        <f t="shared" si="20"/>
        <v>May 23 Week 1</v>
      </c>
      <c r="I399" s="5" t="str">
        <f>CONCATENATE(UPPER(TableAopCalendar[[#This Row],[Month]])," ",TableAopCalendar[[#This Row],[Year]])</f>
        <v>MAY 23</v>
      </c>
      <c r="J399" s="8" t="s">
        <v>274</v>
      </c>
      <c r="K399" s="8" t="str">
        <f>CONCATENATE(TableAopCalendar[[#This Row],[Month for Plan]]," ",TableAopCalendar[[#This Row],[Plan]])</f>
        <v>MAY 23 PLANNED</v>
      </c>
    </row>
    <row r="400" spans="1:11" x14ac:dyDescent="0.25">
      <c r="A400" s="5">
        <f t="shared" si="18"/>
        <v>4</v>
      </c>
      <c r="B400" s="6">
        <v>45050</v>
      </c>
      <c r="C400" s="7" t="s">
        <v>265</v>
      </c>
      <c r="D400" s="7">
        <v>23</v>
      </c>
      <c r="E400" s="5">
        <f>DAY(TableAopCalendar[[#This Row],[Date]])</f>
        <v>4</v>
      </c>
      <c r="F400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00" s="5" t="str">
        <f t="shared" si="19"/>
        <v>Week 1</v>
      </c>
      <c r="H400" s="8" t="str">
        <f t="shared" si="20"/>
        <v>May 23 Week 1</v>
      </c>
      <c r="I400" s="5" t="str">
        <f>CONCATENATE(UPPER(TableAopCalendar[[#This Row],[Month]])," ",TableAopCalendar[[#This Row],[Year]])</f>
        <v>MAY 23</v>
      </c>
      <c r="J400" s="8" t="s">
        <v>274</v>
      </c>
      <c r="K400" s="8" t="str">
        <f>CONCATENATE(TableAopCalendar[[#This Row],[Month for Plan]]," ",TableAopCalendar[[#This Row],[Plan]])</f>
        <v>MAY 23 PLANNED</v>
      </c>
    </row>
    <row r="401" spans="1:11" x14ac:dyDescent="0.25">
      <c r="A401" s="5">
        <f t="shared" si="18"/>
        <v>5</v>
      </c>
      <c r="B401" s="6">
        <v>45051</v>
      </c>
      <c r="C401" s="7" t="s">
        <v>265</v>
      </c>
      <c r="D401" s="7">
        <v>23</v>
      </c>
      <c r="E401" s="5">
        <f>DAY(TableAopCalendar[[#This Row],[Date]])</f>
        <v>5</v>
      </c>
      <c r="F40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01" s="5" t="str">
        <f t="shared" si="19"/>
        <v>Week 1</v>
      </c>
      <c r="H401" s="8" t="str">
        <f t="shared" si="20"/>
        <v>May 23 Week 1</v>
      </c>
      <c r="I401" s="5" t="str">
        <f>CONCATENATE(UPPER(TableAopCalendar[[#This Row],[Month]])," ",TableAopCalendar[[#This Row],[Year]])</f>
        <v>MAY 23</v>
      </c>
      <c r="J401" s="8" t="s">
        <v>274</v>
      </c>
      <c r="K401" s="8" t="str">
        <f>CONCATENATE(TableAopCalendar[[#This Row],[Month for Plan]]," ",TableAopCalendar[[#This Row],[Plan]])</f>
        <v>MAY 23 PLANNED</v>
      </c>
    </row>
    <row r="402" spans="1:11" x14ac:dyDescent="0.25">
      <c r="A402" s="5">
        <f t="shared" si="18"/>
        <v>6</v>
      </c>
      <c r="B402" s="6">
        <v>45052</v>
      </c>
      <c r="C402" s="7" t="s">
        <v>265</v>
      </c>
      <c r="D402" s="7">
        <v>23</v>
      </c>
      <c r="E402" s="5">
        <f>DAY(TableAopCalendar[[#This Row],[Date]])</f>
        <v>6</v>
      </c>
      <c r="F40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02" s="5" t="str">
        <f t="shared" si="19"/>
        <v>Week 1</v>
      </c>
      <c r="H402" s="8" t="str">
        <f t="shared" si="20"/>
        <v>May 23 Week 1</v>
      </c>
      <c r="I402" s="5" t="str">
        <f>CONCATENATE(UPPER(TableAopCalendar[[#This Row],[Month]])," ",TableAopCalendar[[#This Row],[Year]])</f>
        <v>MAY 23</v>
      </c>
      <c r="J402" s="8" t="s">
        <v>274</v>
      </c>
      <c r="K402" s="8" t="str">
        <f>CONCATENATE(TableAopCalendar[[#This Row],[Month for Plan]]," ",TableAopCalendar[[#This Row],[Plan]])</f>
        <v>MAY 23 PLANNED</v>
      </c>
    </row>
    <row r="403" spans="1:11" x14ac:dyDescent="0.25">
      <c r="A403" s="5">
        <f t="shared" si="18"/>
        <v>7</v>
      </c>
      <c r="B403" s="6">
        <v>45053</v>
      </c>
      <c r="C403" s="7" t="s">
        <v>265</v>
      </c>
      <c r="D403" s="7">
        <v>23</v>
      </c>
      <c r="E403" s="5">
        <f>DAY(TableAopCalendar[[#This Row],[Date]])</f>
        <v>7</v>
      </c>
      <c r="F40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03" s="5" t="str">
        <f t="shared" si="19"/>
        <v>Week 1</v>
      </c>
      <c r="H403" s="8" t="str">
        <f t="shared" si="20"/>
        <v>May 23 Week 1</v>
      </c>
      <c r="I403" s="5" t="str">
        <f>CONCATENATE(UPPER(TableAopCalendar[[#This Row],[Month]])," ",TableAopCalendar[[#This Row],[Year]])</f>
        <v>MAY 23</v>
      </c>
      <c r="J403" s="8" t="s">
        <v>274</v>
      </c>
      <c r="K403" s="8" t="str">
        <f>CONCATENATE(TableAopCalendar[[#This Row],[Month for Plan]]," ",TableAopCalendar[[#This Row],[Plan]])</f>
        <v>MAY 23 PLANNED</v>
      </c>
    </row>
    <row r="404" spans="1:11" x14ac:dyDescent="0.25">
      <c r="A404" s="5">
        <f t="shared" si="18"/>
        <v>1</v>
      </c>
      <c r="B404" s="6">
        <v>45054</v>
      </c>
      <c r="C404" s="7" t="s">
        <v>265</v>
      </c>
      <c r="D404" s="7">
        <v>23</v>
      </c>
      <c r="E404" s="5">
        <f>DAY(TableAopCalendar[[#This Row],[Date]])</f>
        <v>8</v>
      </c>
      <c r="F40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04" s="5" t="str">
        <f t="shared" si="19"/>
        <v>Week 2</v>
      </c>
      <c r="H404" s="8" t="str">
        <f t="shared" si="20"/>
        <v>May 23 Week 2</v>
      </c>
      <c r="I404" s="5" t="str">
        <f>CONCATENATE(UPPER(TableAopCalendar[[#This Row],[Month]])," ",TableAopCalendar[[#This Row],[Year]])</f>
        <v>MAY 23</v>
      </c>
      <c r="J404" s="8" t="s">
        <v>274</v>
      </c>
      <c r="K404" s="8" t="str">
        <f>CONCATENATE(TableAopCalendar[[#This Row],[Month for Plan]]," ",TableAopCalendar[[#This Row],[Plan]])</f>
        <v>MAY 23 PLANNED</v>
      </c>
    </row>
    <row r="405" spans="1:11" x14ac:dyDescent="0.25">
      <c r="A405" s="5">
        <f t="shared" si="18"/>
        <v>2</v>
      </c>
      <c r="B405" s="6">
        <v>45055</v>
      </c>
      <c r="C405" s="7" t="s">
        <v>265</v>
      </c>
      <c r="D405" s="7">
        <v>23</v>
      </c>
      <c r="E405" s="5">
        <f>DAY(TableAopCalendar[[#This Row],[Date]])</f>
        <v>9</v>
      </c>
      <c r="F40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05" s="5" t="str">
        <f t="shared" si="19"/>
        <v>Week 2</v>
      </c>
      <c r="H405" s="8" t="str">
        <f t="shared" si="20"/>
        <v>May 23 Week 2</v>
      </c>
      <c r="I405" s="5" t="str">
        <f>CONCATENATE(UPPER(TableAopCalendar[[#This Row],[Month]])," ",TableAopCalendar[[#This Row],[Year]])</f>
        <v>MAY 23</v>
      </c>
      <c r="J405" s="8" t="s">
        <v>274</v>
      </c>
      <c r="K405" s="8" t="str">
        <f>CONCATENATE(TableAopCalendar[[#This Row],[Month for Plan]]," ",TableAopCalendar[[#This Row],[Plan]])</f>
        <v>MAY 23 PLANNED</v>
      </c>
    </row>
    <row r="406" spans="1:11" x14ac:dyDescent="0.25">
      <c r="A406" s="5">
        <f t="shared" si="18"/>
        <v>3</v>
      </c>
      <c r="B406" s="6">
        <v>45056</v>
      </c>
      <c r="C406" s="7" t="s">
        <v>265</v>
      </c>
      <c r="D406" s="7">
        <v>23</v>
      </c>
      <c r="E406" s="5">
        <f>DAY(TableAopCalendar[[#This Row],[Date]])</f>
        <v>10</v>
      </c>
      <c r="F40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06" s="5" t="str">
        <f t="shared" si="19"/>
        <v>Week 2</v>
      </c>
      <c r="H406" s="8" t="str">
        <f t="shared" si="20"/>
        <v>May 23 Week 2</v>
      </c>
      <c r="I406" s="5" t="str">
        <f>CONCATENATE(UPPER(TableAopCalendar[[#This Row],[Month]])," ",TableAopCalendar[[#This Row],[Year]])</f>
        <v>MAY 23</v>
      </c>
      <c r="J406" s="8" t="s">
        <v>274</v>
      </c>
      <c r="K406" s="8" t="str">
        <f>CONCATENATE(TableAopCalendar[[#This Row],[Month for Plan]]," ",TableAopCalendar[[#This Row],[Plan]])</f>
        <v>MAY 23 PLANNED</v>
      </c>
    </row>
    <row r="407" spans="1:11" x14ac:dyDescent="0.25">
      <c r="A407" s="5">
        <f t="shared" si="18"/>
        <v>4</v>
      </c>
      <c r="B407" s="6">
        <v>45057</v>
      </c>
      <c r="C407" s="7" t="s">
        <v>265</v>
      </c>
      <c r="D407" s="7">
        <v>23</v>
      </c>
      <c r="E407" s="5">
        <f>DAY(TableAopCalendar[[#This Row],[Date]])</f>
        <v>11</v>
      </c>
      <c r="F407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07" s="5" t="str">
        <f t="shared" si="19"/>
        <v>Week 2</v>
      </c>
      <c r="H407" s="8" t="str">
        <f t="shared" si="20"/>
        <v>May 23 Week 2</v>
      </c>
      <c r="I407" s="5" t="str">
        <f>CONCATENATE(UPPER(TableAopCalendar[[#This Row],[Month]])," ",TableAopCalendar[[#This Row],[Year]])</f>
        <v>MAY 23</v>
      </c>
      <c r="J407" s="8" t="s">
        <v>274</v>
      </c>
      <c r="K407" s="8" t="str">
        <f>CONCATENATE(TableAopCalendar[[#This Row],[Month for Plan]]," ",TableAopCalendar[[#This Row],[Plan]])</f>
        <v>MAY 23 PLANNED</v>
      </c>
    </row>
    <row r="408" spans="1:11" x14ac:dyDescent="0.25">
      <c r="A408" s="5">
        <f t="shared" si="18"/>
        <v>5</v>
      </c>
      <c r="B408" s="6">
        <v>45058</v>
      </c>
      <c r="C408" s="7" t="s">
        <v>265</v>
      </c>
      <c r="D408" s="7">
        <v>23</v>
      </c>
      <c r="E408" s="5">
        <f>DAY(TableAopCalendar[[#This Row],[Date]])</f>
        <v>12</v>
      </c>
      <c r="F40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08" s="5" t="str">
        <f t="shared" si="19"/>
        <v>Week 2</v>
      </c>
      <c r="H408" s="8" t="str">
        <f t="shared" si="20"/>
        <v>May 23 Week 2</v>
      </c>
      <c r="I408" s="5" t="str">
        <f>CONCATENATE(UPPER(TableAopCalendar[[#This Row],[Month]])," ",TableAopCalendar[[#This Row],[Year]])</f>
        <v>MAY 23</v>
      </c>
      <c r="J408" s="8" t="s">
        <v>274</v>
      </c>
      <c r="K408" s="8" t="str">
        <f>CONCATENATE(TableAopCalendar[[#This Row],[Month for Plan]]," ",TableAopCalendar[[#This Row],[Plan]])</f>
        <v>MAY 23 PLANNED</v>
      </c>
    </row>
    <row r="409" spans="1:11" x14ac:dyDescent="0.25">
      <c r="A409" s="5">
        <f t="shared" si="18"/>
        <v>6</v>
      </c>
      <c r="B409" s="6">
        <v>45059</v>
      </c>
      <c r="C409" s="7" t="s">
        <v>265</v>
      </c>
      <c r="D409" s="7">
        <v>23</v>
      </c>
      <c r="E409" s="5">
        <f>DAY(TableAopCalendar[[#This Row],[Date]])</f>
        <v>13</v>
      </c>
      <c r="F40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09" s="5" t="str">
        <f t="shared" si="19"/>
        <v>Week 2</v>
      </c>
      <c r="H409" s="8" t="str">
        <f t="shared" si="20"/>
        <v>May 23 Week 2</v>
      </c>
      <c r="I409" s="5" t="str">
        <f>CONCATENATE(UPPER(TableAopCalendar[[#This Row],[Month]])," ",TableAopCalendar[[#This Row],[Year]])</f>
        <v>MAY 23</v>
      </c>
      <c r="J409" s="8" t="s">
        <v>274</v>
      </c>
      <c r="K409" s="8" t="str">
        <f>CONCATENATE(TableAopCalendar[[#This Row],[Month for Plan]]," ",TableAopCalendar[[#This Row],[Plan]])</f>
        <v>MAY 23 PLANNED</v>
      </c>
    </row>
    <row r="410" spans="1:11" x14ac:dyDescent="0.25">
      <c r="A410" s="5">
        <f t="shared" si="18"/>
        <v>7</v>
      </c>
      <c r="B410" s="6">
        <v>45060</v>
      </c>
      <c r="C410" s="7" t="s">
        <v>265</v>
      </c>
      <c r="D410" s="7">
        <v>23</v>
      </c>
      <c r="E410" s="5">
        <f>DAY(TableAopCalendar[[#This Row],[Date]])</f>
        <v>14</v>
      </c>
      <c r="F41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10" s="5" t="str">
        <f t="shared" si="19"/>
        <v>Week 2</v>
      </c>
      <c r="H410" s="8" t="str">
        <f t="shared" si="20"/>
        <v>May 23 Week 2</v>
      </c>
      <c r="I410" s="5" t="str">
        <f>CONCATENATE(UPPER(TableAopCalendar[[#This Row],[Month]])," ",TableAopCalendar[[#This Row],[Year]])</f>
        <v>MAY 23</v>
      </c>
      <c r="J410" s="8" t="s">
        <v>274</v>
      </c>
      <c r="K410" s="8" t="str">
        <f>CONCATENATE(TableAopCalendar[[#This Row],[Month for Plan]]," ",TableAopCalendar[[#This Row],[Plan]])</f>
        <v>MAY 23 PLANNED</v>
      </c>
    </row>
    <row r="411" spans="1:11" x14ac:dyDescent="0.25">
      <c r="A411" s="5">
        <f t="shared" si="18"/>
        <v>1</v>
      </c>
      <c r="B411" s="6">
        <v>45061</v>
      </c>
      <c r="C411" s="7" t="s">
        <v>265</v>
      </c>
      <c r="D411" s="7">
        <v>23</v>
      </c>
      <c r="E411" s="5">
        <f>DAY(TableAopCalendar[[#This Row],[Date]])</f>
        <v>15</v>
      </c>
      <c r="F41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11" s="5" t="str">
        <f t="shared" si="19"/>
        <v>Week 3</v>
      </c>
      <c r="H411" s="8" t="str">
        <f t="shared" si="20"/>
        <v>May 23 Week 3</v>
      </c>
      <c r="I411" s="5" t="str">
        <f>CONCATENATE(UPPER(TableAopCalendar[[#This Row],[Month]])," ",TableAopCalendar[[#This Row],[Year]])</f>
        <v>MAY 23</v>
      </c>
      <c r="J411" s="8" t="s">
        <v>274</v>
      </c>
      <c r="K411" s="8" t="str">
        <f>CONCATENATE(TableAopCalendar[[#This Row],[Month for Plan]]," ",TableAopCalendar[[#This Row],[Plan]])</f>
        <v>MAY 23 PLANNED</v>
      </c>
    </row>
    <row r="412" spans="1:11" x14ac:dyDescent="0.25">
      <c r="A412" s="5">
        <f t="shared" si="18"/>
        <v>2</v>
      </c>
      <c r="B412" s="6">
        <v>45062</v>
      </c>
      <c r="C412" s="7" t="s">
        <v>265</v>
      </c>
      <c r="D412" s="7">
        <v>23</v>
      </c>
      <c r="E412" s="5">
        <f>DAY(TableAopCalendar[[#This Row],[Date]])</f>
        <v>16</v>
      </c>
      <c r="F41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12" s="5" t="str">
        <f t="shared" si="19"/>
        <v>Week 3</v>
      </c>
      <c r="H412" s="8" t="str">
        <f t="shared" si="20"/>
        <v>May 23 Week 3</v>
      </c>
      <c r="I412" s="5" t="str">
        <f>CONCATENATE(UPPER(TableAopCalendar[[#This Row],[Month]])," ",TableAopCalendar[[#This Row],[Year]])</f>
        <v>MAY 23</v>
      </c>
      <c r="J412" s="8" t="s">
        <v>274</v>
      </c>
      <c r="K412" s="8" t="str">
        <f>CONCATENATE(TableAopCalendar[[#This Row],[Month for Plan]]," ",TableAopCalendar[[#This Row],[Plan]])</f>
        <v>MAY 23 PLANNED</v>
      </c>
    </row>
    <row r="413" spans="1:11" x14ac:dyDescent="0.25">
      <c r="A413" s="5">
        <f t="shared" si="18"/>
        <v>3</v>
      </c>
      <c r="B413" s="6">
        <v>45063</v>
      </c>
      <c r="C413" s="7" t="s">
        <v>265</v>
      </c>
      <c r="D413" s="7">
        <v>23</v>
      </c>
      <c r="E413" s="5">
        <f>DAY(TableAopCalendar[[#This Row],[Date]])</f>
        <v>17</v>
      </c>
      <c r="F41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13" s="5" t="str">
        <f t="shared" si="19"/>
        <v>Week 3</v>
      </c>
      <c r="H413" s="8" t="str">
        <f t="shared" si="20"/>
        <v>May 23 Week 3</v>
      </c>
      <c r="I413" s="5" t="str">
        <f>CONCATENATE(UPPER(TableAopCalendar[[#This Row],[Month]])," ",TableAopCalendar[[#This Row],[Year]])</f>
        <v>MAY 23</v>
      </c>
      <c r="J413" s="8" t="s">
        <v>274</v>
      </c>
      <c r="K413" s="8" t="str">
        <f>CONCATENATE(TableAopCalendar[[#This Row],[Month for Plan]]," ",TableAopCalendar[[#This Row],[Plan]])</f>
        <v>MAY 23 PLANNED</v>
      </c>
    </row>
    <row r="414" spans="1:11" x14ac:dyDescent="0.25">
      <c r="A414" s="5">
        <f t="shared" si="18"/>
        <v>4</v>
      </c>
      <c r="B414" s="6">
        <v>45064</v>
      </c>
      <c r="C414" s="7" t="s">
        <v>265</v>
      </c>
      <c r="D414" s="7">
        <v>23</v>
      </c>
      <c r="E414" s="5">
        <f>DAY(TableAopCalendar[[#This Row],[Date]])</f>
        <v>18</v>
      </c>
      <c r="F414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14" s="5" t="str">
        <f t="shared" si="19"/>
        <v>Week 3</v>
      </c>
      <c r="H414" s="8" t="str">
        <f t="shared" si="20"/>
        <v>May 23 Week 3</v>
      </c>
      <c r="I414" s="5" t="str">
        <f>CONCATENATE(UPPER(TableAopCalendar[[#This Row],[Month]])," ",TableAopCalendar[[#This Row],[Year]])</f>
        <v>MAY 23</v>
      </c>
      <c r="J414" s="8" t="s">
        <v>274</v>
      </c>
      <c r="K414" s="8" t="str">
        <f>CONCATENATE(TableAopCalendar[[#This Row],[Month for Plan]]," ",TableAopCalendar[[#This Row],[Plan]])</f>
        <v>MAY 23 PLANNED</v>
      </c>
    </row>
    <row r="415" spans="1:11" x14ac:dyDescent="0.25">
      <c r="A415" s="5">
        <f t="shared" si="18"/>
        <v>5</v>
      </c>
      <c r="B415" s="6">
        <v>45065</v>
      </c>
      <c r="C415" s="7" t="s">
        <v>265</v>
      </c>
      <c r="D415" s="7">
        <v>23</v>
      </c>
      <c r="E415" s="5">
        <f>DAY(TableAopCalendar[[#This Row],[Date]])</f>
        <v>19</v>
      </c>
      <c r="F41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15" s="5" t="str">
        <f t="shared" si="19"/>
        <v>Week 3</v>
      </c>
      <c r="H415" s="8" t="str">
        <f t="shared" si="20"/>
        <v>May 23 Week 3</v>
      </c>
      <c r="I415" s="5" t="str">
        <f>CONCATENATE(UPPER(TableAopCalendar[[#This Row],[Month]])," ",TableAopCalendar[[#This Row],[Year]])</f>
        <v>MAY 23</v>
      </c>
      <c r="J415" s="8" t="s">
        <v>274</v>
      </c>
      <c r="K415" s="8" t="str">
        <f>CONCATENATE(TableAopCalendar[[#This Row],[Month for Plan]]," ",TableAopCalendar[[#This Row],[Plan]])</f>
        <v>MAY 23 PLANNED</v>
      </c>
    </row>
    <row r="416" spans="1:11" x14ac:dyDescent="0.25">
      <c r="A416" s="5">
        <f t="shared" si="18"/>
        <v>6</v>
      </c>
      <c r="B416" s="6">
        <v>45066</v>
      </c>
      <c r="C416" s="7" t="s">
        <v>265</v>
      </c>
      <c r="D416" s="7">
        <v>23</v>
      </c>
      <c r="E416" s="5">
        <f>DAY(TableAopCalendar[[#This Row],[Date]])</f>
        <v>20</v>
      </c>
      <c r="F41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16" s="5" t="str">
        <f t="shared" si="19"/>
        <v>Week 3</v>
      </c>
      <c r="H416" s="8" t="str">
        <f t="shared" si="20"/>
        <v>May 23 Week 3</v>
      </c>
      <c r="I416" s="5" t="str">
        <f>CONCATENATE(UPPER(TableAopCalendar[[#This Row],[Month]])," ",TableAopCalendar[[#This Row],[Year]])</f>
        <v>MAY 23</v>
      </c>
      <c r="J416" s="8" t="s">
        <v>274</v>
      </c>
      <c r="K416" s="8" t="str">
        <f>CONCATENATE(TableAopCalendar[[#This Row],[Month for Plan]]," ",TableAopCalendar[[#This Row],[Plan]])</f>
        <v>MAY 23 PLANNED</v>
      </c>
    </row>
    <row r="417" spans="1:11" x14ac:dyDescent="0.25">
      <c r="A417" s="5">
        <f t="shared" si="18"/>
        <v>7</v>
      </c>
      <c r="B417" s="6">
        <v>45067</v>
      </c>
      <c r="C417" s="7" t="s">
        <v>265</v>
      </c>
      <c r="D417" s="7">
        <v>23</v>
      </c>
      <c r="E417" s="5">
        <f>DAY(TableAopCalendar[[#This Row],[Date]])</f>
        <v>21</v>
      </c>
      <c r="F41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17" s="5" t="str">
        <f t="shared" si="19"/>
        <v>Week 3</v>
      </c>
      <c r="H417" s="8" t="str">
        <f t="shared" si="20"/>
        <v>May 23 Week 3</v>
      </c>
      <c r="I417" s="5" t="str">
        <f>CONCATENATE(UPPER(TableAopCalendar[[#This Row],[Month]])," ",TableAopCalendar[[#This Row],[Year]])</f>
        <v>MAY 23</v>
      </c>
      <c r="J417" s="8" t="s">
        <v>274</v>
      </c>
      <c r="K417" s="8" t="str">
        <f>CONCATENATE(TableAopCalendar[[#This Row],[Month for Plan]]," ",TableAopCalendar[[#This Row],[Plan]])</f>
        <v>MAY 23 PLANNED</v>
      </c>
    </row>
    <row r="418" spans="1:11" x14ac:dyDescent="0.25">
      <c r="A418" s="5">
        <f t="shared" si="18"/>
        <v>1</v>
      </c>
      <c r="B418" s="6">
        <v>45068</v>
      </c>
      <c r="C418" s="7" t="s">
        <v>265</v>
      </c>
      <c r="D418" s="7">
        <v>23</v>
      </c>
      <c r="E418" s="5">
        <f>DAY(TableAopCalendar[[#This Row],[Date]])</f>
        <v>22</v>
      </c>
      <c r="F41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18" s="5" t="str">
        <f t="shared" si="19"/>
        <v>Week 4</v>
      </c>
      <c r="H418" s="8" t="str">
        <f t="shared" si="20"/>
        <v>May 23 Week 4</v>
      </c>
      <c r="I418" s="5" t="str">
        <f>CONCATENATE(UPPER(TableAopCalendar[[#This Row],[Month]])," ",TableAopCalendar[[#This Row],[Year]])</f>
        <v>MAY 23</v>
      </c>
      <c r="J418" s="8" t="s">
        <v>274</v>
      </c>
      <c r="K418" s="8" t="str">
        <f>CONCATENATE(TableAopCalendar[[#This Row],[Month for Plan]]," ",TableAopCalendar[[#This Row],[Plan]])</f>
        <v>MAY 23 PLANNED</v>
      </c>
    </row>
    <row r="419" spans="1:11" x14ac:dyDescent="0.25">
      <c r="A419" s="5">
        <f t="shared" si="18"/>
        <v>2</v>
      </c>
      <c r="B419" s="6">
        <v>45069</v>
      </c>
      <c r="C419" s="7" t="s">
        <v>265</v>
      </c>
      <c r="D419" s="7">
        <v>23</v>
      </c>
      <c r="E419" s="5">
        <f>DAY(TableAopCalendar[[#This Row],[Date]])</f>
        <v>23</v>
      </c>
      <c r="F41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19" s="5" t="str">
        <f t="shared" si="19"/>
        <v>Week 4</v>
      </c>
      <c r="H419" s="8" t="str">
        <f t="shared" si="20"/>
        <v>May 23 Week 4</v>
      </c>
      <c r="I419" s="5" t="str">
        <f>CONCATENATE(UPPER(TableAopCalendar[[#This Row],[Month]])," ",TableAopCalendar[[#This Row],[Year]])</f>
        <v>MAY 23</v>
      </c>
      <c r="J419" s="8" t="s">
        <v>274</v>
      </c>
      <c r="K419" s="8" t="str">
        <f>CONCATENATE(TableAopCalendar[[#This Row],[Month for Plan]]," ",TableAopCalendar[[#This Row],[Plan]])</f>
        <v>MAY 23 PLANNED</v>
      </c>
    </row>
    <row r="420" spans="1:11" x14ac:dyDescent="0.25">
      <c r="A420" s="5">
        <f t="shared" si="18"/>
        <v>3</v>
      </c>
      <c r="B420" s="6">
        <v>45070</v>
      </c>
      <c r="C420" s="7" t="s">
        <v>265</v>
      </c>
      <c r="D420" s="7">
        <v>23</v>
      </c>
      <c r="E420" s="5">
        <f>DAY(TableAopCalendar[[#This Row],[Date]])</f>
        <v>24</v>
      </c>
      <c r="F42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20" s="5" t="str">
        <f t="shared" si="19"/>
        <v>Week 4</v>
      </c>
      <c r="H420" s="8" t="str">
        <f t="shared" si="20"/>
        <v>May 23 Week 4</v>
      </c>
      <c r="I420" s="5" t="str">
        <f>CONCATENATE(UPPER(TableAopCalendar[[#This Row],[Month]])," ",TableAopCalendar[[#This Row],[Year]])</f>
        <v>MAY 23</v>
      </c>
      <c r="J420" s="8" t="s">
        <v>274</v>
      </c>
      <c r="K420" s="8" t="str">
        <f>CONCATENATE(TableAopCalendar[[#This Row],[Month for Plan]]," ",TableAopCalendar[[#This Row],[Plan]])</f>
        <v>MAY 23 PLANNED</v>
      </c>
    </row>
    <row r="421" spans="1:11" x14ac:dyDescent="0.25">
      <c r="A421" s="5">
        <f t="shared" si="18"/>
        <v>4</v>
      </c>
      <c r="B421" s="6">
        <v>45071</v>
      </c>
      <c r="C421" s="7" t="s">
        <v>265</v>
      </c>
      <c r="D421" s="7">
        <v>23</v>
      </c>
      <c r="E421" s="5">
        <f>DAY(TableAopCalendar[[#This Row],[Date]])</f>
        <v>25</v>
      </c>
      <c r="F421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21" s="5" t="str">
        <f t="shared" si="19"/>
        <v>Week 4</v>
      </c>
      <c r="H421" s="8" t="str">
        <f t="shared" si="20"/>
        <v>May 23 Week 4</v>
      </c>
      <c r="I421" s="5" t="str">
        <f>CONCATENATE(UPPER(TableAopCalendar[[#This Row],[Month]])," ",TableAopCalendar[[#This Row],[Year]])</f>
        <v>MAY 23</v>
      </c>
      <c r="J421" s="8" t="s">
        <v>274</v>
      </c>
      <c r="K421" s="8" t="str">
        <f>CONCATENATE(TableAopCalendar[[#This Row],[Month for Plan]]," ",TableAopCalendar[[#This Row],[Plan]])</f>
        <v>MAY 23 PLANNED</v>
      </c>
    </row>
    <row r="422" spans="1:11" x14ac:dyDescent="0.25">
      <c r="A422" s="5">
        <f t="shared" si="18"/>
        <v>5</v>
      </c>
      <c r="B422" s="6">
        <v>45072</v>
      </c>
      <c r="C422" s="7" t="s">
        <v>265</v>
      </c>
      <c r="D422" s="7">
        <v>23</v>
      </c>
      <c r="E422" s="5">
        <f>DAY(TableAopCalendar[[#This Row],[Date]])</f>
        <v>26</v>
      </c>
      <c r="F42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22" s="5" t="str">
        <f t="shared" si="19"/>
        <v>Week 4</v>
      </c>
      <c r="H422" s="8" t="str">
        <f t="shared" si="20"/>
        <v>May 23 Week 4</v>
      </c>
      <c r="I422" s="5" t="str">
        <f>CONCATENATE(UPPER(TableAopCalendar[[#This Row],[Month]])," ",TableAopCalendar[[#This Row],[Year]])</f>
        <v>MAY 23</v>
      </c>
      <c r="J422" s="8" t="s">
        <v>274</v>
      </c>
      <c r="K422" s="8" t="str">
        <f>CONCATENATE(TableAopCalendar[[#This Row],[Month for Plan]]," ",TableAopCalendar[[#This Row],[Plan]])</f>
        <v>MAY 23 PLANNED</v>
      </c>
    </row>
    <row r="423" spans="1:11" x14ac:dyDescent="0.25">
      <c r="A423" s="5">
        <f t="shared" si="18"/>
        <v>6</v>
      </c>
      <c r="B423" s="6">
        <v>45073</v>
      </c>
      <c r="C423" s="7" t="s">
        <v>265</v>
      </c>
      <c r="D423" s="7">
        <v>23</v>
      </c>
      <c r="E423" s="5">
        <f>DAY(TableAopCalendar[[#This Row],[Date]])</f>
        <v>27</v>
      </c>
      <c r="F42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23" s="5" t="str">
        <f t="shared" si="19"/>
        <v>Week 4</v>
      </c>
      <c r="H423" s="8" t="str">
        <f t="shared" si="20"/>
        <v>May 23 Week 4</v>
      </c>
      <c r="I423" s="5" t="str">
        <f>CONCATENATE(UPPER(TableAopCalendar[[#This Row],[Month]])," ",TableAopCalendar[[#This Row],[Year]])</f>
        <v>MAY 23</v>
      </c>
      <c r="J423" s="8" t="s">
        <v>274</v>
      </c>
      <c r="K423" s="8" t="str">
        <f>CONCATENATE(TableAopCalendar[[#This Row],[Month for Plan]]," ",TableAopCalendar[[#This Row],[Plan]])</f>
        <v>MAY 23 PLANNED</v>
      </c>
    </row>
    <row r="424" spans="1:11" x14ac:dyDescent="0.25">
      <c r="A424" s="5">
        <f t="shared" si="18"/>
        <v>7</v>
      </c>
      <c r="B424" s="6">
        <v>45074</v>
      </c>
      <c r="C424" s="7" t="s">
        <v>265</v>
      </c>
      <c r="D424" s="7">
        <v>23</v>
      </c>
      <c r="E424" s="5">
        <f>DAY(TableAopCalendar[[#This Row],[Date]])</f>
        <v>28</v>
      </c>
      <c r="F42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24" s="5" t="str">
        <f t="shared" si="19"/>
        <v>Week 4</v>
      </c>
      <c r="H424" s="8" t="str">
        <f t="shared" si="20"/>
        <v>May 23 Week 4</v>
      </c>
      <c r="I424" s="5" t="str">
        <f>CONCATENATE(UPPER(TableAopCalendar[[#This Row],[Month]])," ",TableAopCalendar[[#This Row],[Year]])</f>
        <v>MAY 23</v>
      </c>
      <c r="J424" s="8" t="s">
        <v>274</v>
      </c>
      <c r="K424" s="8" t="str">
        <f>CONCATENATE(TableAopCalendar[[#This Row],[Month for Plan]]," ",TableAopCalendar[[#This Row],[Plan]])</f>
        <v>MAY 23 PLANNED</v>
      </c>
    </row>
    <row r="425" spans="1:11" x14ac:dyDescent="0.25">
      <c r="A425" s="5">
        <f t="shared" si="18"/>
        <v>1</v>
      </c>
      <c r="B425" s="6">
        <v>45075</v>
      </c>
      <c r="C425" s="7" t="s">
        <v>265</v>
      </c>
      <c r="D425" s="7">
        <v>23</v>
      </c>
      <c r="E425" s="5">
        <f>DAY(TableAopCalendar[[#This Row],[Date]])</f>
        <v>29</v>
      </c>
      <c r="F425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25" s="5" t="str">
        <f t="shared" si="19"/>
        <v>Week 5</v>
      </c>
      <c r="H425" s="8" t="str">
        <f t="shared" si="20"/>
        <v>May 23 Week 5</v>
      </c>
      <c r="I425" s="5" t="str">
        <f>CONCATENATE(UPPER(TableAopCalendar[[#This Row],[Month]])," ",TableAopCalendar[[#This Row],[Year]])</f>
        <v>MAY 23</v>
      </c>
      <c r="J425" s="8" t="s">
        <v>274</v>
      </c>
      <c r="K425" s="8" t="str">
        <f>CONCATENATE(TableAopCalendar[[#This Row],[Month for Plan]]," ",TableAopCalendar[[#This Row],[Plan]])</f>
        <v>MAY 23 PLANNED</v>
      </c>
    </row>
    <row r="426" spans="1:11" x14ac:dyDescent="0.25">
      <c r="A426" s="5">
        <f t="shared" si="18"/>
        <v>2</v>
      </c>
      <c r="B426" s="6">
        <v>45076</v>
      </c>
      <c r="C426" s="7" t="s">
        <v>265</v>
      </c>
      <c r="D426" s="7">
        <v>23</v>
      </c>
      <c r="E426" s="5">
        <f>DAY(TableAopCalendar[[#This Row],[Date]])</f>
        <v>30</v>
      </c>
      <c r="F426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26" s="5" t="str">
        <f t="shared" si="19"/>
        <v>Week 5</v>
      </c>
      <c r="H426" s="8" t="str">
        <f t="shared" si="20"/>
        <v>May 23 Week 5</v>
      </c>
      <c r="I426" s="5" t="str">
        <f>CONCATENATE(UPPER(TableAopCalendar[[#This Row],[Month]])," ",TableAopCalendar[[#This Row],[Year]])</f>
        <v>MAY 23</v>
      </c>
      <c r="J426" s="8" t="s">
        <v>274</v>
      </c>
      <c r="K426" s="8" t="str">
        <f>CONCATENATE(TableAopCalendar[[#This Row],[Month for Plan]]," ",TableAopCalendar[[#This Row],[Plan]])</f>
        <v>MAY 23 PLANNED</v>
      </c>
    </row>
    <row r="427" spans="1:11" x14ac:dyDescent="0.25">
      <c r="A427" s="5">
        <f t="shared" si="18"/>
        <v>3</v>
      </c>
      <c r="B427" s="6">
        <v>45077</v>
      </c>
      <c r="C427" s="7" t="s">
        <v>265</v>
      </c>
      <c r="D427" s="7">
        <v>23</v>
      </c>
      <c r="E427" s="5">
        <f>DAY(TableAopCalendar[[#This Row],[Date]])</f>
        <v>31</v>
      </c>
      <c r="F427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27" s="5" t="str">
        <f t="shared" si="19"/>
        <v>Week 5</v>
      </c>
      <c r="H427" s="8" t="str">
        <f t="shared" si="20"/>
        <v>May 23 Week 5</v>
      </c>
      <c r="I427" s="5" t="str">
        <f>CONCATENATE(UPPER(TableAopCalendar[[#This Row],[Month]])," ",TableAopCalendar[[#This Row],[Year]])</f>
        <v>MAY 23</v>
      </c>
      <c r="J427" s="8" t="s">
        <v>274</v>
      </c>
      <c r="K427" s="8" t="str">
        <f>CONCATENATE(TableAopCalendar[[#This Row],[Month for Plan]]," ",TableAopCalendar[[#This Row],[Plan]])</f>
        <v>MAY 23 PLANNED</v>
      </c>
    </row>
    <row r="428" spans="1:11" x14ac:dyDescent="0.25">
      <c r="A428" s="5">
        <f t="shared" si="18"/>
        <v>1</v>
      </c>
      <c r="B428" s="6">
        <v>45078</v>
      </c>
      <c r="C428" s="7" t="s">
        <v>266</v>
      </c>
      <c r="D428" s="7">
        <v>23</v>
      </c>
      <c r="E428" s="5">
        <f>DAY(TableAopCalendar[[#This Row],[Date]])</f>
        <v>1</v>
      </c>
      <c r="F42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28" s="5" t="str">
        <f t="shared" si="19"/>
        <v>Week 1</v>
      </c>
      <c r="H428" s="8" t="str">
        <f t="shared" si="20"/>
        <v>June 23 Week 1</v>
      </c>
      <c r="I428" s="5" t="str">
        <f>CONCATENATE(UPPER(TableAopCalendar[[#This Row],[Month]])," ",TableAopCalendar[[#This Row],[Year]])</f>
        <v>JUNE 23</v>
      </c>
      <c r="J428" s="8" t="s">
        <v>274</v>
      </c>
      <c r="K428" s="8" t="str">
        <f>CONCATENATE(TableAopCalendar[[#This Row],[Month for Plan]]," ",TableAopCalendar[[#This Row],[Plan]])</f>
        <v>JUNE 23 PLANNED</v>
      </c>
    </row>
    <row r="429" spans="1:11" x14ac:dyDescent="0.25">
      <c r="A429" s="5">
        <f t="shared" si="18"/>
        <v>2</v>
      </c>
      <c r="B429" s="6">
        <v>45079</v>
      </c>
      <c r="C429" s="7" t="s">
        <v>266</v>
      </c>
      <c r="D429" s="7">
        <v>23</v>
      </c>
      <c r="E429" s="5">
        <f>DAY(TableAopCalendar[[#This Row],[Date]])</f>
        <v>2</v>
      </c>
      <c r="F42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29" s="5" t="str">
        <f t="shared" si="19"/>
        <v>Week 1</v>
      </c>
      <c r="H429" s="8" t="str">
        <f t="shared" si="20"/>
        <v>June 23 Week 1</v>
      </c>
      <c r="I429" s="5" t="str">
        <f>CONCATENATE(UPPER(TableAopCalendar[[#This Row],[Month]])," ",TableAopCalendar[[#This Row],[Year]])</f>
        <v>JUNE 23</v>
      </c>
      <c r="J429" s="8" t="s">
        <v>274</v>
      </c>
      <c r="K429" s="8" t="str">
        <f>CONCATENATE(TableAopCalendar[[#This Row],[Month for Plan]]," ",TableAopCalendar[[#This Row],[Plan]])</f>
        <v>JUNE 23 PLANNED</v>
      </c>
    </row>
    <row r="430" spans="1:11" x14ac:dyDescent="0.25">
      <c r="A430" s="5">
        <f t="shared" si="18"/>
        <v>3</v>
      </c>
      <c r="B430" s="6">
        <v>45080</v>
      </c>
      <c r="C430" s="7" t="s">
        <v>266</v>
      </c>
      <c r="D430" s="7">
        <v>23</v>
      </c>
      <c r="E430" s="5">
        <f>DAY(TableAopCalendar[[#This Row],[Date]])</f>
        <v>3</v>
      </c>
      <c r="F430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30" s="5" t="str">
        <f t="shared" si="19"/>
        <v>Week 1</v>
      </c>
      <c r="H430" s="8" t="str">
        <f t="shared" si="20"/>
        <v>June 23 Week 1</v>
      </c>
      <c r="I430" s="5" t="str">
        <f>CONCATENATE(UPPER(TableAopCalendar[[#This Row],[Month]])," ",TableAopCalendar[[#This Row],[Year]])</f>
        <v>JUNE 23</v>
      </c>
      <c r="J430" s="8" t="s">
        <v>274</v>
      </c>
      <c r="K430" s="8" t="str">
        <f>CONCATENATE(TableAopCalendar[[#This Row],[Month for Plan]]," ",TableAopCalendar[[#This Row],[Plan]])</f>
        <v>JUNE 23 PLANNED</v>
      </c>
    </row>
    <row r="431" spans="1:11" x14ac:dyDescent="0.25">
      <c r="A431" s="5">
        <f t="shared" si="18"/>
        <v>4</v>
      </c>
      <c r="B431" s="6">
        <v>45081</v>
      </c>
      <c r="C431" s="7" t="s">
        <v>266</v>
      </c>
      <c r="D431" s="7">
        <v>23</v>
      </c>
      <c r="E431" s="5">
        <f>DAY(TableAopCalendar[[#This Row],[Date]])</f>
        <v>4</v>
      </c>
      <c r="F43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31" s="5" t="str">
        <f t="shared" si="19"/>
        <v>Week 1</v>
      </c>
      <c r="H431" s="8" t="str">
        <f t="shared" si="20"/>
        <v>June 23 Week 1</v>
      </c>
      <c r="I431" s="5" t="str">
        <f>CONCATENATE(UPPER(TableAopCalendar[[#This Row],[Month]])," ",TableAopCalendar[[#This Row],[Year]])</f>
        <v>JUNE 23</v>
      </c>
      <c r="J431" s="8" t="s">
        <v>274</v>
      </c>
      <c r="K431" s="8" t="str">
        <f>CONCATENATE(TableAopCalendar[[#This Row],[Month for Plan]]," ",TableAopCalendar[[#This Row],[Plan]])</f>
        <v>JUNE 23 PLANNED</v>
      </c>
    </row>
    <row r="432" spans="1:11" x14ac:dyDescent="0.25">
      <c r="A432" s="5">
        <f t="shared" si="18"/>
        <v>5</v>
      </c>
      <c r="B432" s="6">
        <v>45082</v>
      </c>
      <c r="C432" s="7" t="s">
        <v>266</v>
      </c>
      <c r="D432" s="7">
        <v>23</v>
      </c>
      <c r="E432" s="5">
        <f>DAY(TableAopCalendar[[#This Row],[Date]])</f>
        <v>5</v>
      </c>
      <c r="F43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32" s="5" t="str">
        <f t="shared" si="19"/>
        <v>Week 1</v>
      </c>
      <c r="H432" s="8" t="str">
        <f t="shared" si="20"/>
        <v>June 23 Week 1</v>
      </c>
      <c r="I432" s="5" t="str">
        <f>CONCATENATE(UPPER(TableAopCalendar[[#This Row],[Month]])," ",TableAopCalendar[[#This Row],[Year]])</f>
        <v>JUNE 23</v>
      </c>
      <c r="J432" s="8" t="s">
        <v>274</v>
      </c>
      <c r="K432" s="8" t="str">
        <f>CONCATENATE(TableAopCalendar[[#This Row],[Month for Plan]]," ",TableAopCalendar[[#This Row],[Plan]])</f>
        <v>JUNE 23 PLANNED</v>
      </c>
    </row>
    <row r="433" spans="1:11" x14ac:dyDescent="0.25">
      <c r="A433" s="5">
        <f t="shared" si="18"/>
        <v>6</v>
      </c>
      <c r="B433" s="6">
        <v>45083</v>
      </c>
      <c r="C433" s="7" t="s">
        <v>266</v>
      </c>
      <c r="D433" s="7">
        <v>23</v>
      </c>
      <c r="E433" s="5">
        <f>DAY(TableAopCalendar[[#This Row],[Date]])</f>
        <v>6</v>
      </c>
      <c r="F43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33" s="5" t="str">
        <f t="shared" si="19"/>
        <v>Week 1</v>
      </c>
      <c r="H433" s="8" t="str">
        <f t="shared" si="20"/>
        <v>June 23 Week 1</v>
      </c>
      <c r="I433" s="5" t="str">
        <f>CONCATENATE(UPPER(TableAopCalendar[[#This Row],[Month]])," ",TableAopCalendar[[#This Row],[Year]])</f>
        <v>JUNE 23</v>
      </c>
      <c r="J433" s="8" t="s">
        <v>274</v>
      </c>
      <c r="K433" s="8" t="str">
        <f>CONCATENATE(TableAopCalendar[[#This Row],[Month for Plan]]," ",TableAopCalendar[[#This Row],[Plan]])</f>
        <v>JUNE 23 PLANNED</v>
      </c>
    </row>
    <row r="434" spans="1:11" x14ac:dyDescent="0.25">
      <c r="A434" s="5">
        <f t="shared" si="18"/>
        <v>7</v>
      </c>
      <c r="B434" s="6">
        <v>45084</v>
      </c>
      <c r="C434" s="7" t="s">
        <v>266</v>
      </c>
      <c r="D434" s="7">
        <v>23</v>
      </c>
      <c r="E434" s="5">
        <f>DAY(TableAopCalendar[[#This Row],[Date]])</f>
        <v>7</v>
      </c>
      <c r="F43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34" s="5" t="str">
        <f t="shared" si="19"/>
        <v>Week 1</v>
      </c>
      <c r="H434" s="8" t="str">
        <f t="shared" si="20"/>
        <v>June 23 Week 1</v>
      </c>
      <c r="I434" s="5" t="str">
        <f>CONCATENATE(UPPER(TableAopCalendar[[#This Row],[Month]])," ",TableAopCalendar[[#This Row],[Year]])</f>
        <v>JUNE 23</v>
      </c>
      <c r="J434" s="8" t="s">
        <v>274</v>
      </c>
      <c r="K434" s="8" t="str">
        <f>CONCATENATE(TableAopCalendar[[#This Row],[Month for Plan]]," ",TableAopCalendar[[#This Row],[Plan]])</f>
        <v>JUNE 23 PLANNED</v>
      </c>
    </row>
    <row r="435" spans="1:11" x14ac:dyDescent="0.25">
      <c r="A435" s="5">
        <f t="shared" si="18"/>
        <v>1</v>
      </c>
      <c r="B435" s="6">
        <v>45085</v>
      </c>
      <c r="C435" s="7" t="s">
        <v>266</v>
      </c>
      <c r="D435" s="7">
        <v>23</v>
      </c>
      <c r="E435" s="5">
        <f>DAY(TableAopCalendar[[#This Row],[Date]])</f>
        <v>8</v>
      </c>
      <c r="F43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35" s="5" t="str">
        <f t="shared" si="19"/>
        <v>Week 2</v>
      </c>
      <c r="H435" s="8" t="str">
        <f t="shared" si="20"/>
        <v>June 23 Week 2</v>
      </c>
      <c r="I435" s="5" t="str">
        <f>CONCATENATE(UPPER(TableAopCalendar[[#This Row],[Month]])," ",TableAopCalendar[[#This Row],[Year]])</f>
        <v>JUNE 23</v>
      </c>
      <c r="J435" s="8" t="s">
        <v>274</v>
      </c>
      <c r="K435" s="8" t="str">
        <f>CONCATENATE(TableAopCalendar[[#This Row],[Month for Plan]]," ",TableAopCalendar[[#This Row],[Plan]])</f>
        <v>JUNE 23 PLANNED</v>
      </c>
    </row>
    <row r="436" spans="1:11" x14ac:dyDescent="0.25">
      <c r="A436" s="5">
        <f t="shared" si="18"/>
        <v>2</v>
      </c>
      <c r="B436" s="6">
        <v>45086</v>
      </c>
      <c r="C436" s="7" t="s">
        <v>266</v>
      </c>
      <c r="D436" s="7">
        <v>23</v>
      </c>
      <c r="E436" s="5">
        <f>DAY(TableAopCalendar[[#This Row],[Date]])</f>
        <v>9</v>
      </c>
      <c r="F43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36" s="5" t="str">
        <f t="shared" si="19"/>
        <v>Week 2</v>
      </c>
      <c r="H436" s="8" t="str">
        <f t="shared" si="20"/>
        <v>June 23 Week 2</v>
      </c>
      <c r="I436" s="5" t="str">
        <f>CONCATENATE(UPPER(TableAopCalendar[[#This Row],[Month]])," ",TableAopCalendar[[#This Row],[Year]])</f>
        <v>JUNE 23</v>
      </c>
      <c r="J436" s="8" t="s">
        <v>274</v>
      </c>
      <c r="K436" s="8" t="str">
        <f>CONCATENATE(TableAopCalendar[[#This Row],[Month for Plan]]," ",TableAopCalendar[[#This Row],[Plan]])</f>
        <v>JUNE 23 PLANNED</v>
      </c>
    </row>
    <row r="437" spans="1:11" x14ac:dyDescent="0.25">
      <c r="A437" s="5">
        <f t="shared" si="18"/>
        <v>3</v>
      </c>
      <c r="B437" s="6">
        <v>45087</v>
      </c>
      <c r="C437" s="7" t="s">
        <v>266</v>
      </c>
      <c r="D437" s="7">
        <v>23</v>
      </c>
      <c r="E437" s="5">
        <f>DAY(TableAopCalendar[[#This Row],[Date]])</f>
        <v>10</v>
      </c>
      <c r="F437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37" s="5" t="str">
        <f t="shared" si="19"/>
        <v>Week 2</v>
      </c>
      <c r="H437" s="8" t="str">
        <f t="shared" si="20"/>
        <v>June 23 Week 2</v>
      </c>
      <c r="I437" s="5" t="str">
        <f>CONCATENATE(UPPER(TableAopCalendar[[#This Row],[Month]])," ",TableAopCalendar[[#This Row],[Year]])</f>
        <v>JUNE 23</v>
      </c>
      <c r="J437" s="8" t="s">
        <v>274</v>
      </c>
      <c r="K437" s="8" t="str">
        <f>CONCATENATE(TableAopCalendar[[#This Row],[Month for Plan]]," ",TableAopCalendar[[#This Row],[Plan]])</f>
        <v>JUNE 23 PLANNED</v>
      </c>
    </row>
    <row r="438" spans="1:11" x14ac:dyDescent="0.25">
      <c r="A438" s="5">
        <f t="shared" si="18"/>
        <v>4</v>
      </c>
      <c r="B438" s="6">
        <v>45088</v>
      </c>
      <c r="C438" s="7" t="s">
        <v>266</v>
      </c>
      <c r="D438" s="7">
        <v>23</v>
      </c>
      <c r="E438" s="5">
        <f>DAY(TableAopCalendar[[#This Row],[Date]])</f>
        <v>11</v>
      </c>
      <c r="F43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38" s="5" t="str">
        <f t="shared" si="19"/>
        <v>Week 2</v>
      </c>
      <c r="H438" s="8" t="str">
        <f t="shared" si="20"/>
        <v>June 23 Week 2</v>
      </c>
      <c r="I438" s="5" t="str">
        <f>CONCATENATE(UPPER(TableAopCalendar[[#This Row],[Month]])," ",TableAopCalendar[[#This Row],[Year]])</f>
        <v>JUNE 23</v>
      </c>
      <c r="J438" s="8" t="s">
        <v>274</v>
      </c>
      <c r="K438" s="8" t="str">
        <f>CONCATENATE(TableAopCalendar[[#This Row],[Month for Plan]]," ",TableAopCalendar[[#This Row],[Plan]])</f>
        <v>JUNE 23 PLANNED</v>
      </c>
    </row>
    <row r="439" spans="1:11" x14ac:dyDescent="0.25">
      <c r="A439" s="5">
        <f t="shared" si="18"/>
        <v>5</v>
      </c>
      <c r="B439" s="6">
        <v>45089</v>
      </c>
      <c r="C439" s="7" t="s">
        <v>266</v>
      </c>
      <c r="D439" s="7">
        <v>23</v>
      </c>
      <c r="E439" s="5">
        <f>DAY(TableAopCalendar[[#This Row],[Date]])</f>
        <v>12</v>
      </c>
      <c r="F43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39" s="5" t="str">
        <f t="shared" si="19"/>
        <v>Week 2</v>
      </c>
      <c r="H439" s="8" t="str">
        <f t="shared" si="20"/>
        <v>June 23 Week 2</v>
      </c>
      <c r="I439" s="5" t="str">
        <f>CONCATENATE(UPPER(TableAopCalendar[[#This Row],[Month]])," ",TableAopCalendar[[#This Row],[Year]])</f>
        <v>JUNE 23</v>
      </c>
      <c r="J439" s="8" t="s">
        <v>274</v>
      </c>
      <c r="K439" s="8" t="str">
        <f>CONCATENATE(TableAopCalendar[[#This Row],[Month for Plan]]," ",TableAopCalendar[[#This Row],[Plan]])</f>
        <v>JUNE 23 PLANNED</v>
      </c>
    </row>
    <row r="440" spans="1:11" x14ac:dyDescent="0.25">
      <c r="A440" s="5">
        <f t="shared" si="18"/>
        <v>6</v>
      </c>
      <c r="B440" s="6">
        <v>45090</v>
      </c>
      <c r="C440" s="7" t="s">
        <v>266</v>
      </c>
      <c r="D440" s="7">
        <v>23</v>
      </c>
      <c r="E440" s="5">
        <f>DAY(TableAopCalendar[[#This Row],[Date]])</f>
        <v>13</v>
      </c>
      <c r="F44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40" s="5" t="str">
        <f t="shared" si="19"/>
        <v>Week 2</v>
      </c>
      <c r="H440" s="8" t="str">
        <f t="shared" si="20"/>
        <v>June 23 Week 2</v>
      </c>
      <c r="I440" s="5" t="str">
        <f>CONCATENATE(UPPER(TableAopCalendar[[#This Row],[Month]])," ",TableAopCalendar[[#This Row],[Year]])</f>
        <v>JUNE 23</v>
      </c>
      <c r="J440" s="8" t="s">
        <v>274</v>
      </c>
      <c r="K440" s="8" t="str">
        <f>CONCATENATE(TableAopCalendar[[#This Row],[Month for Plan]]," ",TableAopCalendar[[#This Row],[Plan]])</f>
        <v>JUNE 23 PLANNED</v>
      </c>
    </row>
    <row r="441" spans="1:11" x14ac:dyDescent="0.25">
      <c r="A441" s="5">
        <f t="shared" si="18"/>
        <v>7</v>
      </c>
      <c r="B441" s="6">
        <v>45091</v>
      </c>
      <c r="C441" s="7" t="s">
        <v>266</v>
      </c>
      <c r="D441" s="7">
        <v>23</v>
      </c>
      <c r="E441" s="5">
        <f>DAY(TableAopCalendar[[#This Row],[Date]])</f>
        <v>14</v>
      </c>
      <c r="F44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41" s="5" t="str">
        <f t="shared" si="19"/>
        <v>Week 2</v>
      </c>
      <c r="H441" s="8" t="str">
        <f t="shared" si="20"/>
        <v>June 23 Week 2</v>
      </c>
      <c r="I441" s="5" t="str">
        <f>CONCATENATE(UPPER(TableAopCalendar[[#This Row],[Month]])," ",TableAopCalendar[[#This Row],[Year]])</f>
        <v>JUNE 23</v>
      </c>
      <c r="J441" s="8" t="s">
        <v>274</v>
      </c>
      <c r="K441" s="8" t="str">
        <f>CONCATENATE(TableAopCalendar[[#This Row],[Month for Plan]]," ",TableAopCalendar[[#This Row],[Plan]])</f>
        <v>JUNE 23 PLANNED</v>
      </c>
    </row>
    <row r="442" spans="1:11" x14ac:dyDescent="0.25">
      <c r="A442" s="5">
        <f t="shared" si="18"/>
        <v>1</v>
      </c>
      <c r="B442" s="6">
        <v>45092</v>
      </c>
      <c r="C442" s="7" t="s">
        <v>266</v>
      </c>
      <c r="D442" s="7">
        <v>23</v>
      </c>
      <c r="E442" s="5">
        <f>DAY(TableAopCalendar[[#This Row],[Date]])</f>
        <v>15</v>
      </c>
      <c r="F44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42" s="5" t="str">
        <f t="shared" si="19"/>
        <v>Week 3</v>
      </c>
      <c r="H442" s="8" t="str">
        <f t="shared" si="20"/>
        <v>June 23 Week 3</v>
      </c>
      <c r="I442" s="5" t="str">
        <f>CONCATENATE(UPPER(TableAopCalendar[[#This Row],[Month]])," ",TableAopCalendar[[#This Row],[Year]])</f>
        <v>JUNE 23</v>
      </c>
      <c r="J442" s="8" t="s">
        <v>274</v>
      </c>
      <c r="K442" s="8" t="str">
        <f>CONCATENATE(TableAopCalendar[[#This Row],[Month for Plan]]," ",TableAopCalendar[[#This Row],[Plan]])</f>
        <v>JUNE 23 PLANNED</v>
      </c>
    </row>
    <row r="443" spans="1:11" x14ac:dyDescent="0.25">
      <c r="A443" s="5">
        <f t="shared" si="18"/>
        <v>2</v>
      </c>
      <c r="B443" s="6">
        <v>45093</v>
      </c>
      <c r="C443" s="7" t="s">
        <v>266</v>
      </c>
      <c r="D443" s="7">
        <v>23</v>
      </c>
      <c r="E443" s="5">
        <f>DAY(TableAopCalendar[[#This Row],[Date]])</f>
        <v>16</v>
      </c>
      <c r="F44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43" s="5" t="str">
        <f t="shared" si="19"/>
        <v>Week 3</v>
      </c>
      <c r="H443" s="8" t="str">
        <f t="shared" si="20"/>
        <v>June 23 Week 3</v>
      </c>
      <c r="I443" s="5" t="str">
        <f>CONCATENATE(UPPER(TableAopCalendar[[#This Row],[Month]])," ",TableAopCalendar[[#This Row],[Year]])</f>
        <v>JUNE 23</v>
      </c>
      <c r="J443" s="8" t="s">
        <v>274</v>
      </c>
      <c r="K443" s="8" t="str">
        <f>CONCATENATE(TableAopCalendar[[#This Row],[Month for Plan]]," ",TableAopCalendar[[#This Row],[Plan]])</f>
        <v>JUNE 23 PLANNED</v>
      </c>
    </row>
    <row r="444" spans="1:11" x14ac:dyDescent="0.25">
      <c r="A444" s="5">
        <f t="shared" si="18"/>
        <v>3</v>
      </c>
      <c r="B444" s="6">
        <v>45094</v>
      </c>
      <c r="C444" s="7" t="s">
        <v>266</v>
      </c>
      <c r="D444" s="7">
        <v>23</v>
      </c>
      <c r="E444" s="5">
        <f>DAY(TableAopCalendar[[#This Row],[Date]])</f>
        <v>17</v>
      </c>
      <c r="F444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44" s="5" t="str">
        <f t="shared" si="19"/>
        <v>Week 3</v>
      </c>
      <c r="H444" s="8" t="str">
        <f t="shared" si="20"/>
        <v>June 23 Week 3</v>
      </c>
      <c r="I444" s="5" t="str">
        <f>CONCATENATE(UPPER(TableAopCalendar[[#This Row],[Month]])," ",TableAopCalendar[[#This Row],[Year]])</f>
        <v>JUNE 23</v>
      </c>
      <c r="J444" s="8" t="s">
        <v>274</v>
      </c>
      <c r="K444" s="8" t="str">
        <f>CONCATENATE(TableAopCalendar[[#This Row],[Month for Plan]]," ",TableAopCalendar[[#This Row],[Plan]])</f>
        <v>JUNE 23 PLANNED</v>
      </c>
    </row>
    <row r="445" spans="1:11" x14ac:dyDescent="0.25">
      <c r="A445" s="5">
        <f t="shared" si="18"/>
        <v>4</v>
      </c>
      <c r="B445" s="6">
        <v>45095</v>
      </c>
      <c r="C445" s="7" t="s">
        <v>266</v>
      </c>
      <c r="D445" s="7">
        <v>23</v>
      </c>
      <c r="E445" s="5">
        <f>DAY(TableAopCalendar[[#This Row],[Date]])</f>
        <v>18</v>
      </c>
      <c r="F44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45" s="5" t="str">
        <f t="shared" si="19"/>
        <v>Week 3</v>
      </c>
      <c r="H445" s="8" t="str">
        <f t="shared" si="20"/>
        <v>June 23 Week 3</v>
      </c>
      <c r="I445" s="5" t="str">
        <f>CONCATENATE(UPPER(TableAopCalendar[[#This Row],[Month]])," ",TableAopCalendar[[#This Row],[Year]])</f>
        <v>JUNE 23</v>
      </c>
      <c r="J445" s="8" t="s">
        <v>274</v>
      </c>
      <c r="K445" s="8" t="str">
        <f>CONCATENATE(TableAopCalendar[[#This Row],[Month for Plan]]," ",TableAopCalendar[[#This Row],[Plan]])</f>
        <v>JUNE 23 PLANNED</v>
      </c>
    </row>
    <row r="446" spans="1:11" x14ac:dyDescent="0.25">
      <c r="A446" s="5">
        <f t="shared" si="18"/>
        <v>5</v>
      </c>
      <c r="B446" s="6">
        <v>45096</v>
      </c>
      <c r="C446" s="7" t="s">
        <v>266</v>
      </c>
      <c r="D446" s="7">
        <v>23</v>
      </c>
      <c r="E446" s="5">
        <f>DAY(TableAopCalendar[[#This Row],[Date]])</f>
        <v>19</v>
      </c>
      <c r="F44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46" s="5" t="str">
        <f t="shared" si="19"/>
        <v>Week 3</v>
      </c>
      <c r="H446" s="8" t="str">
        <f t="shared" si="20"/>
        <v>June 23 Week 3</v>
      </c>
      <c r="I446" s="5" t="str">
        <f>CONCATENATE(UPPER(TableAopCalendar[[#This Row],[Month]])," ",TableAopCalendar[[#This Row],[Year]])</f>
        <v>JUNE 23</v>
      </c>
      <c r="J446" s="8" t="s">
        <v>274</v>
      </c>
      <c r="K446" s="8" t="str">
        <f>CONCATENATE(TableAopCalendar[[#This Row],[Month for Plan]]," ",TableAopCalendar[[#This Row],[Plan]])</f>
        <v>JUNE 23 PLANNED</v>
      </c>
    </row>
    <row r="447" spans="1:11" x14ac:dyDescent="0.25">
      <c r="A447" s="5">
        <f t="shared" si="18"/>
        <v>6</v>
      </c>
      <c r="B447" s="6">
        <v>45097</v>
      </c>
      <c r="C447" s="7" t="s">
        <v>266</v>
      </c>
      <c r="D447" s="7">
        <v>23</v>
      </c>
      <c r="E447" s="5">
        <f>DAY(TableAopCalendar[[#This Row],[Date]])</f>
        <v>20</v>
      </c>
      <c r="F44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47" s="5" t="str">
        <f t="shared" si="19"/>
        <v>Week 3</v>
      </c>
      <c r="H447" s="8" t="str">
        <f t="shared" si="20"/>
        <v>June 23 Week 3</v>
      </c>
      <c r="I447" s="5" t="str">
        <f>CONCATENATE(UPPER(TableAopCalendar[[#This Row],[Month]])," ",TableAopCalendar[[#This Row],[Year]])</f>
        <v>JUNE 23</v>
      </c>
      <c r="J447" s="8" t="s">
        <v>274</v>
      </c>
      <c r="K447" s="8" t="str">
        <f>CONCATENATE(TableAopCalendar[[#This Row],[Month for Plan]]," ",TableAopCalendar[[#This Row],[Plan]])</f>
        <v>JUNE 23 PLANNED</v>
      </c>
    </row>
    <row r="448" spans="1:11" x14ac:dyDescent="0.25">
      <c r="A448" s="5">
        <f t="shared" si="18"/>
        <v>7</v>
      </c>
      <c r="B448" s="6">
        <v>45098</v>
      </c>
      <c r="C448" s="7" t="s">
        <v>266</v>
      </c>
      <c r="D448" s="7">
        <v>23</v>
      </c>
      <c r="E448" s="5">
        <f>DAY(TableAopCalendar[[#This Row],[Date]])</f>
        <v>21</v>
      </c>
      <c r="F44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48" s="5" t="str">
        <f t="shared" si="19"/>
        <v>Week 3</v>
      </c>
      <c r="H448" s="8" t="str">
        <f t="shared" si="20"/>
        <v>June 23 Week 3</v>
      </c>
      <c r="I448" s="5" t="str">
        <f>CONCATENATE(UPPER(TableAopCalendar[[#This Row],[Month]])," ",TableAopCalendar[[#This Row],[Year]])</f>
        <v>JUNE 23</v>
      </c>
      <c r="J448" s="8" t="s">
        <v>274</v>
      </c>
      <c r="K448" s="8" t="str">
        <f>CONCATENATE(TableAopCalendar[[#This Row],[Month for Plan]]," ",TableAopCalendar[[#This Row],[Plan]])</f>
        <v>JUNE 23 PLANNED</v>
      </c>
    </row>
    <row r="449" spans="1:11" x14ac:dyDescent="0.25">
      <c r="A449" s="5">
        <f t="shared" si="18"/>
        <v>1</v>
      </c>
      <c r="B449" s="6">
        <v>45099</v>
      </c>
      <c r="C449" s="7" t="s">
        <v>266</v>
      </c>
      <c r="D449" s="7">
        <v>23</v>
      </c>
      <c r="E449" s="5">
        <f>DAY(TableAopCalendar[[#This Row],[Date]])</f>
        <v>22</v>
      </c>
      <c r="F44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49" s="5" t="str">
        <f t="shared" si="19"/>
        <v>Week 4</v>
      </c>
      <c r="H449" s="8" t="str">
        <f t="shared" si="20"/>
        <v>June 23 Week 4</v>
      </c>
      <c r="I449" s="5" t="str">
        <f>CONCATENATE(UPPER(TableAopCalendar[[#This Row],[Month]])," ",TableAopCalendar[[#This Row],[Year]])</f>
        <v>JUNE 23</v>
      </c>
      <c r="J449" s="8" t="s">
        <v>274</v>
      </c>
      <c r="K449" s="8" t="str">
        <f>CONCATENATE(TableAopCalendar[[#This Row],[Month for Plan]]," ",TableAopCalendar[[#This Row],[Plan]])</f>
        <v>JUNE 23 PLANNED</v>
      </c>
    </row>
    <row r="450" spans="1:11" x14ac:dyDescent="0.25">
      <c r="A450" s="5">
        <f t="shared" ref="A450:A513" si="21">IF(G450=G449,A449+1,1)</f>
        <v>2</v>
      </c>
      <c r="B450" s="6">
        <v>45100</v>
      </c>
      <c r="C450" s="7" t="s">
        <v>266</v>
      </c>
      <c r="D450" s="7">
        <v>23</v>
      </c>
      <c r="E450" s="5">
        <f>DAY(TableAopCalendar[[#This Row],[Date]])</f>
        <v>23</v>
      </c>
      <c r="F45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50" s="5" t="str">
        <f t="shared" ref="G450:G513" si="22">"Week"&amp;" "&amp;F450</f>
        <v>Week 4</v>
      </c>
      <c r="H450" s="8" t="str">
        <f t="shared" ref="H450:H513" si="23">CONCATENATE(C450," ",D450," ",G450)</f>
        <v>June 23 Week 4</v>
      </c>
      <c r="I450" s="5" t="str">
        <f>CONCATENATE(UPPER(TableAopCalendar[[#This Row],[Month]])," ",TableAopCalendar[[#This Row],[Year]])</f>
        <v>JUNE 23</v>
      </c>
      <c r="J450" s="8" t="s">
        <v>274</v>
      </c>
      <c r="K450" s="8" t="str">
        <f>CONCATENATE(TableAopCalendar[[#This Row],[Month for Plan]]," ",TableAopCalendar[[#This Row],[Plan]])</f>
        <v>JUNE 23 PLANNED</v>
      </c>
    </row>
    <row r="451" spans="1:11" x14ac:dyDescent="0.25">
      <c r="A451" s="5">
        <f t="shared" si="21"/>
        <v>3</v>
      </c>
      <c r="B451" s="6">
        <v>45101</v>
      </c>
      <c r="C451" s="7" t="s">
        <v>266</v>
      </c>
      <c r="D451" s="7">
        <v>23</v>
      </c>
      <c r="E451" s="5">
        <f>DAY(TableAopCalendar[[#This Row],[Date]])</f>
        <v>24</v>
      </c>
      <c r="F451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51" s="5" t="str">
        <f t="shared" si="22"/>
        <v>Week 4</v>
      </c>
      <c r="H451" s="8" t="str">
        <f t="shared" si="23"/>
        <v>June 23 Week 4</v>
      </c>
      <c r="I451" s="5" t="str">
        <f>CONCATENATE(UPPER(TableAopCalendar[[#This Row],[Month]])," ",TableAopCalendar[[#This Row],[Year]])</f>
        <v>JUNE 23</v>
      </c>
      <c r="J451" s="8" t="s">
        <v>274</v>
      </c>
      <c r="K451" s="8" t="str">
        <f>CONCATENATE(TableAopCalendar[[#This Row],[Month for Plan]]," ",TableAopCalendar[[#This Row],[Plan]])</f>
        <v>JUNE 23 PLANNED</v>
      </c>
    </row>
    <row r="452" spans="1:11" x14ac:dyDescent="0.25">
      <c r="A452" s="5">
        <f t="shared" si="21"/>
        <v>4</v>
      </c>
      <c r="B452" s="6">
        <v>45102</v>
      </c>
      <c r="C452" s="7" t="s">
        <v>266</v>
      </c>
      <c r="D452" s="7">
        <v>23</v>
      </c>
      <c r="E452" s="5">
        <f>DAY(TableAopCalendar[[#This Row],[Date]])</f>
        <v>25</v>
      </c>
      <c r="F45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52" s="5" t="str">
        <f t="shared" si="22"/>
        <v>Week 4</v>
      </c>
      <c r="H452" s="8" t="str">
        <f t="shared" si="23"/>
        <v>June 23 Week 4</v>
      </c>
      <c r="I452" s="5" t="str">
        <f>CONCATENATE(UPPER(TableAopCalendar[[#This Row],[Month]])," ",TableAopCalendar[[#This Row],[Year]])</f>
        <v>JUNE 23</v>
      </c>
      <c r="J452" s="8" t="s">
        <v>274</v>
      </c>
      <c r="K452" s="8" t="str">
        <f>CONCATENATE(TableAopCalendar[[#This Row],[Month for Plan]]," ",TableAopCalendar[[#This Row],[Plan]])</f>
        <v>JUNE 23 PLANNED</v>
      </c>
    </row>
    <row r="453" spans="1:11" x14ac:dyDescent="0.25">
      <c r="A453" s="5">
        <f t="shared" si="21"/>
        <v>5</v>
      </c>
      <c r="B453" s="6">
        <v>45103</v>
      </c>
      <c r="C453" s="7" t="s">
        <v>266</v>
      </c>
      <c r="D453" s="7">
        <v>23</v>
      </c>
      <c r="E453" s="5">
        <f>DAY(TableAopCalendar[[#This Row],[Date]])</f>
        <v>26</v>
      </c>
      <c r="F45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53" s="5" t="str">
        <f t="shared" si="22"/>
        <v>Week 4</v>
      </c>
      <c r="H453" s="8" t="str">
        <f t="shared" si="23"/>
        <v>June 23 Week 4</v>
      </c>
      <c r="I453" s="5" t="str">
        <f>CONCATENATE(UPPER(TableAopCalendar[[#This Row],[Month]])," ",TableAopCalendar[[#This Row],[Year]])</f>
        <v>JUNE 23</v>
      </c>
      <c r="J453" s="8" t="s">
        <v>274</v>
      </c>
      <c r="K453" s="8" t="str">
        <f>CONCATENATE(TableAopCalendar[[#This Row],[Month for Plan]]," ",TableAopCalendar[[#This Row],[Plan]])</f>
        <v>JUNE 23 PLANNED</v>
      </c>
    </row>
    <row r="454" spans="1:11" x14ac:dyDescent="0.25">
      <c r="A454" s="5">
        <f t="shared" si="21"/>
        <v>6</v>
      </c>
      <c r="B454" s="6">
        <v>45104</v>
      </c>
      <c r="C454" s="7" t="s">
        <v>266</v>
      </c>
      <c r="D454" s="7">
        <v>23</v>
      </c>
      <c r="E454" s="5">
        <f>DAY(TableAopCalendar[[#This Row],[Date]])</f>
        <v>27</v>
      </c>
      <c r="F45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54" s="5" t="str">
        <f t="shared" si="22"/>
        <v>Week 4</v>
      </c>
      <c r="H454" s="8" t="str">
        <f t="shared" si="23"/>
        <v>June 23 Week 4</v>
      </c>
      <c r="I454" s="5" t="str">
        <f>CONCATENATE(UPPER(TableAopCalendar[[#This Row],[Month]])," ",TableAopCalendar[[#This Row],[Year]])</f>
        <v>JUNE 23</v>
      </c>
      <c r="J454" s="8" t="s">
        <v>274</v>
      </c>
      <c r="K454" s="8" t="str">
        <f>CONCATENATE(TableAopCalendar[[#This Row],[Month for Plan]]," ",TableAopCalendar[[#This Row],[Plan]])</f>
        <v>JUNE 23 PLANNED</v>
      </c>
    </row>
    <row r="455" spans="1:11" x14ac:dyDescent="0.25">
      <c r="A455" s="5">
        <f t="shared" si="21"/>
        <v>7</v>
      </c>
      <c r="B455" s="6">
        <v>45105</v>
      </c>
      <c r="C455" s="7" t="s">
        <v>266</v>
      </c>
      <c r="D455" s="7">
        <v>23</v>
      </c>
      <c r="E455" s="5">
        <f>DAY(TableAopCalendar[[#This Row],[Date]])</f>
        <v>28</v>
      </c>
      <c r="F45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55" s="5" t="str">
        <f t="shared" si="22"/>
        <v>Week 4</v>
      </c>
      <c r="H455" s="8" t="str">
        <f t="shared" si="23"/>
        <v>June 23 Week 4</v>
      </c>
      <c r="I455" s="5" t="str">
        <f>CONCATENATE(UPPER(TableAopCalendar[[#This Row],[Month]])," ",TableAopCalendar[[#This Row],[Year]])</f>
        <v>JUNE 23</v>
      </c>
      <c r="J455" s="8" t="s">
        <v>274</v>
      </c>
      <c r="K455" s="8" t="str">
        <f>CONCATENATE(TableAopCalendar[[#This Row],[Month for Plan]]," ",TableAopCalendar[[#This Row],[Plan]])</f>
        <v>JUNE 23 PLANNED</v>
      </c>
    </row>
    <row r="456" spans="1:11" x14ac:dyDescent="0.25">
      <c r="A456" s="5">
        <f t="shared" si="21"/>
        <v>1</v>
      </c>
      <c r="B456" s="6">
        <v>45106</v>
      </c>
      <c r="C456" s="7" t="s">
        <v>266</v>
      </c>
      <c r="D456" s="7">
        <v>23</v>
      </c>
      <c r="E456" s="5">
        <f>DAY(TableAopCalendar[[#This Row],[Date]])</f>
        <v>29</v>
      </c>
      <c r="F456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56" s="5" t="str">
        <f t="shared" si="22"/>
        <v>Week 5</v>
      </c>
      <c r="H456" s="8" t="str">
        <f t="shared" si="23"/>
        <v>June 23 Week 5</v>
      </c>
      <c r="I456" s="5" t="str">
        <f>CONCATENATE(UPPER(TableAopCalendar[[#This Row],[Month]])," ",TableAopCalendar[[#This Row],[Year]])</f>
        <v>JUNE 23</v>
      </c>
      <c r="J456" s="8" t="s">
        <v>274</v>
      </c>
      <c r="K456" s="8" t="str">
        <f>CONCATENATE(TableAopCalendar[[#This Row],[Month for Plan]]," ",TableAopCalendar[[#This Row],[Plan]])</f>
        <v>JUNE 23 PLANNED</v>
      </c>
    </row>
    <row r="457" spans="1:11" x14ac:dyDescent="0.25">
      <c r="A457" s="5">
        <f t="shared" si="21"/>
        <v>2</v>
      </c>
      <c r="B457" s="6">
        <v>45107</v>
      </c>
      <c r="C457" s="7" t="s">
        <v>266</v>
      </c>
      <c r="D457" s="7">
        <v>23</v>
      </c>
      <c r="E457" s="5">
        <f>DAY(TableAopCalendar[[#This Row],[Date]])</f>
        <v>30</v>
      </c>
      <c r="F457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57" s="5" t="str">
        <f t="shared" si="22"/>
        <v>Week 5</v>
      </c>
      <c r="H457" s="8" t="str">
        <f t="shared" si="23"/>
        <v>June 23 Week 5</v>
      </c>
      <c r="I457" s="5" t="str">
        <f>CONCATENATE(UPPER(TableAopCalendar[[#This Row],[Month]])," ",TableAopCalendar[[#This Row],[Year]])</f>
        <v>JUNE 23</v>
      </c>
      <c r="J457" s="8" t="s">
        <v>274</v>
      </c>
      <c r="K457" s="8" t="str">
        <f>CONCATENATE(TableAopCalendar[[#This Row],[Month for Plan]]," ",TableAopCalendar[[#This Row],[Plan]])</f>
        <v>JUNE 23 PLANNED</v>
      </c>
    </row>
    <row r="458" spans="1:11" x14ac:dyDescent="0.25">
      <c r="A458" s="5">
        <f t="shared" si="21"/>
        <v>1</v>
      </c>
      <c r="B458" s="6">
        <v>45108</v>
      </c>
      <c r="C458" s="7" t="s">
        <v>267</v>
      </c>
      <c r="D458" s="7">
        <v>23</v>
      </c>
      <c r="E458" s="5">
        <f>DAY(TableAopCalendar[[#This Row],[Date]])</f>
        <v>1</v>
      </c>
      <c r="F45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58" s="5" t="str">
        <f t="shared" si="22"/>
        <v>Week 1</v>
      </c>
      <c r="H458" s="8" t="str">
        <f t="shared" si="23"/>
        <v>July 23 Week 1</v>
      </c>
      <c r="I458" s="5" t="str">
        <f>CONCATENATE(UPPER(TableAopCalendar[[#This Row],[Month]])," ",TableAopCalendar[[#This Row],[Year]])</f>
        <v>JULY 23</v>
      </c>
      <c r="J458" s="8" t="s">
        <v>274</v>
      </c>
      <c r="K458" s="8" t="str">
        <f>CONCATENATE(TableAopCalendar[[#This Row],[Month for Plan]]," ",TableAopCalendar[[#This Row],[Plan]])</f>
        <v>JULY 23 PLANNED</v>
      </c>
    </row>
    <row r="459" spans="1:11" x14ac:dyDescent="0.25">
      <c r="A459" s="5">
        <f t="shared" si="21"/>
        <v>2</v>
      </c>
      <c r="B459" s="6">
        <v>45109</v>
      </c>
      <c r="C459" s="7" t="s">
        <v>267</v>
      </c>
      <c r="D459" s="7">
        <v>23</v>
      </c>
      <c r="E459" s="5">
        <f>DAY(TableAopCalendar[[#This Row],[Date]])</f>
        <v>2</v>
      </c>
      <c r="F45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59" s="5" t="str">
        <f t="shared" si="22"/>
        <v>Week 1</v>
      </c>
      <c r="H459" s="8" t="str">
        <f t="shared" si="23"/>
        <v>July 23 Week 1</v>
      </c>
      <c r="I459" s="5" t="str">
        <f>CONCATENATE(UPPER(TableAopCalendar[[#This Row],[Month]])," ",TableAopCalendar[[#This Row],[Year]])</f>
        <v>JULY 23</v>
      </c>
      <c r="J459" s="8" t="s">
        <v>274</v>
      </c>
      <c r="K459" s="8" t="str">
        <f>CONCATENATE(TableAopCalendar[[#This Row],[Month for Plan]]," ",TableAopCalendar[[#This Row],[Plan]])</f>
        <v>JULY 23 PLANNED</v>
      </c>
    </row>
    <row r="460" spans="1:11" x14ac:dyDescent="0.25">
      <c r="A460" s="5">
        <f t="shared" si="21"/>
        <v>3</v>
      </c>
      <c r="B460" s="6">
        <v>45110</v>
      </c>
      <c r="C460" s="7" t="s">
        <v>267</v>
      </c>
      <c r="D460" s="7">
        <v>23</v>
      </c>
      <c r="E460" s="5">
        <f>DAY(TableAopCalendar[[#This Row],[Date]])</f>
        <v>3</v>
      </c>
      <c r="F460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60" s="5" t="str">
        <f t="shared" si="22"/>
        <v>Week 1</v>
      </c>
      <c r="H460" s="8" t="str">
        <f t="shared" si="23"/>
        <v>July 23 Week 1</v>
      </c>
      <c r="I460" s="5" t="str">
        <f>CONCATENATE(UPPER(TableAopCalendar[[#This Row],[Month]])," ",TableAopCalendar[[#This Row],[Year]])</f>
        <v>JULY 23</v>
      </c>
      <c r="J460" s="8" t="s">
        <v>274</v>
      </c>
      <c r="K460" s="8" t="str">
        <f>CONCATENATE(TableAopCalendar[[#This Row],[Month for Plan]]," ",TableAopCalendar[[#This Row],[Plan]])</f>
        <v>JULY 23 PLANNED</v>
      </c>
    </row>
    <row r="461" spans="1:11" x14ac:dyDescent="0.25">
      <c r="A461" s="5">
        <f t="shared" si="21"/>
        <v>4</v>
      </c>
      <c r="B461" s="6">
        <v>45111</v>
      </c>
      <c r="C461" s="7" t="s">
        <v>267</v>
      </c>
      <c r="D461" s="7">
        <v>23</v>
      </c>
      <c r="E461" s="5">
        <f>DAY(TableAopCalendar[[#This Row],[Date]])</f>
        <v>4</v>
      </c>
      <c r="F46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61" s="5" t="str">
        <f t="shared" si="22"/>
        <v>Week 1</v>
      </c>
      <c r="H461" s="8" t="str">
        <f t="shared" si="23"/>
        <v>July 23 Week 1</v>
      </c>
      <c r="I461" s="5" t="str">
        <f>CONCATENATE(UPPER(TableAopCalendar[[#This Row],[Month]])," ",TableAopCalendar[[#This Row],[Year]])</f>
        <v>JULY 23</v>
      </c>
      <c r="J461" s="8" t="s">
        <v>274</v>
      </c>
      <c r="K461" s="8" t="str">
        <f>CONCATENATE(TableAopCalendar[[#This Row],[Month for Plan]]," ",TableAopCalendar[[#This Row],[Plan]])</f>
        <v>JULY 23 PLANNED</v>
      </c>
    </row>
    <row r="462" spans="1:11" x14ac:dyDescent="0.25">
      <c r="A462" s="5">
        <f t="shared" si="21"/>
        <v>5</v>
      </c>
      <c r="B462" s="6">
        <v>45112</v>
      </c>
      <c r="C462" s="7" t="s">
        <v>267</v>
      </c>
      <c r="D462" s="7">
        <v>23</v>
      </c>
      <c r="E462" s="5">
        <f>DAY(TableAopCalendar[[#This Row],[Date]])</f>
        <v>5</v>
      </c>
      <c r="F46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62" s="5" t="str">
        <f t="shared" si="22"/>
        <v>Week 1</v>
      </c>
      <c r="H462" s="8" t="str">
        <f t="shared" si="23"/>
        <v>July 23 Week 1</v>
      </c>
      <c r="I462" s="5" t="str">
        <f>CONCATENATE(UPPER(TableAopCalendar[[#This Row],[Month]])," ",TableAopCalendar[[#This Row],[Year]])</f>
        <v>JULY 23</v>
      </c>
      <c r="J462" s="8" t="s">
        <v>274</v>
      </c>
      <c r="K462" s="8" t="str">
        <f>CONCATENATE(TableAopCalendar[[#This Row],[Month for Plan]]," ",TableAopCalendar[[#This Row],[Plan]])</f>
        <v>JULY 23 PLANNED</v>
      </c>
    </row>
    <row r="463" spans="1:11" x14ac:dyDescent="0.25">
      <c r="A463" s="5">
        <f t="shared" si="21"/>
        <v>6</v>
      </c>
      <c r="B463" s="6">
        <v>45113</v>
      </c>
      <c r="C463" s="7" t="s">
        <v>267</v>
      </c>
      <c r="D463" s="7">
        <v>23</v>
      </c>
      <c r="E463" s="5">
        <f>DAY(TableAopCalendar[[#This Row],[Date]])</f>
        <v>6</v>
      </c>
      <c r="F46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63" s="5" t="str">
        <f t="shared" si="22"/>
        <v>Week 1</v>
      </c>
      <c r="H463" s="8" t="str">
        <f t="shared" si="23"/>
        <v>July 23 Week 1</v>
      </c>
      <c r="I463" s="5" t="str">
        <f>CONCATENATE(UPPER(TableAopCalendar[[#This Row],[Month]])," ",TableAopCalendar[[#This Row],[Year]])</f>
        <v>JULY 23</v>
      </c>
      <c r="J463" s="8" t="s">
        <v>274</v>
      </c>
      <c r="K463" s="8" t="str">
        <f>CONCATENATE(TableAopCalendar[[#This Row],[Month for Plan]]," ",TableAopCalendar[[#This Row],[Plan]])</f>
        <v>JULY 23 PLANNED</v>
      </c>
    </row>
    <row r="464" spans="1:11" x14ac:dyDescent="0.25">
      <c r="A464" s="5">
        <f t="shared" si="21"/>
        <v>7</v>
      </c>
      <c r="B464" s="6">
        <v>45114</v>
      </c>
      <c r="C464" s="7" t="s">
        <v>267</v>
      </c>
      <c r="D464" s="7">
        <v>23</v>
      </c>
      <c r="E464" s="5">
        <f>DAY(TableAopCalendar[[#This Row],[Date]])</f>
        <v>7</v>
      </c>
      <c r="F46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64" s="5" t="str">
        <f t="shared" si="22"/>
        <v>Week 1</v>
      </c>
      <c r="H464" s="8" t="str">
        <f t="shared" si="23"/>
        <v>July 23 Week 1</v>
      </c>
      <c r="I464" s="5" t="str">
        <f>CONCATENATE(UPPER(TableAopCalendar[[#This Row],[Month]])," ",TableAopCalendar[[#This Row],[Year]])</f>
        <v>JULY 23</v>
      </c>
      <c r="J464" s="8" t="s">
        <v>274</v>
      </c>
      <c r="K464" s="8" t="str">
        <f>CONCATENATE(TableAopCalendar[[#This Row],[Month for Plan]]," ",TableAopCalendar[[#This Row],[Plan]])</f>
        <v>JULY 23 PLANNED</v>
      </c>
    </row>
    <row r="465" spans="1:11" x14ac:dyDescent="0.25">
      <c r="A465" s="5">
        <f t="shared" si="21"/>
        <v>1</v>
      </c>
      <c r="B465" s="6">
        <v>45115</v>
      </c>
      <c r="C465" s="7" t="s">
        <v>267</v>
      </c>
      <c r="D465" s="7">
        <v>23</v>
      </c>
      <c r="E465" s="5">
        <f>DAY(TableAopCalendar[[#This Row],[Date]])</f>
        <v>8</v>
      </c>
      <c r="F46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65" s="5" t="str">
        <f t="shared" si="22"/>
        <v>Week 2</v>
      </c>
      <c r="H465" s="8" t="str">
        <f t="shared" si="23"/>
        <v>July 23 Week 2</v>
      </c>
      <c r="I465" s="5" t="str">
        <f>CONCATENATE(UPPER(TableAopCalendar[[#This Row],[Month]])," ",TableAopCalendar[[#This Row],[Year]])</f>
        <v>JULY 23</v>
      </c>
      <c r="J465" s="8" t="s">
        <v>274</v>
      </c>
      <c r="K465" s="8" t="str">
        <f>CONCATENATE(TableAopCalendar[[#This Row],[Month for Plan]]," ",TableAopCalendar[[#This Row],[Plan]])</f>
        <v>JULY 23 PLANNED</v>
      </c>
    </row>
    <row r="466" spans="1:11" x14ac:dyDescent="0.25">
      <c r="A466" s="5">
        <f t="shared" si="21"/>
        <v>2</v>
      </c>
      <c r="B466" s="6">
        <v>45116</v>
      </c>
      <c r="C466" s="7" t="s">
        <v>267</v>
      </c>
      <c r="D466" s="7">
        <v>23</v>
      </c>
      <c r="E466" s="5">
        <f>DAY(TableAopCalendar[[#This Row],[Date]])</f>
        <v>9</v>
      </c>
      <c r="F46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66" s="5" t="str">
        <f t="shared" si="22"/>
        <v>Week 2</v>
      </c>
      <c r="H466" s="8" t="str">
        <f t="shared" si="23"/>
        <v>July 23 Week 2</v>
      </c>
      <c r="I466" s="5" t="str">
        <f>CONCATENATE(UPPER(TableAopCalendar[[#This Row],[Month]])," ",TableAopCalendar[[#This Row],[Year]])</f>
        <v>JULY 23</v>
      </c>
      <c r="J466" s="8" t="s">
        <v>274</v>
      </c>
      <c r="K466" s="8" t="str">
        <f>CONCATENATE(TableAopCalendar[[#This Row],[Month for Plan]]," ",TableAopCalendar[[#This Row],[Plan]])</f>
        <v>JULY 23 PLANNED</v>
      </c>
    </row>
    <row r="467" spans="1:11" x14ac:dyDescent="0.25">
      <c r="A467" s="5">
        <f t="shared" si="21"/>
        <v>3</v>
      </c>
      <c r="B467" s="6">
        <v>45117</v>
      </c>
      <c r="C467" s="7" t="s">
        <v>267</v>
      </c>
      <c r="D467" s="7">
        <v>23</v>
      </c>
      <c r="E467" s="5">
        <f>DAY(TableAopCalendar[[#This Row],[Date]])</f>
        <v>10</v>
      </c>
      <c r="F467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67" s="5" t="str">
        <f t="shared" si="22"/>
        <v>Week 2</v>
      </c>
      <c r="H467" s="8" t="str">
        <f t="shared" si="23"/>
        <v>July 23 Week 2</v>
      </c>
      <c r="I467" s="5" t="str">
        <f>CONCATENATE(UPPER(TableAopCalendar[[#This Row],[Month]])," ",TableAopCalendar[[#This Row],[Year]])</f>
        <v>JULY 23</v>
      </c>
      <c r="J467" s="8" t="s">
        <v>274</v>
      </c>
      <c r="K467" s="8" t="str">
        <f>CONCATENATE(TableAopCalendar[[#This Row],[Month for Plan]]," ",TableAopCalendar[[#This Row],[Plan]])</f>
        <v>JULY 23 PLANNED</v>
      </c>
    </row>
    <row r="468" spans="1:11" x14ac:dyDescent="0.25">
      <c r="A468" s="5">
        <f t="shared" si="21"/>
        <v>4</v>
      </c>
      <c r="B468" s="6">
        <v>45118</v>
      </c>
      <c r="C468" s="7" t="s">
        <v>267</v>
      </c>
      <c r="D468" s="7">
        <v>23</v>
      </c>
      <c r="E468" s="5">
        <f>DAY(TableAopCalendar[[#This Row],[Date]])</f>
        <v>11</v>
      </c>
      <c r="F46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68" s="5" t="str">
        <f t="shared" si="22"/>
        <v>Week 2</v>
      </c>
      <c r="H468" s="8" t="str">
        <f t="shared" si="23"/>
        <v>July 23 Week 2</v>
      </c>
      <c r="I468" s="5" t="str">
        <f>CONCATENATE(UPPER(TableAopCalendar[[#This Row],[Month]])," ",TableAopCalendar[[#This Row],[Year]])</f>
        <v>JULY 23</v>
      </c>
      <c r="J468" s="8" t="s">
        <v>274</v>
      </c>
      <c r="K468" s="8" t="str">
        <f>CONCATENATE(TableAopCalendar[[#This Row],[Month for Plan]]," ",TableAopCalendar[[#This Row],[Plan]])</f>
        <v>JULY 23 PLANNED</v>
      </c>
    </row>
    <row r="469" spans="1:11" x14ac:dyDescent="0.25">
      <c r="A469" s="5">
        <f t="shared" si="21"/>
        <v>5</v>
      </c>
      <c r="B469" s="6">
        <v>45119</v>
      </c>
      <c r="C469" s="7" t="s">
        <v>267</v>
      </c>
      <c r="D469" s="7">
        <v>23</v>
      </c>
      <c r="E469" s="5">
        <f>DAY(TableAopCalendar[[#This Row],[Date]])</f>
        <v>12</v>
      </c>
      <c r="F46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69" s="5" t="str">
        <f t="shared" si="22"/>
        <v>Week 2</v>
      </c>
      <c r="H469" s="8" t="str">
        <f t="shared" si="23"/>
        <v>July 23 Week 2</v>
      </c>
      <c r="I469" s="5" t="str">
        <f>CONCATENATE(UPPER(TableAopCalendar[[#This Row],[Month]])," ",TableAopCalendar[[#This Row],[Year]])</f>
        <v>JULY 23</v>
      </c>
      <c r="J469" s="8" t="s">
        <v>274</v>
      </c>
      <c r="K469" s="8" t="str">
        <f>CONCATENATE(TableAopCalendar[[#This Row],[Month for Plan]]," ",TableAopCalendar[[#This Row],[Plan]])</f>
        <v>JULY 23 PLANNED</v>
      </c>
    </row>
    <row r="470" spans="1:11" x14ac:dyDescent="0.25">
      <c r="A470" s="5">
        <f t="shared" si="21"/>
        <v>6</v>
      </c>
      <c r="B470" s="6">
        <v>45120</v>
      </c>
      <c r="C470" s="7" t="s">
        <v>267</v>
      </c>
      <c r="D470" s="7">
        <v>23</v>
      </c>
      <c r="E470" s="5">
        <f>DAY(TableAopCalendar[[#This Row],[Date]])</f>
        <v>13</v>
      </c>
      <c r="F47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70" s="5" t="str">
        <f t="shared" si="22"/>
        <v>Week 2</v>
      </c>
      <c r="H470" s="8" t="str">
        <f t="shared" si="23"/>
        <v>July 23 Week 2</v>
      </c>
      <c r="I470" s="5" t="str">
        <f>CONCATENATE(UPPER(TableAopCalendar[[#This Row],[Month]])," ",TableAopCalendar[[#This Row],[Year]])</f>
        <v>JULY 23</v>
      </c>
      <c r="J470" s="8" t="s">
        <v>274</v>
      </c>
      <c r="K470" s="8" t="str">
        <f>CONCATENATE(TableAopCalendar[[#This Row],[Month for Plan]]," ",TableAopCalendar[[#This Row],[Plan]])</f>
        <v>JULY 23 PLANNED</v>
      </c>
    </row>
    <row r="471" spans="1:11" x14ac:dyDescent="0.25">
      <c r="A471" s="5">
        <f t="shared" si="21"/>
        <v>7</v>
      </c>
      <c r="B471" s="6">
        <v>45121</v>
      </c>
      <c r="C471" s="7" t="s">
        <v>267</v>
      </c>
      <c r="D471" s="7">
        <v>23</v>
      </c>
      <c r="E471" s="5">
        <f>DAY(TableAopCalendar[[#This Row],[Date]])</f>
        <v>14</v>
      </c>
      <c r="F47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71" s="5" t="str">
        <f t="shared" si="22"/>
        <v>Week 2</v>
      </c>
      <c r="H471" s="8" t="str">
        <f t="shared" si="23"/>
        <v>July 23 Week 2</v>
      </c>
      <c r="I471" s="5" t="str">
        <f>CONCATENATE(UPPER(TableAopCalendar[[#This Row],[Month]])," ",TableAopCalendar[[#This Row],[Year]])</f>
        <v>JULY 23</v>
      </c>
      <c r="J471" s="8" t="s">
        <v>274</v>
      </c>
      <c r="K471" s="8" t="str">
        <f>CONCATENATE(TableAopCalendar[[#This Row],[Month for Plan]]," ",TableAopCalendar[[#This Row],[Plan]])</f>
        <v>JULY 23 PLANNED</v>
      </c>
    </row>
    <row r="472" spans="1:11" x14ac:dyDescent="0.25">
      <c r="A472" s="5">
        <f t="shared" si="21"/>
        <v>1</v>
      </c>
      <c r="B472" s="6">
        <v>45122</v>
      </c>
      <c r="C472" s="7" t="s">
        <v>267</v>
      </c>
      <c r="D472" s="7">
        <v>23</v>
      </c>
      <c r="E472" s="5">
        <f>DAY(TableAopCalendar[[#This Row],[Date]])</f>
        <v>15</v>
      </c>
      <c r="F47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2" s="5" t="str">
        <f t="shared" si="22"/>
        <v>Week 3</v>
      </c>
      <c r="H472" s="8" t="str">
        <f t="shared" si="23"/>
        <v>July 23 Week 3</v>
      </c>
      <c r="I472" s="5" t="str">
        <f>CONCATENATE(UPPER(TableAopCalendar[[#This Row],[Month]])," ",TableAopCalendar[[#This Row],[Year]])</f>
        <v>JULY 23</v>
      </c>
      <c r="J472" s="8" t="s">
        <v>274</v>
      </c>
      <c r="K472" s="8" t="str">
        <f>CONCATENATE(TableAopCalendar[[#This Row],[Month for Plan]]," ",TableAopCalendar[[#This Row],[Plan]])</f>
        <v>JULY 23 PLANNED</v>
      </c>
    </row>
    <row r="473" spans="1:11" x14ac:dyDescent="0.25">
      <c r="A473" s="5">
        <f t="shared" si="21"/>
        <v>2</v>
      </c>
      <c r="B473" s="6">
        <v>45123</v>
      </c>
      <c r="C473" s="7" t="s">
        <v>267</v>
      </c>
      <c r="D473" s="7">
        <v>23</v>
      </c>
      <c r="E473" s="5">
        <f>DAY(TableAopCalendar[[#This Row],[Date]])</f>
        <v>16</v>
      </c>
      <c r="F47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3" s="5" t="str">
        <f t="shared" si="22"/>
        <v>Week 3</v>
      </c>
      <c r="H473" s="8" t="str">
        <f t="shared" si="23"/>
        <v>July 23 Week 3</v>
      </c>
      <c r="I473" s="5" t="str">
        <f>CONCATENATE(UPPER(TableAopCalendar[[#This Row],[Month]])," ",TableAopCalendar[[#This Row],[Year]])</f>
        <v>JULY 23</v>
      </c>
      <c r="J473" s="8" t="s">
        <v>274</v>
      </c>
      <c r="K473" s="8" t="str">
        <f>CONCATENATE(TableAopCalendar[[#This Row],[Month for Plan]]," ",TableAopCalendar[[#This Row],[Plan]])</f>
        <v>JULY 23 PLANNED</v>
      </c>
    </row>
    <row r="474" spans="1:11" x14ac:dyDescent="0.25">
      <c r="A474" s="5">
        <f t="shared" si="21"/>
        <v>3</v>
      </c>
      <c r="B474" s="6">
        <v>45124</v>
      </c>
      <c r="C474" s="7" t="s">
        <v>267</v>
      </c>
      <c r="D474" s="7">
        <v>23</v>
      </c>
      <c r="E474" s="5">
        <f>DAY(TableAopCalendar[[#This Row],[Date]])</f>
        <v>17</v>
      </c>
      <c r="F474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4" s="5" t="str">
        <f t="shared" si="22"/>
        <v>Week 3</v>
      </c>
      <c r="H474" s="8" t="str">
        <f t="shared" si="23"/>
        <v>July 23 Week 3</v>
      </c>
      <c r="I474" s="5" t="str">
        <f>CONCATENATE(UPPER(TableAopCalendar[[#This Row],[Month]])," ",TableAopCalendar[[#This Row],[Year]])</f>
        <v>JULY 23</v>
      </c>
      <c r="J474" s="8" t="s">
        <v>274</v>
      </c>
      <c r="K474" s="8" t="str">
        <f>CONCATENATE(TableAopCalendar[[#This Row],[Month for Plan]]," ",TableAopCalendar[[#This Row],[Plan]])</f>
        <v>JULY 23 PLANNED</v>
      </c>
    </row>
    <row r="475" spans="1:11" x14ac:dyDescent="0.25">
      <c r="A475" s="5">
        <f t="shared" si="21"/>
        <v>4</v>
      </c>
      <c r="B475" s="6">
        <v>45125</v>
      </c>
      <c r="C475" s="7" t="s">
        <v>267</v>
      </c>
      <c r="D475" s="7">
        <v>23</v>
      </c>
      <c r="E475" s="5">
        <f>DAY(TableAopCalendar[[#This Row],[Date]])</f>
        <v>18</v>
      </c>
      <c r="F47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5" s="5" t="str">
        <f t="shared" si="22"/>
        <v>Week 3</v>
      </c>
      <c r="H475" s="8" t="str">
        <f t="shared" si="23"/>
        <v>July 23 Week 3</v>
      </c>
      <c r="I475" s="5" t="str">
        <f>CONCATENATE(UPPER(TableAopCalendar[[#This Row],[Month]])," ",TableAopCalendar[[#This Row],[Year]])</f>
        <v>JULY 23</v>
      </c>
      <c r="J475" s="8" t="s">
        <v>274</v>
      </c>
      <c r="K475" s="8" t="str">
        <f>CONCATENATE(TableAopCalendar[[#This Row],[Month for Plan]]," ",TableAopCalendar[[#This Row],[Plan]])</f>
        <v>JULY 23 PLANNED</v>
      </c>
    </row>
    <row r="476" spans="1:11" x14ac:dyDescent="0.25">
      <c r="A476" s="5">
        <f t="shared" si="21"/>
        <v>5</v>
      </c>
      <c r="B476" s="6">
        <v>45126</v>
      </c>
      <c r="C476" s="7" t="s">
        <v>267</v>
      </c>
      <c r="D476" s="7">
        <v>23</v>
      </c>
      <c r="E476" s="5">
        <f>DAY(TableAopCalendar[[#This Row],[Date]])</f>
        <v>19</v>
      </c>
      <c r="F47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6" s="5" t="str">
        <f t="shared" si="22"/>
        <v>Week 3</v>
      </c>
      <c r="H476" s="8" t="str">
        <f t="shared" si="23"/>
        <v>July 23 Week 3</v>
      </c>
      <c r="I476" s="5" t="str">
        <f>CONCATENATE(UPPER(TableAopCalendar[[#This Row],[Month]])," ",TableAopCalendar[[#This Row],[Year]])</f>
        <v>JULY 23</v>
      </c>
      <c r="J476" s="8" t="s">
        <v>274</v>
      </c>
      <c r="K476" s="8" t="str">
        <f>CONCATENATE(TableAopCalendar[[#This Row],[Month for Plan]]," ",TableAopCalendar[[#This Row],[Plan]])</f>
        <v>JULY 23 PLANNED</v>
      </c>
    </row>
    <row r="477" spans="1:11" x14ac:dyDescent="0.25">
      <c r="A477" s="5">
        <f t="shared" si="21"/>
        <v>6</v>
      </c>
      <c r="B477" s="6">
        <v>45127</v>
      </c>
      <c r="C477" s="7" t="s">
        <v>267</v>
      </c>
      <c r="D477" s="7">
        <v>23</v>
      </c>
      <c r="E477" s="5">
        <f>DAY(TableAopCalendar[[#This Row],[Date]])</f>
        <v>20</v>
      </c>
      <c r="F47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7" s="5" t="str">
        <f t="shared" si="22"/>
        <v>Week 3</v>
      </c>
      <c r="H477" s="8" t="str">
        <f t="shared" si="23"/>
        <v>July 23 Week 3</v>
      </c>
      <c r="I477" s="5" t="str">
        <f>CONCATENATE(UPPER(TableAopCalendar[[#This Row],[Month]])," ",TableAopCalendar[[#This Row],[Year]])</f>
        <v>JULY 23</v>
      </c>
      <c r="J477" s="8" t="s">
        <v>274</v>
      </c>
      <c r="K477" s="8" t="str">
        <f>CONCATENATE(TableAopCalendar[[#This Row],[Month for Plan]]," ",TableAopCalendar[[#This Row],[Plan]])</f>
        <v>JULY 23 PLANNED</v>
      </c>
    </row>
    <row r="478" spans="1:11" x14ac:dyDescent="0.25">
      <c r="A478" s="5">
        <f t="shared" si="21"/>
        <v>7</v>
      </c>
      <c r="B478" s="6">
        <v>45128</v>
      </c>
      <c r="C478" s="7" t="s">
        <v>267</v>
      </c>
      <c r="D478" s="7">
        <v>23</v>
      </c>
      <c r="E478" s="5">
        <f>DAY(TableAopCalendar[[#This Row],[Date]])</f>
        <v>21</v>
      </c>
      <c r="F47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478" s="5" t="str">
        <f t="shared" si="22"/>
        <v>Week 3</v>
      </c>
      <c r="H478" s="8" t="str">
        <f t="shared" si="23"/>
        <v>July 23 Week 3</v>
      </c>
      <c r="I478" s="5" t="str">
        <f>CONCATENATE(UPPER(TableAopCalendar[[#This Row],[Month]])," ",TableAopCalendar[[#This Row],[Year]])</f>
        <v>JULY 23</v>
      </c>
      <c r="J478" s="8" t="s">
        <v>274</v>
      </c>
      <c r="K478" s="8" t="str">
        <f>CONCATENATE(TableAopCalendar[[#This Row],[Month for Plan]]," ",TableAopCalendar[[#This Row],[Plan]])</f>
        <v>JULY 23 PLANNED</v>
      </c>
    </row>
    <row r="479" spans="1:11" x14ac:dyDescent="0.25">
      <c r="A479" s="5">
        <f t="shared" si="21"/>
        <v>1</v>
      </c>
      <c r="B479" s="6">
        <v>45129</v>
      </c>
      <c r="C479" s="7" t="s">
        <v>267</v>
      </c>
      <c r="D479" s="7">
        <v>23</v>
      </c>
      <c r="E479" s="5">
        <f>DAY(TableAopCalendar[[#This Row],[Date]])</f>
        <v>22</v>
      </c>
      <c r="F47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79" s="5" t="str">
        <f t="shared" si="22"/>
        <v>Week 4</v>
      </c>
      <c r="H479" s="8" t="str">
        <f t="shared" si="23"/>
        <v>July 23 Week 4</v>
      </c>
      <c r="I479" s="5" t="str">
        <f>CONCATENATE(UPPER(TableAopCalendar[[#This Row],[Month]])," ",TableAopCalendar[[#This Row],[Year]])</f>
        <v>JULY 23</v>
      </c>
      <c r="J479" s="8" t="s">
        <v>274</v>
      </c>
      <c r="K479" s="8" t="str">
        <f>CONCATENATE(TableAopCalendar[[#This Row],[Month for Plan]]," ",TableAopCalendar[[#This Row],[Plan]])</f>
        <v>JULY 23 PLANNED</v>
      </c>
    </row>
    <row r="480" spans="1:11" x14ac:dyDescent="0.25">
      <c r="A480" s="5">
        <f t="shared" si="21"/>
        <v>2</v>
      </c>
      <c r="B480" s="6">
        <v>45130</v>
      </c>
      <c r="C480" s="7" t="s">
        <v>267</v>
      </c>
      <c r="D480" s="7">
        <v>23</v>
      </c>
      <c r="E480" s="5">
        <f>DAY(TableAopCalendar[[#This Row],[Date]])</f>
        <v>23</v>
      </c>
      <c r="F48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80" s="5" t="str">
        <f t="shared" si="22"/>
        <v>Week 4</v>
      </c>
      <c r="H480" s="8" t="str">
        <f t="shared" si="23"/>
        <v>July 23 Week 4</v>
      </c>
      <c r="I480" s="5" t="str">
        <f>CONCATENATE(UPPER(TableAopCalendar[[#This Row],[Month]])," ",TableAopCalendar[[#This Row],[Year]])</f>
        <v>JULY 23</v>
      </c>
      <c r="J480" s="8" t="s">
        <v>274</v>
      </c>
      <c r="K480" s="8" t="str">
        <f>CONCATENATE(TableAopCalendar[[#This Row],[Month for Plan]]," ",TableAopCalendar[[#This Row],[Plan]])</f>
        <v>JULY 23 PLANNED</v>
      </c>
    </row>
    <row r="481" spans="1:11" x14ac:dyDescent="0.25">
      <c r="A481" s="5">
        <f t="shared" si="21"/>
        <v>3</v>
      </c>
      <c r="B481" s="6">
        <v>45131</v>
      </c>
      <c r="C481" s="7" t="s">
        <v>267</v>
      </c>
      <c r="D481" s="7">
        <v>23</v>
      </c>
      <c r="E481" s="5">
        <f>DAY(TableAopCalendar[[#This Row],[Date]])</f>
        <v>24</v>
      </c>
      <c r="F481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81" s="5" t="str">
        <f t="shared" si="22"/>
        <v>Week 4</v>
      </c>
      <c r="H481" s="8" t="str">
        <f t="shared" si="23"/>
        <v>July 23 Week 4</v>
      </c>
      <c r="I481" s="5" t="str">
        <f>CONCATENATE(UPPER(TableAopCalendar[[#This Row],[Month]])," ",TableAopCalendar[[#This Row],[Year]])</f>
        <v>JULY 23</v>
      </c>
      <c r="J481" s="8" t="s">
        <v>274</v>
      </c>
      <c r="K481" s="8" t="str">
        <f>CONCATENATE(TableAopCalendar[[#This Row],[Month for Plan]]," ",TableAopCalendar[[#This Row],[Plan]])</f>
        <v>JULY 23 PLANNED</v>
      </c>
    </row>
    <row r="482" spans="1:11" x14ac:dyDescent="0.25">
      <c r="A482" s="5">
        <f t="shared" si="21"/>
        <v>4</v>
      </c>
      <c r="B482" s="6">
        <v>45132</v>
      </c>
      <c r="C482" s="7" t="s">
        <v>267</v>
      </c>
      <c r="D482" s="7">
        <v>23</v>
      </c>
      <c r="E482" s="5">
        <f>DAY(TableAopCalendar[[#This Row],[Date]])</f>
        <v>25</v>
      </c>
      <c r="F48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82" s="5" t="str">
        <f t="shared" si="22"/>
        <v>Week 4</v>
      </c>
      <c r="H482" s="8" t="str">
        <f t="shared" si="23"/>
        <v>July 23 Week 4</v>
      </c>
      <c r="I482" s="5" t="str">
        <f>CONCATENATE(UPPER(TableAopCalendar[[#This Row],[Month]])," ",TableAopCalendar[[#This Row],[Year]])</f>
        <v>JULY 23</v>
      </c>
      <c r="J482" s="8" t="s">
        <v>274</v>
      </c>
      <c r="K482" s="8" t="str">
        <f>CONCATENATE(TableAopCalendar[[#This Row],[Month for Plan]]," ",TableAopCalendar[[#This Row],[Plan]])</f>
        <v>JULY 23 PLANNED</v>
      </c>
    </row>
    <row r="483" spans="1:11" x14ac:dyDescent="0.25">
      <c r="A483" s="5">
        <f t="shared" si="21"/>
        <v>5</v>
      </c>
      <c r="B483" s="6">
        <v>45133</v>
      </c>
      <c r="C483" s="7" t="s">
        <v>267</v>
      </c>
      <c r="D483" s="7">
        <v>23</v>
      </c>
      <c r="E483" s="5">
        <f>DAY(TableAopCalendar[[#This Row],[Date]])</f>
        <v>26</v>
      </c>
      <c r="F48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83" s="5" t="str">
        <f t="shared" si="22"/>
        <v>Week 4</v>
      </c>
      <c r="H483" s="8" t="str">
        <f t="shared" si="23"/>
        <v>July 23 Week 4</v>
      </c>
      <c r="I483" s="5" t="str">
        <f>CONCATENATE(UPPER(TableAopCalendar[[#This Row],[Month]])," ",TableAopCalendar[[#This Row],[Year]])</f>
        <v>JULY 23</v>
      </c>
      <c r="J483" s="8" t="s">
        <v>274</v>
      </c>
      <c r="K483" s="8" t="str">
        <f>CONCATENATE(TableAopCalendar[[#This Row],[Month for Plan]]," ",TableAopCalendar[[#This Row],[Plan]])</f>
        <v>JULY 23 PLANNED</v>
      </c>
    </row>
    <row r="484" spans="1:11" x14ac:dyDescent="0.25">
      <c r="A484" s="5">
        <f t="shared" si="21"/>
        <v>6</v>
      </c>
      <c r="B484" s="6">
        <v>45134</v>
      </c>
      <c r="C484" s="7" t="s">
        <v>267</v>
      </c>
      <c r="D484" s="7">
        <v>23</v>
      </c>
      <c r="E484" s="5">
        <f>DAY(TableAopCalendar[[#This Row],[Date]])</f>
        <v>27</v>
      </c>
      <c r="F48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84" s="5" t="str">
        <f t="shared" si="22"/>
        <v>Week 4</v>
      </c>
      <c r="H484" s="8" t="str">
        <f t="shared" si="23"/>
        <v>July 23 Week 4</v>
      </c>
      <c r="I484" s="5" t="str">
        <f>CONCATENATE(UPPER(TableAopCalendar[[#This Row],[Month]])," ",TableAopCalendar[[#This Row],[Year]])</f>
        <v>JULY 23</v>
      </c>
      <c r="J484" s="8" t="s">
        <v>274</v>
      </c>
      <c r="K484" s="8" t="str">
        <f>CONCATENATE(TableAopCalendar[[#This Row],[Month for Plan]]," ",TableAopCalendar[[#This Row],[Plan]])</f>
        <v>JULY 23 PLANNED</v>
      </c>
    </row>
    <row r="485" spans="1:11" x14ac:dyDescent="0.25">
      <c r="A485" s="5">
        <f t="shared" si="21"/>
        <v>7</v>
      </c>
      <c r="B485" s="6">
        <v>45135</v>
      </c>
      <c r="C485" s="7" t="s">
        <v>267</v>
      </c>
      <c r="D485" s="7">
        <v>23</v>
      </c>
      <c r="E485" s="5">
        <f>DAY(TableAopCalendar[[#This Row],[Date]])</f>
        <v>28</v>
      </c>
      <c r="F48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485" s="5" t="str">
        <f t="shared" si="22"/>
        <v>Week 4</v>
      </c>
      <c r="H485" s="8" t="str">
        <f t="shared" si="23"/>
        <v>July 23 Week 4</v>
      </c>
      <c r="I485" s="5" t="str">
        <f>CONCATENATE(UPPER(TableAopCalendar[[#This Row],[Month]])," ",TableAopCalendar[[#This Row],[Year]])</f>
        <v>JULY 23</v>
      </c>
      <c r="J485" s="8" t="s">
        <v>274</v>
      </c>
      <c r="K485" s="8" t="str">
        <f>CONCATENATE(TableAopCalendar[[#This Row],[Month for Plan]]," ",TableAopCalendar[[#This Row],[Plan]])</f>
        <v>JULY 23 PLANNED</v>
      </c>
    </row>
    <row r="486" spans="1:11" x14ac:dyDescent="0.25">
      <c r="A486" s="5">
        <f t="shared" si="21"/>
        <v>1</v>
      </c>
      <c r="B486" s="6">
        <v>45136</v>
      </c>
      <c r="C486" s="7" t="s">
        <v>267</v>
      </c>
      <c r="D486" s="7">
        <v>23</v>
      </c>
      <c r="E486" s="5">
        <f>DAY(TableAopCalendar[[#This Row],[Date]])</f>
        <v>29</v>
      </c>
      <c r="F486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86" s="5" t="str">
        <f t="shared" si="22"/>
        <v>Week 5</v>
      </c>
      <c r="H486" s="8" t="str">
        <f t="shared" si="23"/>
        <v>July 23 Week 5</v>
      </c>
      <c r="I486" s="5" t="str">
        <f>CONCATENATE(UPPER(TableAopCalendar[[#This Row],[Month]])," ",TableAopCalendar[[#This Row],[Year]])</f>
        <v>JULY 23</v>
      </c>
      <c r="J486" s="8" t="s">
        <v>274</v>
      </c>
      <c r="K486" s="8" t="str">
        <f>CONCATENATE(TableAopCalendar[[#This Row],[Month for Plan]]," ",TableAopCalendar[[#This Row],[Plan]])</f>
        <v>JULY 23 PLANNED</v>
      </c>
    </row>
    <row r="487" spans="1:11" x14ac:dyDescent="0.25">
      <c r="A487" s="5">
        <f t="shared" si="21"/>
        <v>2</v>
      </c>
      <c r="B487" s="6">
        <v>45137</v>
      </c>
      <c r="C487" s="7" t="s">
        <v>267</v>
      </c>
      <c r="D487" s="7">
        <v>23</v>
      </c>
      <c r="E487" s="5">
        <f>DAY(TableAopCalendar[[#This Row],[Date]])</f>
        <v>30</v>
      </c>
      <c r="F487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87" s="5" t="str">
        <f t="shared" si="22"/>
        <v>Week 5</v>
      </c>
      <c r="H487" s="8" t="str">
        <f t="shared" si="23"/>
        <v>July 23 Week 5</v>
      </c>
      <c r="I487" s="5" t="str">
        <f>CONCATENATE(UPPER(TableAopCalendar[[#This Row],[Month]])," ",TableAopCalendar[[#This Row],[Year]])</f>
        <v>JULY 23</v>
      </c>
      <c r="J487" s="8" t="s">
        <v>274</v>
      </c>
      <c r="K487" s="8" t="str">
        <f>CONCATENATE(TableAopCalendar[[#This Row],[Month for Plan]]," ",TableAopCalendar[[#This Row],[Plan]])</f>
        <v>JULY 23 PLANNED</v>
      </c>
    </row>
    <row r="488" spans="1:11" x14ac:dyDescent="0.25">
      <c r="A488" s="5">
        <f t="shared" si="21"/>
        <v>3</v>
      </c>
      <c r="B488" s="6">
        <v>45138</v>
      </c>
      <c r="C488" s="7" t="s">
        <v>267</v>
      </c>
      <c r="D488" s="7">
        <v>23</v>
      </c>
      <c r="E488" s="5">
        <f>DAY(TableAopCalendar[[#This Row],[Date]])</f>
        <v>31</v>
      </c>
      <c r="F488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488" s="5" t="str">
        <f t="shared" si="22"/>
        <v>Week 5</v>
      </c>
      <c r="H488" s="8" t="str">
        <f t="shared" si="23"/>
        <v>July 23 Week 5</v>
      </c>
      <c r="I488" s="5" t="str">
        <f>CONCATENATE(UPPER(TableAopCalendar[[#This Row],[Month]])," ",TableAopCalendar[[#This Row],[Year]])</f>
        <v>JULY 23</v>
      </c>
      <c r="J488" s="8" t="s">
        <v>274</v>
      </c>
      <c r="K488" s="8" t="str">
        <f>CONCATENATE(TableAopCalendar[[#This Row],[Month for Plan]]," ",TableAopCalendar[[#This Row],[Plan]])</f>
        <v>JULY 23 PLANNED</v>
      </c>
    </row>
    <row r="489" spans="1:11" x14ac:dyDescent="0.25">
      <c r="A489" s="5">
        <f t="shared" si="21"/>
        <v>1</v>
      </c>
      <c r="B489" s="6">
        <v>45139</v>
      </c>
      <c r="C489" s="7" t="s">
        <v>268</v>
      </c>
      <c r="D489" s="7">
        <v>23</v>
      </c>
      <c r="E489" s="5">
        <f>DAY(TableAopCalendar[[#This Row],[Date]])</f>
        <v>1</v>
      </c>
      <c r="F48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89" s="5" t="str">
        <f t="shared" si="22"/>
        <v>Week 1</v>
      </c>
      <c r="H489" s="8" t="str">
        <f t="shared" si="23"/>
        <v>August 23 Week 1</v>
      </c>
      <c r="I489" s="5" t="str">
        <f>CONCATENATE(UPPER(TableAopCalendar[[#This Row],[Month]])," ",TableAopCalendar[[#This Row],[Year]])</f>
        <v>AUGUST 23</v>
      </c>
      <c r="J489" s="8" t="s">
        <v>274</v>
      </c>
      <c r="K489" s="8" t="str">
        <f>CONCATENATE(TableAopCalendar[[#This Row],[Month for Plan]]," ",TableAopCalendar[[#This Row],[Plan]])</f>
        <v>AUGUST 23 PLANNED</v>
      </c>
    </row>
    <row r="490" spans="1:11" x14ac:dyDescent="0.25">
      <c r="A490" s="5">
        <f t="shared" si="21"/>
        <v>2</v>
      </c>
      <c r="B490" s="6">
        <v>45140</v>
      </c>
      <c r="C490" s="7" t="s">
        <v>268</v>
      </c>
      <c r="D490" s="7">
        <v>23</v>
      </c>
      <c r="E490" s="5">
        <f>DAY(TableAopCalendar[[#This Row],[Date]])</f>
        <v>2</v>
      </c>
      <c r="F490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90" s="5" t="str">
        <f t="shared" si="22"/>
        <v>Week 1</v>
      </c>
      <c r="H490" s="8" t="str">
        <f t="shared" si="23"/>
        <v>August 23 Week 1</v>
      </c>
      <c r="I490" s="5" t="str">
        <f>CONCATENATE(UPPER(TableAopCalendar[[#This Row],[Month]])," ",TableAopCalendar[[#This Row],[Year]])</f>
        <v>AUGUST 23</v>
      </c>
      <c r="J490" s="8" t="s">
        <v>274</v>
      </c>
      <c r="K490" s="8" t="str">
        <f>CONCATENATE(TableAopCalendar[[#This Row],[Month for Plan]]," ",TableAopCalendar[[#This Row],[Plan]])</f>
        <v>AUGUST 23 PLANNED</v>
      </c>
    </row>
    <row r="491" spans="1:11" x14ac:dyDescent="0.25">
      <c r="A491" s="5">
        <f t="shared" si="21"/>
        <v>3</v>
      </c>
      <c r="B491" s="6">
        <v>45141</v>
      </c>
      <c r="C491" s="7" t="s">
        <v>268</v>
      </c>
      <c r="D491" s="7">
        <v>23</v>
      </c>
      <c r="E491" s="5">
        <f>DAY(TableAopCalendar[[#This Row],[Date]])</f>
        <v>3</v>
      </c>
      <c r="F49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91" s="5" t="str">
        <f t="shared" si="22"/>
        <v>Week 1</v>
      </c>
      <c r="H491" s="8" t="str">
        <f t="shared" si="23"/>
        <v>August 23 Week 1</v>
      </c>
      <c r="I491" s="5" t="str">
        <f>CONCATENATE(UPPER(TableAopCalendar[[#This Row],[Month]])," ",TableAopCalendar[[#This Row],[Year]])</f>
        <v>AUGUST 23</v>
      </c>
      <c r="J491" s="8" t="s">
        <v>274</v>
      </c>
      <c r="K491" s="8" t="str">
        <f>CONCATENATE(TableAopCalendar[[#This Row],[Month for Plan]]," ",TableAopCalendar[[#This Row],[Plan]])</f>
        <v>AUGUST 23 PLANNED</v>
      </c>
    </row>
    <row r="492" spans="1:11" x14ac:dyDescent="0.25">
      <c r="A492" s="5">
        <f t="shared" si="21"/>
        <v>4</v>
      </c>
      <c r="B492" s="6">
        <v>45142</v>
      </c>
      <c r="C492" s="7" t="s">
        <v>268</v>
      </c>
      <c r="D492" s="7">
        <v>23</v>
      </c>
      <c r="E492" s="5">
        <f>DAY(TableAopCalendar[[#This Row],[Date]])</f>
        <v>4</v>
      </c>
      <c r="F49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92" s="5" t="str">
        <f t="shared" si="22"/>
        <v>Week 1</v>
      </c>
      <c r="H492" s="8" t="str">
        <f t="shared" si="23"/>
        <v>August 23 Week 1</v>
      </c>
      <c r="I492" s="5" t="str">
        <f>CONCATENATE(UPPER(TableAopCalendar[[#This Row],[Month]])," ",TableAopCalendar[[#This Row],[Year]])</f>
        <v>AUGUST 23</v>
      </c>
      <c r="J492" s="8" t="s">
        <v>274</v>
      </c>
      <c r="K492" s="8" t="str">
        <f>CONCATENATE(TableAopCalendar[[#This Row],[Month for Plan]]," ",TableAopCalendar[[#This Row],[Plan]])</f>
        <v>AUGUST 23 PLANNED</v>
      </c>
    </row>
    <row r="493" spans="1:11" x14ac:dyDescent="0.25">
      <c r="A493" s="5">
        <f t="shared" si="21"/>
        <v>5</v>
      </c>
      <c r="B493" s="6">
        <v>45143</v>
      </c>
      <c r="C493" s="7" t="s">
        <v>268</v>
      </c>
      <c r="D493" s="7">
        <v>23</v>
      </c>
      <c r="E493" s="5">
        <f>DAY(TableAopCalendar[[#This Row],[Date]])</f>
        <v>5</v>
      </c>
      <c r="F49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93" s="5" t="str">
        <f t="shared" si="22"/>
        <v>Week 1</v>
      </c>
      <c r="H493" s="8" t="str">
        <f t="shared" si="23"/>
        <v>August 23 Week 1</v>
      </c>
      <c r="I493" s="5" t="str">
        <f>CONCATENATE(UPPER(TableAopCalendar[[#This Row],[Month]])," ",TableAopCalendar[[#This Row],[Year]])</f>
        <v>AUGUST 23</v>
      </c>
      <c r="J493" s="8" t="s">
        <v>274</v>
      </c>
      <c r="K493" s="8" t="str">
        <f>CONCATENATE(TableAopCalendar[[#This Row],[Month for Plan]]," ",TableAopCalendar[[#This Row],[Plan]])</f>
        <v>AUGUST 23 PLANNED</v>
      </c>
    </row>
    <row r="494" spans="1:11" x14ac:dyDescent="0.25">
      <c r="A494" s="5">
        <f t="shared" si="21"/>
        <v>6</v>
      </c>
      <c r="B494" s="6">
        <v>45144</v>
      </c>
      <c r="C494" s="7" t="s">
        <v>268</v>
      </c>
      <c r="D494" s="7">
        <v>23</v>
      </c>
      <c r="E494" s="5">
        <f>DAY(TableAopCalendar[[#This Row],[Date]])</f>
        <v>6</v>
      </c>
      <c r="F49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94" s="5" t="str">
        <f t="shared" si="22"/>
        <v>Week 1</v>
      </c>
      <c r="H494" s="8" t="str">
        <f t="shared" si="23"/>
        <v>August 23 Week 1</v>
      </c>
      <c r="I494" s="5" t="str">
        <f>CONCATENATE(UPPER(TableAopCalendar[[#This Row],[Month]])," ",TableAopCalendar[[#This Row],[Year]])</f>
        <v>AUGUST 23</v>
      </c>
      <c r="J494" s="8" t="s">
        <v>274</v>
      </c>
      <c r="K494" s="8" t="str">
        <f>CONCATENATE(TableAopCalendar[[#This Row],[Month for Plan]]," ",TableAopCalendar[[#This Row],[Plan]])</f>
        <v>AUGUST 23 PLANNED</v>
      </c>
    </row>
    <row r="495" spans="1:11" x14ac:dyDescent="0.25">
      <c r="A495" s="5">
        <f t="shared" si="21"/>
        <v>7</v>
      </c>
      <c r="B495" s="6">
        <v>45145</v>
      </c>
      <c r="C495" s="7" t="s">
        <v>268</v>
      </c>
      <c r="D495" s="7">
        <v>23</v>
      </c>
      <c r="E495" s="5">
        <f>DAY(TableAopCalendar[[#This Row],[Date]])</f>
        <v>7</v>
      </c>
      <c r="F495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495" s="5" t="str">
        <f t="shared" si="22"/>
        <v>Week 1</v>
      </c>
      <c r="H495" s="8" t="str">
        <f t="shared" si="23"/>
        <v>August 23 Week 1</v>
      </c>
      <c r="I495" s="5" t="str">
        <f>CONCATENATE(UPPER(TableAopCalendar[[#This Row],[Month]])," ",TableAopCalendar[[#This Row],[Year]])</f>
        <v>AUGUST 23</v>
      </c>
      <c r="J495" s="8" t="s">
        <v>274</v>
      </c>
      <c r="K495" s="8" t="str">
        <f>CONCATENATE(TableAopCalendar[[#This Row],[Month for Plan]]," ",TableAopCalendar[[#This Row],[Plan]])</f>
        <v>AUGUST 23 PLANNED</v>
      </c>
    </row>
    <row r="496" spans="1:11" x14ac:dyDescent="0.25">
      <c r="A496" s="5">
        <f t="shared" si="21"/>
        <v>1</v>
      </c>
      <c r="B496" s="6">
        <v>45146</v>
      </c>
      <c r="C496" s="7" t="s">
        <v>268</v>
      </c>
      <c r="D496" s="7">
        <v>23</v>
      </c>
      <c r="E496" s="5">
        <f>DAY(TableAopCalendar[[#This Row],[Date]])</f>
        <v>8</v>
      </c>
      <c r="F49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96" s="5" t="str">
        <f t="shared" si="22"/>
        <v>Week 2</v>
      </c>
      <c r="H496" s="8" t="str">
        <f t="shared" si="23"/>
        <v>August 23 Week 2</v>
      </c>
      <c r="I496" s="5" t="str">
        <f>CONCATENATE(UPPER(TableAopCalendar[[#This Row],[Month]])," ",TableAopCalendar[[#This Row],[Year]])</f>
        <v>AUGUST 23</v>
      </c>
      <c r="J496" s="8" t="s">
        <v>274</v>
      </c>
      <c r="K496" s="8" t="str">
        <f>CONCATENATE(TableAopCalendar[[#This Row],[Month for Plan]]," ",TableAopCalendar[[#This Row],[Plan]])</f>
        <v>AUGUST 23 PLANNED</v>
      </c>
    </row>
    <row r="497" spans="1:11" x14ac:dyDescent="0.25">
      <c r="A497" s="5">
        <f t="shared" si="21"/>
        <v>2</v>
      </c>
      <c r="B497" s="6">
        <v>45147</v>
      </c>
      <c r="C497" s="7" t="s">
        <v>268</v>
      </c>
      <c r="D497" s="7">
        <v>23</v>
      </c>
      <c r="E497" s="5">
        <f>DAY(TableAopCalendar[[#This Row],[Date]])</f>
        <v>9</v>
      </c>
      <c r="F497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97" s="5" t="str">
        <f t="shared" si="22"/>
        <v>Week 2</v>
      </c>
      <c r="H497" s="8" t="str">
        <f t="shared" si="23"/>
        <v>August 23 Week 2</v>
      </c>
      <c r="I497" s="5" t="str">
        <f>CONCATENATE(UPPER(TableAopCalendar[[#This Row],[Month]])," ",TableAopCalendar[[#This Row],[Year]])</f>
        <v>AUGUST 23</v>
      </c>
      <c r="J497" s="8" t="s">
        <v>274</v>
      </c>
      <c r="K497" s="8" t="str">
        <f>CONCATENATE(TableAopCalendar[[#This Row],[Month for Plan]]," ",TableAopCalendar[[#This Row],[Plan]])</f>
        <v>AUGUST 23 PLANNED</v>
      </c>
    </row>
    <row r="498" spans="1:11" x14ac:dyDescent="0.25">
      <c r="A498" s="5">
        <f t="shared" si="21"/>
        <v>3</v>
      </c>
      <c r="B498" s="6">
        <v>45148</v>
      </c>
      <c r="C498" s="7" t="s">
        <v>268</v>
      </c>
      <c r="D498" s="7">
        <v>23</v>
      </c>
      <c r="E498" s="5">
        <f>DAY(TableAopCalendar[[#This Row],[Date]])</f>
        <v>10</v>
      </c>
      <c r="F49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98" s="5" t="str">
        <f t="shared" si="22"/>
        <v>Week 2</v>
      </c>
      <c r="H498" s="8" t="str">
        <f t="shared" si="23"/>
        <v>August 23 Week 2</v>
      </c>
      <c r="I498" s="5" t="str">
        <f>CONCATENATE(UPPER(TableAopCalendar[[#This Row],[Month]])," ",TableAopCalendar[[#This Row],[Year]])</f>
        <v>AUGUST 23</v>
      </c>
      <c r="J498" s="8" t="s">
        <v>274</v>
      </c>
      <c r="K498" s="8" t="str">
        <f>CONCATENATE(TableAopCalendar[[#This Row],[Month for Plan]]," ",TableAopCalendar[[#This Row],[Plan]])</f>
        <v>AUGUST 23 PLANNED</v>
      </c>
    </row>
    <row r="499" spans="1:11" x14ac:dyDescent="0.25">
      <c r="A499" s="5">
        <f t="shared" si="21"/>
        <v>4</v>
      </c>
      <c r="B499" s="6">
        <v>45149</v>
      </c>
      <c r="C499" s="7" t="s">
        <v>268</v>
      </c>
      <c r="D499" s="7">
        <v>23</v>
      </c>
      <c r="E499" s="5">
        <f>DAY(TableAopCalendar[[#This Row],[Date]])</f>
        <v>11</v>
      </c>
      <c r="F49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499" s="5" t="str">
        <f t="shared" si="22"/>
        <v>Week 2</v>
      </c>
      <c r="H499" s="8" t="str">
        <f t="shared" si="23"/>
        <v>August 23 Week 2</v>
      </c>
      <c r="I499" s="5" t="str">
        <f>CONCATENATE(UPPER(TableAopCalendar[[#This Row],[Month]])," ",TableAopCalendar[[#This Row],[Year]])</f>
        <v>AUGUST 23</v>
      </c>
      <c r="J499" s="8" t="s">
        <v>274</v>
      </c>
      <c r="K499" s="8" t="str">
        <f>CONCATENATE(TableAopCalendar[[#This Row],[Month for Plan]]," ",TableAopCalendar[[#This Row],[Plan]])</f>
        <v>AUGUST 23 PLANNED</v>
      </c>
    </row>
    <row r="500" spans="1:11" x14ac:dyDescent="0.25">
      <c r="A500" s="5">
        <f t="shared" si="21"/>
        <v>5</v>
      </c>
      <c r="B500" s="6">
        <v>45150</v>
      </c>
      <c r="C500" s="7" t="s">
        <v>268</v>
      </c>
      <c r="D500" s="7">
        <v>23</v>
      </c>
      <c r="E500" s="5">
        <f>DAY(TableAopCalendar[[#This Row],[Date]])</f>
        <v>12</v>
      </c>
      <c r="F50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00" s="5" t="str">
        <f t="shared" si="22"/>
        <v>Week 2</v>
      </c>
      <c r="H500" s="8" t="str">
        <f t="shared" si="23"/>
        <v>August 23 Week 2</v>
      </c>
      <c r="I500" s="5" t="str">
        <f>CONCATENATE(UPPER(TableAopCalendar[[#This Row],[Month]])," ",TableAopCalendar[[#This Row],[Year]])</f>
        <v>AUGUST 23</v>
      </c>
      <c r="J500" s="8" t="s">
        <v>274</v>
      </c>
      <c r="K500" s="8" t="str">
        <f>CONCATENATE(TableAopCalendar[[#This Row],[Month for Plan]]," ",TableAopCalendar[[#This Row],[Plan]])</f>
        <v>AUGUST 23 PLANNED</v>
      </c>
    </row>
    <row r="501" spans="1:11" x14ac:dyDescent="0.25">
      <c r="A501" s="5">
        <f t="shared" si="21"/>
        <v>6</v>
      </c>
      <c r="B501" s="6">
        <v>45151</v>
      </c>
      <c r="C501" s="7" t="s">
        <v>268</v>
      </c>
      <c r="D501" s="7">
        <v>23</v>
      </c>
      <c r="E501" s="5">
        <f>DAY(TableAopCalendar[[#This Row],[Date]])</f>
        <v>13</v>
      </c>
      <c r="F50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01" s="5" t="str">
        <f t="shared" si="22"/>
        <v>Week 2</v>
      </c>
      <c r="H501" s="8" t="str">
        <f t="shared" si="23"/>
        <v>August 23 Week 2</v>
      </c>
      <c r="I501" s="5" t="str">
        <f>CONCATENATE(UPPER(TableAopCalendar[[#This Row],[Month]])," ",TableAopCalendar[[#This Row],[Year]])</f>
        <v>AUGUST 23</v>
      </c>
      <c r="J501" s="8" t="s">
        <v>274</v>
      </c>
      <c r="K501" s="8" t="str">
        <f>CONCATENATE(TableAopCalendar[[#This Row],[Month for Plan]]," ",TableAopCalendar[[#This Row],[Plan]])</f>
        <v>AUGUST 23 PLANNED</v>
      </c>
    </row>
    <row r="502" spans="1:11" x14ac:dyDescent="0.25">
      <c r="A502" s="5">
        <f t="shared" si="21"/>
        <v>7</v>
      </c>
      <c r="B502" s="6">
        <v>45152</v>
      </c>
      <c r="C502" s="7" t="s">
        <v>268</v>
      </c>
      <c r="D502" s="7">
        <v>23</v>
      </c>
      <c r="E502" s="5">
        <f>DAY(TableAopCalendar[[#This Row],[Date]])</f>
        <v>14</v>
      </c>
      <c r="F502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02" s="5" t="str">
        <f t="shared" si="22"/>
        <v>Week 2</v>
      </c>
      <c r="H502" s="8" t="str">
        <f t="shared" si="23"/>
        <v>August 23 Week 2</v>
      </c>
      <c r="I502" s="5" t="str">
        <f>CONCATENATE(UPPER(TableAopCalendar[[#This Row],[Month]])," ",TableAopCalendar[[#This Row],[Year]])</f>
        <v>AUGUST 23</v>
      </c>
      <c r="J502" s="8" t="s">
        <v>274</v>
      </c>
      <c r="K502" s="8" t="str">
        <f>CONCATENATE(TableAopCalendar[[#This Row],[Month for Plan]]," ",TableAopCalendar[[#This Row],[Plan]])</f>
        <v>AUGUST 23 PLANNED</v>
      </c>
    </row>
    <row r="503" spans="1:11" x14ac:dyDescent="0.25">
      <c r="A503" s="5">
        <f t="shared" si="21"/>
        <v>1</v>
      </c>
      <c r="B503" s="6">
        <v>45153</v>
      </c>
      <c r="C503" s="7" t="s">
        <v>268</v>
      </c>
      <c r="D503" s="7">
        <v>23</v>
      </c>
      <c r="E503" s="5">
        <f>DAY(TableAopCalendar[[#This Row],[Date]])</f>
        <v>15</v>
      </c>
      <c r="F50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3" s="5" t="str">
        <f t="shared" si="22"/>
        <v>Week 3</v>
      </c>
      <c r="H503" s="8" t="str">
        <f t="shared" si="23"/>
        <v>August 23 Week 3</v>
      </c>
      <c r="I503" s="5" t="str">
        <f>CONCATENATE(UPPER(TableAopCalendar[[#This Row],[Month]])," ",TableAopCalendar[[#This Row],[Year]])</f>
        <v>AUGUST 23</v>
      </c>
      <c r="J503" s="8" t="s">
        <v>274</v>
      </c>
      <c r="K503" s="8" t="str">
        <f>CONCATENATE(TableAopCalendar[[#This Row],[Month for Plan]]," ",TableAopCalendar[[#This Row],[Plan]])</f>
        <v>AUGUST 23 PLANNED</v>
      </c>
    </row>
    <row r="504" spans="1:11" x14ac:dyDescent="0.25">
      <c r="A504" s="5">
        <f t="shared" si="21"/>
        <v>2</v>
      </c>
      <c r="B504" s="6">
        <v>45154</v>
      </c>
      <c r="C504" s="7" t="s">
        <v>268</v>
      </c>
      <c r="D504" s="7">
        <v>23</v>
      </c>
      <c r="E504" s="5">
        <f>DAY(TableAopCalendar[[#This Row],[Date]])</f>
        <v>16</v>
      </c>
      <c r="F504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4" s="5" t="str">
        <f t="shared" si="22"/>
        <v>Week 3</v>
      </c>
      <c r="H504" s="8" t="str">
        <f t="shared" si="23"/>
        <v>August 23 Week 3</v>
      </c>
      <c r="I504" s="5" t="str">
        <f>CONCATENATE(UPPER(TableAopCalendar[[#This Row],[Month]])," ",TableAopCalendar[[#This Row],[Year]])</f>
        <v>AUGUST 23</v>
      </c>
      <c r="J504" s="8" t="s">
        <v>274</v>
      </c>
      <c r="K504" s="8" t="str">
        <f>CONCATENATE(TableAopCalendar[[#This Row],[Month for Plan]]," ",TableAopCalendar[[#This Row],[Plan]])</f>
        <v>AUGUST 23 PLANNED</v>
      </c>
    </row>
    <row r="505" spans="1:11" x14ac:dyDescent="0.25">
      <c r="A505" s="5">
        <f t="shared" si="21"/>
        <v>3</v>
      </c>
      <c r="B505" s="6">
        <v>45155</v>
      </c>
      <c r="C505" s="7" t="s">
        <v>268</v>
      </c>
      <c r="D505" s="7">
        <v>23</v>
      </c>
      <c r="E505" s="5">
        <f>DAY(TableAopCalendar[[#This Row],[Date]])</f>
        <v>17</v>
      </c>
      <c r="F50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5" s="5" t="str">
        <f t="shared" si="22"/>
        <v>Week 3</v>
      </c>
      <c r="H505" s="8" t="str">
        <f t="shared" si="23"/>
        <v>August 23 Week 3</v>
      </c>
      <c r="I505" s="5" t="str">
        <f>CONCATENATE(UPPER(TableAopCalendar[[#This Row],[Month]])," ",TableAopCalendar[[#This Row],[Year]])</f>
        <v>AUGUST 23</v>
      </c>
      <c r="J505" s="8" t="s">
        <v>274</v>
      </c>
      <c r="K505" s="8" t="str">
        <f>CONCATENATE(TableAopCalendar[[#This Row],[Month for Plan]]," ",TableAopCalendar[[#This Row],[Plan]])</f>
        <v>AUGUST 23 PLANNED</v>
      </c>
    </row>
    <row r="506" spans="1:11" x14ac:dyDescent="0.25">
      <c r="A506" s="5">
        <f t="shared" si="21"/>
        <v>4</v>
      </c>
      <c r="B506" s="6">
        <v>45156</v>
      </c>
      <c r="C506" s="7" t="s">
        <v>268</v>
      </c>
      <c r="D506" s="7">
        <v>23</v>
      </c>
      <c r="E506" s="5">
        <f>DAY(TableAopCalendar[[#This Row],[Date]])</f>
        <v>18</v>
      </c>
      <c r="F50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6" s="5" t="str">
        <f t="shared" si="22"/>
        <v>Week 3</v>
      </c>
      <c r="H506" s="8" t="str">
        <f t="shared" si="23"/>
        <v>August 23 Week 3</v>
      </c>
      <c r="I506" s="5" t="str">
        <f>CONCATENATE(UPPER(TableAopCalendar[[#This Row],[Month]])," ",TableAopCalendar[[#This Row],[Year]])</f>
        <v>AUGUST 23</v>
      </c>
      <c r="J506" s="8" t="s">
        <v>274</v>
      </c>
      <c r="K506" s="8" t="str">
        <f>CONCATENATE(TableAopCalendar[[#This Row],[Month for Plan]]," ",TableAopCalendar[[#This Row],[Plan]])</f>
        <v>AUGUST 23 PLANNED</v>
      </c>
    </row>
    <row r="507" spans="1:11" x14ac:dyDescent="0.25">
      <c r="A507" s="5">
        <f t="shared" si="21"/>
        <v>5</v>
      </c>
      <c r="B507" s="6">
        <v>45157</v>
      </c>
      <c r="C507" s="7" t="s">
        <v>268</v>
      </c>
      <c r="D507" s="7">
        <v>23</v>
      </c>
      <c r="E507" s="5">
        <f>DAY(TableAopCalendar[[#This Row],[Date]])</f>
        <v>19</v>
      </c>
      <c r="F50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7" s="5" t="str">
        <f t="shared" si="22"/>
        <v>Week 3</v>
      </c>
      <c r="H507" s="8" t="str">
        <f t="shared" si="23"/>
        <v>August 23 Week 3</v>
      </c>
      <c r="I507" s="5" t="str">
        <f>CONCATENATE(UPPER(TableAopCalendar[[#This Row],[Month]])," ",TableAopCalendar[[#This Row],[Year]])</f>
        <v>AUGUST 23</v>
      </c>
      <c r="J507" s="8" t="s">
        <v>274</v>
      </c>
      <c r="K507" s="8" t="str">
        <f>CONCATENATE(TableAopCalendar[[#This Row],[Month for Plan]]," ",TableAopCalendar[[#This Row],[Plan]])</f>
        <v>AUGUST 23 PLANNED</v>
      </c>
    </row>
    <row r="508" spans="1:11" x14ac:dyDescent="0.25">
      <c r="A508" s="5">
        <f t="shared" si="21"/>
        <v>6</v>
      </c>
      <c r="B508" s="6">
        <v>45158</v>
      </c>
      <c r="C508" s="7" t="s">
        <v>268</v>
      </c>
      <c r="D508" s="7">
        <v>23</v>
      </c>
      <c r="E508" s="5">
        <f>DAY(TableAopCalendar[[#This Row],[Date]])</f>
        <v>20</v>
      </c>
      <c r="F50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8" s="5" t="str">
        <f t="shared" si="22"/>
        <v>Week 3</v>
      </c>
      <c r="H508" s="8" t="str">
        <f t="shared" si="23"/>
        <v>August 23 Week 3</v>
      </c>
      <c r="I508" s="5" t="str">
        <f>CONCATENATE(UPPER(TableAopCalendar[[#This Row],[Month]])," ",TableAopCalendar[[#This Row],[Year]])</f>
        <v>AUGUST 23</v>
      </c>
      <c r="J508" s="8" t="s">
        <v>274</v>
      </c>
      <c r="K508" s="8" t="str">
        <f>CONCATENATE(TableAopCalendar[[#This Row],[Month for Plan]]," ",TableAopCalendar[[#This Row],[Plan]])</f>
        <v>AUGUST 23 PLANNED</v>
      </c>
    </row>
    <row r="509" spans="1:11" x14ac:dyDescent="0.25">
      <c r="A509" s="5">
        <f t="shared" si="21"/>
        <v>7</v>
      </c>
      <c r="B509" s="6">
        <v>45159</v>
      </c>
      <c r="C509" s="7" t="s">
        <v>268</v>
      </c>
      <c r="D509" s="7">
        <v>23</v>
      </c>
      <c r="E509" s="5">
        <f>DAY(TableAopCalendar[[#This Row],[Date]])</f>
        <v>21</v>
      </c>
      <c r="F509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09" s="5" t="str">
        <f t="shared" si="22"/>
        <v>Week 3</v>
      </c>
      <c r="H509" s="8" t="str">
        <f t="shared" si="23"/>
        <v>August 23 Week 3</v>
      </c>
      <c r="I509" s="5" t="str">
        <f>CONCATENATE(UPPER(TableAopCalendar[[#This Row],[Month]])," ",TableAopCalendar[[#This Row],[Year]])</f>
        <v>AUGUST 23</v>
      </c>
      <c r="J509" s="8" t="s">
        <v>274</v>
      </c>
      <c r="K509" s="8" t="str">
        <f>CONCATENATE(TableAopCalendar[[#This Row],[Month for Plan]]," ",TableAopCalendar[[#This Row],[Plan]])</f>
        <v>AUGUST 23 PLANNED</v>
      </c>
    </row>
    <row r="510" spans="1:11" x14ac:dyDescent="0.25">
      <c r="A510" s="5">
        <f t="shared" si="21"/>
        <v>1</v>
      </c>
      <c r="B510" s="6">
        <v>45160</v>
      </c>
      <c r="C510" s="7" t="s">
        <v>268</v>
      </c>
      <c r="D510" s="7">
        <v>23</v>
      </c>
      <c r="E510" s="5">
        <f>DAY(TableAopCalendar[[#This Row],[Date]])</f>
        <v>22</v>
      </c>
      <c r="F51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10" s="5" t="str">
        <f t="shared" si="22"/>
        <v>Week 4</v>
      </c>
      <c r="H510" s="8" t="str">
        <f t="shared" si="23"/>
        <v>August 23 Week 4</v>
      </c>
      <c r="I510" s="5" t="str">
        <f>CONCATENATE(UPPER(TableAopCalendar[[#This Row],[Month]])," ",TableAopCalendar[[#This Row],[Year]])</f>
        <v>AUGUST 23</v>
      </c>
      <c r="J510" s="8" t="s">
        <v>274</v>
      </c>
      <c r="K510" s="8" t="str">
        <f>CONCATENATE(TableAopCalendar[[#This Row],[Month for Plan]]," ",TableAopCalendar[[#This Row],[Plan]])</f>
        <v>AUGUST 23 PLANNED</v>
      </c>
    </row>
    <row r="511" spans="1:11" x14ac:dyDescent="0.25">
      <c r="A511" s="5">
        <f t="shared" si="21"/>
        <v>2</v>
      </c>
      <c r="B511" s="6">
        <v>45161</v>
      </c>
      <c r="C511" s="7" t="s">
        <v>268</v>
      </c>
      <c r="D511" s="7">
        <v>23</v>
      </c>
      <c r="E511" s="5">
        <f>DAY(TableAopCalendar[[#This Row],[Date]])</f>
        <v>23</v>
      </c>
      <c r="F511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11" s="5" t="str">
        <f t="shared" si="22"/>
        <v>Week 4</v>
      </c>
      <c r="H511" s="8" t="str">
        <f t="shared" si="23"/>
        <v>August 23 Week 4</v>
      </c>
      <c r="I511" s="5" t="str">
        <f>CONCATENATE(UPPER(TableAopCalendar[[#This Row],[Month]])," ",TableAopCalendar[[#This Row],[Year]])</f>
        <v>AUGUST 23</v>
      </c>
      <c r="J511" s="8" t="s">
        <v>274</v>
      </c>
      <c r="K511" s="8" t="str">
        <f>CONCATENATE(TableAopCalendar[[#This Row],[Month for Plan]]," ",TableAopCalendar[[#This Row],[Plan]])</f>
        <v>AUGUST 23 PLANNED</v>
      </c>
    </row>
    <row r="512" spans="1:11" x14ac:dyDescent="0.25">
      <c r="A512" s="5">
        <f t="shared" si="21"/>
        <v>3</v>
      </c>
      <c r="B512" s="6">
        <v>45162</v>
      </c>
      <c r="C512" s="7" t="s">
        <v>268</v>
      </c>
      <c r="D512" s="7">
        <v>23</v>
      </c>
      <c r="E512" s="5">
        <f>DAY(TableAopCalendar[[#This Row],[Date]])</f>
        <v>24</v>
      </c>
      <c r="F51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12" s="5" t="str">
        <f t="shared" si="22"/>
        <v>Week 4</v>
      </c>
      <c r="H512" s="8" t="str">
        <f t="shared" si="23"/>
        <v>August 23 Week 4</v>
      </c>
      <c r="I512" s="5" t="str">
        <f>CONCATENATE(UPPER(TableAopCalendar[[#This Row],[Month]])," ",TableAopCalendar[[#This Row],[Year]])</f>
        <v>AUGUST 23</v>
      </c>
      <c r="J512" s="8" t="s">
        <v>274</v>
      </c>
      <c r="K512" s="8" t="str">
        <f>CONCATENATE(TableAopCalendar[[#This Row],[Month for Plan]]," ",TableAopCalendar[[#This Row],[Plan]])</f>
        <v>AUGUST 23 PLANNED</v>
      </c>
    </row>
    <row r="513" spans="1:11" x14ac:dyDescent="0.25">
      <c r="A513" s="5">
        <f t="shared" si="21"/>
        <v>4</v>
      </c>
      <c r="B513" s="6">
        <v>45163</v>
      </c>
      <c r="C513" s="7" t="s">
        <v>268</v>
      </c>
      <c r="D513" s="7">
        <v>23</v>
      </c>
      <c r="E513" s="5">
        <f>DAY(TableAopCalendar[[#This Row],[Date]])</f>
        <v>25</v>
      </c>
      <c r="F51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13" s="5" t="str">
        <f t="shared" si="22"/>
        <v>Week 4</v>
      </c>
      <c r="H513" s="8" t="str">
        <f t="shared" si="23"/>
        <v>August 23 Week 4</v>
      </c>
      <c r="I513" s="5" t="str">
        <f>CONCATENATE(UPPER(TableAopCalendar[[#This Row],[Month]])," ",TableAopCalendar[[#This Row],[Year]])</f>
        <v>AUGUST 23</v>
      </c>
      <c r="J513" s="8" t="s">
        <v>274</v>
      </c>
      <c r="K513" s="8" t="str">
        <f>CONCATENATE(TableAopCalendar[[#This Row],[Month for Plan]]," ",TableAopCalendar[[#This Row],[Plan]])</f>
        <v>AUGUST 23 PLANNED</v>
      </c>
    </row>
    <row r="514" spans="1:11" x14ac:dyDescent="0.25">
      <c r="A514" s="5">
        <f t="shared" ref="A514:A577" si="24">IF(G514=G513,A513+1,1)</f>
        <v>5</v>
      </c>
      <c r="B514" s="6">
        <v>45164</v>
      </c>
      <c r="C514" s="7" t="s">
        <v>268</v>
      </c>
      <c r="D514" s="7">
        <v>23</v>
      </c>
      <c r="E514" s="5">
        <f>DAY(TableAopCalendar[[#This Row],[Date]])</f>
        <v>26</v>
      </c>
      <c r="F51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14" s="5" t="str">
        <f t="shared" ref="G514:G577" si="25">"Week"&amp;" "&amp;F514</f>
        <v>Week 4</v>
      </c>
      <c r="H514" s="8" t="str">
        <f t="shared" ref="H514:H577" si="26">CONCATENATE(C514," ",D514," ",G514)</f>
        <v>August 23 Week 4</v>
      </c>
      <c r="I514" s="5" t="str">
        <f>CONCATENATE(UPPER(TableAopCalendar[[#This Row],[Month]])," ",TableAopCalendar[[#This Row],[Year]])</f>
        <v>AUGUST 23</v>
      </c>
      <c r="J514" s="8" t="s">
        <v>274</v>
      </c>
      <c r="K514" s="8" t="str">
        <f>CONCATENATE(TableAopCalendar[[#This Row],[Month for Plan]]," ",TableAopCalendar[[#This Row],[Plan]])</f>
        <v>AUGUST 23 PLANNED</v>
      </c>
    </row>
    <row r="515" spans="1:11" x14ac:dyDescent="0.25">
      <c r="A515" s="5">
        <f t="shared" si="24"/>
        <v>6</v>
      </c>
      <c r="B515" s="6">
        <v>45165</v>
      </c>
      <c r="C515" s="7" t="s">
        <v>268</v>
      </c>
      <c r="D515" s="7">
        <v>23</v>
      </c>
      <c r="E515" s="5">
        <f>DAY(TableAopCalendar[[#This Row],[Date]])</f>
        <v>27</v>
      </c>
      <c r="F51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15" s="5" t="str">
        <f t="shared" si="25"/>
        <v>Week 4</v>
      </c>
      <c r="H515" s="8" t="str">
        <f t="shared" si="26"/>
        <v>August 23 Week 4</v>
      </c>
      <c r="I515" s="5" t="str">
        <f>CONCATENATE(UPPER(TableAopCalendar[[#This Row],[Month]])," ",TableAopCalendar[[#This Row],[Year]])</f>
        <v>AUGUST 23</v>
      </c>
      <c r="J515" s="8" t="s">
        <v>274</v>
      </c>
      <c r="K515" s="8" t="str">
        <f>CONCATENATE(TableAopCalendar[[#This Row],[Month for Plan]]," ",TableAopCalendar[[#This Row],[Plan]])</f>
        <v>AUGUST 23 PLANNED</v>
      </c>
    </row>
    <row r="516" spans="1:11" x14ac:dyDescent="0.25">
      <c r="A516" s="5">
        <f t="shared" si="24"/>
        <v>7</v>
      </c>
      <c r="B516" s="6">
        <v>45166</v>
      </c>
      <c r="C516" s="7" t="s">
        <v>268</v>
      </c>
      <c r="D516" s="7">
        <v>23</v>
      </c>
      <c r="E516" s="5">
        <f>DAY(TableAopCalendar[[#This Row],[Date]])</f>
        <v>28</v>
      </c>
      <c r="F516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16" s="5" t="str">
        <f t="shared" si="25"/>
        <v>Week 4</v>
      </c>
      <c r="H516" s="8" t="str">
        <f t="shared" si="26"/>
        <v>August 23 Week 4</v>
      </c>
      <c r="I516" s="5" t="str">
        <f>CONCATENATE(UPPER(TableAopCalendar[[#This Row],[Month]])," ",TableAopCalendar[[#This Row],[Year]])</f>
        <v>AUGUST 23</v>
      </c>
      <c r="J516" s="8" t="s">
        <v>274</v>
      </c>
      <c r="K516" s="8" t="str">
        <f>CONCATENATE(TableAopCalendar[[#This Row],[Month for Plan]]," ",TableAopCalendar[[#This Row],[Plan]])</f>
        <v>AUGUST 23 PLANNED</v>
      </c>
    </row>
    <row r="517" spans="1:11" x14ac:dyDescent="0.25">
      <c r="A517" s="5">
        <f t="shared" si="24"/>
        <v>1</v>
      </c>
      <c r="B517" s="6">
        <v>45167</v>
      </c>
      <c r="C517" s="7" t="s">
        <v>268</v>
      </c>
      <c r="D517" s="7">
        <v>23</v>
      </c>
      <c r="E517" s="5">
        <f>DAY(TableAopCalendar[[#This Row],[Date]])</f>
        <v>29</v>
      </c>
      <c r="F517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17" s="5" t="str">
        <f t="shared" si="25"/>
        <v>Week 5</v>
      </c>
      <c r="H517" s="8" t="str">
        <f t="shared" si="26"/>
        <v>August 23 Week 5</v>
      </c>
      <c r="I517" s="5" t="str">
        <f>CONCATENATE(UPPER(TableAopCalendar[[#This Row],[Month]])," ",TableAopCalendar[[#This Row],[Year]])</f>
        <v>AUGUST 23</v>
      </c>
      <c r="J517" s="8" t="s">
        <v>274</v>
      </c>
      <c r="K517" s="8" t="str">
        <f>CONCATENATE(TableAopCalendar[[#This Row],[Month for Plan]]," ",TableAopCalendar[[#This Row],[Plan]])</f>
        <v>AUGUST 23 PLANNED</v>
      </c>
    </row>
    <row r="518" spans="1:11" x14ac:dyDescent="0.25">
      <c r="A518" s="5">
        <f t="shared" si="24"/>
        <v>2</v>
      </c>
      <c r="B518" s="6">
        <v>45168</v>
      </c>
      <c r="C518" s="7" t="s">
        <v>268</v>
      </c>
      <c r="D518" s="7">
        <v>23</v>
      </c>
      <c r="E518" s="5">
        <f>DAY(TableAopCalendar[[#This Row],[Date]])</f>
        <v>30</v>
      </c>
      <c r="F518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18" s="5" t="str">
        <f t="shared" si="25"/>
        <v>Week 5</v>
      </c>
      <c r="H518" s="8" t="str">
        <f t="shared" si="26"/>
        <v>August 23 Week 5</v>
      </c>
      <c r="I518" s="5" t="str">
        <f>CONCATENATE(UPPER(TableAopCalendar[[#This Row],[Month]])," ",TableAopCalendar[[#This Row],[Year]])</f>
        <v>AUGUST 23</v>
      </c>
      <c r="J518" s="8" t="s">
        <v>274</v>
      </c>
      <c r="K518" s="8" t="str">
        <f>CONCATENATE(TableAopCalendar[[#This Row],[Month for Plan]]," ",TableAopCalendar[[#This Row],[Plan]])</f>
        <v>AUGUST 23 PLANNED</v>
      </c>
    </row>
    <row r="519" spans="1:11" x14ac:dyDescent="0.25">
      <c r="A519" s="5">
        <f t="shared" si="24"/>
        <v>3</v>
      </c>
      <c r="B519" s="6">
        <v>45169</v>
      </c>
      <c r="C519" s="7" t="s">
        <v>268</v>
      </c>
      <c r="D519" s="7">
        <v>23</v>
      </c>
      <c r="E519" s="5">
        <f>DAY(TableAopCalendar[[#This Row],[Date]])</f>
        <v>31</v>
      </c>
      <c r="F519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19" s="5" t="str">
        <f t="shared" si="25"/>
        <v>Week 5</v>
      </c>
      <c r="H519" s="8" t="str">
        <f t="shared" si="26"/>
        <v>August 23 Week 5</v>
      </c>
      <c r="I519" s="5" t="str">
        <f>CONCATENATE(UPPER(TableAopCalendar[[#This Row],[Month]])," ",TableAopCalendar[[#This Row],[Year]])</f>
        <v>AUGUST 23</v>
      </c>
      <c r="J519" s="8" t="s">
        <v>274</v>
      </c>
      <c r="K519" s="8" t="str">
        <f>CONCATENATE(TableAopCalendar[[#This Row],[Month for Plan]]," ",TableAopCalendar[[#This Row],[Plan]])</f>
        <v>AUGUST 23 PLANNED</v>
      </c>
    </row>
    <row r="520" spans="1:11" x14ac:dyDescent="0.25">
      <c r="A520" s="5">
        <f t="shared" si="24"/>
        <v>1</v>
      </c>
      <c r="B520" s="6">
        <v>45170</v>
      </c>
      <c r="C520" s="7" t="s">
        <v>269</v>
      </c>
      <c r="D520" s="7">
        <v>23</v>
      </c>
      <c r="E520" s="5">
        <f>DAY(TableAopCalendar[[#This Row],[Date]])</f>
        <v>1</v>
      </c>
      <c r="F520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20" s="5" t="str">
        <f t="shared" si="25"/>
        <v>Week 1</v>
      </c>
      <c r="H520" s="8" t="str">
        <f t="shared" si="26"/>
        <v>September 23 Week 1</v>
      </c>
      <c r="I520" s="5" t="str">
        <f>CONCATENATE(UPPER(TableAopCalendar[[#This Row],[Month]])," ",TableAopCalendar[[#This Row],[Year]])</f>
        <v>SEPTEMBER 23</v>
      </c>
      <c r="J520" s="8" t="s">
        <v>274</v>
      </c>
      <c r="K520" s="8" t="str">
        <f>CONCATENATE(TableAopCalendar[[#This Row],[Month for Plan]]," ",TableAopCalendar[[#This Row],[Plan]])</f>
        <v>SEPTEMBER 23 PLANNED</v>
      </c>
    </row>
    <row r="521" spans="1:11" x14ac:dyDescent="0.25">
      <c r="A521" s="5">
        <f t="shared" si="24"/>
        <v>2</v>
      </c>
      <c r="B521" s="6">
        <v>45171</v>
      </c>
      <c r="C521" s="7" t="s">
        <v>269</v>
      </c>
      <c r="D521" s="7">
        <v>23</v>
      </c>
      <c r="E521" s="5">
        <f>DAY(TableAopCalendar[[#This Row],[Date]])</f>
        <v>2</v>
      </c>
      <c r="F52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21" s="5" t="str">
        <f t="shared" si="25"/>
        <v>Week 1</v>
      </c>
      <c r="H521" s="8" t="str">
        <f t="shared" si="26"/>
        <v>September 23 Week 1</v>
      </c>
      <c r="I521" s="5" t="str">
        <f>CONCATENATE(UPPER(TableAopCalendar[[#This Row],[Month]])," ",TableAopCalendar[[#This Row],[Year]])</f>
        <v>SEPTEMBER 23</v>
      </c>
      <c r="J521" s="8" t="s">
        <v>274</v>
      </c>
      <c r="K521" s="8" t="str">
        <f>CONCATENATE(TableAopCalendar[[#This Row],[Month for Plan]]," ",TableAopCalendar[[#This Row],[Plan]])</f>
        <v>SEPTEMBER 23 PLANNED</v>
      </c>
    </row>
    <row r="522" spans="1:11" x14ac:dyDescent="0.25">
      <c r="A522" s="5">
        <f t="shared" si="24"/>
        <v>3</v>
      </c>
      <c r="B522" s="6">
        <v>45172</v>
      </c>
      <c r="C522" s="7" t="s">
        <v>269</v>
      </c>
      <c r="D522" s="7">
        <v>23</v>
      </c>
      <c r="E522" s="5">
        <f>DAY(TableAopCalendar[[#This Row],[Date]])</f>
        <v>3</v>
      </c>
      <c r="F52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22" s="5" t="str">
        <f t="shared" si="25"/>
        <v>Week 1</v>
      </c>
      <c r="H522" s="8" t="str">
        <f t="shared" si="26"/>
        <v>September 23 Week 1</v>
      </c>
      <c r="I522" s="5" t="str">
        <f>CONCATENATE(UPPER(TableAopCalendar[[#This Row],[Month]])," ",TableAopCalendar[[#This Row],[Year]])</f>
        <v>SEPTEMBER 23</v>
      </c>
      <c r="J522" s="8" t="s">
        <v>274</v>
      </c>
      <c r="K522" s="8" t="str">
        <f>CONCATENATE(TableAopCalendar[[#This Row],[Month for Plan]]," ",TableAopCalendar[[#This Row],[Plan]])</f>
        <v>SEPTEMBER 23 PLANNED</v>
      </c>
    </row>
    <row r="523" spans="1:11" x14ac:dyDescent="0.25">
      <c r="A523" s="5">
        <f t="shared" si="24"/>
        <v>4</v>
      </c>
      <c r="B523" s="6">
        <v>45173</v>
      </c>
      <c r="C523" s="7" t="s">
        <v>269</v>
      </c>
      <c r="D523" s="7">
        <v>23</v>
      </c>
      <c r="E523" s="5">
        <f>DAY(TableAopCalendar[[#This Row],[Date]])</f>
        <v>4</v>
      </c>
      <c r="F52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23" s="5" t="str">
        <f t="shared" si="25"/>
        <v>Week 1</v>
      </c>
      <c r="H523" s="8" t="str">
        <f t="shared" si="26"/>
        <v>September 23 Week 1</v>
      </c>
      <c r="I523" s="5" t="str">
        <f>CONCATENATE(UPPER(TableAopCalendar[[#This Row],[Month]])," ",TableAopCalendar[[#This Row],[Year]])</f>
        <v>SEPTEMBER 23</v>
      </c>
      <c r="J523" s="8" t="s">
        <v>274</v>
      </c>
      <c r="K523" s="8" t="str">
        <f>CONCATENATE(TableAopCalendar[[#This Row],[Month for Plan]]," ",TableAopCalendar[[#This Row],[Plan]])</f>
        <v>SEPTEMBER 23 PLANNED</v>
      </c>
    </row>
    <row r="524" spans="1:11" x14ac:dyDescent="0.25">
      <c r="A524" s="5">
        <f t="shared" si="24"/>
        <v>5</v>
      </c>
      <c r="B524" s="6">
        <v>45174</v>
      </c>
      <c r="C524" s="7" t="s">
        <v>269</v>
      </c>
      <c r="D524" s="7">
        <v>23</v>
      </c>
      <c r="E524" s="5">
        <f>DAY(TableAopCalendar[[#This Row],[Date]])</f>
        <v>5</v>
      </c>
      <c r="F52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24" s="5" t="str">
        <f t="shared" si="25"/>
        <v>Week 1</v>
      </c>
      <c r="H524" s="8" t="str">
        <f t="shared" si="26"/>
        <v>September 23 Week 1</v>
      </c>
      <c r="I524" s="5" t="str">
        <f>CONCATENATE(UPPER(TableAopCalendar[[#This Row],[Month]])," ",TableAopCalendar[[#This Row],[Year]])</f>
        <v>SEPTEMBER 23</v>
      </c>
      <c r="J524" s="8" t="s">
        <v>274</v>
      </c>
      <c r="K524" s="8" t="str">
        <f>CONCATENATE(TableAopCalendar[[#This Row],[Month for Plan]]," ",TableAopCalendar[[#This Row],[Plan]])</f>
        <v>SEPTEMBER 23 PLANNED</v>
      </c>
    </row>
    <row r="525" spans="1:11" x14ac:dyDescent="0.25">
      <c r="A525" s="5">
        <f t="shared" si="24"/>
        <v>6</v>
      </c>
      <c r="B525" s="6">
        <v>45175</v>
      </c>
      <c r="C525" s="7" t="s">
        <v>269</v>
      </c>
      <c r="D525" s="7">
        <v>23</v>
      </c>
      <c r="E525" s="5">
        <f>DAY(TableAopCalendar[[#This Row],[Date]])</f>
        <v>6</v>
      </c>
      <c r="F525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25" s="5" t="str">
        <f t="shared" si="25"/>
        <v>Week 1</v>
      </c>
      <c r="H525" s="8" t="str">
        <f t="shared" si="26"/>
        <v>September 23 Week 1</v>
      </c>
      <c r="I525" s="5" t="str">
        <f>CONCATENATE(UPPER(TableAopCalendar[[#This Row],[Month]])," ",TableAopCalendar[[#This Row],[Year]])</f>
        <v>SEPTEMBER 23</v>
      </c>
      <c r="J525" s="8" t="s">
        <v>274</v>
      </c>
      <c r="K525" s="8" t="str">
        <f>CONCATENATE(TableAopCalendar[[#This Row],[Month for Plan]]," ",TableAopCalendar[[#This Row],[Plan]])</f>
        <v>SEPTEMBER 23 PLANNED</v>
      </c>
    </row>
    <row r="526" spans="1:11" x14ac:dyDescent="0.25">
      <c r="A526" s="5">
        <f t="shared" si="24"/>
        <v>7</v>
      </c>
      <c r="B526" s="6">
        <v>45176</v>
      </c>
      <c r="C526" s="7" t="s">
        <v>269</v>
      </c>
      <c r="D526" s="7">
        <v>23</v>
      </c>
      <c r="E526" s="5">
        <f>DAY(TableAopCalendar[[#This Row],[Date]])</f>
        <v>7</v>
      </c>
      <c r="F52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26" s="5" t="str">
        <f t="shared" si="25"/>
        <v>Week 1</v>
      </c>
      <c r="H526" s="8" t="str">
        <f t="shared" si="26"/>
        <v>September 23 Week 1</v>
      </c>
      <c r="I526" s="5" t="str">
        <f>CONCATENATE(UPPER(TableAopCalendar[[#This Row],[Month]])," ",TableAopCalendar[[#This Row],[Year]])</f>
        <v>SEPTEMBER 23</v>
      </c>
      <c r="J526" s="8" t="s">
        <v>274</v>
      </c>
      <c r="K526" s="8" t="str">
        <f>CONCATENATE(TableAopCalendar[[#This Row],[Month for Plan]]," ",TableAopCalendar[[#This Row],[Plan]])</f>
        <v>SEPTEMBER 23 PLANNED</v>
      </c>
    </row>
    <row r="527" spans="1:11" x14ac:dyDescent="0.25">
      <c r="A527" s="5">
        <f t="shared" si="24"/>
        <v>1</v>
      </c>
      <c r="B527" s="6">
        <v>45177</v>
      </c>
      <c r="C527" s="7" t="s">
        <v>269</v>
      </c>
      <c r="D527" s="7">
        <v>23</v>
      </c>
      <c r="E527" s="5">
        <f>DAY(TableAopCalendar[[#This Row],[Date]])</f>
        <v>8</v>
      </c>
      <c r="F527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27" s="5" t="str">
        <f t="shared" si="25"/>
        <v>Week 2</v>
      </c>
      <c r="H527" s="8" t="str">
        <f t="shared" si="26"/>
        <v>September 23 Week 2</v>
      </c>
      <c r="I527" s="5" t="str">
        <f>CONCATENATE(UPPER(TableAopCalendar[[#This Row],[Month]])," ",TableAopCalendar[[#This Row],[Year]])</f>
        <v>SEPTEMBER 23</v>
      </c>
      <c r="J527" s="8" t="s">
        <v>274</v>
      </c>
      <c r="K527" s="8" t="str">
        <f>CONCATENATE(TableAopCalendar[[#This Row],[Month for Plan]]," ",TableAopCalendar[[#This Row],[Plan]])</f>
        <v>SEPTEMBER 23 PLANNED</v>
      </c>
    </row>
    <row r="528" spans="1:11" x14ac:dyDescent="0.25">
      <c r="A528" s="5">
        <f t="shared" si="24"/>
        <v>2</v>
      </c>
      <c r="B528" s="6">
        <v>45178</v>
      </c>
      <c r="C528" s="7" t="s">
        <v>269</v>
      </c>
      <c r="D528" s="7">
        <v>23</v>
      </c>
      <c r="E528" s="5">
        <f>DAY(TableAopCalendar[[#This Row],[Date]])</f>
        <v>9</v>
      </c>
      <c r="F52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28" s="5" t="str">
        <f t="shared" si="25"/>
        <v>Week 2</v>
      </c>
      <c r="H528" s="8" t="str">
        <f t="shared" si="26"/>
        <v>September 23 Week 2</v>
      </c>
      <c r="I528" s="5" t="str">
        <f>CONCATENATE(UPPER(TableAopCalendar[[#This Row],[Month]])," ",TableAopCalendar[[#This Row],[Year]])</f>
        <v>SEPTEMBER 23</v>
      </c>
      <c r="J528" s="8" t="s">
        <v>274</v>
      </c>
      <c r="K528" s="8" t="str">
        <f>CONCATENATE(TableAopCalendar[[#This Row],[Month for Plan]]," ",TableAopCalendar[[#This Row],[Plan]])</f>
        <v>SEPTEMBER 23 PLANNED</v>
      </c>
    </row>
    <row r="529" spans="1:11" x14ac:dyDescent="0.25">
      <c r="A529" s="5">
        <f t="shared" si="24"/>
        <v>3</v>
      </c>
      <c r="B529" s="6">
        <v>45179</v>
      </c>
      <c r="C529" s="7" t="s">
        <v>269</v>
      </c>
      <c r="D529" s="7">
        <v>23</v>
      </c>
      <c r="E529" s="5">
        <f>DAY(TableAopCalendar[[#This Row],[Date]])</f>
        <v>10</v>
      </c>
      <c r="F52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29" s="5" t="str">
        <f t="shared" si="25"/>
        <v>Week 2</v>
      </c>
      <c r="H529" s="8" t="str">
        <f t="shared" si="26"/>
        <v>September 23 Week 2</v>
      </c>
      <c r="I529" s="5" t="str">
        <f>CONCATENATE(UPPER(TableAopCalendar[[#This Row],[Month]])," ",TableAopCalendar[[#This Row],[Year]])</f>
        <v>SEPTEMBER 23</v>
      </c>
      <c r="J529" s="8" t="s">
        <v>274</v>
      </c>
      <c r="K529" s="8" t="str">
        <f>CONCATENATE(TableAopCalendar[[#This Row],[Month for Plan]]," ",TableAopCalendar[[#This Row],[Plan]])</f>
        <v>SEPTEMBER 23 PLANNED</v>
      </c>
    </row>
    <row r="530" spans="1:11" x14ac:dyDescent="0.25">
      <c r="A530" s="5">
        <f t="shared" si="24"/>
        <v>4</v>
      </c>
      <c r="B530" s="6">
        <v>45180</v>
      </c>
      <c r="C530" s="7" t="s">
        <v>269</v>
      </c>
      <c r="D530" s="7">
        <v>23</v>
      </c>
      <c r="E530" s="5">
        <f>DAY(TableAopCalendar[[#This Row],[Date]])</f>
        <v>11</v>
      </c>
      <c r="F53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30" s="5" t="str">
        <f t="shared" si="25"/>
        <v>Week 2</v>
      </c>
      <c r="H530" s="8" t="str">
        <f t="shared" si="26"/>
        <v>September 23 Week 2</v>
      </c>
      <c r="I530" s="5" t="str">
        <f>CONCATENATE(UPPER(TableAopCalendar[[#This Row],[Month]])," ",TableAopCalendar[[#This Row],[Year]])</f>
        <v>SEPTEMBER 23</v>
      </c>
      <c r="J530" s="8" t="s">
        <v>274</v>
      </c>
      <c r="K530" s="8" t="str">
        <f>CONCATENATE(TableAopCalendar[[#This Row],[Month for Plan]]," ",TableAopCalendar[[#This Row],[Plan]])</f>
        <v>SEPTEMBER 23 PLANNED</v>
      </c>
    </row>
    <row r="531" spans="1:11" x14ac:dyDescent="0.25">
      <c r="A531" s="5">
        <f t="shared" si="24"/>
        <v>5</v>
      </c>
      <c r="B531" s="6">
        <v>45181</v>
      </c>
      <c r="C531" s="7" t="s">
        <v>269</v>
      </c>
      <c r="D531" s="7">
        <v>23</v>
      </c>
      <c r="E531" s="5">
        <f>DAY(TableAopCalendar[[#This Row],[Date]])</f>
        <v>12</v>
      </c>
      <c r="F53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31" s="5" t="str">
        <f t="shared" si="25"/>
        <v>Week 2</v>
      </c>
      <c r="H531" s="8" t="str">
        <f t="shared" si="26"/>
        <v>September 23 Week 2</v>
      </c>
      <c r="I531" s="5" t="str">
        <f>CONCATENATE(UPPER(TableAopCalendar[[#This Row],[Month]])," ",TableAopCalendar[[#This Row],[Year]])</f>
        <v>SEPTEMBER 23</v>
      </c>
      <c r="J531" s="8" t="s">
        <v>274</v>
      </c>
      <c r="K531" s="8" t="str">
        <f>CONCATENATE(TableAopCalendar[[#This Row],[Month for Plan]]," ",TableAopCalendar[[#This Row],[Plan]])</f>
        <v>SEPTEMBER 23 PLANNED</v>
      </c>
    </row>
    <row r="532" spans="1:11" x14ac:dyDescent="0.25">
      <c r="A532" s="5">
        <f t="shared" si="24"/>
        <v>6</v>
      </c>
      <c r="B532" s="6">
        <v>45182</v>
      </c>
      <c r="C532" s="7" t="s">
        <v>269</v>
      </c>
      <c r="D532" s="7">
        <v>23</v>
      </c>
      <c r="E532" s="5">
        <f>DAY(TableAopCalendar[[#This Row],[Date]])</f>
        <v>13</v>
      </c>
      <c r="F532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32" s="5" t="str">
        <f t="shared" si="25"/>
        <v>Week 2</v>
      </c>
      <c r="H532" s="8" t="str">
        <f t="shared" si="26"/>
        <v>September 23 Week 2</v>
      </c>
      <c r="I532" s="5" t="str">
        <f>CONCATENATE(UPPER(TableAopCalendar[[#This Row],[Month]])," ",TableAopCalendar[[#This Row],[Year]])</f>
        <v>SEPTEMBER 23</v>
      </c>
      <c r="J532" s="8" t="s">
        <v>274</v>
      </c>
      <c r="K532" s="8" t="str">
        <f>CONCATENATE(TableAopCalendar[[#This Row],[Month for Plan]]," ",TableAopCalendar[[#This Row],[Plan]])</f>
        <v>SEPTEMBER 23 PLANNED</v>
      </c>
    </row>
    <row r="533" spans="1:11" x14ac:dyDescent="0.25">
      <c r="A533" s="5">
        <f t="shared" si="24"/>
        <v>7</v>
      </c>
      <c r="B533" s="6">
        <v>45183</v>
      </c>
      <c r="C533" s="7" t="s">
        <v>269</v>
      </c>
      <c r="D533" s="7">
        <v>23</v>
      </c>
      <c r="E533" s="5">
        <f>DAY(TableAopCalendar[[#This Row],[Date]])</f>
        <v>14</v>
      </c>
      <c r="F53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33" s="5" t="str">
        <f t="shared" si="25"/>
        <v>Week 2</v>
      </c>
      <c r="H533" s="8" t="str">
        <f t="shared" si="26"/>
        <v>September 23 Week 2</v>
      </c>
      <c r="I533" s="5" t="str">
        <f>CONCATENATE(UPPER(TableAopCalendar[[#This Row],[Month]])," ",TableAopCalendar[[#This Row],[Year]])</f>
        <v>SEPTEMBER 23</v>
      </c>
      <c r="J533" s="8" t="s">
        <v>274</v>
      </c>
      <c r="K533" s="8" t="str">
        <f>CONCATENATE(TableAopCalendar[[#This Row],[Month for Plan]]," ",TableAopCalendar[[#This Row],[Plan]])</f>
        <v>SEPTEMBER 23 PLANNED</v>
      </c>
    </row>
    <row r="534" spans="1:11" x14ac:dyDescent="0.25">
      <c r="A534" s="5">
        <f t="shared" si="24"/>
        <v>1</v>
      </c>
      <c r="B534" s="6">
        <v>45184</v>
      </c>
      <c r="C534" s="7" t="s">
        <v>269</v>
      </c>
      <c r="D534" s="7">
        <v>23</v>
      </c>
      <c r="E534" s="5">
        <f>DAY(TableAopCalendar[[#This Row],[Date]])</f>
        <v>15</v>
      </c>
      <c r="F534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34" s="5" t="str">
        <f t="shared" si="25"/>
        <v>Week 3</v>
      </c>
      <c r="H534" s="8" t="str">
        <f t="shared" si="26"/>
        <v>September 23 Week 3</v>
      </c>
      <c r="I534" s="5" t="str">
        <f>CONCATENATE(UPPER(TableAopCalendar[[#This Row],[Month]])," ",TableAopCalendar[[#This Row],[Year]])</f>
        <v>SEPTEMBER 23</v>
      </c>
      <c r="J534" s="8" t="s">
        <v>274</v>
      </c>
      <c r="K534" s="8" t="str">
        <f>CONCATENATE(TableAopCalendar[[#This Row],[Month for Plan]]," ",TableAopCalendar[[#This Row],[Plan]])</f>
        <v>SEPTEMBER 23 PLANNED</v>
      </c>
    </row>
    <row r="535" spans="1:11" x14ac:dyDescent="0.25">
      <c r="A535" s="5">
        <f t="shared" si="24"/>
        <v>2</v>
      </c>
      <c r="B535" s="6">
        <v>45185</v>
      </c>
      <c r="C535" s="7" t="s">
        <v>269</v>
      </c>
      <c r="D535" s="7">
        <v>23</v>
      </c>
      <c r="E535" s="5">
        <f>DAY(TableAopCalendar[[#This Row],[Date]])</f>
        <v>16</v>
      </c>
      <c r="F53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35" s="5" t="str">
        <f t="shared" si="25"/>
        <v>Week 3</v>
      </c>
      <c r="H535" s="8" t="str">
        <f t="shared" si="26"/>
        <v>September 23 Week 3</v>
      </c>
      <c r="I535" s="5" t="str">
        <f>CONCATENATE(UPPER(TableAopCalendar[[#This Row],[Month]])," ",TableAopCalendar[[#This Row],[Year]])</f>
        <v>SEPTEMBER 23</v>
      </c>
      <c r="J535" s="8" t="s">
        <v>274</v>
      </c>
      <c r="K535" s="8" t="str">
        <f>CONCATENATE(TableAopCalendar[[#This Row],[Month for Plan]]," ",TableAopCalendar[[#This Row],[Plan]])</f>
        <v>SEPTEMBER 23 PLANNED</v>
      </c>
    </row>
    <row r="536" spans="1:11" x14ac:dyDescent="0.25">
      <c r="A536" s="5">
        <f t="shared" si="24"/>
        <v>3</v>
      </c>
      <c r="B536" s="6">
        <v>45186</v>
      </c>
      <c r="C536" s="7" t="s">
        <v>269</v>
      </c>
      <c r="D536" s="7">
        <v>23</v>
      </c>
      <c r="E536" s="5">
        <f>DAY(TableAopCalendar[[#This Row],[Date]])</f>
        <v>17</v>
      </c>
      <c r="F53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36" s="5" t="str">
        <f t="shared" si="25"/>
        <v>Week 3</v>
      </c>
      <c r="H536" s="8" t="str">
        <f t="shared" si="26"/>
        <v>September 23 Week 3</v>
      </c>
      <c r="I536" s="5" t="str">
        <f>CONCATENATE(UPPER(TableAopCalendar[[#This Row],[Month]])," ",TableAopCalendar[[#This Row],[Year]])</f>
        <v>SEPTEMBER 23</v>
      </c>
      <c r="J536" s="8" t="s">
        <v>274</v>
      </c>
      <c r="K536" s="8" t="str">
        <f>CONCATENATE(TableAopCalendar[[#This Row],[Month for Plan]]," ",TableAopCalendar[[#This Row],[Plan]])</f>
        <v>SEPTEMBER 23 PLANNED</v>
      </c>
    </row>
    <row r="537" spans="1:11" x14ac:dyDescent="0.25">
      <c r="A537" s="5">
        <f t="shared" si="24"/>
        <v>4</v>
      </c>
      <c r="B537" s="6">
        <v>45187</v>
      </c>
      <c r="C537" s="7" t="s">
        <v>269</v>
      </c>
      <c r="D537" s="7">
        <v>23</v>
      </c>
      <c r="E537" s="5">
        <f>DAY(TableAopCalendar[[#This Row],[Date]])</f>
        <v>18</v>
      </c>
      <c r="F53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37" s="5" t="str">
        <f t="shared" si="25"/>
        <v>Week 3</v>
      </c>
      <c r="H537" s="8" t="str">
        <f t="shared" si="26"/>
        <v>September 23 Week 3</v>
      </c>
      <c r="I537" s="5" t="str">
        <f>CONCATENATE(UPPER(TableAopCalendar[[#This Row],[Month]])," ",TableAopCalendar[[#This Row],[Year]])</f>
        <v>SEPTEMBER 23</v>
      </c>
      <c r="J537" s="8" t="s">
        <v>274</v>
      </c>
      <c r="K537" s="8" t="str">
        <f>CONCATENATE(TableAopCalendar[[#This Row],[Month for Plan]]," ",TableAopCalendar[[#This Row],[Plan]])</f>
        <v>SEPTEMBER 23 PLANNED</v>
      </c>
    </row>
    <row r="538" spans="1:11" x14ac:dyDescent="0.25">
      <c r="A538" s="5">
        <f t="shared" si="24"/>
        <v>5</v>
      </c>
      <c r="B538" s="6">
        <v>45188</v>
      </c>
      <c r="C538" s="7" t="s">
        <v>269</v>
      </c>
      <c r="D538" s="7">
        <v>23</v>
      </c>
      <c r="E538" s="5">
        <f>DAY(TableAopCalendar[[#This Row],[Date]])</f>
        <v>19</v>
      </c>
      <c r="F53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38" s="5" t="str">
        <f t="shared" si="25"/>
        <v>Week 3</v>
      </c>
      <c r="H538" s="8" t="str">
        <f t="shared" si="26"/>
        <v>September 23 Week 3</v>
      </c>
      <c r="I538" s="5" t="str">
        <f>CONCATENATE(UPPER(TableAopCalendar[[#This Row],[Month]])," ",TableAopCalendar[[#This Row],[Year]])</f>
        <v>SEPTEMBER 23</v>
      </c>
      <c r="J538" s="8" t="s">
        <v>274</v>
      </c>
      <c r="K538" s="8" t="str">
        <f>CONCATENATE(TableAopCalendar[[#This Row],[Month for Plan]]," ",TableAopCalendar[[#This Row],[Plan]])</f>
        <v>SEPTEMBER 23 PLANNED</v>
      </c>
    </row>
    <row r="539" spans="1:11" x14ac:dyDescent="0.25">
      <c r="A539" s="5">
        <f t="shared" si="24"/>
        <v>6</v>
      </c>
      <c r="B539" s="6">
        <v>45189</v>
      </c>
      <c r="C539" s="7" t="s">
        <v>269</v>
      </c>
      <c r="D539" s="7">
        <v>23</v>
      </c>
      <c r="E539" s="5">
        <f>DAY(TableAopCalendar[[#This Row],[Date]])</f>
        <v>20</v>
      </c>
      <c r="F539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39" s="5" t="str">
        <f t="shared" si="25"/>
        <v>Week 3</v>
      </c>
      <c r="H539" s="8" t="str">
        <f t="shared" si="26"/>
        <v>September 23 Week 3</v>
      </c>
      <c r="I539" s="5" t="str">
        <f>CONCATENATE(UPPER(TableAopCalendar[[#This Row],[Month]])," ",TableAopCalendar[[#This Row],[Year]])</f>
        <v>SEPTEMBER 23</v>
      </c>
      <c r="J539" s="8" t="s">
        <v>274</v>
      </c>
      <c r="K539" s="8" t="str">
        <f>CONCATENATE(TableAopCalendar[[#This Row],[Month for Plan]]," ",TableAopCalendar[[#This Row],[Plan]])</f>
        <v>SEPTEMBER 23 PLANNED</v>
      </c>
    </row>
    <row r="540" spans="1:11" x14ac:dyDescent="0.25">
      <c r="A540" s="5">
        <f t="shared" si="24"/>
        <v>7</v>
      </c>
      <c r="B540" s="6">
        <v>45190</v>
      </c>
      <c r="C540" s="7" t="s">
        <v>269</v>
      </c>
      <c r="D540" s="7">
        <v>23</v>
      </c>
      <c r="E540" s="5">
        <f>DAY(TableAopCalendar[[#This Row],[Date]])</f>
        <v>21</v>
      </c>
      <c r="F54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40" s="5" t="str">
        <f t="shared" si="25"/>
        <v>Week 3</v>
      </c>
      <c r="H540" s="8" t="str">
        <f t="shared" si="26"/>
        <v>September 23 Week 3</v>
      </c>
      <c r="I540" s="5" t="str">
        <f>CONCATENATE(UPPER(TableAopCalendar[[#This Row],[Month]])," ",TableAopCalendar[[#This Row],[Year]])</f>
        <v>SEPTEMBER 23</v>
      </c>
      <c r="J540" s="8" t="s">
        <v>274</v>
      </c>
      <c r="K540" s="8" t="str">
        <f>CONCATENATE(TableAopCalendar[[#This Row],[Month for Plan]]," ",TableAopCalendar[[#This Row],[Plan]])</f>
        <v>SEPTEMBER 23 PLANNED</v>
      </c>
    </row>
    <row r="541" spans="1:11" x14ac:dyDescent="0.25">
      <c r="A541" s="5">
        <f t="shared" si="24"/>
        <v>1</v>
      </c>
      <c r="B541" s="6">
        <v>45191</v>
      </c>
      <c r="C541" s="7" t="s">
        <v>269</v>
      </c>
      <c r="D541" s="7">
        <v>23</v>
      </c>
      <c r="E541" s="5">
        <f>DAY(TableAopCalendar[[#This Row],[Date]])</f>
        <v>22</v>
      </c>
      <c r="F541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1" s="5" t="str">
        <f t="shared" si="25"/>
        <v>Week 4</v>
      </c>
      <c r="H541" s="8" t="str">
        <f t="shared" si="26"/>
        <v>September 23 Week 4</v>
      </c>
      <c r="I541" s="5" t="str">
        <f>CONCATENATE(UPPER(TableAopCalendar[[#This Row],[Month]])," ",TableAopCalendar[[#This Row],[Year]])</f>
        <v>SEPTEMBER 23</v>
      </c>
      <c r="J541" s="8" t="s">
        <v>274</v>
      </c>
      <c r="K541" s="8" t="str">
        <f>CONCATENATE(TableAopCalendar[[#This Row],[Month for Plan]]," ",TableAopCalendar[[#This Row],[Plan]])</f>
        <v>SEPTEMBER 23 PLANNED</v>
      </c>
    </row>
    <row r="542" spans="1:11" x14ac:dyDescent="0.25">
      <c r="A542" s="5">
        <f t="shared" si="24"/>
        <v>2</v>
      </c>
      <c r="B542" s="6">
        <v>45192</v>
      </c>
      <c r="C542" s="7" t="s">
        <v>269</v>
      </c>
      <c r="D542" s="7">
        <v>23</v>
      </c>
      <c r="E542" s="5">
        <f>DAY(TableAopCalendar[[#This Row],[Date]])</f>
        <v>23</v>
      </c>
      <c r="F54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2" s="5" t="str">
        <f t="shared" si="25"/>
        <v>Week 4</v>
      </c>
      <c r="H542" s="8" t="str">
        <f t="shared" si="26"/>
        <v>September 23 Week 4</v>
      </c>
      <c r="I542" s="5" t="str">
        <f>CONCATENATE(UPPER(TableAopCalendar[[#This Row],[Month]])," ",TableAopCalendar[[#This Row],[Year]])</f>
        <v>SEPTEMBER 23</v>
      </c>
      <c r="J542" s="8" t="s">
        <v>274</v>
      </c>
      <c r="K542" s="8" t="str">
        <f>CONCATENATE(TableAopCalendar[[#This Row],[Month for Plan]]," ",TableAopCalendar[[#This Row],[Plan]])</f>
        <v>SEPTEMBER 23 PLANNED</v>
      </c>
    </row>
    <row r="543" spans="1:11" x14ac:dyDescent="0.25">
      <c r="A543" s="5">
        <f t="shared" si="24"/>
        <v>3</v>
      </c>
      <c r="B543" s="6">
        <v>45193</v>
      </c>
      <c r="C543" s="7" t="s">
        <v>269</v>
      </c>
      <c r="D543" s="7">
        <v>23</v>
      </c>
      <c r="E543" s="5">
        <f>DAY(TableAopCalendar[[#This Row],[Date]])</f>
        <v>24</v>
      </c>
      <c r="F54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3" s="5" t="str">
        <f t="shared" si="25"/>
        <v>Week 4</v>
      </c>
      <c r="H543" s="8" t="str">
        <f t="shared" si="26"/>
        <v>September 23 Week 4</v>
      </c>
      <c r="I543" s="5" t="str">
        <f>CONCATENATE(UPPER(TableAopCalendar[[#This Row],[Month]])," ",TableAopCalendar[[#This Row],[Year]])</f>
        <v>SEPTEMBER 23</v>
      </c>
      <c r="J543" s="8" t="s">
        <v>274</v>
      </c>
      <c r="K543" s="8" t="str">
        <f>CONCATENATE(TableAopCalendar[[#This Row],[Month for Plan]]," ",TableAopCalendar[[#This Row],[Plan]])</f>
        <v>SEPTEMBER 23 PLANNED</v>
      </c>
    </row>
    <row r="544" spans="1:11" x14ac:dyDescent="0.25">
      <c r="A544" s="5">
        <f t="shared" si="24"/>
        <v>4</v>
      </c>
      <c r="B544" s="6">
        <v>45194</v>
      </c>
      <c r="C544" s="7" t="s">
        <v>269</v>
      </c>
      <c r="D544" s="7">
        <v>23</v>
      </c>
      <c r="E544" s="5">
        <f>DAY(TableAopCalendar[[#This Row],[Date]])</f>
        <v>25</v>
      </c>
      <c r="F54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4" s="5" t="str">
        <f t="shared" si="25"/>
        <v>Week 4</v>
      </c>
      <c r="H544" s="8" t="str">
        <f t="shared" si="26"/>
        <v>September 23 Week 4</v>
      </c>
      <c r="I544" s="5" t="str">
        <f>CONCATENATE(UPPER(TableAopCalendar[[#This Row],[Month]])," ",TableAopCalendar[[#This Row],[Year]])</f>
        <v>SEPTEMBER 23</v>
      </c>
      <c r="J544" s="8" t="s">
        <v>274</v>
      </c>
      <c r="K544" s="8" t="str">
        <f>CONCATENATE(TableAopCalendar[[#This Row],[Month for Plan]]," ",TableAopCalendar[[#This Row],[Plan]])</f>
        <v>SEPTEMBER 23 PLANNED</v>
      </c>
    </row>
    <row r="545" spans="1:11" x14ac:dyDescent="0.25">
      <c r="A545" s="5">
        <f t="shared" si="24"/>
        <v>5</v>
      </c>
      <c r="B545" s="6">
        <v>45195</v>
      </c>
      <c r="C545" s="7" t="s">
        <v>269</v>
      </c>
      <c r="D545" s="7">
        <v>23</v>
      </c>
      <c r="E545" s="5">
        <f>DAY(TableAopCalendar[[#This Row],[Date]])</f>
        <v>26</v>
      </c>
      <c r="F54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5" s="5" t="str">
        <f t="shared" si="25"/>
        <v>Week 4</v>
      </c>
      <c r="H545" s="8" t="str">
        <f t="shared" si="26"/>
        <v>September 23 Week 4</v>
      </c>
      <c r="I545" s="5" t="str">
        <f>CONCATENATE(UPPER(TableAopCalendar[[#This Row],[Month]])," ",TableAopCalendar[[#This Row],[Year]])</f>
        <v>SEPTEMBER 23</v>
      </c>
      <c r="J545" s="8" t="s">
        <v>274</v>
      </c>
      <c r="K545" s="8" t="str">
        <f>CONCATENATE(TableAopCalendar[[#This Row],[Month for Plan]]," ",TableAopCalendar[[#This Row],[Plan]])</f>
        <v>SEPTEMBER 23 PLANNED</v>
      </c>
    </row>
    <row r="546" spans="1:11" x14ac:dyDescent="0.25">
      <c r="A546" s="5">
        <f t="shared" si="24"/>
        <v>6</v>
      </c>
      <c r="B546" s="6">
        <v>45196</v>
      </c>
      <c r="C546" s="7" t="s">
        <v>269</v>
      </c>
      <c r="D546" s="7">
        <v>23</v>
      </c>
      <c r="E546" s="5">
        <f>DAY(TableAopCalendar[[#This Row],[Date]])</f>
        <v>27</v>
      </c>
      <c r="F546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6" s="5" t="str">
        <f t="shared" si="25"/>
        <v>Week 4</v>
      </c>
      <c r="H546" s="8" t="str">
        <f t="shared" si="26"/>
        <v>September 23 Week 4</v>
      </c>
      <c r="I546" s="5" t="str">
        <f>CONCATENATE(UPPER(TableAopCalendar[[#This Row],[Month]])," ",TableAopCalendar[[#This Row],[Year]])</f>
        <v>SEPTEMBER 23</v>
      </c>
      <c r="J546" s="8" t="s">
        <v>274</v>
      </c>
      <c r="K546" s="8" t="str">
        <f>CONCATENATE(TableAopCalendar[[#This Row],[Month for Plan]]," ",TableAopCalendar[[#This Row],[Plan]])</f>
        <v>SEPTEMBER 23 PLANNED</v>
      </c>
    </row>
    <row r="547" spans="1:11" x14ac:dyDescent="0.25">
      <c r="A547" s="5">
        <f t="shared" si="24"/>
        <v>7</v>
      </c>
      <c r="B547" s="6">
        <v>45197</v>
      </c>
      <c r="C547" s="7" t="s">
        <v>269</v>
      </c>
      <c r="D547" s="7">
        <v>23</v>
      </c>
      <c r="E547" s="5">
        <f>DAY(TableAopCalendar[[#This Row],[Date]])</f>
        <v>28</v>
      </c>
      <c r="F54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47" s="5" t="str">
        <f t="shared" si="25"/>
        <v>Week 4</v>
      </c>
      <c r="H547" s="8" t="str">
        <f t="shared" si="26"/>
        <v>September 23 Week 4</v>
      </c>
      <c r="I547" s="5" t="str">
        <f>CONCATENATE(UPPER(TableAopCalendar[[#This Row],[Month]])," ",TableAopCalendar[[#This Row],[Year]])</f>
        <v>SEPTEMBER 23</v>
      </c>
      <c r="J547" s="8" t="s">
        <v>274</v>
      </c>
      <c r="K547" s="8" t="str">
        <f>CONCATENATE(TableAopCalendar[[#This Row],[Month for Plan]]," ",TableAopCalendar[[#This Row],[Plan]])</f>
        <v>SEPTEMBER 23 PLANNED</v>
      </c>
    </row>
    <row r="548" spans="1:11" x14ac:dyDescent="0.25">
      <c r="A548" s="5">
        <f t="shared" si="24"/>
        <v>1</v>
      </c>
      <c r="B548" s="6">
        <v>45198</v>
      </c>
      <c r="C548" s="7" t="s">
        <v>269</v>
      </c>
      <c r="D548" s="7">
        <v>23</v>
      </c>
      <c r="E548" s="5">
        <f>DAY(TableAopCalendar[[#This Row],[Date]])</f>
        <v>29</v>
      </c>
      <c r="F548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48" s="5" t="str">
        <f t="shared" si="25"/>
        <v>Week 5</v>
      </c>
      <c r="H548" s="8" t="str">
        <f t="shared" si="26"/>
        <v>September 23 Week 5</v>
      </c>
      <c r="I548" s="5" t="str">
        <f>CONCATENATE(UPPER(TableAopCalendar[[#This Row],[Month]])," ",TableAopCalendar[[#This Row],[Year]])</f>
        <v>SEPTEMBER 23</v>
      </c>
      <c r="J548" s="8" t="s">
        <v>274</v>
      </c>
      <c r="K548" s="8" t="str">
        <f>CONCATENATE(TableAopCalendar[[#This Row],[Month for Plan]]," ",TableAopCalendar[[#This Row],[Plan]])</f>
        <v>SEPTEMBER 23 PLANNED</v>
      </c>
    </row>
    <row r="549" spans="1:11" x14ac:dyDescent="0.25">
      <c r="A549" s="5">
        <f t="shared" si="24"/>
        <v>2</v>
      </c>
      <c r="B549" s="6">
        <v>45199</v>
      </c>
      <c r="C549" s="7" t="s">
        <v>269</v>
      </c>
      <c r="D549" s="7">
        <v>23</v>
      </c>
      <c r="E549" s="5">
        <f>DAY(TableAopCalendar[[#This Row],[Date]])</f>
        <v>30</v>
      </c>
      <c r="F549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49" s="5" t="str">
        <f t="shared" si="25"/>
        <v>Week 5</v>
      </c>
      <c r="H549" s="8" t="str">
        <f t="shared" si="26"/>
        <v>September 23 Week 5</v>
      </c>
      <c r="I549" s="5" t="str">
        <f>CONCATENATE(UPPER(TableAopCalendar[[#This Row],[Month]])," ",TableAopCalendar[[#This Row],[Year]])</f>
        <v>SEPTEMBER 23</v>
      </c>
      <c r="J549" s="8" t="s">
        <v>274</v>
      </c>
      <c r="K549" s="8" t="str">
        <f>CONCATENATE(TableAopCalendar[[#This Row],[Month for Plan]]," ",TableAopCalendar[[#This Row],[Plan]])</f>
        <v>SEPTEMBER 23 PLANNED</v>
      </c>
    </row>
    <row r="550" spans="1:11" x14ac:dyDescent="0.25">
      <c r="A550" s="5">
        <f t="shared" si="24"/>
        <v>1</v>
      </c>
      <c r="B550" s="6">
        <v>45200</v>
      </c>
      <c r="C550" s="7" t="s">
        <v>114</v>
      </c>
      <c r="D550" s="7">
        <v>23</v>
      </c>
      <c r="E550" s="5">
        <f>DAY(TableAopCalendar[[#This Row],[Date]])</f>
        <v>1</v>
      </c>
      <c r="F550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50" s="5" t="str">
        <f t="shared" si="25"/>
        <v>Week 1</v>
      </c>
      <c r="H550" s="8" t="str">
        <f t="shared" si="26"/>
        <v>October 23 Week 1</v>
      </c>
      <c r="I550" s="5" t="str">
        <f>CONCATENATE(UPPER(TableAopCalendar[[#This Row],[Month]])," ",TableAopCalendar[[#This Row],[Year]])</f>
        <v>OCTOBER 23</v>
      </c>
      <c r="J550" s="8" t="s">
        <v>274</v>
      </c>
      <c r="K550" s="8" t="str">
        <f>CONCATENATE(TableAopCalendar[[#This Row],[Month for Plan]]," ",TableAopCalendar[[#This Row],[Plan]])</f>
        <v>OCTOBER 23 PLANNED</v>
      </c>
    </row>
    <row r="551" spans="1:11" x14ac:dyDescent="0.25">
      <c r="A551" s="5">
        <f t="shared" si="24"/>
        <v>2</v>
      </c>
      <c r="B551" s="6">
        <v>45201</v>
      </c>
      <c r="C551" s="7" t="s">
        <v>114</v>
      </c>
      <c r="D551" s="7">
        <v>23</v>
      </c>
      <c r="E551" s="5">
        <f>DAY(TableAopCalendar[[#This Row],[Date]])</f>
        <v>2</v>
      </c>
      <c r="F55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51" s="5" t="str">
        <f t="shared" si="25"/>
        <v>Week 1</v>
      </c>
      <c r="H551" s="8" t="str">
        <f t="shared" si="26"/>
        <v>October 23 Week 1</v>
      </c>
      <c r="I551" s="5" t="str">
        <f>CONCATENATE(UPPER(TableAopCalendar[[#This Row],[Month]])," ",TableAopCalendar[[#This Row],[Year]])</f>
        <v>OCTOBER 23</v>
      </c>
      <c r="J551" s="8" t="s">
        <v>274</v>
      </c>
      <c r="K551" s="8" t="str">
        <f>CONCATENATE(TableAopCalendar[[#This Row],[Month for Plan]]," ",TableAopCalendar[[#This Row],[Plan]])</f>
        <v>OCTOBER 23 PLANNED</v>
      </c>
    </row>
    <row r="552" spans="1:11" x14ac:dyDescent="0.25">
      <c r="A552" s="5">
        <f t="shared" si="24"/>
        <v>3</v>
      </c>
      <c r="B552" s="6">
        <v>45202</v>
      </c>
      <c r="C552" s="7" t="s">
        <v>114</v>
      </c>
      <c r="D552" s="7">
        <v>23</v>
      </c>
      <c r="E552" s="5">
        <f>DAY(TableAopCalendar[[#This Row],[Date]])</f>
        <v>3</v>
      </c>
      <c r="F55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52" s="5" t="str">
        <f t="shared" si="25"/>
        <v>Week 1</v>
      </c>
      <c r="H552" s="8" t="str">
        <f t="shared" si="26"/>
        <v>October 23 Week 1</v>
      </c>
      <c r="I552" s="5" t="str">
        <f>CONCATENATE(UPPER(TableAopCalendar[[#This Row],[Month]])," ",TableAopCalendar[[#This Row],[Year]])</f>
        <v>OCTOBER 23</v>
      </c>
      <c r="J552" s="8" t="s">
        <v>274</v>
      </c>
      <c r="K552" s="8" t="str">
        <f>CONCATENATE(TableAopCalendar[[#This Row],[Month for Plan]]," ",TableAopCalendar[[#This Row],[Plan]])</f>
        <v>OCTOBER 23 PLANNED</v>
      </c>
    </row>
    <row r="553" spans="1:11" x14ac:dyDescent="0.25">
      <c r="A553" s="5">
        <f t="shared" si="24"/>
        <v>4</v>
      </c>
      <c r="B553" s="6">
        <v>45203</v>
      </c>
      <c r="C553" s="7" t="s">
        <v>114</v>
      </c>
      <c r="D553" s="7">
        <v>23</v>
      </c>
      <c r="E553" s="5">
        <f>DAY(TableAopCalendar[[#This Row],[Date]])</f>
        <v>4</v>
      </c>
      <c r="F55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53" s="5" t="str">
        <f t="shared" si="25"/>
        <v>Week 1</v>
      </c>
      <c r="H553" s="8" t="str">
        <f t="shared" si="26"/>
        <v>October 23 Week 1</v>
      </c>
      <c r="I553" s="5" t="str">
        <f>CONCATENATE(UPPER(TableAopCalendar[[#This Row],[Month]])," ",TableAopCalendar[[#This Row],[Year]])</f>
        <v>OCTOBER 23</v>
      </c>
      <c r="J553" s="8" t="s">
        <v>274</v>
      </c>
      <c r="K553" s="8" t="str">
        <f>CONCATENATE(TableAopCalendar[[#This Row],[Month for Plan]]," ",TableAopCalendar[[#This Row],[Plan]])</f>
        <v>OCTOBER 23 PLANNED</v>
      </c>
    </row>
    <row r="554" spans="1:11" x14ac:dyDescent="0.25">
      <c r="A554" s="5">
        <f t="shared" si="24"/>
        <v>5</v>
      </c>
      <c r="B554" s="6">
        <v>45204</v>
      </c>
      <c r="C554" s="7" t="s">
        <v>114</v>
      </c>
      <c r="D554" s="7">
        <v>23</v>
      </c>
      <c r="E554" s="5">
        <f>DAY(TableAopCalendar[[#This Row],[Date]])</f>
        <v>5</v>
      </c>
      <c r="F55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54" s="5" t="str">
        <f t="shared" si="25"/>
        <v>Week 1</v>
      </c>
      <c r="H554" s="8" t="str">
        <f t="shared" si="26"/>
        <v>October 23 Week 1</v>
      </c>
      <c r="I554" s="5" t="str">
        <f>CONCATENATE(UPPER(TableAopCalendar[[#This Row],[Month]])," ",TableAopCalendar[[#This Row],[Year]])</f>
        <v>OCTOBER 23</v>
      </c>
      <c r="J554" s="8" t="s">
        <v>274</v>
      </c>
      <c r="K554" s="8" t="str">
        <f>CONCATENATE(TableAopCalendar[[#This Row],[Month for Plan]]," ",TableAopCalendar[[#This Row],[Plan]])</f>
        <v>OCTOBER 23 PLANNED</v>
      </c>
    </row>
    <row r="555" spans="1:11" x14ac:dyDescent="0.25">
      <c r="A555" s="5">
        <f t="shared" si="24"/>
        <v>6</v>
      </c>
      <c r="B555" s="6">
        <v>45205</v>
      </c>
      <c r="C555" s="7" t="s">
        <v>114</v>
      </c>
      <c r="D555" s="7">
        <v>23</v>
      </c>
      <c r="E555" s="5">
        <f>DAY(TableAopCalendar[[#This Row],[Date]])</f>
        <v>6</v>
      </c>
      <c r="F555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55" s="5" t="str">
        <f t="shared" si="25"/>
        <v>Week 1</v>
      </c>
      <c r="H555" s="8" t="str">
        <f t="shared" si="26"/>
        <v>October 23 Week 1</v>
      </c>
      <c r="I555" s="5" t="str">
        <f>CONCATENATE(UPPER(TableAopCalendar[[#This Row],[Month]])," ",TableAopCalendar[[#This Row],[Year]])</f>
        <v>OCTOBER 23</v>
      </c>
      <c r="J555" s="8" t="s">
        <v>274</v>
      </c>
      <c r="K555" s="8" t="str">
        <f>CONCATENATE(TableAopCalendar[[#This Row],[Month for Plan]]," ",TableAopCalendar[[#This Row],[Plan]])</f>
        <v>OCTOBER 23 PLANNED</v>
      </c>
    </row>
    <row r="556" spans="1:11" x14ac:dyDescent="0.25">
      <c r="A556" s="5">
        <f t="shared" si="24"/>
        <v>7</v>
      </c>
      <c r="B556" s="6">
        <v>45206</v>
      </c>
      <c r="C556" s="7" t="s">
        <v>114</v>
      </c>
      <c r="D556" s="7">
        <v>23</v>
      </c>
      <c r="E556" s="5">
        <f>DAY(TableAopCalendar[[#This Row],[Date]])</f>
        <v>7</v>
      </c>
      <c r="F55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56" s="5" t="str">
        <f t="shared" si="25"/>
        <v>Week 1</v>
      </c>
      <c r="H556" s="8" t="str">
        <f t="shared" si="26"/>
        <v>October 23 Week 1</v>
      </c>
      <c r="I556" s="5" t="str">
        <f>CONCATENATE(UPPER(TableAopCalendar[[#This Row],[Month]])," ",TableAopCalendar[[#This Row],[Year]])</f>
        <v>OCTOBER 23</v>
      </c>
      <c r="J556" s="8" t="s">
        <v>274</v>
      </c>
      <c r="K556" s="8" t="str">
        <f>CONCATENATE(TableAopCalendar[[#This Row],[Month for Plan]]," ",TableAopCalendar[[#This Row],[Plan]])</f>
        <v>OCTOBER 23 PLANNED</v>
      </c>
    </row>
    <row r="557" spans="1:11" x14ac:dyDescent="0.25">
      <c r="A557" s="5">
        <f t="shared" si="24"/>
        <v>1</v>
      </c>
      <c r="B557" s="6">
        <v>45207</v>
      </c>
      <c r="C557" s="7" t="s">
        <v>114</v>
      </c>
      <c r="D557" s="7">
        <v>23</v>
      </c>
      <c r="E557" s="5">
        <f>DAY(TableAopCalendar[[#This Row],[Date]])</f>
        <v>8</v>
      </c>
      <c r="F557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57" s="5" t="str">
        <f t="shared" si="25"/>
        <v>Week 2</v>
      </c>
      <c r="H557" s="8" t="str">
        <f t="shared" si="26"/>
        <v>October 23 Week 2</v>
      </c>
      <c r="I557" s="5" t="str">
        <f>CONCATENATE(UPPER(TableAopCalendar[[#This Row],[Month]])," ",TableAopCalendar[[#This Row],[Year]])</f>
        <v>OCTOBER 23</v>
      </c>
      <c r="J557" s="8" t="s">
        <v>274</v>
      </c>
      <c r="K557" s="8" t="str">
        <f>CONCATENATE(TableAopCalendar[[#This Row],[Month for Plan]]," ",TableAopCalendar[[#This Row],[Plan]])</f>
        <v>OCTOBER 23 PLANNED</v>
      </c>
    </row>
    <row r="558" spans="1:11" x14ac:dyDescent="0.25">
      <c r="A558" s="5">
        <f t="shared" si="24"/>
        <v>2</v>
      </c>
      <c r="B558" s="6">
        <v>45208</v>
      </c>
      <c r="C558" s="7" t="s">
        <v>114</v>
      </c>
      <c r="D558" s="7">
        <v>23</v>
      </c>
      <c r="E558" s="5">
        <f>DAY(TableAopCalendar[[#This Row],[Date]])</f>
        <v>9</v>
      </c>
      <c r="F55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58" s="5" t="str">
        <f t="shared" si="25"/>
        <v>Week 2</v>
      </c>
      <c r="H558" s="8" t="str">
        <f t="shared" si="26"/>
        <v>October 23 Week 2</v>
      </c>
      <c r="I558" s="5" t="str">
        <f>CONCATENATE(UPPER(TableAopCalendar[[#This Row],[Month]])," ",TableAopCalendar[[#This Row],[Year]])</f>
        <v>OCTOBER 23</v>
      </c>
      <c r="J558" s="8" t="s">
        <v>274</v>
      </c>
      <c r="K558" s="8" t="str">
        <f>CONCATENATE(TableAopCalendar[[#This Row],[Month for Plan]]," ",TableAopCalendar[[#This Row],[Plan]])</f>
        <v>OCTOBER 23 PLANNED</v>
      </c>
    </row>
    <row r="559" spans="1:11" x14ac:dyDescent="0.25">
      <c r="A559" s="5">
        <f t="shared" si="24"/>
        <v>3</v>
      </c>
      <c r="B559" s="6">
        <v>45209</v>
      </c>
      <c r="C559" s="7" t="s">
        <v>114</v>
      </c>
      <c r="D559" s="7">
        <v>23</v>
      </c>
      <c r="E559" s="5">
        <f>DAY(TableAopCalendar[[#This Row],[Date]])</f>
        <v>10</v>
      </c>
      <c r="F55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59" s="5" t="str">
        <f t="shared" si="25"/>
        <v>Week 2</v>
      </c>
      <c r="H559" s="8" t="str">
        <f t="shared" si="26"/>
        <v>October 23 Week 2</v>
      </c>
      <c r="I559" s="5" t="str">
        <f>CONCATENATE(UPPER(TableAopCalendar[[#This Row],[Month]])," ",TableAopCalendar[[#This Row],[Year]])</f>
        <v>OCTOBER 23</v>
      </c>
      <c r="J559" s="8" t="s">
        <v>274</v>
      </c>
      <c r="K559" s="8" t="str">
        <f>CONCATENATE(TableAopCalendar[[#This Row],[Month for Plan]]," ",TableAopCalendar[[#This Row],[Plan]])</f>
        <v>OCTOBER 23 PLANNED</v>
      </c>
    </row>
    <row r="560" spans="1:11" x14ac:dyDescent="0.25">
      <c r="A560" s="5">
        <f t="shared" si="24"/>
        <v>4</v>
      </c>
      <c r="B560" s="6">
        <v>45210</v>
      </c>
      <c r="C560" s="7" t="s">
        <v>114</v>
      </c>
      <c r="D560" s="7">
        <v>23</v>
      </c>
      <c r="E560" s="5">
        <f>DAY(TableAopCalendar[[#This Row],[Date]])</f>
        <v>11</v>
      </c>
      <c r="F56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60" s="5" t="str">
        <f t="shared" si="25"/>
        <v>Week 2</v>
      </c>
      <c r="H560" s="8" t="str">
        <f t="shared" si="26"/>
        <v>October 23 Week 2</v>
      </c>
      <c r="I560" s="5" t="str">
        <f>CONCATENATE(UPPER(TableAopCalendar[[#This Row],[Month]])," ",TableAopCalendar[[#This Row],[Year]])</f>
        <v>OCTOBER 23</v>
      </c>
      <c r="J560" s="8" t="s">
        <v>274</v>
      </c>
      <c r="K560" s="8" t="str">
        <f>CONCATENATE(TableAopCalendar[[#This Row],[Month for Plan]]," ",TableAopCalendar[[#This Row],[Plan]])</f>
        <v>OCTOBER 23 PLANNED</v>
      </c>
    </row>
    <row r="561" spans="1:11" x14ac:dyDescent="0.25">
      <c r="A561" s="5">
        <f t="shared" si="24"/>
        <v>5</v>
      </c>
      <c r="B561" s="6">
        <v>45211</v>
      </c>
      <c r="C561" s="7" t="s">
        <v>114</v>
      </c>
      <c r="D561" s="7">
        <v>23</v>
      </c>
      <c r="E561" s="5">
        <f>DAY(TableAopCalendar[[#This Row],[Date]])</f>
        <v>12</v>
      </c>
      <c r="F56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61" s="5" t="str">
        <f t="shared" si="25"/>
        <v>Week 2</v>
      </c>
      <c r="H561" s="8" t="str">
        <f t="shared" si="26"/>
        <v>October 23 Week 2</v>
      </c>
      <c r="I561" s="5" t="str">
        <f>CONCATENATE(UPPER(TableAopCalendar[[#This Row],[Month]])," ",TableAopCalendar[[#This Row],[Year]])</f>
        <v>OCTOBER 23</v>
      </c>
      <c r="J561" s="8" t="s">
        <v>274</v>
      </c>
      <c r="K561" s="8" t="str">
        <f>CONCATENATE(TableAopCalendar[[#This Row],[Month for Plan]]," ",TableAopCalendar[[#This Row],[Plan]])</f>
        <v>OCTOBER 23 PLANNED</v>
      </c>
    </row>
    <row r="562" spans="1:11" x14ac:dyDescent="0.25">
      <c r="A562" s="5">
        <f t="shared" si="24"/>
        <v>6</v>
      </c>
      <c r="B562" s="6">
        <v>45212</v>
      </c>
      <c r="C562" s="7" t="s">
        <v>114</v>
      </c>
      <c r="D562" s="7">
        <v>23</v>
      </c>
      <c r="E562" s="5">
        <f>DAY(TableAopCalendar[[#This Row],[Date]])</f>
        <v>13</v>
      </c>
      <c r="F562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62" s="5" t="str">
        <f t="shared" si="25"/>
        <v>Week 2</v>
      </c>
      <c r="H562" s="8" t="str">
        <f t="shared" si="26"/>
        <v>October 23 Week 2</v>
      </c>
      <c r="I562" s="5" t="str">
        <f>CONCATENATE(UPPER(TableAopCalendar[[#This Row],[Month]])," ",TableAopCalendar[[#This Row],[Year]])</f>
        <v>OCTOBER 23</v>
      </c>
      <c r="J562" s="8" t="s">
        <v>274</v>
      </c>
      <c r="K562" s="8" t="str">
        <f>CONCATENATE(TableAopCalendar[[#This Row],[Month for Plan]]," ",TableAopCalendar[[#This Row],[Plan]])</f>
        <v>OCTOBER 23 PLANNED</v>
      </c>
    </row>
    <row r="563" spans="1:11" x14ac:dyDescent="0.25">
      <c r="A563" s="5">
        <f t="shared" si="24"/>
        <v>7</v>
      </c>
      <c r="B563" s="6">
        <v>45213</v>
      </c>
      <c r="C563" s="7" t="s">
        <v>114</v>
      </c>
      <c r="D563" s="7">
        <v>23</v>
      </c>
      <c r="E563" s="5">
        <f>DAY(TableAopCalendar[[#This Row],[Date]])</f>
        <v>14</v>
      </c>
      <c r="F56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63" s="5" t="str">
        <f t="shared" si="25"/>
        <v>Week 2</v>
      </c>
      <c r="H563" s="8" t="str">
        <f t="shared" si="26"/>
        <v>October 23 Week 2</v>
      </c>
      <c r="I563" s="5" t="str">
        <f>CONCATENATE(UPPER(TableAopCalendar[[#This Row],[Month]])," ",TableAopCalendar[[#This Row],[Year]])</f>
        <v>OCTOBER 23</v>
      </c>
      <c r="J563" s="8" t="s">
        <v>274</v>
      </c>
      <c r="K563" s="8" t="str">
        <f>CONCATENATE(TableAopCalendar[[#This Row],[Month for Plan]]," ",TableAopCalendar[[#This Row],[Plan]])</f>
        <v>OCTOBER 23 PLANNED</v>
      </c>
    </row>
    <row r="564" spans="1:11" x14ac:dyDescent="0.25">
      <c r="A564" s="5">
        <f t="shared" si="24"/>
        <v>1</v>
      </c>
      <c r="B564" s="6">
        <v>45214</v>
      </c>
      <c r="C564" s="7" t="s">
        <v>114</v>
      </c>
      <c r="D564" s="7">
        <v>23</v>
      </c>
      <c r="E564" s="5">
        <f>DAY(TableAopCalendar[[#This Row],[Date]])</f>
        <v>15</v>
      </c>
      <c r="F564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64" s="5" t="str">
        <f t="shared" si="25"/>
        <v>Week 3</v>
      </c>
      <c r="H564" s="8" t="str">
        <f t="shared" si="26"/>
        <v>October 23 Week 3</v>
      </c>
      <c r="I564" s="5" t="str">
        <f>CONCATENATE(UPPER(TableAopCalendar[[#This Row],[Month]])," ",TableAopCalendar[[#This Row],[Year]])</f>
        <v>OCTOBER 23</v>
      </c>
      <c r="J564" s="8" t="s">
        <v>274</v>
      </c>
      <c r="K564" s="8" t="str">
        <f>CONCATENATE(TableAopCalendar[[#This Row],[Month for Plan]]," ",TableAopCalendar[[#This Row],[Plan]])</f>
        <v>OCTOBER 23 PLANNED</v>
      </c>
    </row>
    <row r="565" spans="1:11" x14ac:dyDescent="0.25">
      <c r="A565" s="5">
        <f t="shared" si="24"/>
        <v>2</v>
      </c>
      <c r="B565" s="6">
        <v>45215</v>
      </c>
      <c r="C565" s="7" t="s">
        <v>114</v>
      </c>
      <c r="D565" s="7">
        <v>23</v>
      </c>
      <c r="E565" s="5">
        <f>DAY(TableAopCalendar[[#This Row],[Date]])</f>
        <v>16</v>
      </c>
      <c r="F56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65" s="5" t="str">
        <f t="shared" si="25"/>
        <v>Week 3</v>
      </c>
      <c r="H565" s="8" t="str">
        <f t="shared" si="26"/>
        <v>October 23 Week 3</v>
      </c>
      <c r="I565" s="5" t="str">
        <f>CONCATENATE(UPPER(TableAopCalendar[[#This Row],[Month]])," ",TableAopCalendar[[#This Row],[Year]])</f>
        <v>OCTOBER 23</v>
      </c>
      <c r="J565" s="8" t="s">
        <v>274</v>
      </c>
      <c r="K565" s="8" t="str">
        <f>CONCATENATE(TableAopCalendar[[#This Row],[Month for Plan]]," ",TableAopCalendar[[#This Row],[Plan]])</f>
        <v>OCTOBER 23 PLANNED</v>
      </c>
    </row>
    <row r="566" spans="1:11" x14ac:dyDescent="0.25">
      <c r="A566" s="5">
        <f t="shared" si="24"/>
        <v>3</v>
      </c>
      <c r="B566" s="6">
        <v>45216</v>
      </c>
      <c r="C566" s="7" t="s">
        <v>114</v>
      </c>
      <c r="D566" s="7">
        <v>23</v>
      </c>
      <c r="E566" s="5">
        <f>DAY(TableAopCalendar[[#This Row],[Date]])</f>
        <v>17</v>
      </c>
      <c r="F56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66" s="5" t="str">
        <f t="shared" si="25"/>
        <v>Week 3</v>
      </c>
      <c r="H566" s="8" t="str">
        <f t="shared" si="26"/>
        <v>October 23 Week 3</v>
      </c>
      <c r="I566" s="5" t="str">
        <f>CONCATENATE(UPPER(TableAopCalendar[[#This Row],[Month]])," ",TableAopCalendar[[#This Row],[Year]])</f>
        <v>OCTOBER 23</v>
      </c>
      <c r="J566" s="8" t="s">
        <v>274</v>
      </c>
      <c r="K566" s="8" t="str">
        <f>CONCATENATE(TableAopCalendar[[#This Row],[Month for Plan]]," ",TableAopCalendar[[#This Row],[Plan]])</f>
        <v>OCTOBER 23 PLANNED</v>
      </c>
    </row>
    <row r="567" spans="1:11" x14ac:dyDescent="0.25">
      <c r="A567" s="5">
        <f t="shared" si="24"/>
        <v>4</v>
      </c>
      <c r="B567" s="6">
        <v>45217</v>
      </c>
      <c r="C567" s="7" t="s">
        <v>114</v>
      </c>
      <c r="D567" s="7">
        <v>23</v>
      </c>
      <c r="E567" s="5">
        <f>DAY(TableAopCalendar[[#This Row],[Date]])</f>
        <v>18</v>
      </c>
      <c r="F56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67" s="5" t="str">
        <f t="shared" si="25"/>
        <v>Week 3</v>
      </c>
      <c r="H567" s="8" t="str">
        <f t="shared" si="26"/>
        <v>October 23 Week 3</v>
      </c>
      <c r="I567" s="5" t="str">
        <f>CONCATENATE(UPPER(TableAopCalendar[[#This Row],[Month]])," ",TableAopCalendar[[#This Row],[Year]])</f>
        <v>OCTOBER 23</v>
      </c>
      <c r="J567" s="8" t="s">
        <v>274</v>
      </c>
      <c r="K567" s="8" t="str">
        <f>CONCATENATE(TableAopCalendar[[#This Row],[Month for Plan]]," ",TableAopCalendar[[#This Row],[Plan]])</f>
        <v>OCTOBER 23 PLANNED</v>
      </c>
    </row>
    <row r="568" spans="1:11" x14ac:dyDescent="0.25">
      <c r="A568" s="5">
        <f t="shared" si="24"/>
        <v>5</v>
      </c>
      <c r="B568" s="6">
        <v>45218</v>
      </c>
      <c r="C568" s="7" t="s">
        <v>114</v>
      </c>
      <c r="D568" s="7">
        <v>23</v>
      </c>
      <c r="E568" s="5">
        <f>DAY(TableAopCalendar[[#This Row],[Date]])</f>
        <v>19</v>
      </c>
      <c r="F56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68" s="5" t="str">
        <f t="shared" si="25"/>
        <v>Week 3</v>
      </c>
      <c r="H568" s="8" t="str">
        <f t="shared" si="26"/>
        <v>October 23 Week 3</v>
      </c>
      <c r="I568" s="5" t="str">
        <f>CONCATENATE(UPPER(TableAopCalendar[[#This Row],[Month]])," ",TableAopCalendar[[#This Row],[Year]])</f>
        <v>OCTOBER 23</v>
      </c>
      <c r="J568" s="8" t="s">
        <v>274</v>
      </c>
      <c r="K568" s="8" t="str">
        <f>CONCATENATE(TableAopCalendar[[#This Row],[Month for Plan]]," ",TableAopCalendar[[#This Row],[Plan]])</f>
        <v>OCTOBER 23 PLANNED</v>
      </c>
    </row>
    <row r="569" spans="1:11" x14ac:dyDescent="0.25">
      <c r="A569" s="5">
        <f t="shared" si="24"/>
        <v>6</v>
      </c>
      <c r="B569" s="6">
        <v>45219</v>
      </c>
      <c r="C569" s="7" t="s">
        <v>114</v>
      </c>
      <c r="D569" s="7">
        <v>23</v>
      </c>
      <c r="E569" s="5">
        <f>DAY(TableAopCalendar[[#This Row],[Date]])</f>
        <v>20</v>
      </c>
      <c r="F569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69" s="5" t="str">
        <f t="shared" si="25"/>
        <v>Week 3</v>
      </c>
      <c r="H569" s="8" t="str">
        <f t="shared" si="26"/>
        <v>October 23 Week 3</v>
      </c>
      <c r="I569" s="5" t="str">
        <f>CONCATENATE(UPPER(TableAopCalendar[[#This Row],[Month]])," ",TableAopCalendar[[#This Row],[Year]])</f>
        <v>OCTOBER 23</v>
      </c>
      <c r="J569" s="8" t="s">
        <v>274</v>
      </c>
      <c r="K569" s="8" t="str">
        <f>CONCATENATE(TableAopCalendar[[#This Row],[Month for Plan]]," ",TableAopCalendar[[#This Row],[Plan]])</f>
        <v>OCTOBER 23 PLANNED</v>
      </c>
    </row>
    <row r="570" spans="1:11" x14ac:dyDescent="0.25">
      <c r="A570" s="5">
        <f t="shared" si="24"/>
        <v>7</v>
      </c>
      <c r="B570" s="6">
        <v>45220</v>
      </c>
      <c r="C570" s="7" t="s">
        <v>114</v>
      </c>
      <c r="D570" s="7">
        <v>23</v>
      </c>
      <c r="E570" s="5">
        <f>DAY(TableAopCalendar[[#This Row],[Date]])</f>
        <v>21</v>
      </c>
      <c r="F57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70" s="5" t="str">
        <f t="shared" si="25"/>
        <v>Week 3</v>
      </c>
      <c r="H570" s="8" t="str">
        <f t="shared" si="26"/>
        <v>October 23 Week 3</v>
      </c>
      <c r="I570" s="5" t="str">
        <f>CONCATENATE(UPPER(TableAopCalendar[[#This Row],[Month]])," ",TableAopCalendar[[#This Row],[Year]])</f>
        <v>OCTOBER 23</v>
      </c>
      <c r="J570" s="8" t="s">
        <v>274</v>
      </c>
      <c r="K570" s="8" t="str">
        <f>CONCATENATE(TableAopCalendar[[#This Row],[Month for Plan]]," ",TableAopCalendar[[#This Row],[Plan]])</f>
        <v>OCTOBER 23 PLANNED</v>
      </c>
    </row>
    <row r="571" spans="1:11" x14ac:dyDescent="0.25">
      <c r="A571" s="5">
        <f t="shared" si="24"/>
        <v>1</v>
      </c>
      <c r="B571" s="6">
        <v>45221</v>
      </c>
      <c r="C571" s="7" t="s">
        <v>114</v>
      </c>
      <c r="D571" s="7">
        <v>23</v>
      </c>
      <c r="E571" s="5">
        <f>DAY(TableAopCalendar[[#This Row],[Date]])</f>
        <v>22</v>
      </c>
      <c r="F571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1" s="5" t="str">
        <f t="shared" si="25"/>
        <v>Week 4</v>
      </c>
      <c r="H571" s="8" t="str">
        <f t="shared" si="26"/>
        <v>October 23 Week 4</v>
      </c>
      <c r="I571" s="5" t="str">
        <f>CONCATENATE(UPPER(TableAopCalendar[[#This Row],[Month]])," ",TableAopCalendar[[#This Row],[Year]])</f>
        <v>OCTOBER 23</v>
      </c>
      <c r="J571" s="8" t="s">
        <v>274</v>
      </c>
      <c r="K571" s="8" t="str">
        <f>CONCATENATE(TableAopCalendar[[#This Row],[Month for Plan]]," ",TableAopCalendar[[#This Row],[Plan]])</f>
        <v>OCTOBER 23 PLANNED</v>
      </c>
    </row>
    <row r="572" spans="1:11" x14ac:dyDescent="0.25">
      <c r="A572" s="5">
        <f t="shared" si="24"/>
        <v>2</v>
      </c>
      <c r="B572" s="6">
        <v>45222</v>
      </c>
      <c r="C572" s="7" t="s">
        <v>114</v>
      </c>
      <c r="D572" s="7">
        <v>23</v>
      </c>
      <c r="E572" s="5">
        <f>DAY(TableAopCalendar[[#This Row],[Date]])</f>
        <v>23</v>
      </c>
      <c r="F57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2" s="5" t="str">
        <f t="shared" si="25"/>
        <v>Week 4</v>
      </c>
      <c r="H572" s="8" t="str">
        <f t="shared" si="26"/>
        <v>October 23 Week 4</v>
      </c>
      <c r="I572" s="5" t="str">
        <f>CONCATENATE(UPPER(TableAopCalendar[[#This Row],[Month]])," ",TableAopCalendar[[#This Row],[Year]])</f>
        <v>OCTOBER 23</v>
      </c>
      <c r="J572" s="8" t="s">
        <v>274</v>
      </c>
      <c r="K572" s="8" t="str">
        <f>CONCATENATE(TableAopCalendar[[#This Row],[Month for Plan]]," ",TableAopCalendar[[#This Row],[Plan]])</f>
        <v>OCTOBER 23 PLANNED</v>
      </c>
    </row>
    <row r="573" spans="1:11" x14ac:dyDescent="0.25">
      <c r="A573" s="5">
        <f t="shared" si="24"/>
        <v>3</v>
      </c>
      <c r="B573" s="6">
        <v>45223</v>
      </c>
      <c r="C573" s="7" t="s">
        <v>114</v>
      </c>
      <c r="D573" s="7">
        <v>23</v>
      </c>
      <c r="E573" s="5">
        <f>DAY(TableAopCalendar[[#This Row],[Date]])</f>
        <v>24</v>
      </c>
      <c r="F57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3" s="5" t="str">
        <f t="shared" si="25"/>
        <v>Week 4</v>
      </c>
      <c r="H573" s="8" t="str">
        <f t="shared" si="26"/>
        <v>October 23 Week 4</v>
      </c>
      <c r="I573" s="5" t="str">
        <f>CONCATENATE(UPPER(TableAopCalendar[[#This Row],[Month]])," ",TableAopCalendar[[#This Row],[Year]])</f>
        <v>OCTOBER 23</v>
      </c>
      <c r="J573" s="8" t="s">
        <v>274</v>
      </c>
      <c r="K573" s="8" t="str">
        <f>CONCATENATE(TableAopCalendar[[#This Row],[Month for Plan]]," ",TableAopCalendar[[#This Row],[Plan]])</f>
        <v>OCTOBER 23 PLANNED</v>
      </c>
    </row>
    <row r="574" spans="1:11" x14ac:dyDescent="0.25">
      <c r="A574" s="5">
        <f t="shared" si="24"/>
        <v>4</v>
      </c>
      <c r="B574" s="6">
        <v>45224</v>
      </c>
      <c r="C574" s="7" t="s">
        <v>114</v>
      </c>
      <c r="D574" s="7">
        <v>23</v>
      </c>
      <c r="E574" s="5">
        <f>DAY(TableAopCalendar[[#This Row],[Date]])</f>
        <v>25</v>
      </c>
      <c r="F57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4" s="5" t="str">
        <f t="shared" si="25"/>
        <v>Week 4</v>
      </c>
      <c r="H574" s="8" t="str">
        <f t="shared" si="26"/>
        <v>October 23 Week 4</v>
      </c>
      <c r="I574" s="5" t="str">
        <f>CONCATENATE(UPPER(TableAopCalendar[[#This Row],[Month]])," ",TableAopCalendar[[#This Row],[Year]])</f>
        <v>OCTOBER 23</v>
      </c>
      <c r="J574" s="8" t="s">
        <v>274</v>
      </c>
      <c r="K574" s="8" t="str">
        <f>CONCATENATE(TableAopCalendar[[#This Row],[Month for Plan]]," ",TableAopCalendar[[#This Row],[Plan]])</f>
        <v>OCTOBER 23 PLANNED</v>
      </c>
    </row>
    <row r="575" spans="1:11" x14ac:dyDescent="0.25">
      <c r="A575" s="5">
        <f t="shared" si="24"/>
        <v>5</v>
      </c>
      <c r="B575" s="6">
        <v>45225</v>
      </c>
      <c r="C575" s="7" t="s">
        <v>114</v>
      </c>
      <c r="D575" s="7">
        <v>23</v>
      </c>
      <c r="E575" s="5">
        <f>DAY(TableAopCalendar[[#This Row],[Date]])</f>
        <v>26</v>
      </c>
      <c r="F57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5" s="5" t="str">
        <f t="shared" si="25"/>
        <v>Week 4</v>
      </c>
      <c r="H575" s="8" t="str">
        <f t="shared" si="26"/>
        <v>October 23 Week 4</v>
      </c>
      <c r="I575" s="5" t="str">
        <f>CONCATENATE(UPPER(TableAopCalendar[[#This Row],[Month]])," ",TableAopCalendar[[#This Row],[Year]])</f>
        <v>OCTOBER 23</v>
      </c>
      <c r="J575" s="8" t="s">
        <v>274</v>
      </c>
      <c r="K575" s="8" t="str">
        <f>CONCATENATE(TableAopCalendar[[#This Row],[Month for Plan]]," ",TableAopCalendar[[#This Row],[Plan]])</f>
        <v>OCTOBER 23 PLANNED</v>
      </c>
    </row>
    <row r="576" spans="1:11" x14ac:dyDescent="0.25">
      <c r="A576" s="5">
        <f t="shared" si="24"/>
        <v>6</v>
      </c>
      <c r="B576" s="6">
        <v>45226</v>
      </c>
      <c r="C576" s="7" t="s">
        <v>114</v>
      </c>
      <c r="D576" s="7">
        <v>23</v>
      </c>
      <c r="E576" s="5">
        <f>DAY(TableAopCalendar[[#This Row],[Date]])</f>
        <v>27</v>
      </c>
      <c r="F576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6" s="5" t="str">
        <f t="shared" si="25"/>
        <v>Week 4</v>
      </c>
      <c r="H576" s="8" t="str">
        <f t="shared" si="26"/>
        <v>October 23 Week 4</v>
      </c>
      <c r="I576" s="5" t="str">
        <f>CONCATENATE(UPPER(TableAopCalendar[[#This Row],[Month]])," ",TableAopCalendar[[#This Row],[Year]])</f>
        <v>OCTOBER 23</v>
      </c>
      <c r="J576" s="8" t="s">
        <v>274</v>
      </c>
      <c r="K576" s="8" t="str">
        <f>CONCATENATE(TableAopCalendar[[#This Row],[Month for Plan]]," ",TableAopCalendar[[#This Row],[Plan]])</f>
        <v>OCTOBER 23 PLANNED</v>
      </c>
    </row>
    <row r="577" spans="1:11" x14ac:dyDescent="0.25">
      <c r="A577" s="5">
        <f t="shared" si="24"/>
        <v>7</v>
      </c>
      <c r="B577" s="6">
        <v>45227</v>
      </c>
      <c r="C577" s="7" t="s">
        <v>114</v>
      </c>
      <c r="D577" s="7">
        <v>23</v>
      </c>
      <c r="E577" s="5">
        <f>DAY(TableAopCalendar[[#This Row],[Date]])</f>
        <v>28</v>
      </c>
      <c r="F57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577" s="5" t="str">
        <f t="shared" si="25"/>
        <v>Week 4</v>
      </c>
      <c r="H577" s="8" t="str">
        <f t="shared" si="26"/>
        <v>October 23 Week 4</v>
      </c>
      <c r="I577" s="5" t="str">
        <f>CONCATENATE(UPPER(TableAopCalendar[[#This Row],[Month]])," ",TableAopCalendar[[#This Row],[Year]])</f>
        <v>OCTOBER 23</v>
      </c>
      <c r="J577" s="8" t="s">
        <v>274</v>
      </c>
      <c r="K577" s="8" t="str">
        <f>CONCATENATE(TableAopCalendar[[#This Row],[Month for Plan]]," ",TableAopCalendar[[#This Row],[Plan]])</f>
        <v>OCTOBER 23 PLANNED</v>
      </c>
    </row>
    <row r="578" spans="1:11" x14ac:dyDescent="0.25">
      <c r="A578" s="5">
        <f t="shared" ref="A578:A641" si="27">IF(G578=G577,A577+1,1)</f>
        <v>1</v>
      </c>
      <c r="B578" s="6">
        <v>45228</v>
      </c>
      <c r="C578" s="7" t="s">
        <v>114</v>
      </c>
      <c r="D578" s="7">
        <v>23</v>
      </c>
      <c r="E578" s="5">
        <f>DAY(TableAopCalendar[[#This Row],[Date]])</f>
        <v>29</v>
      </c>
      <c r="F578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78" s="5" t="str">
        <f t="shared" ref="G578:G641" si="28">"Week"&amp;" "&amp;F578</f>
        <v>Week 5</v>
      </c>
      <c r="H578" s="8" t="str">
        <f t="shared" ref="H578:H641" si="29">CONCATENATE(C578," ",D578," ",G578)</f>
        <v>October 23 Week 5</v>
      </c>
      <c r="I578" s="5" t="str">
        <f>CONCATENATE(UPPER(TableAopCalendar[[#This Row],[Month]])," ",TableAopCalendar[[#This Row],[Year]])</f>
        <v>OCTOBER 23</v>
      </c>
      <c r="J578" s="8" t="s">
        <v>274</v>
      </c>
      <c r="K578" s="8" t="str">
        <f>CONCATENATE(TableAopCalendar[[#This Row],[Month for Plan]]," ",TableAopCalendar[[#This Row],[Plan]])</f>
        <v>OCTOBER 23 PLANNED</v>
      </c>
    </row>
    <row r="579" spans="1:11" x14ac:dyDescent="0.25">
      <c r="A579" s="5">
        <f t="shared" si="27"/>
        <v>2</v>
      </c>
      <c r="B579" s="6">
        <v>45229</v>
      </c>
      <c r="C579" s="7" t="s">
        <v>114</v>
      </c>
      <c r="D579" s="7">
        <v>23</v>
      </c>
      <c r="E579" s="5">
        <f>DAY(TableAopCalendar[[#This Row],[Date]])</f>
        <v>30</v>
      </c>
      <c r="F579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79" s="5" t="str">
        <f t="shared" si="28"/>
        <v>Week 5</v>
      </c>
      <c r="H579" s="8" t="str">
        <f t="shared" si="29"/>
        <v>October 23 Week 5</v>
      </c>
      <c r="I579" s="5" t="str">
        <f>CONCATENATE(UPPER(TableAopCalendar[[#This Row],[Month]])," ",TableAopCalendar[[#This Row],[Year]])</f>
        <v>OCTOBER 23</v>
      </c>
      <c r="J579" s="8" t="s">
        <v>274</v>
      </c>
      <c r="K579" s="8" t="str">
        <f>CONCATENATE(TableAopCalendar[[#This Row],[Month for Plan]]," ",TableAopCalendar[[#This Row],[Plan]])</f>
        <v>OCTOBER 23 PLANNED</v>
      </c>
    </row>
    <row r="580" spans="1:11" x14ac:dyDescent="0.25">
      <c r="A580" s="5">
        <f t="shared" si="27"/>
        <v>3</v>
      </c>
      <c r="B580" s="6">
        <v>45230</v>
      </c>
      <c r="C580" s="7" t="s">
        <v>114</v>
      </c>
      <c r="D580" s="7">
        <v>23</v>
      </c>
      <c r="E580" s="5">
        <f>DAY(TableAopCalendar[[#This Row],[Date]])</f>
        <v>31</v>
      </c>
      <c r="F580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580" s="5" t="str">
        <f t="shared" si="28"/>
        <v>Week 5</v>
      </c>
      <c r="H580" s="8" t="str">
        <f t="shared" si="29"/>
        <v>October 23 Week 5</v>
      </c>
      <c r="I580" s="5" t="str">
        <f>CONCATENATE(UPPER(TableAopCalendar[[#This Row],[Month]])," ",TableAopCalendar[[#This Row],[Year]])</f>
        <v>OCTOBER 23</v>
      </c>
      <c r="J580" s="8" t="s">
        <v>274</v>
      </c>
      <c r="K580" s="8" t="str">
        <f>CONCATENATE(TableAopCalendar[[#This Row],[Month for Plan]]," ",TableAopCalendar[[#This Row],[Plan]])</f>
        <v>OCTOBER 23 PLANNED</v>
      </c>
    </row>
    <row r="581" spans="1:11" x14ac:dyDescent="0.25">
      <c r="A581" s="5">
        <f t="shared" si="27"/>
        <v>1</v>
      </c>
      <c r="B581" s="6">
        <v>45231</v>
      </c>
      <c r="C581" s="7" t="s">
        <v>117</v>
      </c>
      <c r="D581" s="7">
        <v>23</v>
      </c>
      <c r="E581" s="5">
        <f>DAY(TableAopCalendar[[#This Row],[Date]])</f>
        <v>1</v>
      </c>
      <c r="F58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81" s="5" t="str">
        <f t="shared" si="28"/>
        <v>Week 1</v>
      </c>
      <c r="H581" s="8" t="str">
        <f t="shared" si="29"/>
        <v>November 23 Week 1</v>
      </c>
      <c r="I581" s="5" t="str">
        <f>CONCATENATE(UPPER(TableAopCalendar[[#This Row],[Month]])," ",TableAopCalendar[[#This Row],[Year]])</f>
        <v>NOVEMBER 23</v>
      </c>
      <c r="J581" s="8" t="s">
        <v>274</v>
      </c>
      <c r="K581" s="8" t="str">
        <f>CONCATENATE(TableAopCalendar[[#This Row],[Month for Plan]]," ",TableAopCalendar[[#This Row],[Plan]])</f>
        <v>NOVEMBER 23 PLANNED</v>
      </c>
    </row>
    <row r="582" spans="1:11" x14ac:dyDescent="0.25">
      <c r="A582" s="5">
        <f t="shared" si="27"/>
        <v>2</v>
      </c>
      <c r="B582" s="6">
        <v>45232</v>
      </c>
      <c r="C582" s="7" t="s">
        <v>117</v>
      </c>
      <c r="D582" s="7">
        <v>23</v>
      </c>
      <c r="E582" s="5">
        <f>DAY(TableAopCalendar[[#This Row],[Date]])</f>
        <v>2</v>
      </c>
      <c r="F58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82" s="5" t="str">
        <f t="shared" si="28"/>
        <v>Week 1</v>
      </c>
      <c r="H582" s="8" t="str">
        <f t="shared" si="29"/>
        <v>November 23 Week 1</v>
      </c>
      <c r="I582" s="5" t="str">
        <f>CONCATENATE(UPPER(TableAopCalendar[[#This Row],[Month]])," ",TableAopCalendar[[#This Row],[Year]])</f>
        <v>NOVEMBER 23</v>
      </c>
      <c r="J582" s="8" t="s">
        <v>274</v>
      </c>
      <c r="K582" s="8" t="str">
        <f>CONCATENATE(TableAopCalendar[[#This Row],[Month for Plan]]," ",TableAopCalendar[[#This Row],[Plan]])</f>
        <v>NOVEMBER 23 PLANNED</v>
      </c>
    </row>
    <row r="583" spans="1:11" x14ac:dyDescent="0.25">
      <c r="A583" s="5">
        <f t="shared" si="27"/>
        <v>3</v>
      </c>
      <c r="B583" s="6">
        <v>45233</v>
      </c>
      <c r="C583" s="7" t="s">
        <v>117</v>
      </c>
      <c r="D583" s="7">
        <v>23</v>
      </c>
      <c r="E583" s="5">
        <f>DAY(TableAopCalendar[[#This Row],[Date]])</f>
        <v>3</v>
      </c>
      <c r="F58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83" s="5" t="str">
        <f t="shared" si="28"/>
        <v>Week 1</v>
      </c>
      <c r="H583" s="8" t="str">
        <f t="shared" si="29"/>
        <v>November 23 Week 1</v>
      </c>
      <c r="I583" s="5" t="str">
        <f>CONCATENATE(UPPER(TableAopCalendar[[#This Row],[Month]])," ",TableAopCalendar[[#This Row],[Year]])</f>
        <v>NOVEMBER 23</v>
      </c>
      <c r="J583" s="8" t="s">
        <v>274</v>
      </c>
      <c r="K583" s="8" t="str">
        <f>CONCATENATE(TableAopCalendar[[#This Row],[Month for Plan]]," ",TableAopCalendar[[#This Row],[Plan]])</f>
        <v>NOVEMBER 23 PLANNED</v>
      </c>
    </row>
    <row r="584" spans="1:11" x14ac:dyDescent="0.25">
      <c r="A584" s="5">
        <f t="shared" si="27"/>
        <v>4</v>
      </c>
      <c r="B584" s="6">
        <v>45234</v>
      </c>
      <c r="C584" s="7" t="s">
        <v>117</v>
      </c>
      <c r="D584" s="7">
        <v>23</v>
      </c>
      <c r="E584" s="5">
        <f>DAY(TableAopCalendar[[#This Row],[Date]])</f>
        <v>4</v>
      </c>
      <c r="F58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84" s="5" t="str">
        <f t="shared" si="28"/>
        <v>Week 1</v>
      </c>
      <c r="H584" s="8" t="str">
        <f t="shared" si="29"/>
        <v>November 23 Week 1</v>
      </c>
      <c r="I584" s="5" t="str">
        <f>CONCATENATE(UPPER(TableAopCalendar[[#This Row],[Month]])," ",TableAopCalendar[[#This Row],[Year]])</f>
        <v>NOVEMBER 23</v>
      </c>
      <c r="J584" s="8" t="s">
        <v>274</v>
      </c>
      <c r="K584" s="8" t="str">
        <f>CONCATENATE(TableAopCalendar[[#This Row],[Month for Plan]]," ",TableAopCalendar[[#This Row],[Plan]])</f>
        <v>NOVEMBER 23 PLANNED</v>
      </c>
    </row>
    <row r="585" spans="1:11" x14ac:dyDescent="0.25">
      <c r="A585" s="5">
        <f t="shared" si="27"/>
        <v>5</v>
      </c>
      <c r="B585" s="6">
        <v>45235</v>
      </c>
      <c r="C585" s="7" t="s">
        <v>117</v>
      </c>
      <c r="D585" s="7">
        <v>23</v>
      </c>
      <c r="E585" s="5">
        <f>DAY(TableAopCalendar[[#This Row],[Date]])</f>
        <v>5</v>
      </c>
      <c r="F585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85" s="5" t="str">
        <f t="shared" si="28"/>
        <v>Week 1</v>
      </c>
      <c r="H585" s="8" t="str">
        <f t="shared" si="29"/>
        <v>November 23 Week 1</v>
      </c>
      <c r="I585" s="5" t="str">
        <f>CONCATENATE(UPPER(TableAopCalendar[[#This Row],[Month]])," ",TableAopCalendar[[#This Row],[Year]])</f>
        <v>NOVEMBER 23</v>
      </c>
      <c r="J585" s="8" t="s">
        <v>274</v>
      </c>
      <c r="K585" s="8" t="str">
        <f>CONCATENATE(TableAopCalendar[[#This Row],[Month for Plan]]," ",TableAopCalendar[[#This Row],[Plan]])</f>
        <v>NOVEMBER 23 PLANNED</v>
      </c>
    </row>
    <row r="586" spans="1:11" x14ac:dyDescent="0.25">
      <c r="A586" s="5">
        <f t="shared" si="27"/>
        <v>6</v>
      </c>
      <c r="B586" s="6">
        <v>45236</v>
      </c>
      <c r="C586" s="7" t="s">
        <v>117</v>
      </c>
      <c r="D586" s="7">
        <v>23</v>
      </c>
      <c r="E586" s="5">
        <f>DAY(TableAopCalendar[[#This Row],[Date]])</f>
        <v>6</v>
      </c>
      <c r="F58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86" s="5" t="str">
        <f t="shared" si="28"/>
        <v>Week 1</v>
      </c>
      <c r="H586" s="8" t="str">
        <f t="shared" si="29"/>
        <v>November 23 Week 1</v>
      </c>
      <c r="I586" s="5" t="str">
        <f>CONCATENATE(UPPER(TableAopCalendar[[#This Row],[Month]])," ",TableAopCalendar[[#This Row],[Year]])</f>
        <v>NOVEMBER 23</v>
      </c>
      <c r="J586" s="8" t="s">
        <v>274</v>
      </c>
      <c r="K586" s="8" t="str">
        <f>CONCATENATE(TableAopCalendar[[#This Row],[Month for Plan]]," ",TableAopCalendar[[#This Row],[Plan]])</f>
        <v>NOVEMBER 23 PLANNED</v>
      </c>
    </row>
    <row r="587" spans="1:11" x14ac:dyDescent="0.25">
      <c r="A587" s="5">
        <f t="shared" si="27"/>
        <v>7</v>
      </c>
      <c r="B587" s="6">
        <v>45237</v>
      </c>
      <c r="C587" s="7" t="s">
        <v>117</v>
      </c>
      <c r="D587" s="7">
        <v>23</v>
      </c>
      <c r="E587" s="5">
        <f>DAY(TableAopCalendar[[#This Row],[Date]])</f>
        <v>7</v>
      </c>
      <c r="F58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587" s="5" t="str">
        <f t="shared" si="28"/>
        <v>Week 1</v>
      </c>
      <c r="H587" s="8" t="str">
        <f t="shared" si="29"/>
        <v>November 23 Week 1</v>
      </c>
      <c r="I587" s="5" t="str">
        <f>CONCATENATE(UPPER(TableAopCalendar[[#This Row],[Month]])," ",TableAopCalendar[[#This Row],[Year]])</f>
        <v>NOVEMBER 23</v>
      </c>
      <c r="J587" s="8" t="s">
        <v>274</v>
      </c>
      <c r="K587" s="8" t="str">
        <f>CONCATENATE(TableAopCalendar[[#This Row],[Month for Plan]]," ",TableAopCalendar[[#This Row],[Plan]])</f>
        <v>NOVEMBER 23 PLANNED</v>
      </c>
    </row>
    <row r="588" spans="1:11" x14ac:dyDescent="0.25">
      <c r="A588" s="5">
        <f t="shared" si="27"/>
        <v>1</v>
      </c>
      <c r="B588" s="6">
        <v>45238</v>
      </c>
      <c r="C588" s="7" t="s">
        <v>117</v>
      </c>
      <c r="D588" s="7">
        <v>23</v>
      </c>
      <c r="E588" s="5">
        <f>DAY(TableAopCalendar[[#This Row],[Date]])</f>
        <v>8</v>
      </c>
      <c r="F58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88" s="5" t="str">
        <f t="shared" si="28"/>
        <v>Week 2</v>
      </c>
      <c r="H588" s="8" t="str">
        <f t="shared" si="29"/>
        <v>November 23 Week 2</v>
      </c>
      <c r="I588" s="5" t="str">
        <f>CONCATENATE(UPPER(TableAopCalendar[[#This Row],[Month]])," ",TableAopCalendar[[#This Row],[Year]])</f>
        <v>NOVEMBER 23</v>
      </c>
      <c r="J588" s="8" t="s">
        <v>274</v>
      </c>
      <c r="K588" s="8" t="str">
        <f>CONCATENATE(TableAopCalendar[[#This Row],[Month for Plan]]," ",TableAopCalendar[[#This Row],[Plan]])</f>
        <v>NOVEMBER 23 PLANNED</v>
      </c>
    </row>
    <row r="589" spans="1:11" x14ac:dyDescent="0.25">
      <c r="A589" s="5">
        <f t="shared" si="27"/>
        <v>2</v>
      </c>
      <c r="B589" s="6">
        <v>45239</v>
      </c>
      <c r="C589" s="7" t="s">
        <v>117</v>
      </c>
      <c r="D589" s="7">
        <v>23</v>
      </c>
      <c r="E589" s="5">
        <f>DAY(TableAopCalendar[[#This Row],[Date]])</f>
        <v>9</v>
      </c>
      <c r="F58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89" s="5" t="str">
        <f t="shared" si="28"/>
        <v>Week 2</v>
      </c>
      <c r="H589" s="8" t="str">
        <f t="shared" si="29"/>
        <v>November 23 Week 2</v>
      </c>
      <c r="I589" s="5" t="str">
        <f>CONCATENATE(UPPER(TableAopCalendar[[#This Row],[Month]])," ",TableAopCalendar[[#This Row],[Year]])</f>
        <v>NOVEMBER 23</v>
      </c>
      <c r="J589" s="8" t="s">
        <v>274</v>
      </c>
      <c r="K589" s="8" t="str">
        <f>CONCATENATE(TableAopCalendar[[#This Row],[Month for Plan]]," ",TableAopCalendar[[#This Row],[Plan]])</f>
        <v>NOVEMBER 23 PLANNED</v>
      </c>
    </row>
    <row r="590" spans="1:11" x14ac:dyDescent="0.25">
      <c r="A590" s="5">
        <f t="shared" si="27"/>
        <v>3</v>
      </c>
      <c r="B590" s="6">
        <v>45240</v>
      </c>
      <c r="C590" s="7" t="s">
        <v>117</v>
      </c>
      <c r="D590" s="7">
        <v>23</v>
      </c>
      <c r="E590" s="5">
        <f>DAY(TableAopCalendar[[#This Row],[Date]])</f>
        <v>10</v>
      </c>
      <c r="F59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90" s="5" t="str">
        <f t="shared" si="28"/>
        <v>Week 2</v>
      </c>
      <c r="H590" s="8" t="str">
        <f t="shared" si="29"/>
        <v>November 23 Week 2</v>
      </c>
      <c r="I590" s="5" t="str">
        <f>CONCATENATE(UPPER(TableAopCalendar[[#This Row],[Month]])," ",TableAopCalendar[[#This Row],[Year]])</f>
        <v>NOVEMBER 23</v>
      </c>
      <c r="J590" s="8" t="s">
        <v>274</v>
      </c>
      <c r="K590" s="8" t="str">
        <f>CONCATENATE(TableAopCalendar[[#This Row],[Month for Plan]]," ",TableAopCalendar[[#This Row],[Plan]])</f>
        <v>NOVEMBER 23 PLANNED</v>
      </c>
    </row>
    <row r="591" spans="1:11" x14ac:dyDescent="0.25">
      <c r="A591" s="5">
        <f t="shared" si="27"/>
        <v>4</v>
      </c>
      <c r="B591" s="6">
        <v>45241</v>
      </c>
      <c r="C591" s="7" t="s">
        <v>117</v>
      </c>
      <c r="D591" s="7">
        <v>23</v>
      </c>
      <c r="E591" s="5">
        <f>DAY(TableAopCalendar[[#This Row],[Date]])</f>
        <v>11</v>
      </c>
      <c r="F59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91" s="5" t="str">
        <f t="shared" si="28"/>
        <v>Week 2</v>
      </c>
      <c r="H591" s="8" t="str">
        <f t="shared" si="29"/>
        <v>November 23 Week 2</v>
      </c>
      <c r="I591" s="5" t="str">
        <f>CONCATENATE(UPPER(TableAopCalendar[[#This Row],[Month]])," ",TableAopCalendar[[#This Row],[Year]])</f>
        <v>NOVEMBER 23</v>
      </c>
      <c r="J591" s="8" t="s">
        <v>274</v>
      </c>
      <c r="K591" s="8" t="str">
        <f>CONCATENATE(TableAopCalendar[[#This Row],[Month for Plan]]," ",TableAopCalendar[[#This Row],[Plan]])</f>
        <v>NOVEMBER 23 PLANNED</v>
      </c>
    </row>
    <row r="592" spans="1:11" x14ac:dyDescent="0.25">
      <c r="A592" s="5">
        <f t="shared" si="27"/>
        <v>5</v>
      </c>
      <c r="B592" s="6">
        <v>45242</v>
      </c>
      <c r="C592" s="7" t="s">
        <v>117</v>
      </c>
      <c r="D592" s="7">
        <v>23</v>
      </c>
      <c r="E592" s="5">
        <f>DAY(TableAopCalendar[[#This Row],[Date]])</f>
        <v>12</v>
      </c>
      <c r="F592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92" s="5" t="str">
        <f t="shared" si="28"/>
        <v>Week 2</v>
      </c>
      <c r="H592" s="8" t="str">
        <f t="shared" si="29"/>
        <v>November 23 Week 2</v>
      </c>
      <c r="I592" s="5" t="str">
        <f>CONCATENATE(UPPER(TableAopCalendar[[#This Row],[Month]])," ",TableAopCalendar[[#This Row],[Year]])</f>
        <v>NOVEMBER 23</v>
      </c>
      <c r="J592" s="8" t="s">
        <v>274</v>
      </c>
      <c r="K592" s="8" t="str">
        <f>CONCATENATE(TableAopCalendar[[#This Row],[Month for Plan]]," ",TableAopCalendar[[#This Row],[Plan]])</f>
        <v>NOVEMBER 23 PLANNED</v>
      </c>
    </row>
    <row r="593" spans="1:11" x14ac:dyDescent="0.25">
      <c r="A593" s="5">
        <f t="shared" si="27"/>
        <v>6</v>
      </c>
      <c r="B593" s="6">
        <v>45243</v>
      </c>
      <c r="C593" s="7" t="s">
        <v>117</v>
      </c>
      <c r="D593" s="7">
        <v>23</v>
      </c>
      <c r="E593" s="5">
        <f>DAY(TableAopCalendar[[#This Row],[Date]])</f>
        <v>13</v>
      </c>
      <c r="F59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93" s="5" t="str">
        <f t="shared" si="28"/>
        <v>Week 2</v>
      </c>
      <c r="H593" s="8" t="str">
        <f t="shared" si="29"/>
        <v>November 23 Week 2</v>
      </c>
      <c r="I593" s="5" t="str">
        <f>CONCATENATE(UPPER(TableAopCalendar[[#This Row],[Month]])," ",TableAopCalendar[[#This Row],[Year]])</f>
        <v>NOVEMBER 23</v>
      </c>
      <c r="J593" s="8" t="s">
        <v>274</v>
      </c>
      <c r="K593" s="8" t="str">
        <f>CONCATENATE(TableAopCalendar[[#This Row],[Month for Plan]]," ",TableAopCalendar[[#This Row],[Plan]])</f>
        <v>NOVEMBER 23 PLANNED</v>
      </c>
    </row>
    <row r="594" spans="1:11" x14ac:dyDescent="0.25">
      <c r="A594" s="5">
        <f t="shared" si="27"/>
        <v>7</v>
      </c>
      <c r="B594" s="6">
        <v>45244</v>
      </c>
      <c r="C594" s="7" t="s">
        <v>117</v>
      </c>
      <c r="D594" s="7">
        <v>23</v>
      </c>
      <c r="E594" s="5">
        <f>DAY(TableAopCalendar[[#This Row],[Date]])</f>
        <v>14</v>
      </c>
      <c r="F59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594" s="5" t="str">
        <f t="shared" si="28"/>
        <v>Week 2</v>
      </c>
      <c r="H594" s="8" t="str">
        <f t="shared" si="29"/>
        <v>November 23 Week 2</v>
      </c>
      <c r="I594" s="5" t="str">
        <f>CONCATENATE(UPPER(TableAopCalendar[[#This Row],[Month]])," ",TableAopCalendar[[#This Row],[Year]])</f>
        <v>NOVEMBER 23</v>
      </c>
      <c r="J594" s="8" t="s">
        <v>274</v>
      </c>
      <c r="K594" s="8" t="str">
        <f>CONCATENATE(TableAopCalendar[[#This Row],[Month for Plan]]," ",TableAopCalendar[[#This Row],[Plan]])</f>
        <v>NOVEMBER 23 PLANNED</v>
      </c>
    </row>
    <row r="595" spans="1:11" x14ac:dyDescent="0.25">
      <c r="A595" s="5">
        <f t="shared" si="27"/>
        <v>1</v>
      </c>
      <c r="B595" s="6">
        <v>45245</v>
      </c>
      <c r="C595" s="7" t="s">
        <v>117</v>
      </c>
      <c r="D595" s="7">
        <v>23</v>
      </c>
      <c r="E595" s="5">
        <f>DAY(TableAopCalendar[[#This Row],[Date]])</f>
        <v>15</v>
      </c>
      <c r="F59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95" s="5" t="str">
        <f t="shared" si="28"/>
        <v>Week 3</v>
      </c>
      <c r="H595" s="8" t="str">
        <f t="shared" si="29"/>
        <v>November 23 Week 3</v>
      </c>
      <c r="I595" s="5" t="str">
        <f>CONCATENATE(UPPER(TableAopCalendar[[#This Row],[Month]])," ",TableAopCalendar[[#This Row],[Year]])</f>
        <v>NOVEMBER 23</v>
      </c>
      <c r="J595" s="8" t="s">
        <v>274</v>
      </c>
      <c r="K595" s="8" t="str">
        <f>CONCATENATE(TableAopCalendar[[#This Row],[Month for Plan]]," ",TableAopCalendar[[#This Row],[Plan]])</f>
        <v>NOVEMBER 23 PLANNED</v>
      </c>
    </row>
    <row r="596" spans="1:11" x14ac:dyDescent="0.25">
      <c r="A596" s="5">
        <f t="shared" si="27"/>
        <v>2</v>
      </c>
      <c r="B596" s="6">
        <v>45246</v>
      </c>
      <c r="C596" s="7" t="s">
        <v>117</v>
      </c>
      <c r="D596" s="7">
        <v>23</v>
      </c>
      <c r="E596" s="5">
        <f>DAY(TableAopCalendar[[#This Row],[Date]])</f>
        <v>16</v>
      </c>
      <c r="F59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96" s="5" t="str">
        <f t="shared" si="28"/>
        <v>Week 3</v>
      </c>
      <c r="H596" s="8" t="str">
        <f t="shared" si="29"/>
        <v>November 23 Week 3</v>
      </c>
      <c r="I596" s="5" t="str">
        <f>CONCATENATE(UPPER(TableAopCalendar[[#This Row],[Month]])," ",TableAopCalendar[[#This Row],[Year]])</f>
        <v>NOVEMBER 23</v>
      </c>
      <c r="J596" s="8" t="s">
        <v>274</v>
      </c>
      <c r="K596" s="8" t="str">
        <f>CONCATENATE(TableAopCalendar[[#This Row],[Month for Plan]]," ",TableAopCalendar[[#This Row],[Plan]])</f>
        <v>NOVEMBER 23 PLANNED</v>
      </c>
    </row>
    <row r="597" spans="1:11" x14ac:dyDescent="0.25">
      <c r="A597" s="5">
        <f t="shared" si="27"/>
        <v>3</v>
      </c>
      <c r="B597" s="6">
        <v>45247</v>
      </c>
      <c r="C597" s="7" t="s">
        <v>117</v>
      </c>
      <c r="D597" s="7">
        <v>23</v>
      </c>
      <c r="E597" s="5">
        <f>DAY(TableAopCalendar[[#This Row],[Date]])</f>
        <v>17</v>
      </c>
      <c r="F59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97" s="5" t="str">
        <f t="shared" si="28"/>
        <v>Week 3</v>
      </c>
      <c r="H597" s="8" t="str">
        <f t="shared" si="29"/>
        <v>November 23 Week 3</v>
      </c>
      <c r="I597" s="5" t="str">
        <f>CONCATENATE(UPPER(TableAopCalendar[[#This Row],[Month]])," ",TableAopCalendar[[#This Row],[Year]])</f>
        <v>NOVEMBER 23</v>
      </c>
      <c r="J597" s="8" t="s">
        <v>274</v>
      </c>
      <c r="K597" s="8" t="str">
        <f>CONCATENATE(TableAopCalendar[[#This Row],[Month for Plan]]," ",TableAopCalendar[[#This Row],[Plan]])</f>
        <v>NOVEMBER 23 PLANNED</v>
      </c>
    </row>
    <row r="598" spans="1:11" x14ac:dyDescent="0.25">
      <c r="A598" s="5">
        <f t="shared" si="27"/>
        <v>4</v>
      </c>
      <c r="B598" s="6">
        <v>45248</v>
      </c>
      <c r="C598" s="7" t="s">
        <v>117</v>
      </c>
      <c r="D598" s="7">
        <v>23</v>
      </c>
      <c r="E598" s="5">
        <f>DAY(TableAopCalendar[[#This Row],[Date]])</f>
        <v>18</v>
      </c>
      <c r="F59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98" s="5" t="str">
        <f t="shared" si="28"/>
        <v>Week 3</v>
      </c>
      <c r="H598" s="8" t="str">
        <f t="shared" si="29"/>
        <v>November 23 Week 3</v>
      </c>
      <c r="I598" s="5" t="str">
        <f>CONCATENATE(UPPER(TableAopCalendar[[#This Row],[Month]])," ",TableAopCalendar[[#This Row],[Year]])</f>
        <v>NOVEMBER 23</v>
      </c>
      <c r="J598" s="8" t="s">
        <v>274</v>
      </c>
      <c r="K598" s="8" t="str">
        <f>CONCATENATE(TableAopCalendar[[#This Row],[Month for Plan]]," ",TableAopCalendar[[#This Row],[Plan]])</f>
        <v>NOVEMBER 23 PLANNED</v>
      </c>
    </row>
    <row r="599" spans="1:11" x14ac:dyDescent="0.25">
      <c r="A599" s="5">
        <f t="shared" si="27"/>
        <v>5</v>
      </c>
      <c r="B599" s="6">
        <v>45249</v>
      </c>
      <c r="C599" s="7" t="s">
        <v>117</v>
      </c>
      <c r="D599" s="7">
        <v>23</v>
      </c>
      <c r="E599" s="5">
        <f>DAY(TableAopCalendar[[#This Row],[Date]])</f>
        <v>19</v>
      </c>
      <c r="F599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599" s="5" t="str">
        <f t="shared" si="28"/>
        <v>Week 3</v>
      </c>
      <c r="H599" s="8" t="str">
        <f t="shared" si="29"/>
        <v>November 23 Week 3</v>
      </c>
      <c r="I599" s="5" t="str">
        <f>CONCATENATE(UPPER(TableAopCalendar[[#This Row],[Month]])," ",TableAopCalendar[[#This Row],[Year]])</f>
        <v>NOVEMBER 23</v>
      </c>
      <c r="J599" s="8" t="s">
        <v>274</v>
      </c>
      <c r="K599" s="8" t="str">
        <f>CONCATENATE(TableAopCalendar[[#This Row],[Month for Plan]]," ",TableAopCalendar[[#This Row],[Plan]])</f>
        <v>NOVEMBER 23 PLANNED</v>
      </c>
    </row>
    <row r="600" spans="1:11" x14ac:dyDescent="0.25">
      <c r="A600" s="5">
        <f t="shared" si="27"/>
        <v>6</v>
      </c>
      <c r="B600" s="6">
        <v>45250</v>
      </c>
      <c r="C600" s="7" t="s">
        <v>117</v>
      </c>
      <c r="D600" s="7">
        <v>23</v>
      </c>
      <c r="E600" s="5">
        <f>DAY(TableAopCalendar[[#This Row],[Date]])</f>
        <v>20</v>
      </c>
      <c r="F60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00" s="5" t="str">
        <f t="shared" si="28"/>
        <v>Week 3</v>
      </c>
      <c r="H600" s="8" t="str">
        <f t="shared" si="29"/>
        <v>November 23 Week 3</v>
      </c>
      <c r="I600" s="5" t="str">
        <f>CONCATENATE(UPPER(TableAopCalendar[[#This Row],[Month]])," ",TableAopCalendar[[#This Row],[Year]])</f>
        <v>NOVEMBER 23</v>
      </c>
      <c r="J600" s="8" t="s">
        <v>274</v>
      </c>
      <c r="K600" s="8" t="str">
        <f>CONCATENATE(TableAopCalendar[[#This Row],[Month for Plan]]," ",TableAopCalendar[[#This Row],[Plan]])</f>
        <v>NOVEMBER 23 PLANNED</v>
      </c>
    </row>
    <row r="601" spans="1:11" x14ac:dyDescent="0.25">
      <c r="A601" s="5">
        <f t="shared" si="27"/>
        <v>7</v>
      </c>
      <c r="B601" s="6">
        <v>45251</v>
      </c>
      <c r="C601" s="7" t="s">
        <v>117</v>
      </c>
      <c r="D601" s="7">
        <v>23</v>
      </c>
      <c r="E601" s="5">
        <f>DAY(TableAopCalendar[[#This Row],[Date]])</f>
        <v>21</v>
      </c>
      <c r="F60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01" s="5" t="str">
        <f t="shared" si="28"/>
        <v>Week 3</v>
      </c>
      <c r="H601" s="8" t="str">
        <f t="shared" si="29"/>
        <v>November 23 Week 3</v>
      </c>
      <c r="I601" s="5" t="str">
        <f>CONCATENATE(UPPER(TableAopCalendar[[#This Row],[Month]])," ",TableAopCalendar[[#This Row],[Year]])</f>
        <v>NOVEMBER 23</v>
      </c>
      <c r="J601" s="8" t="s">
        <v>274</v>
      </c>
      <c r="K601" s="8" t="str">
        <f>CONCATENATE(TableAopCalendar[[#This Row],[Month for Plan]]," ",TableAopCalendar[[#This Row],[Plan]])</f>
        <v>NOVEMBER 23 PLANNED</v>
      </c>
    </row>
    <row r="602" spans="1:11" x14ac:dyDescent="0.25">
      <c r="A602" s="5">
        <f t="shared" si="27"/>
        <v>1</v>
      </c>
      <c r="B602" s="6">
        <v>45252</v>
      </c>
      <c r="C602" s="7" t="s">
        <v>117</v>
      </c>
      <c r="D602" s="7">
        <v>23</v>
      </c>
      <c r="E602" s="5">
        <f>DAY(TableAopCalendar[[#This Row],[Date]])</f>
        <v>22</v>
      </c>
      <c r="F60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02" s="5" t="str">
        <f t="shared" si="28"/>
        <v>Week 4</v>
      </c>
      <c r="H602" s="8" t="str">
        <f t="shared" si="29"/>
        <v>November 23 Week 4</v>
      </c>
      <c r="I602" s="5" t="str">
        <f>CONCATENATE(UPPER(TableAopCalendar[[#This Row],[Month]])," ",TableAopCalendar[[#This Row],[Year]])</f>
        <v>NOVEMBER 23</v>
      </c>
      <c r="J602" s="8" t="s">
        <v>274</v>
      </c>
      <c r="K602" s="8" t="str">
        <f>CONCATENATE(TableAopCalendar[[#This Row],[Month for Plan]]," ",TableAopCalendar[[#This Row],[Plan]])</f>
        <v>NOVEMBER 23 PLANNED</v>
      </c>
    </row>
    <row r="603" spans="1:11" x14ac:dyDescent="0.25">
      <c r="A603" s="5">
        <f t="shared" si="27"/>
        <v>2</v>
      </c>
      <c r="B603" s="6">
        <v>45253</v>
      </c>
      <c r="C603" s="7" t="s">
        <v>117</v>
      </c>
      <c r="D603" s="7">
        <v>23</v>
      </c>
      <c r="E603" s="5">
        <f>DAY(TableAopCalendar[[#This Row],[Date]])</f>
        <v>23</v>
      </c>
      <c r="F60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03" s="5" t="str">
        <f t="shared" si="28"/>
        <v>Week 4</v>
      </c>
      <c r="H603" s="8" t="str">
        <f t="shared" si="29"/>
        <v>November 23 Week 4</v>
      </c>
      <c r="I603" s="5" t="str">
        <f>CONCATENATE(UPPER(TableAopCalendar[[#This Row],[Month]])," ",TableAopCalendar[[#This Row],[Year]])</f>
        <v>NOVEMBER 23</v>
      </c>
      <c r="J603" s="8" t="s">
        <v>274</v>
      </c>
      <c r="K603" s="8" t="str">
        <f>CONCATENATE(TableAopCalendar[[#This Row],[Month for Plan]]," ",TableAopCalendar[[#This Row],[Plan]])</f>
        <v>NOVEMBER 23 PLANNED</v>
      </c>
    </row>
    <row r="604" spans="1:11" x14ac:dyDescent="0.25">
      <c r="A604" s="5">
        <f t="shared" si="27"/>
        <v>3</v>
      </c>
      <c r="B604" s="6">
        <v>45254</v>
      </c>
      <c r="C604" s="7" t="s">
        <v>117</v>
      </c>
      <c r="D604" s="7">
        <v>23</v>
      </c>
      <c r="E604" s="5">
        <f>DAY(TableAopCalendar[[#This Row],[Date]])</f>
        <v>24</v>
      </c>
      <c r="F60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04" s="5" t="str">
        <f t="shared" si="28"/>
        <v>Week 4</v>
      </c>
      <c r="H604" s="8" t="str">
        <f t="shared" si="29"/>
        <v>November 23 Week 4</v>
      </c>
      <c r="I604" s="5" t="str">
        <f>CONCATENATE(UPPER(TableAopCalendar[[#This Row],[Month]])," ",TableAopCalendar[[#This Row],[Year]])</f>
        <v>NOVEMBER 23</v>
      </c>
      <c r="J604" s="8" t="s">
        <v>274</v>
      </c>
      <c r="K604" s="8" t="str">
        <f>CONCATENATE(TableAopCalendar[[#This Row],[Month for Plan]]," ",TableAopCalendar[[#This Row],[Plan]])</f>
        <v>NOVEMBER 23 PLANNED</v>
      </c>
    </row>
    <row r="605" spans="1:11" x14ac:dyDescent="0.25">
      <c r="A605" s="5">
        <f t="shared" si="27"/>
        <v>4</v>
      </c>
      <c r="B605" s="6">
        <v>45255</v>
      </c>
      <c r="C605" s="7" t="s">
        <v>117</v>
      </c>
      <c r="D605" s="7">
        <v>23</v>
      </c>
      <c r="E605" s="5">
        <f>DAY(TableAopCalendar[[#This Row],[Date]])</f>
        <v>25</v>
      </c>
      <c r="F60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05" s="5" t="str">
        <f t="shared" si="28"/>
        <v>Week 4</v>
      </c>
      <c r="H605" s="8" t="str">
        <f t="shared" si="29"/>
        <v>November 23 Week 4</v>
      </c>
      <c r="I605" s="5" t="str">
        <f>CONCATENATE(UPPER(TableAopCalendar[[#This Row],[Month]])," ",TableAopCalendar[[#This Row],[Year]])</f>
        <v>NOVEMBER 23</v>
      </c>
      <c r="J605" s="8" t="s">
        <v>274</v>
      </c>
      <c r="K605" s="8" t="str">
        <f>CONCATENATE(TableAopCalendar[[#This Row],[Month for Plan]]," ",TableAopCalendar[[#This Row],[Plan]])</f>
        <v>NOVEMBER 23 PLANNED</v>
      </c>
    </row>
    <row r="606" spans="1:11" x14ac:dyDescent="0.25">
      <c r="A606" s="5">
        <f t="shared" si="27"/>
        <v>5</v>
      </c>
      <c r="B606" s="6">
        <v>45256</v>
      </c>
      <c r="C606" s="7" t="s">
        <v>117</v>
      </c>
      <c r="D606" s="7">
        <v>23</v>
      </c>
      <c r="E606" s="5">
        <f>DAY(TableAopCalendar[[#This Row],[Date]])</f>
        <v>26</v>
      </c>
      <c r="F606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06" s="5" t="str">
        <f t="shared" si="28"/>
        <v>Week 4</v>
      </c>
      <c r="H606" s="8" t="str">
        <f t="shared" si="29"/>
        <v>November 23 Week 4</v>
      </c>
      <c r="I606" s="5" t="str">
        <f>CONCATENATE(UPPER(TableAopCalendar[[#This Row],[Month]])," ",TableAopCalendar[[#This Row],[Year]])</f>
        <v>NOVEMBER 23</v>
      </c>
      <c r="J606" s="8" t="s">
        <v>274</v>
      </c>
      <c r="K606" s="8" t="str">
        <f>CONCATENATE(TableAopCalendar[[#This Row],[Month for Plan]]," ",TableAopCalendar[[#This Row],[Plan]])</f>
        <v>NOVEMBER 23 PLANNED</v>
      </c>
    </row>
    <row r="607" spans="1:11" x14ac:dyDescent="0.25">
      <c r="A607" s="5">
        <f t="shared" si="27"/>
        <v>6</v>
      </c>
      <c r="B607" s="6">
        <v>45257</v>
      </c>
      <c r="C607" s="7" t="s">
        <v>117</v>
      </c>
      <c r="D607" s="7">
        <v>23</v>
      </c>
      <c r="E607" s="5">
        <f>DAY(TableAopCalendar[[#This Row],[Date]])</f>
        <v>27</v>
      </c>
      <c r="F60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07" s="5" t="str">
        <f t="shared" si="28"/>
        <v>Week 4</v>
      </c>
      <c r="H607" s="8" t="str">
        <f t="shared" si="29"/>
        <v>November 23 Week 4</v>
      </c>
      <c r="I607" s="5" t="str">
        <f>CONCATENATE(UPPER(TableAopCalendar[[#This Row],[Month]])," ",TableAopCalendar[[#This Row],[Year]])</f>
        <v>NOVEMBER 23</v>
      </c>
      <c r="J607" s="8" t="s">
        <v>274</v>
      </c>
      <c r="K607" s="8" t="str">
        <f>CONCATENATE(TableAopCalendar[[#This Row],[Month for Plan]]," ",TableAopCalendar[[#This Row],[Plan]])</f>
        <v>NOVEMBER 23 PLANNED</v>
      </c>
    </row>
    <row r="608" spans="1:11" x14ac:dyDescent="0.25">
      <c r="A608" s="5">
        <f t="shared" si="27"/>
        <v>7</v>
      </c>
      <c r="B608" s="6">
        <v>45258</v>
      </c>
      <c r="C608" s="7" t="s">
        <v>117</v>
      </c>
      <c r="D608" s="7">
        <v>23</v>
      </c>
      <c r="E608" s="5">
        <f>DAY(TableAopCalendar[[#This Row],[Date]])</f>
        <v>28</v>
      </c>
      <c r="F60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08" s="5" t="str">
        <f t="shared" si="28"/>
        <v>Week 4</v>
      </c>
      <c r="H608" s="8" t="str">
        <f t="shared" si="29"/>
        <v>November 23 Week 4</v>
      </c>
      <c r="I608" s="5" t="str">
        <f>CONCATENATE(UPPER(TableAopCalendar[[#This Row],[Month]])," ",TableAopCalendar[[#This Row],[Year]])</f>
        <v>NOVEMBER 23</v>
      </c>
      <c r="J608" s="8" t="s">
        <v>274</v>
      </c>
      <c r="K608" s="8" t="str">
        <f>CONCATENATE(TableAopCalendar[[#This Row],[Month for Plan]]," ",TableAopCalendar[[#This Row],[Plan]])</f>
        <v>NOVEMBER 23 PLANNED</v>
      </c>
    </row>
    <row r="609" spans="1:11" x14ac:dyDescent="0.25">
      <c r="A609" s="5">
        <f t="shared" si="27"/>
        <v>1</v>
      </c>
      <c r="B609" s="6">
        <v>45259</v>
      </c>
      <c r="C609" s="7" t="s">
        <v>117</v>
      </c>
      <c r="D609" s="7">
        <v>23</v>
      </c>
      <c r="E609" s="5">
        <f>DAY(TableAopCalendar[[#This Row],[Date]])</f>
        <v>29</v>
      </c>
      <c r="F609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09" s="5" t="str">
        <f t="shared" si="28"/>
        <v>Week 5</v>
      </c>
      <c r="H609" s="8" t="str">
        <f t="shared" si="29"/>
        <v>November 23 Week 5</v>
      </c>
      <c r="I609" s="5" t="str">
        <f>CONCATENATE(UPPER(TableAopCalendar[[#This Row],[Month]])," ",TableAopCalendar[[#This Row],[Year]])</f>
        <v>NOVEMBER 23</v>
      </c>
      <c r="J609" s="8" t="s">
        <v>274</v>
      </c>
      <c r="K609" s="8" t="str">
        <f>CONCATENATE(TableAopCalendar[[#This Row],[Month for Plan]]," ",TableAopCalendar[[#This Row],[Plan]])</f>
        <v>NOVEMBER 23 PLANNED</v>
      </c>
    </row>
    <row r="610" spans="1:11" x14ac:dyDescent="0.25">
      <c r="A610" s="5">
        <f t="shared" si="27"/>
        <v>2</v>
      </c>
      <c r="B610" s="6">
        <v>45260</v>
      </c>
      <c r="C610" s="7" t="s">
        <v>117</v>
      </c>
      <c r="D610" s="7">
        <v>23</v>
      </c>
      <c r="E610" s="5">
        <f>DAY(TableAopCalendar[[#This Row],[Date]])</f>
        <v>30</v>
      </c>
      <c r="F610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10" s="5" t="str">
        <f t="shared" si="28"/>
        <v>Week 5</v>
      </c>
      <c r="H610" s="8" t="str">
        <f t="shared" si="29"/>
        <v>November 23 Week 5</v>
      </c>
      <c r="I610" s="5" t="str">
        <f>CONCATENATE(UPPER(TableAopCalendar[[#This Row],[Month]])," ",TableAopCalendar[[#This Row],[Year]])</f>
        <v>NOVEMBER 23</v>
      </c>
      <c r="J610" s="8" t="s">
        <v>274</v>
      </c>
      <c r="K610" s="8" t="str">
        <f>CONCATENATE(TableAopCalendar[[#This Row],[Month for Plan]]," ",TableAopCalendar[[#This Row],[Plan]])</f>
        <v>NOVEMBER 23 PLANNED</v>
      </c>
    </row>
    <row r="611" spans="1:11" x14ac:dyDescent="0.25">
      <c r="A611" s="5">
        <f t="shared" si="27"/>
        <v>1</v>
      </c>
      <c r="B611" s="6">
        <v>45261</v>
      </c>
      <c r="C611" s="7" t="s">
        <v>270</v>
      </c>
      <c r="D611" s="7">
        <v>23</v>
      </c>
      <c r="E611" s="5">
        <f>DAY(TableAopCalendar[[#This Row],[Date]])</f>
        <v>1</v>
      </c>
      <c r="F611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11" s="5" t="str">
        <f t="shared" si="28"/>
        <v>Week 1</v>
      </c>
      <c r="H611" s="8" t="str">
        <f t="shared" si="29"/>
        <v>December 23 Week 1</v>
      </c>
      <c r="I611" s="5" t="str">
        <f>CONCATENATE(UPPER(TableAopCalendar[[#This Row],[Month]])," ",TableAopCalendar[[#This Row],[Year]])</f>
        <v>DECEMBER 23</v>
      </c>
      <c r="J611" s="8" t="s">
        <v>274</v>
      </c>
      <c r="K611" s="8" t="str">
        <f>CONCATENATE(TableAopCalendar[[#This Row],[Month for Plan]]," ",TableAopCalendar[[#This Row],[Plan]])</f>
        <v>DECEMBER 23 PLANNED</v>
      </c>
    </row>
    <row r="612" spans="1:11" x14ac:dyDescent="0.25">
      <c r="A612" s="5">
        <f t="shared" si="27"/>
        <v>2</v>
      </c>
      <c r="B612" s="6">
        <v>45262</v>
      </c>
      <c r="C612" s="7" t="s">
        <v>270</v>
      </c>
      <c r="D612" s="7">
        <v>23</v>
      </c>
      <c r="E612" s="5">
        <f>DAY(TableAopCalendar[[#This Row],[Date]])</f>
        <v>2</v>
      </c>
      <c r="F61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12" s="5" t="str">
        <f t="shared" si="28"/>
        <v>Week 1</v>
      </c>
      <c r="H612" s="8" t="str">
        <f t="shared" si="29"/>
        <v>December 23 Week 1</v>
      </c>
      <c r="I612" s="5" t="str">
        <f>CONCATENATE(UPPER(TableAopCalendar[[#This Row],[Month]])," ",TableAopCalendar[[#This Row],[Year]])</f>
        <v>DECEMBER 23</v>
      </c>
      <c r="J612" s="8" t="s">
        <v>274</v>
      </c>
      <c r="K612" s="8" t="str">
        <f>CONCATENATE(TableAopCalendar[[#This Row],[Month for Plan]]," ",TableAopCalendar[[#This Row],[Plan]])</f>
        <v>DECEMBER 23 PLANNED</v>
      </c>
    </row>
    <row r="613" spans="1:11" x14ac:dyDescent="0.25">
      <c r="A613" s="5">
        <f t="shared" si="27"/>
        <v>3</v>
      </c>
      <c r="B613" s="6">
        <v>45263</v>
      </c>
      <c r="C613" s="7" t="s">
        <v>270</v>
      </c>
      <c r="D613" s="7">
        <v>23</v>
      </c>
      <c r="E613" s="5">
        <f>DAY(TableAopCalendar[[#This Row],[Date]])</f>
        <v>3</v>
      </c>
      <c r="F61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13" s="5" t="str">
        <f t="shared" si="28"/>
        <v>Week 1</v>
      </c>
      <c r="H613" s="8" t="str">
        <f t="shared" si="29"/>
        <v>December 23 Week 1</v>
      </c>
      <c r="I613" s="5" t="str">
        <f>CONCATENATE(UPPER(TableAopCalendar[[#This Row],[Month]])," ",TableAopCalendar[[#This Row],[Year]])</f>
        <v>DECEMBER 23</v>
      </c>
      <c r="J613" s="8" t="s">
        <v>274</v>
      </c>
      <c r="K613" s="8" t="str">
        <f>CONCATENATE(TableAopCalendar[[#This Row],[Month for Plan]]," ",TableAopCalendar[[#This Row],[Plan]])</f>
        <v>DECEMBER 23 PLANNED</v>
      </c>
    </row>
    <row r="614" spans="1:11" x14ac:dyDescent="0.25">
      <c r="A614" s="5">
        <f t="shared" si="27"/>
        <v>4</v>
      </c>
      <c r="B614" s="6">
        <v>45264</v>
      </c>
      <c r="C614" s="7" t="s">
        <v>270</v>
      </c>
      <c r="D614" s="7">
        <v>23</v>
      </c>
      <c r="E614" s="5">
        <f>DAY(TableAopCalendar[[#This Row],[Date]])</f>
        <v>4</v>
      </c>
      <c r="F61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14" s="5" t="str">
        <f t="shared" si="28"/>
        <v>Week 1</v>
      </c>
      <c r="H614" s="8" t="str">
        <f t="shared" si="29"/>
        <v>December 23 Week 1</v>
      </c>
      <c r="I614" s="5" t="str">
        <f>CONCATENATE(UPPER(TableAopCalendar[[#This Row],[Month]])," ",TableAopCalendar[[#This Row],[Year]])</f>
        <v>DECEMBER 23</v>
      </c>
      <c r="J614" s="8" t="s">
        <v>274</v>
      </c>
      <c r="K614" s="8" t="str">
        <f>CONCATENATE(TableAopCalendar[[#This Row],[Month for Plan]]," ",TableAopCalendar[[#This Row],[Plan]])</f>
        <v>DECEMBER 23 PLANNED</v>
      </c>
    </row>
    <row r="615" spans="1:11" x14ac:dyDescent="0.25">
      <c r="A615" s="5">
        <f t="shared" si="27"/>
        <v>5</v>
      </c>
      <c r="B615" s="6">
        <v>45265</v>
      </c>
      <c r="C615" s="7" t="s">
        <v>270</v>
      </c>
      <c r="D615" s="7">
        <v>23</v>
      </c>
      <c r="E615" s="5">
        <f>DAY(TableAopCalendar[[#This Row],[Date]])</f>
        <v>5</v>
      </c>
      <c r="F615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15" s="5" t="str">
        <f t="shared" si="28"/>
        <v>Week 1</v>
      </c>
      <c r="H615" s="8" t="str">
        <f t="shared" si="29"/>
        <v>December 23 Week 1</v>
      </c>
      <c r="I615" s="5" t="str">
        <f>CONCATENATE(UPPER(TableAopCalendar[[#This Row],[Month]])," ",TableAopCalendar[[#This Row],[Year]])</f>
        <v>DECEMBER 23</v>
      </c>
      <c r="J615" s="8" t="s">
        <v>274</v>
      </c>
      <c r="K615" s="8" t="str">
        <f>CONCATENATE(TableAopCalendar[[#This Row],[Month for Plan]]," ",TableAopCalendar[[#This Row],[Plan]])</f>
        <v>DECEMBER 23 PLANNED</v>
      </c>
    </row>
    <row r="616" spans="1:11" x14ac:dyDescent="0.25">
      <c r="A616" s="5">
        <f t="shared" si="27"/>
        <v>6</v>
      </c>
      <c r="B616" s="6">
        <v>45266</v>
      </c>
      <c r="C616" s="7" t="s">
        <v>270</v>
      </c>
      <c r="D616" s="7">
        <v>23</v>
      </c>
      <c r="E616" s="5">
        <f>DAY(TableAopCalendar[[#This Row],[Date]])</f>
        <v>6</v>
      </c>
      <c r="F61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16" s="5" t="str">
        <f t="shared" si="28"/>
        <v>Week 1</v>
      </c>
      <c r="H616" s="8" t="str">
        <f t="shared" si="29"/>
        <v>December 23 Week 1</v>
      </c>
      <c r="I616" s="5" t="str">
        <f>CONCATENATE(UPPER(TableAopCalendar[[#This Row],[Month]])," ",TableAopCalendar[[#This Row],[Year]])</f>
        <v>DECEMBER 23</v>
      </c>
      <c r="J616" s="8" t="s">
        <v>274</v>
      </c>
      <c r="K616" s="8" t="str">
        <f>CONCATENATE(TableAopCalendar[[#This Row],[Month for Plan]]," ",TableAopCalendar[[#This Row],[Plan]])</f>
        <v>DECEMBER 23 PLANNED</v>
      </c>
    </row>
    <row r="617" spans="1:11" x14ac:dyDescent="0.25">
      <c r="A617" s="5">
        <f t="shared" si="27"/>
        <v>7</v>
      </c>
      <c r="B617" s="6">
        <v>45267</v>
      </c>
      <c r="C617" s="7" t="s">
        <v>270</v>
      </c>
      <c r="D617" s="7">
        <v>23</v>
      </c>
      <c r="E617" s="5">
        <f>DAY(TableAopCalendar[[#This Row],[Date]])</f>
        <v>7</v>
      </c>
      <c r="F61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17" s="5" t="str">
        <f t="shared" si="28"/>
        <v>Week 1</v>
      </c>
      <c r="H617" s="8" t="str">
        <f t="shared" si="29"/>
        <v>December 23 Week 1</v>
      </c>
      <c r="I617" s="5" t="str">
        <f>CONCATENATE(UPPER(TableAopCalendar[[#This Row],[Month]])," ",TableAopCalendar[[#This Row],[Year]])</f>
        <v>DECEMBER 23</v>
      </c>
      <c r="J617" s="8" t="s">
        <v>274</v>
      </c>
      <c r="K617" s="8" t="str">
        <f>CONCATENATE(TableAopCalendar[[#This Row],[Month for Plan]]," ",TableAopCalendar[[#This Row],[Plan]])</f>
        <v>DECEMBER 23 PLANNED</v>
      </c>
    </row>
    <row r="618" spans="1:11" x14ac:dyDescent="0.25">
      <c r="A618" s="5">
        <f t="shared" si="27"/>
        <v>1</v>
      </c>
      <c r="B618" s="6">
        <v>45268</v>
      </c>
      <c r="C618" s="7" t="s">
        <v>270</v>
      </c>
      <c r="D618" s="7">
        <v>23</v>
      </c>
      <c r="E618" s="5">
        <f>DAY(TableAopCalendar[[#This Row],[Date]])</f>
        <v>8</v>
      </c>
      <c r="F618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18" s="5" t="str">
        <f t="shared" si="28"/>
        <v>Week 2</v>
      </c>
      <c r="H618" s="8" t="str">
        <f t="shared" si="29"/>
        <v>December 23 Week 2</v>
      </c>
      <c r="I618" s="5" t="str">
        <f>CONCATENATE(UPPER(TableAopCalendar[[#This Row],[Month]])," ",TableAopCalendar[[#This Row],[Year]])</f>
        <v>DECEMBER 23</v>
      </c>
      <c r="J618" s="8" t="s">
        <v>274</v>
      </c>
      <c r="K618" s="8" t="str">
        <f>CONCATENATE(TableAopCalendar[[#This Row],[Month for Plan]]," ",TableAopCalendar[[#This Row],[Plan]])</f>
        <v>DECEMBER 23 PLANNED</v>
      </c>
    </row>
    <row r="619" spans="1:11" x14ac:dyDescent="0.25">
      <c r="A619" s="5">
        <f t="shared" si="27"/>
        <v>2</v>
      </c>
      <c r="B619" s="6">
        <v>45269</v>
      </c>
      <c r="C619" s="7" t="s">
        <v>270</v>
      </c>
      <c r="D619" s="7">
        <v>23</v>
      </c>
      <c r="E619" s="5">
        <f>DAY(TableAopCalendar[[#This Row],[Date]])</f>
        <v>9</v>
      </c>
      <c r="F61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19" s="5" t="str">
        <f t="shared" si="28"/>
        <v>Week 2</v>
      </c>
      <c r="H619" s="8" t="str">
        <f t="shared" si="29"/>
        <v>December 23 Week 2</v>
      </c>
      <c r="I619" s="5" t="str">
        <f>CONCATENATE(UPPER(TableAopCalendar[[#This Row],[Month]])," ",TableAopCalendar[[#This Row],[Year]])</f>
        <v>DECEMBER 23</v>
      </c>
      <c r="J619" s="8" t="s">
        <v>274</v>
      </c>
      <c r="K619" s="8" t="str">
        <f>CONCATENATE(TableAopCalendar[[#This Row],[Month for Plan]]," ",TableAopCalendar[[#This Row],[Plan]])</f>
        <v>DECEMBER 23 PLANNED</v>
      </c>
    </row>
    <row r="620" spans="1:11" x14ac:dyDescent="0.25">
      <c r="A620" s="5">
        <f t="shared" si="27"/>
        <v>3</v>
      </c>
      <c r="B620" s="6">
        <v>45270</v>
      </c>
      <c r="C620" s="7" t="s">
        <v>270</v>
      </c>
      <c r="D620" s="7">
        <v>23</v>
      </c>
      <c r="E620" s="5">
        <f>DAY(TableAopCalendar[[#This Row],[Date]])</f>
        <v>10</v>
      </c>
      <c r="F62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20" s="5" t="str">
        <f t="shared" si="28"/>
        <v>Week 2</v>
      </c>
      <c r="H620" s="8" t="str">
        <f t="shared" si="29"/>
        <v>December 23 Week 2</v>
      </c>
      <c r="I620" s="5" t="str">
        <f>CONCATENATE(UPPER(TableAopCalendar[[#This Row],[Month]])," ",TableAopCalendar[[#This Row],[Year]])</f>
        <v>DECEMBER 23</v>
      </c>
      <c r="J620" s="8" t="s">
        <v>274</v>
      </c>
      <c r="K620" s="8" t="str">
        <f>CONCATENATE(TableAopCalendar[[#This Row],[Month for Plan]]," ",TableAopCalendar[[#This Row],[Plan]])</f>
        <v>DECEMBER 23 PLANNED</v>
      </c>
    </row>
    <row r="621" spans="1:11" x14ac:dyDescent="0.25">
      <c r="A621" s="5">
        <f t="shared" si="27"/>
        <v>4</v>
      </c>
      <c r="B621" s="6">
        <v>45271</v>
      </c>
      <c r="C621" s="7" t="s">
        <v>270</v>
      </c>
      <c r="D621" s="7">
        <v>23</v>
      </c>
      <c r="E621" s="5">
        <f>DAY(TableAopCalendar[[#This Row],[Date]])</f>
        <v>11</v>
      </c>
      <c r="F62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21" s="5" t="str">
        <f t="shared" si="28"/>
        <v>Week 2</v>
      </c>
      <c r="H621" s="8" t="str">
        <f t="shared" si="29"/>
        <v>December 23 Week 2</v>
      </c>
      <c r="I621" s="5" t="str">
        <f>CONCATENATE(UPPER(TableAopCalendar[[#This Row],[Month]])," ",TableAopCalendar[[#This Row],[Year]])</f>
        <v>DECEMBER 23</v>
      </c>
      <c r="J621" s="8" t="s">
        <v>274</v>
      </c>
      <c r="K621" s="8" t="str">
        <f>CONCATENATE(TableAopCalendar[[#This Row],[Month for Plan]]," ",TableAopCalendar[[#This Row],[Plan]])</f>
        <v>DECEMBER 23 PLANNED</v>
      </c>
    </row>
    <row r="622" spans="1:11" x14ac:dyDescent="0.25">
      <c r="A622" s="5">
        <f t="shared" si="27"/>
        <v>5</v>
      </c>
      <c r="B622" s="6">
        <v>45272</v>
      </c>
      <c r="C622" s="7" t="s">
        <v>270</v>
      </c>
      <c r="D622" s="7">
        <v>23</v>
      </c>
      <c r="E622" s="5">
        <f>DAY(TableAopCalendar[[#This Row],[Date]])</f>
        <v>12</v>
      </c>
      <c r="F622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22" s="5" t="str">
        <f t="shared" si="28"/>
        <v>Week 2</v>
      </c>
      <c r="H622" s="8" t="str">
        <f t="shared" si="29"/>
        <v>December 23 Week 2</v>
      </c>
      <c r="I622" s="5" t="str">
        <f>CONCATENATE(UPPER(TableAopCalendar[[#This Row],[Month]])," ",TableAopCalendar[[#This Row],[Year]])</f>
        <v>DECEMBER 23</v>
      </c>
      <c r="J622" s="8" t="s">
        <v>274</v>
      </c>
      <c r="K622" s="8" t="str">
        <f>CONCATENATE(TableAopCalendar[[#This Row],[Month for Plan]]," ",TableAopCalendar[[#This Row],[Plan]])</f>
        <v>DECEMBER 23 PLANNED</v>
      </c>
    </row>
    <row r="623" spans="1:11" x14ac:dyDescent="0.25">
      <c r="A623" s="5">
        <f t="shared" si="27"/>
        <v>6</v>
      </c>
      <c r="B623" s="6">
        <v>45273</v>
      </c>
      <c r="C623" s="7" t="s">
        <v>270</v>
      </c>
      <c r="D623" s="7">
        <v>23</v>
      </c>
      <c r="E623" s="5">
        <f>DAY(TableAopCalendar[[#This Row],[Date]])</f>
        <v>13</v>
      </c>
      <c r="F62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23" s="5" t="str">
        <f t="shared" si="28"/>
        <v>Week 2</v>
      </c>
      <c r="H623" s="8" t="str">
        <f t="shared" si="29"/>
        <v>December 23 Week 2</v>
      </c>
      <c r="I623" s="5" t="str">
        <f>CONCATENATE(UPPER(TableAopCalendar[[#This Row],[Month]])," ",TableAopCalendar[[#This Row],[Year]])</f>
        <v>DECEMBER 23</v>
      </c>
      <c r="J623" s="8" t="s">
        <v>274</v>
      </c>
      <c r="K623" s="8" t="str">
        <f>CONCATENATE(TableAopCalendar[[#This Row],[Month for Plan]]," ",TableAopCalendar[[#This Row],[Plan]])</f>
        <v>DECEMBER 23 PLANNED</v>
      </c>
    </row>
    <row r="624" spans="1:11" x14ac:dyDescent="0.25">
      <c r="A624" s="5">
        <f t="shared" si="27"/>
        <v>7</v>
      </c>
      <c r="B624" s="6">
        <v>45274</v>
      </c>
      <c r="C624" s="7" t="s">
        <v>270</v>
      </c>
      <c r="D624" s="7">
        <v>23</v>
      </c>
      <c r="E624" s="5">
        <f>DAY(TableAopCalendar[[#This Row],[Date]])</f>
        <v>14</v>
      </c>
      <c r="F62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24" s="5" t="str">
        <f t="shared" si="28"/>
        <v>Week 2</v>
      </c>
      <c r="H624" s="8" t="str">
        <f t="shared" si="29"/>
        <v>December 23 Week 2</v>
      </c>
      <c r="I624" s="5" t="str">
        <f>CONCATENATE(UPPER(TableAopCalendar[[#This Row],[Month]])," ",TableAopCalendar[[#This Row],[Year]])</f>
        <v>DECEMBER 23</v>
      </c>
      <c r="J624" s="8" t="s">
        <v>274</v>
      </c>
      <c r="K624" s="8" t="str">
        <f>CONCATENATE(TableAopCalendar[[#This Row],[Month for Plan]]," ",TableAopCalendar[[#This Row],[Plan]])</f>
        <v>DECEMBER 23 PLANNED</v>
      </c>
    </row>
    <row r="625" spans="1:11" x14ac:dyDescent="0.25">
      <c r="A625" s="5">
        <f t="shared" si="27"/>
        <v>1</v>
      </c>
      <c r="B625" s="6">
        <v>45275</v>
      </c>
      <c r="C625" s="7" t="s">
        <v>270</v>
      </c>
      <c r="D625" s="7">
        <v>23</v>
      </c>
      <c r="E625" s="5">
        <f>DAY(TableAopCalendar[[#This Row],[Date]])</f>
        <v>15</v>
      </c>
      <c r="F625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25" s="5" t="str">
        <f t="shared" si="28"/>
        <v>Week 3</v>
      </c>
      <c r="H625" s="8" t="str">
        <f t="shared" si="29"/>
        <v>December 23 Week 3</v>
      </c>
      <c r="I625" s="5" t="str">
        <f>CONCATENATE(UPPER(TableAopCalendar[[#This Row],[Month]])," ",TableAopCalendar[[#This Row],[Year]])</f>
        <v>DECEMBER 23</v>
      </c>
      <c r="J625" s="8" t="s">
        <v>274</v>
      </c>
      <c r="K625" s="8" t="str">
        <f>CONCATENATE(TableAopCalendar[[#This Row],[Month for Plan]]," ",TableAopCalendar[[#This Row],[Plan]])</f>
        <v>DECEMBER 23 PLANNED</v>
      </c>
    </row>
    <row r="626" spans="1:11" x14ac:dyDescent="0.25">
      <c r="A626" s="5">
        <f t="shared" si="27"/>
        <v>2</v>
      </c>
      <c r="B626" s="6">
        <v>45276</v>
      </c>
      <c r="C626" s="7" t="s">
        <v>270</v>
      </c>
      <c r="D626" s="7">
        <v>23</v>
      </c>
      <c r="E626" s="5">
        <f>DAY(TableAopCalendar[[#This Row],[Date]])</f>
        <v>16</v>
      </c>
      <c r="F62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26" s="5" t="str">
        <f t="shared" si="28"/>
        <v>Week 3</v>
      </c>
      <c r="H626" s="8" t="str">
        <f t="shared" si="29"/>
        <v>December 23 Week 3</v>
      </c>
      <c r="I626" s="5" t="str">
        <f>CONCATENATE(UPPER(TableAopCalendar[[#This Row],[Month]])," ",TableAopCalendar[[#This Row],[Year]])</f>
        <v>DECEMBER 23</v>
      </c>
      <c r="J626" s="8" t="s">
        <v>274</v>
      </c>
      <c r="K626" s="8" t="str">
        <f>CONCATENATE(TableAopCalendar[[#This Row],[Month for Plan]]," ",TableAopCalendar[[#This Row],[Plan]])</f>
        <v>DECEMBER 23 PLANNED</v>
      </c>
    </row>
    <row r="627" spans="1:11" x14ac:dyDescent="0.25">
      <c r="A627" s="5">
        <f t="shared" si="27"/>
        <v>3</v>
      </c>
      <c r="B627" s="6">
        <v>45277</v>
      </c>
      <c r="C627" s="7" t="s">
        <v>270</v>
      </c>
      <c r="D627" s="7">
        <v>23</v>
      </c>
      <c r="E627" s="5">
        <f>DAY(TableAopCalendar[[#This Row],[Date]])</f>
        <v>17</v>
      </c>
      <c r="F62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27" s="5" t="str">
        <f t="shared" si="28"/>
        <v>Week 3</v>
      </c>
      <c r="H627" s="8" t="str">
        <f t="shared" si="29"/>
        <v>December 23 Week 3</v>
      </c>
      <c r="I627" s="5" t="str">
        <f>CONCATENATE(UPPER(TableAopCalendar[[#This Row],[Month]])," ",TableAopCalendar[[#This Row],[Year]])</f>
        <v>DECEMBER 23</v>
      </c>
      <c r="J627" s="8" t="s">
        <v>274</v>
      </c>
      <c r="K627" s="8" t="str">
        <f>CONCATENATE(TableAopCalendar[[#This Row],[Month for Plan]]," ",TableAopCalendar[[#This Row],[Plan]])</f>
        <v>DECEMBER 23 PLANNED</v>
      </c>
    </row>
    <row r="628" spans="1:11" x14ac:dyDescent="0.25">
      <c r="A628" s="5">
        <f t="shared" si="27"/>
        <v>4</v>
      </c>
      <c r="B628" s="6">
        <v>45278</v>
      </c>
      <c r="C628" s="7" t="s">
        <v>270</v>
      </c>
      <c r="D628" s="7">
        <v>23</v>
      </c>
      <c r="E628" s="5">
        <f>DAY(TableAopCalendar[[#This Row],[Date]])</f>
        <v>18</v>
      </c>
      <c r="F62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28" s="5" t="str">
        <f t="shared" si="28"/>
        <v>Week 3</v>
      </c>
      <c r="H628" s="8" t="str">
        <f t="shared" si="29"/>
        <v>December 23 Week 3</v>
      </c>
      <c r="I628" s="5" t="str">
        <f>CONCATENATE(UPPER(TableAopCalendar[[#This Row],[Month]])," ",TableAopCalendar[[#This Row],[Year]])</f>
        <v>DECEMBER 23</v>
      </c>
      <c r="J628" s="8" t="s">
        <v>274</v>
      </c>
      <c r="K628" s="8" t="str">
        <f>CONCATENATE(TableAopCalendar[[#This Row],[Month for Plan]]," ",TableAopCalendar[[#This Row],[Plan]])</f>
        <v>DECEMBER 23 PLANNED</v>
      </c>
    </row>
    <row r="629" spans="1:11" x14ac:dyDescent="0.25">
      <c r="A629" s="5">
        <f t="shared" si="27"/>
        <v>5</v>
      </c>
      <c r="B629" s="6">
        <v>45279</v>
      </c>
      <c r="C629" s="7" t="s">
        <v>270</v>
      </c>
      <c r="D629" s="7">
        <v>23</v>
      </c>
      <c r="E629" s="5">
        <f>DAY(TableAopCalendar[[#This Row],[Date]])</f>
        <v>19</v>
      </c>
      <c r="F629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29" s="5" t="str">
        <f t="shared" si="28"/>
        <v>Week 3</v>
      </c>
      <c r="H629" s="8" t="str">
        <f t="shared" si="29"/>
        <v>December 23 Week 3</v>
      </c>
      <c r="I629" s="5" t="str">
        <f>CONCATENATE(UPPER(TableAopCalendar[[#This Row],[Month]])," ",TableAopCalendar[[#This Row],[Year]])</f>
        <v>DECEMBER 23</v>
      </c>
      <c r="J629" s="8" t="s">
        <v>274</v>
      </c>
      <c r="K629" s="8" t="str">
        <f>CONCATENATE(TableAopCalendar[[#This Row],[Month for Plan]]," ",TableAopCalendar[[#This Row],[Plan]])</f>
        <v>DECEMBER 23 PLANNED</v>
      </c>
    </row>
    <row r="630" spans="1:11" x14ac:dyDescent="0.25">
      <c r="A630" s="5">
        <f t="shared" si="27"/>
        <v>6</v>
      </c>
      <c r="B630" s="6">
        <v>45280</v>
      </c>
      <c r="C630" s="7" t="s">
        <v>270</v>
      </c>
      <c r="D630" s="7">
        <v>23</v>
      </c>
      <c r="E630" s="5">
        <f>DAY(TableAopCalendar[[#This Row],[Date]])</f>
        <v>20</v>
      </c>
      <c r="F63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30" s="5" t="str">
        <f t="shared" si="28"/>
        <v>Week 3</v>
      </c>
      <c r="H630" s="8" t="str">
        <f t="shared" si="29"/>
        <v>December 23 Week 3</v>
      </c>
      <c r="I630" s="5" t="str">
        <f>CONCATENATE(UPPER(TableAopCalendar[[#This Row],[Month]])," ",TableAopCalendar[[#This Row],[Year]])</f>
        <v>DECEMBER 23</v>
      </c>
      <c r="J630" s="8" t="s">
        <v>274</v>
      </c>
      <c r="K630" s="8" t="str">
        <f>CONCATENATE(TableAopCalendar[[#This Row],[Month for Plan]]," ",TableAopCalendar[[#This Row],[Plan]])</f>
        <v>DECEMBER 23 PLANNED</v>
      </c>
    </row>
    <row r="631" spans="1:11" x14ac:dyDescent="0.25">
      <c r="A631" s="5">
        <f t="shared" si="27"/>
        <v>7</v>
      </c>
      <c r="B631" s="6">
        <v>45281</v>
      </c>
      <c r="C631" s="7" t="s">
        <v>270</v>
      </c>
      <c r="D631" s="7">
        <v>23</v>
      </c>
      <c r="E631" s="5">
        <f>DAY(TableAopCalendar[[#This Row],[Date]])</f>
        <v>21</v>
      </c>
      <c r="F63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31" s="5" t="str">
        <f t="shared" si="28"/>
        <v>Week 3</v>
      </c>
      <c r="H631" s="8" t="str">
        <f t="shared" si="29"/>
        <v>December 23 Week 3</v>
      </c>
      <c r="I631" s="5" t="str">
        <f>CONCATENATE(UPPER(TableAopCalendar[[#This Row],[Month]])," ",TableAopCalendar[[#This Row],[Year]])</f>
        <v>DECEMBER 23</v>
      </c>
      <c r="J631" s="8" t="s">
        <v>274</v>
      </c>
      <c r="K631" s="8" t="str">
        <f>CONCATENATE(TableAopCalendar[[#This Row],[Month for Plan]]," ",TableAopCalendar[[#This Row],[Plan]])</f>
        <v>DECEMBER 23 PLANNED</v>
      </c>
    </row>
    <row r="632" spans="1:11" x14ac:dyDescent="0.25">
      <c r="A632" s="5">
        <f t="shared" si="27"/>
        <v>1</v>
      </c>
      <c r="B632" s="6">
        <v>45282</v>
      </c>
      <c r="C632" s="7" t="s">
        <v>270</v>
      </c>
      <c r="D632" s="7">
        <v>23</v>
      </c>
      <c r="E632" s="5">
        <f>DAY(TableAopCalendar[[#This Row],[Date]])</f>
        <v>22</v>
      </c>
      <c r="F632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32" s="5" t="str">
        <f t="shared" si="28"/>
        <v>Week 4</v>
      </c>
      <c r="H632" s="8" t="str">
        <f t="shared" si="29"/>
        <v>December 23 Week 4</v>
      </c>
      <c r="I632" s="5" t="str">
        <f>CONCATENATE(UPPER(TableAopCalendar[[#This Row],[Month]])," ",TableAopCalendar[[#This Row],[Year]])</f>
        <v>DECEMBER 23</v>
      </c>
      <c r="J632" s="8" t="s">
        <v>274</v>
      </c>
      <c r="K632" s="8" t="str">
        <f>CONCATENATE(TableAopCalendar[[#This Row],[Month for Plan]]," ",TableAopCalendar[[#This Row],[Plan]])</f>
        <v>DECEMBER 23 PLANNED</v>
      </c>
    </row>
    <row r="633" spans="1:11" x14ac:dyDescent="0.25">
      <c r="A633" s="5">
        <f t="shared" si="27"/>
        <v>2</v>
      </c>
      <c r="B633" s="6">
        <v>45283</v>
      </c>
      <c r="C633" s="7" t="s">
        <v>270</v>
      </c>
      <c r="D633" s="7">
        <v>23</v>
      </c>
      <c r="E633" s="5">
        <f>DAY(TableAopCalendar[[#This Row],[Date]])</f>
        <v>23</v>
      </c>
      <c r="F63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33" s="5" t="str">
        <f t="shared" si="28"/>
        <v>Week 4</v>
      </c>
      <c r="H633" s="8" t="str">
        <f t="shared" si="29"/>
        <v>December 23 Week 4</v>
      </c>
      <c r="I633" s="5" t="str">
        <f>CONCATENATE(UPPER(TableAopCalendar[[#This Row],[Month]])," ",TableAopCalendar[[#This Row],[Year]])</f>
        <v>DECEMBER 23</v>
      </c>
      <c r="J633" s="8" t="s">
        <v>274</v>
      </c>
      <c r="K633" s="8" t="str">
        <f>CONCATENATE(TableAopCalendar[[#This Row],[Month for Plan]]," ",TableAopCalendar[[#This Row],[Plan]])</f>
        <v>DECEMBER 23 PLANNED</v>
      </c>
    </row>
    <row r="634" spans="1:11" x14ac:dyDescent="0.25">
      <c r="A634" s="5">
        <f t="shared" si="27"/>
        <v>3</v>
      </c>
      <c r="B634" s="6">
        <v>45284</v>
      </c>
      <c r="C634" s="7" t="s">
        <v>270</v>
      </c>
      <c r="D634" s="7">
        <v>23</v>
      </c>
      <c r="E634" s="5">
        <f>DAY(TableAopCalendar[[#This Row],[Date]])</f>
        <v>24</v>
      </c>
      <c r="F63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34" s="5" t="str">
        <f t="shared" si="28"/>
        <v>Week 4</v>
      </c>
      <c r="H634" s="8" t="str">
        <f t="shared" si="29"/>
        <v>December 23 Week 4</v>
      </c>
      <c r="I634" s="5" t="str">
        <f>CONCATENATE(UPPER(TableAopCalendar[[#This Row],[Month]])," ",TableAopCalendar[[#This Row],[Year]])</f>
        <v>DECEMBER 23</v>
      </c>
      <c r="J634" s="8" t="s">
        <v>274</v>
      </c>
      <c r="K634" s="8" t="str">
        <f>CONCATENATE(TableAopCalendar[[#This Row],[Month for Plan]]," ",TableAopCalendar[[#This Row],[Plan]])</f>
        <v>DECEMBER 23 PLANNED</v>
      </c>
    </row>
    <row r="635" spans="1:11" x14ac:dyDescent="0.25">
      <c r="A635" s="5">
        <f t="shared" si="27"/>
        <v>4</v>
      </c>
      <c r="B635" s="6">
        <v>45285</v>
      </c>
      <c r="C635" s="7" t="s">
        <v>270</v>
      </c>
      <c r="D635" s="7">
        <v>23</v>
      </c>
      <c r="E635" s="5">
        <f>DAY(TableAopCalendar[[#This Row],[Date]])</f>
        <v>25</v>
      </c>
      <c r="F63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35" s="5" t="str">
        <f t="shared" si="28"/>
        <v>Week 4</v>
      </c>
      <c r="H635" s="8" t="str">
        <f t="shared" si="29"/>
        <v>December 23 Week 4</v>
      </c>
      <c r="I635" s="5" t="str">
        <f>CONCATENATE(UPPER(TableAopCalendar[[#This Row],[Month]])," ",TableAopCalendar[[#This Row],[Year]])</f>
        <v>DECEMBER 23</v>
      </c>
      <c r="J635" s="8" t="s">
        <v>274</v>
      </c>
      <c r="K635" s="8" t="str">
        <f>CONCATENATE(TableAopCalendar[[#This Row],[Month for Plan]]," ",TableAopCalendar[[#This Row],[Plan]])</f>
        <v>DECEMBER 23 PLANNED</v>
      </c>
    </row>
    <row r="636" spans="1:11" x14ac:dyDescent="0.25">
      <c r="A636" s="5">
        <f t="shared" si="27"/>
        <v>5</v>
      </c>
      <c r="B636" s="6">
        <v>45286</v>
      </c>
      <c r="C636" s="7" t="s">
        <v>270</v>
      </c>
      <c r="D636" s="7">
        <v>23</v>
      </c>
      <c r="E636" s="5">
        <f>DAY(TableAopCalendar[[#This Row],[Date]])</f>
        <v>26</v>
      </c>
      <c r="F636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36" s="5" t="str">
        <f t="shared" si="28"/>
        <v>Week 4</v>
      </c>
      <c r="H636" s="8" t="str">
        <f t="shared" si="29"/>
        <v>December 23 Week 4</v>
      </c>
      <c r="I636" s="5" t="str">
        <f>CONCATENATE(UPPER(TableAopCalendar[[#This Row],[Month]])," ",TableAopCalendar[[#This Row],[Year]])</f>
        <v>DECEMBER 23</v>
      </c>
      <c r="J636" s="8" t="s">
        <v>274</v>
      </c>
      <c r="K636" s="8" t="str">
        <f>CONCATENATE(TableAopCalendar[[#This Row],[Month for Plan]]," ",TableAopCalendar[[#This Row],[Plan]])</f>
        <v>DECEMBER 23 PLANNED</v>
      </c>
    </row>
    <row r="637" spans="1:11" x14ac:dyDescent="0.25">
      <c r="A637" s="5">
        <f t="shared" si="27"/>
        <v>6</v>
      </c>
      <c r="B637" s="6">
        <v>45287</v>
      </c>
      <c r="C637" s="7" t="s">
        <v>270</v>
      </c>
      <c r="D637" s="7">
        <v>23</v>
      </c>
      <c r="E637" s="5">
        <f>DAY(TableAopCalendar[[#This Row],[Date]])</f>
        <v>27</v>
      </c>
      <c r="F63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37" s="5" t="str">
        <f t="shared" si="28"/>
        <v>Week 4</v>
      </c>
      <c r="H637" s="8" t="str">
        <f t="shared" si="29"/>
        <v>December 23 Week 4</v>
      </c>
      <c r="I637" s="5" t="str">
        <f>CONCATENATE(UPPER(TableAopCalendar[[#This Row],[Month]])," ",TableAopCalendar[[#This Row],[Year]])</f>
        <v>DECEMBER 23</v>
      </c>
      <c r="J637" s="8" t="s">
        <v>274</v>
      </c>
      <c r="K637" s="8" t="str">
        <f>CONCATENATE(TableAopCalendar[[#This Row],[Month for Plan]]," ",TableAopCalendar[[#This Row],[Plan]])</f>
        <v>DECEMBER 23 PLANNED</v>
      </c>
    </row>
    <row r="638" spans="1:11" x14ac:dyDescent="0.25">
      <c r="A638" s="5">
        <f t="shared" si="27"/>
        <v>7</v>
      </c>
      <c r="B638" s="6">
        <v>45288</v>
      </c>
      <c r="C638" s="7" t="s">
        <v>270</v>
      </c>
      <c r="D638" s="7">
        <v>23</v>
      </c>
      <c r="E638" s="5">
        <f>DAY(TableAopCalendar[[#This Row],[Date]])</f>
        <v>28</v>
      </c>
      <c r="F63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38" s="5" t="str">
        <f t="shared" si="28"/>
        <v>Week 4</v>
      </c>
      <c r="H638" s="8" t="str">
        <f t="shared" si="29"/>
        <v>December 23 Week 4</v>
      </c>
      <c r="I638" s="5" t="str">
        <f>CONCATENATE(UPPER(TableAopCalendar[[#This Row],[Month]])," ",TableAopCalendar[[#This Row],[Year]])</f>
        <v>DECEMBER 23</v>
      </c>
      <c r="J638" s="8" t="s">
        <v>274</v>
      </c>
      <c r="K638" s="8" t="str">
        <f>CONCATENATE(TableAopCalendar[[#This Row],[Month for Plan]]," ",TableAopCalendar[[#This Row],[Plan]])</f>
        <v>DECEMBER 23 PLANNED</v>
      </c>
    </row>
    <row r="639" spans="1:11" x14ac:dyDescent="0.25">
      <c r="A639" s="5">
        <f t="shared" si="27"/>
        <v>1</v>
      </c>
      <c r="B639" s="6">
        <v>45289</v>
      </c>
      <c r="C639" s="7" t="s">
        <v>270</v>
      </c>
      <c r="D639" s="7">
        <v>23</v>
      </c>
      <c r="E639" s="5">
        <f>DAY(TableAopCalendar[[#This Row],[Date]])</f>
        <v>29</v>
      </c>
      <c r="F639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39" s="5" t="str">
        <f t="shared" si="28"/>
        <v>Week 5</v>
      </c>
      <c r="H639" s="8" t="str">
        <f t="shared" si="29"/>
        <v>December 23 Week 5</v>
      </c>
      <c r="I639" s="5" t="str">
        <f>CONCATENATE(UPPER(TableAopCalendar[[#This Row],[Month]])," ",TableAopCalendar[[#This Row],[Year]])</f>
        <v>DECEMBER 23</v>
      </c>
      <c r="J639" s="8" t="s">
        <v>274</v>
      </c>
      <c r="K639" s="8" t="str">
        <f>CONCATENATE(TableAopCalendar[[#This Row],[Month for Plan]]," ",TableAopCalendar[[#This Row],[Plan]])</f>
        <v>DECEMBER 23 PLANNED</v>
      </c>
    </row>
    <row r="640" spans="1:11" x14ac:dyDescent="0.25">
      <c r="A640" s="5">
        <f t="shared" si="27"/>
        <v>2</v>
      </c>
      <c r="B640" s="6">
        <v>45290</v>
      </c>
      <c r="C640" s="7" t="s">
        <v>270</v>
      </c>
      <c r="D640" s="7">
        <v>23</v>
      </c>
      <c r="E640" s="5">
        <f>DAY(TableAopCalendar[[#This Row],[Date]])</f>
        <v>30</v>
      </c>
      <c r="F640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40" s="5" t="str">
        <f t="shared" si="28"/>
        <v>Week 5</v>
      </c>
      <c r="H640" s="8" t="str">
        <f t="shared" si="29"/>
        <v>December 23 Week 5</v>
      </c>
      <c r="I640" s="5" t="str">
        <f>CONCATENATE(UPPER(TableAopCalendar[[#This Row],[Month]])," ",TableAopCalendar[[#This Row],[Year]])</f>
        <v>DECEMBER 23</v>
      </c>
      <c r="J640" s="8" t="s">
        <v>274</v>
      </c>
      <c r="K640" s="8" t="str">
        <f>CONCATENATE(TableAopCalendar[[#This Row],[Month for Plan]]," ",TableAopCalendar[[#This Row],[Plan]])</f>
        <v>DECEMBER 23 PLANNED</v>
      </c>
    </row>
    <row r="641" spans="1:11" x14ac:dyDescent="0.25">
      <c r="A641" s="5">
        <f t="shared" si="27"/>
        <v>3</v>
      </c>
      <c r="B641" s="6">
        <v>45291</v>
      </c>
      <c r="C641" s="7" t="s">
        <v>270</v>
      </c>
      <c r="D641" s="7">
        <v>23</v>
      </c>
      <c r="E641" s="5">
        <f>DAY(TableAopCalendar[[#This Row],[Date]])</f>
        <v>31</v>
      </c>
      <c r="F641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41" s="5" t="str">
        <f t="shared" si="28"/>
        <v>Week 5</v>
      </c>
      <c r="H641" s="8" t="str">
        <f t="shared" si="29"/>
        <v>December 23 Week 5</v>
      </c>
      <c r="I641" s="5" t="str">
        <f>CONCATENATE(UPPER(TableAopCalendar[[#This Row],[Month]])," ",TableAopCalendar[[#This Row],[Year]])</f>
        <v>DECEMBER 23</v>
      </c>
      <c r="J641" s="8" t="s">
        <v>274</v>
      </c>
      <c r="K641" s="8" t="str">
        <f>CONCATENATE(TableAopCalendar[[#This Row],[Month for Plan]]," ",TableAopCalendar[[#This Row],[Plan]])</f>
        <v>DECEMBER 23 PLANNED</v>
      </c>
    </row>
    <row r="642" spans="1:11" x14ac:dyDescent="0.25">
      <c r="A642" s="5">
        <f t="shared" ref="A642:A705" si="30">IF(G642=G641,A641+1,1)</f>
        <v>1</v>
      </c>
      <c r="B642" s="6">
        <v>45292</v>
      </c>
      <c r="C642" s="7" t="s">
        <v>271</v>
      </c>
      <c r="D642" s="7">
        <v>24</v>
      </c>
      <c r="E642" s="5">
        <f>DAY(TableAopCalendar[[#This Row],[Date]])</f>
        <v>1</v>
      </c>
      <c r="F64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2" s="5" t="str">
        <f t="shared" ref="G642:G705" si="31">"Week"&amp;" "&amp;F642</f>
        <v>Week 1</v>
      </c>
      <c r="H642" s="8" t="str">
        <f t="shared" ref="H642:H705" si="32">CONCATENATE(C642," ",D642," ",G642)</f>
        <v>January 24 Week 1</v>
      </c>
      <c r="I642" s="5" t="str">
        <f>CONCATENATE(UPPER(TableAopCalendar[[#This Row],[Month]])," ",TableAopCalendar[[#This Row],[Year]])</f>
        <v>JANUARY 24</v>
      </c>
      <c r="J642" s="8" t="s">
        <v>274</v>
      </c>
      <c r="K642" s="8" t="str">
        <f>CONCATENATE(TableAopCalendar[[#This Row],[Month for Plan]]," ",TableAopCalendar[[#This Row],[Plan]])</f>
        <v>JANUARY 24 PLANNED</v>
      </c>
    </row>
    <row r="643" spans="1:11" x14ac:dyDescent="0.25">
      <c r="A643" s="5">
        <f t="shared" si="30"/>
        <v>2</v>
      </c>
      <c r="B643" s="6">
        <v>45293</v>
      </c>
      <c r="C643" s="7" t="s">
        <v>271</v>
      </c>
      <c r="D643" s="7">
        <v>24</v>
      </c>
      <c r="E643" s="5">
        <f>DAY(TableAopCalendar[[#This Row],[Date]])</f>
        <v>2</v>
      </c>
      <c r="F64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3" s="5" t="str">
        <f t="shared" si="31"/>
        <v>Week 1</v>
      </c>
      <c r="H643" s="8" t="str">
        <f t="shared" si="32"/>
        <v>January 24 Week 1</v>
      </c>
      <c r="I643" s="5" t="str">
        <f>CONCATENATE(UPPER(TableAopCalendar[[#This Row],[Month]])," ",TableAopCalendar[[#This Row],[Year]])</f>
        <v>JANUARY 24</v>
      </c>
      <c r="J643" s="8" t="s">
        <v>274</v>
      </c>
      <c r="K643" s="8" t="str">
        <f>CONCATENATE(TableAopCalendar[[#This Row],[Month for Plan]]," ",TableAopCalendar[[#This Row],[Plan]])</f>
        <v>JANUARY 24 PLANNED</v>
      </c>
    </row>
    <row r="644" spans="1:11" x14ac:dyDescent="0.25">
      <c r="A644" s="5">
        <f t="shared" si="30"/>
        <v>3</v>
      </c>
      <c r="B644" s="6">
        <v>45294</v>
      </c>
      <c r="C644" s="7" t="s">
        <v>271</v>
      </c>
      <c r="D644" s="7">
        <v>24</v>
      </c>
      <c r="E644" s="5">
        <f>DAY(TableAopCalendar[[#This Row],[Date]])</f>
        <v>3</v>
      </c>
      <c r="F64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4" s="5" t="str">
        <f t="shared" si="31"/>
        <v>Week 1</v>
      </c>
      <c r="H644" s="8" t="str">
        <f t="shared" si="32"/>
        <v>January 24 Week 1</v>
      </c>
      <c r="I644" s="5" t="str">
        <f>CONCATENATE(UPPER(TableAopCalendar[[#This Row],[Month]])," ",TableAopCalendar[[#This Row],[Year]])</f>
        <v>JANUARY 24</v>
      </c>
      <c r="J644" s="8" t="s">
        <v>274</v>
      </c>
      <c r="K644" s="8" t="str">
        <f>CONCATENATE(TableAopCalendar[[#This Row],[Month for Plan]]," ",TableAopCalendar[[#This Row],[Plan]])</f>
        <v>JANUARY 24 PLANNED</v>
      </c>
    </row>
    <row r="645" spans="1:11" x14ac:dyDescent="0.25">
      <c r="A645" s="5">
        <f t="shared" si="30"/>
        <v>4</v>
      </c>
      <c r="B645" s="6">
        <v>45295</v>
      </c>
      <c r="C645" s="7" t="s">
        <v>271</v>
      </c>
      <c r="D645" s="7">
        <v>24</v>
      </c>
      <c r="E645" s="5">
        <f>DAY(TableAopCalendar[[#This Row],[Date]])</f>
        <v>4</v>
      </c>
      <c r="F645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5" s="5" t="str">
        <f t="shared" si="31"/>
        <v>Week 1</v>
      </c>
      <c r="H645" s="8" t="str">
        <f t="shared" si="32"/>
        <v>January 24 Week 1</v>
      </c>
      <c r="I645" s="5" t="str">
        <f>CONCATENATE(UPPER(TableAopCalendar[[#This Row],[Month]])," ",TableAopCalendar[[#This Row],[Year]])</f>
        <v>JANUARY 24</v>
      </c>
      <c r="J645" s="8" t="s">
        <v>274</v>
      </c>
      <c r="K645" s="8" t="str">
        <f>CONCATENATE(TableAopCalendar[[#This Row],[Month for Plan]]," ",TableAopCalendar[[#This Row],[Plan]])</f>
        <v>JANUARY 24 PLANNED</v>
      </c>
    </row>
    <row r="646" spans="1:11" x14ac:dyDescent="0.25">
      <c r="A646" s="5">
        <f t="shared" si="30"/>
        <v>5</v>
      </c>
      <c r="B646" s="6">
        <v>45296</v>
      </c>
      <c r="C646" s="7" t="s">
        <v>271</v>
      </c>
      <c r="D646" s="7">
        <v>24</v>
      </c>
      <c r="E646" s="5">
        <f>DAY(TableAopCalendar[[#This Row],[Date]])</f>
        <v>5</v>
      </c>
      <c r="F64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6" s="5" t="str">
        <f t="shared" si="31"/>
        <v>Week 1</v>
      </c>
      <c r="H646" s="8" t="str">
        <f t="shared" si="32"/>
        <v>January 24 Week 1</v>
      </c>
      <c r="I646" s="5" t="str">
        <f>CONCATENATE(UPPER(TableAopCalendar[[#This Row],[Month]])," ",TableAopCalendar[[#This Row],[Year]])</f>
        <v>JANUARY 24</v>
      </c>
      <c r="J646" s="8" t="s">
        <v>274</v>
      </c>
      <c r="K646" s="8" t="str">
        <f>CONCATENATE(TableAopCalendar[[#This Row],[Month for Plan]]," ",TableAopCalendar[[#This Row],[Plan]])</f>
        <v>JANUARY 24 PLANNED</v>
      </c>
    </row>
    <row r="647" spans="1:11" x14ac:dyDescent="0.25">
      <c r="A647" s="5">
        <f t="shared" si="30"/>
        <v>6</v>
      </c>
      <c r="B647" s="6">
        <v>45297</v>
      </c>
      <c r="C647" s="7" t="s">
        <v>271</v>
      </c>
      <c r="D647" s="7">
        <v>24</v>
      </c>
      <c r="E647" s="5">
        <f>DAY(TableAopCalendar[[#This Row],[Date]])</f>
        <v>6</v>
      </c>
      <c r="F64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7" s="5" t="str">
        <f t="shared" si="31"/>
        <v>Week 1</v>
      </c>
      <c r="H647" s="8" t="str">
        <f t="shared" si="32"/>
        <v>January 24 Week 1</v>
      </c>
      <c r="I647" s="5" t="str">
        <f>CONCATENATE(UPPER(TableAopCalendar[[#This Row],[Month]])," ",TableAopCalendar[[#This Row],[Year]])</f>
        <v>JANUARY 24</v>
      </c>
      <c r="J647" s="8" t="s">
        <v>274</v>
      </c>
      <c r="K647" s="8" t="str">
        <f>CONCATENATE(TableAopCalendar[[#This Row],[Month for Plan]]," ",TableAopCalendar[[#This Row],[Plan]])</f>
        <v>JANUARY 24 PLANNED</v>
      </c>
    </row>
    <row r="648" spans="1:11" x14ac:dyDescent="0.25">
      <c r="A648" s="5">
        <f t="shared" si="30"/>
        <v>7</v>
      </c>
      <c r="B648" s="6">
        <v>45298</v>
      </c>
      <c r="C648" s="7" t="s">
        <v>271</v>
      </c>
      <c r="D648" s="7">
        <v>24</v>
      </c>
      <c r="E648" s="5">
        <f>DAY(TableAopCalendar[[#This Row],[Date]])</f>
        <v>7</v>
      </c>
      <c r="F64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48" s="5" t="str">
        <f t="shared" si="31"/>
        <v>Week 1</v>
      </c>
      <c r="H648" s="8" t="str">
        <f t="shared" si="32"/>
        <v>January 24 Week 1</v>
      </c>
      <c r="I648" s="5" t="str">
        <f>CONCATENATE(UPPER(TableAopCalendar[[#This Row],[Month]])," ",TableAopCalendar[[#This Row],[Year]])</f>
        <v>JANUARY 24</v>
      </c>
      <c r="J648" s="8" t="s">
        <v>274</v>
      </c>
      <c r="K648" s="8" t="str">
        <f>CONCATENATE(TableAopCalendar[[#This Row],[Month for Plan]]," ",TableAopCalendar[[#This Row],[Plan]])</f>
        <v>JANUARY 24 PLANNED</v>
      </c>
    </row>
    <row r="649" spans="1:11" x14ac:dyDescent="0.25">
      <c r="A649" s="5">
        <f t="shared" si="30"/>
        <v>1</v>
      </c>
      <c r="B649" s="6">
        <v>45299</v>
      </c>
      <c r="C649" s="7" t="s">
        <v>271</v>
      </c>
      <c r="D649" s="7">
        <v>24</v>
      </c>
      <c r="E649" s="5">
        <f>DAY(TableAopCalendar[[#This Row],[Date]])</f>
        <v>8</v>
      </c>
      <c r="F64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49" s="5" t="str">
        <f t="shared" si="31"/>
        <v>Week 2</v>
      </c>
      <c r="H649" s="8" t="str">
        <f t="shared" si="32"/>
        <v>January 24 Week 2</v>
      </c>
      <c r="I649" s="5" t="str">
        <f>CONCATENATE(UPPER(TableAopCalendar[[#This Row],[Month]])," ",TableAopCalendar[[#This Row],[Year]])</f>
        <v>JANUARY 24</v>
      </c>
      <c r="J649" s="8" t="s">
        <v>274</v>
      </c>
      <c r="K649" s="8" t="str">
        <f>CONCATENATE(TableAopCalendar[[#This Row],[Month for Plan]]," ",TableAopCalendar[[#This Row],[Plan]])</f>
        <v>JANUARY 24 PLANNED</v>
      </c>
    </row>
    <row r="650" spans="1:11" x14ac:dyDescent="0.25">
      <c r="A650" s="5">
        <f t="shared" si="30"/>
        <v>2</v>
      </c>
      <c r="B650" s="6">
        <v>45300</v>
      </c>
      <c r="C650" s="7" t="s">
        <v>271</v>
      </c>
      <c r="D650" s="7">
        <v>24</v>
      </c>
      <c r="E650" s="5">
        <f>DAY(TableAopCalendar[[#This Row],[Date]])</f>
        <v>9</v>
      </c>
      <c r="F65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50" s="5" t="str">
        <f t="shared" si="31"/>
        <v>Week 2</v>
      </c>
      <c r="H650" s="8" t="str">
        <f t="shared" si="32"/>
        <v>January 24 Week 2</v>
      </c>
      <c r="I650" s="5" t="str">
        <f>CONCATENATE(UPPER(TableAopCalendar[[#This Row],[Month]])," ",TableAopCalendar[[#This Row],[Year]])</f>
        <v>JANUARY 24</v>
      </c>
      <c r="J650" s="8" t="s">
        <v>274</v>
      </c>
      <c r="K650" s="8" t="str">
        <f>CONCATENATE(TableAopCalendar[[#This Row],[Month for Plan]]," ",TableAopCalendar[[#This Row],[Plan]])</f>
        <v>JANUARY 24 PLANNED</v>
      </c>
    </row>
    <row r="651" spans="1:11" x14ac:dyDescent="0.25">
      <c r="A651" s="5">
        <f t="shared" si="30"/>
        <v>3</v>
      </c>
      <c r="B651" s="6">
        <v>45301</v>
      </c>
      <c r="C651" s="7" t="s">
        <v>271</v>
      </c>
      <c r="D651" s="7">
        <v>24</v>
      </c>
      <c r="E651" s="5">
        <f>DAY(TableAopCalendar[[#This Row],[Date]])</f>
        <v>10</v>
      </c>
      <c r="F65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51" s="5" t="str">
        <f t="shared" si="31"/>
        <v>Week 2</v>
      </c>
      <c r="H651" s="8" t="str">
        <f t="shared" si="32"/>
        <v>January 24 Week 2</v>
      </c>
      <c r="I651" s="5" t="str">
        <f>CONCATENATE(UPPER(TableAopCalendar[[#This Row],[Month]])," ",TableAopCalendar[[#This Row],[Year]])</f>
        <v>JANUARY 24</v>
      </c>
      <c r="J651" s="8" t="s">
        <v>274</v>
      </c>
      <c r="K651" s="8" t="str">
        <f>CONCATENATE(TableAopCalendar[[#This Row],[Month for Plan]]," ",TableAopCalendar[[#This Row],[Plan]])</f>
        <v>JANUARY 24 PLANNED</v>
      </c>
    </row>
    <row r="652" spans="1:11" x14ac:dyDescent="0.25">
      <c r="A652" s="5">
        <f t="shared" si="30"/>
        <v>4</v>
      </c>
      <c r="B652" s="6">
        <v>45302</v>
      </c>
      <c r="C652" s="7" t="s">
        <v>271</v>
      </c>
      <c r="D652" s="7">
        <v>24</v>
      </c>
      <c r="E652" s="5">
        <f>DAY(TableAopCalendar[[#This Row],[Date]])</f>
        <v>11</v>
      </c>
      <c r="F652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52" s="5" t="str">
        <f t="shared" si="31"/>
        <v>Week 2</v>
      </c>
      <c r="H652" s="8" t="str">
        <f t="shared" si="32"/>
        <v>January 24 Week 2</v>
      </c>
      <c r="I652" s="5" t="str">
        <f>CONCATENATE(UPPER(TableAopCalendar[[#This Row],[Month]])," ",TableAopCalendar[[#This Row],[Year]])</f>
        <v>JANUARY 24</v>
      </c>
      <c r="J652" s="8" t="s">
        <v>274</v>
      </c>
      <c r="K652" s="8" t="str">
        <f>CONCATENATE(TableAopCalendar[[#This Row],[Month for Plan]]," ",TableAopCalendar[[#This Row],[Plan]])</f>
        <v>JANUARY 24 PLANNED</v>
      </c>
    </row>
    <row r="653" spans="1:11" x14ac:dyDescent="0.25">
      <c r="A653" s="5">
        <f t="shared" si="30"/>
        <v>5</v>
      </c>
      <c r="B653" s="6">
        <v>45303</v>
      </c>
      <c r="C653" s="7" t="s">
        <v>271</v>
      </c>
      <c r="D653" s="7">
        <v>24</v>
      </c>
      <c r="E653" s="5">
        <f>DAY(TableAopCalendar[[#This Row],[Date]])</f>
        <v>12</v>
      </c>
      <c r="F65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53" s="5" t="str">
        <f t="shared" si="31"/>
        <v>Week 2</v>
      </c>
      <c r="H653" s="8" t="str">
        <f t="shared" si="32"/>
        <v>January 24 Week 2</v>
      </c>
      <c r="I653" s="5" t="str">
        <f>CONCATENATE(UPPER(TableAopCalendar[[#This Row],[Month]])," ",TableAopCalendar[[#This Row],[Year]])</f>
        <v>JANUARY 24</v>
      </c>
      <c r="J653" s="8" t="s">
        <v>274</v>
      </c>
      <c r="K653" s="8" t="str">
        <f>CONCATENATE(TableAopCalendar[[#This Row],[Month for Plan]]," ",TableAopCalendar[[#This Row],[Plan]])</f>
        <v>JANUARY 24 PLANNED</v>
      </c>
    </row>
    <row r="654" spans="1:11" x14ac:dyDescent="0.25">
      <c r="A654" s="5">
        <f t="shared" si="30"/>
        <v>6</v>
      </c>
      <c r="B654" s="6">
        <v>45304</v>
      </c>
      <c r="C654" s="7" t="s">
        <v>271</v>
      </c>
      <c r="D654" s="7">
        <v>24</v>
      </c>
      <c r="E654" s="5">
        <f>DAY(TableAopCalendar[[#This Row],[Date]])</f>
        <v>13</v>
      </c>
      <c r="F65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54" s="5" t="str">
        <f t="shared" si="31"/>
        <v>Week 2</v>
      </c>
      <c r="H654" s="8" t="str">
        <f t="shared" si="32"/>
        <v>January 24 Week 2</v>
      </c>
      <c r="I654" s="5" t="str">
        <f>CONCATENATE(UPPER(TableAopCalendar[[#This Row],[Month]])," ",TableAopCalendar[[#This Row],[Year]])</f>
        <v>JANUARY 24</v>
      </c>
      <c r="J654" s="8" t="s">
        <v>274</v>
      </c>
      <c r="K654" s="8" t="str">
        <f>CONCATENATE(TableAopCalendar[[#This Row],[Month for Plan]]," ",TableAopCalendar[[#This Row],[Plan]])</f>
        <v>JANUARY 24 PLANNED</v>
      </c>
    </row>
    <row r="655" spans="1:11" x14ac:dyDescent="0.25">
      <c r="A655" s="5">
        <f t="shared" si="30"/>
        <v>7</v>
      </c>
      <c r="B655" s="6">
        <v>45305</v>
      </c>
      <c r="C655" s="7" t="s">
        <v>271</v>
      </c>
      <c r="D655" s="7">
        <v>24</v>
      </c>
      <c r="E655" s="5">
        <f>DAY(TableAopCalendar[[#This Row],[Date]])</f>
        <v>14</v>
      </c>
      <c r="F65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55" s="5" t="str">
        <f t="shared" si="31"/>
        <v>Week 2</v>
      </c>
      <c r="H655" s="8" t="str">
        <f t="shared" si="32"/>
        <v>January 24 Week 2</v>
      </c>
      <c r="I655" s="5" t="str">
        <f>CONCATENATE(UPPER(TableAopCalendar[[#This Row],[Month]])," ",TableAopCalendar[[#This Row],[Year]])</f>
        <v>JANUARY 24</v>
      </c>
      <c r="J655" s="8" t="s">
        <v>274</v>
      </c>
      <c r="K655" s="8" t="str">
        <f>CONCATENATE(TableAopCalendar[[#This Row],[Month for Plan]]," ",TableAopCalendar[[#This Row],[Plan]])</f>
        <v>JANUARY 24 PLANNED</v>
      </c>
    </row>
    <row r="656" spans="1:11" x14ac:dyDescent="0.25">
      <c r="A656" s="5">
        <f t="shared" si="30"/>
        <v>1</v>
      </c>
      <c r="B656" s="6">
        <v>45306</v>
      </c>
      <c r="C656" s="7" t="s">
        <v>271</v>
      </c>
      <c r="D656" s="7">
        <v>24</v>
      </c>
      <c r="E656" s="5">
        <f>DAY(TableAopCalendar[[#This Row],[Date]])</f>
        <v>15</v>
      </c>
      <c r="F65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56" s="5" t="str">
        <f t="shared" si="31"/>
        <v>Week 3</v>
      </c>
      <c r="H656" s="8" t="str">
        <f t="shared" si="32"/>
        <v>January 24 Week 3</v>
      </c>
      <c r="I656" s="5" t="str">
        <f>CONCATENATE(UPPER(TableAopCalendar[[#This Row],[Month]])," ",TableAopCalendar[[#This Row],[Year]])</f>
        <v>JANUARY 24</v>
      </c>
      <c r="J656" s="8" t="s">
        <v>274</v>
      </c>
      <c r="K656" s="8" t="str">
        <f>CONCATENATE(TableAopCalendar[[#This Row],[Month for Plan]]," ",TableAopCalendar[[#This Row],[Plan]])</f>
        <v>JANUARY 24 PLANNED</v>
      </c>
    </row>
    <row r="657" spans="1:11" x14ac:dyDescent="0.25">
      <c r="A657" s="5">
        <f t="shared" si="30"/>
        <v>2</v>
      </c>
      <c r="B657" s="6">
        <v>45307</v>
      </c>
      <c r="C657" s="7" t="s">
        <v>271</v>
      </c>
      <c r="D657" s="7">
        <v>24</v>
      </c>
      <c r="E657" s="5">
        <f>DAY(TableAopCalendar[[#This Row],[Date]])</f>
        <v>16</v>
      </c>
      <c r="F65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57" s="5" t="str">
        <f t="shared" si="31"/>
        <v>Week 3</v>
      </c>
      <c r="H657" s="8" t="str">
        <f t="shared" si="32"/>
        <v>January 24 Week 3</v>
      </c>
      <c r="I657" s="5" t="str">
        <f>CONCATENATE(UPPER(TableAopCalendar[[#This Row],[Month]])," ",TableAopCalendar[[#This Row],[Year]])</f>
        <v>JANUARY 24</v>
      </c>
      <c r="J657" s="8" t="s">
        <v>274</v>
      </c>
      <c r="K657" s="8" t="str">
        <f>CONCATENATE(TableAopCalendar[[#This Row],[Month for Plan]]," ",TableAopCalendar[[#This Row],[Plan]])</f>
        <v>JANUARY 24 PLANNED</v>
      </c>
    </row>
    <row r="658" spans="1:11" x14ac:dyDescent="0.25">
      <c r="A658" s="5">
        <f t="shared" si="30"/>
        <v>3</v>
      </c>
      <c r="B658" s="6">
        <v>45308</v>
      </c>
      <c r="C658" s="7" t="s">
        <v>271</v>
      </c>
      <c r="D658" s="7">
        <v>24</v>
      </c>
      <c r="E658" s="5">
        <f>DAY(TableAopCalendar[[#This Row],[Date]])</f>
        <v>17</v>
      </c>
      <c r="F65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58" s="5" t="str">
        <f t="shared" si="31"/>
        <v>Week 3</v>
      </c>
      <c r="H658" s="8" t="str">
        <f t="shared" si="32"/>
        <v>January 24 Week 3</v>
      </c>
      <c r="I658" s="5" t="str">
        <f>CONCATENATE(UPPER(TableAopCalendar[[#This Row],[Month]])," ",TableAopCalendar[[#This Row],[Year]])</f>
        <v>JANUARY 24</v>
      </c>
      <c r="J658" s="8" t="s">
        <v>274</v>
      </c>
      <c r="K658" s="8" t="str">
        <f>CONCATENATE(TableAopCalendar[[#This Row],[Month for Plan]]," ",TableAopCalendar[[#This Row],[Plan]])</f>
        <v>JANUARY 24 PLANNED</v>
      </c>
    </row>
    <row r="659" spans="1:11" x14ac:dyDescent="0.25">
      <c r="A659" s="5">
        <f t="shared" si="30"/>
        <v>4</v>
      </c>
      <c r="B659" s="6">
        <v>45309</v>
      </c>
      <c r="C659" s="7" t="s">
        <v>271</v>
      </c>
      <c r="D659" s="7">
        <v>24</v>
      </c>
      <c r="E659" s="5">
        <f>DAY(TableAopCalendar[[#This Row],[Date]])</f>
        <v>18</v>
      </c>
      <c r="F659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59" s="5" t="str">
        <f t="shared" si="31"/>
        <v>Week 3</v>
      </c>
      <c r="H659" s="8" t="str">
        <f t="shared" si="32"/>
        <v>January 24 Week 3</v>
      </c>
      <c r="I659" s="5" t="str">
        <f>CONCATENATE(UPPER(TableAopCalendar[[#This Row],[Month]])," ",TableAopCalendar[[#This Row],[Year]])</f>
        <v>JANUARY 24</v>
      </c>
      <c r="J659" s="8" t="s">
        <v>274</v>
      </c>
      <c r="K659" s="8" t="str">
        <f>CONCATENATE(TableAopCalendar[[#This Row],[Month for Plan]]," ",TableAopCalendar[[#This Row],[Plan]])</f>
        <v>JANUARY 24 PLANNED</v>
      </c>
    </row>
    <row r="660" spans="1:11" x14ac:dyDescent="0.25">
      <c r="A660" s="5">
        <f t="shared" si="30"/>
        <v>5</v>
      </c>
      <c r="B660" s="6">
        <v>45310</v>
      </c>
      <c r="C660" s="7" t="s">
        <v>271</v>
      </c>
      <c r="D660" s="7">
        <v>24</v>
      </c>
      <c r="E660" s="5">
        <f>DAY(TableAopCalendar[[#This Row],[Date]])</f>
        <v>19</v>
      </c>
      <c r="F66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60" s="5" t="str">
        <f t="shared" si="31"/>
        <v>Week 3</v>
      </c>
      <c r="H660" s="8" t="str">
        <f t="shared" si="32"/>
        <v>January 24 Week 3</v>
      </c>
      <c r="I660" s="5" t="str">
        <f>CONCATENATE(UPPER(TableAopCalendar[[#This Row],[Month]])," ",TableAopCalendar[[#This Row],[Year]])</f>
        <v>JANUARY 24</v>
      </c>
      <c r="J660" s="8" t="s">
        <v>274</v>
      </c>
      <c r="K660" s="8" t="str">
        <f>CONCATENATE(TableAopCalendar[[#This Row],[Month for Plan]]," ",TableAopCalendar[[#This Row],[Plan]])</f>
        <v>JANUARY 24 PLANNED</v>
      </c>
    </row>
    <row r="661" spans="1:11" x14ac:dyDescent="0.25">
      <c r="A661" s="5">
        <f t="shared" si="30"/>
        <v>6</v>
      </c>
      <c r="B661" s="6">
        <v>45311</v>
      </c>
      <c r="C661" s="7" t="s">
        <v>271</v>
      </c>
      <c r="D661" s="7">
        <v>24</v>
      </c>
      <c r="E661" s="5">
        <f>DAY(TableAopCalendar[[#This Row],[Date]])</f>
        <v>20</v>
      </c>
      <c r="F66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61" s="5" t="str">
        <f t="shared" si="31"/>
        <v>Week 3</v>
      </c>
      <c r="H661" s="8" t="str">
        <f t="shared" si="32"/>
        <v>January 24 Week 3</v>
      </c>
      <c r="I661" s="5" t="str">
        <f>CONCATENATE(UPPER(TableAopCalendar[[#This Row],[Month]])," ",TableAopCalendar[[#This Row],[Year]])</f>
        <v>JANUARY 24</v>
      </c>
      <c r="J661" s="8" t="s">
        <v>274</v>
      </c>
      <c r="K661" s="8" t="str">
        <f>CONCATENATE(TableAopCalendar[[#This Row],[Month for Plan]]," ",TableAopCalendar[[#This Row],[Plan]])</f>
        <v>JANUARY 24 PLANNED</v>
      </c>
    </row>
    <row r="662" spans="1:11" x14ac:dyDescent="0.25">
      <c r="A662" s="5">
        <f t="shared" si="30"/>
        <v>7</v>
      </c>
      <c r="B662" s="6">
        <v>45312</v>
      </c>
      <c r="C662" s="7" t="s">
        <v>271</v>
      </c>
      <c r="D662" s="7">
        <v>24</v>
      </c>
      <c r="E662" s="5">
        <f>DAY(TableAopCalendar[[#This Row],[Date]])</f>
        <v>21</v>
      </c>
      <c r="F66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62" s="5" t="str">
        <f t="shared" si="31"/>
        <v>Week 3</v>
      </c>
      <c r="H662" s="8" t="str">
        <f t="shared" si="32"/>
        <v>January 24 Week 3</v>
      </c>
      <c r="I662" s="5" t="str">
        <f>CONCATENATE(UPPER(TableAopCalendar[[#This Row],[Month]])," ",TableAopCalendar[[#This Row],[Year]])</f>
        <v>JANUARY 24</v>
      </c>
      <c r="J662" s="8" t="s">
        <v>274</v>
      </c>
      <c r="K662" s="8" t="str">
        <f>CONCATENATE(TableAopCalendar[[#This Row],[Month for Plan]]," ",TableAopCalendar[[#This Row],[Plan]])</f>
        <v>JANUARY 24 PLANNED</v>
      </c>
    </row>
    <row r="663" spans="1:11" x14ac:dyDescent="0.25">
      <c r="A663" s="5">
        <f t="shared" si="30"/>
        <v>1</v>
      </c>
      <c r="B663" s="6">
        <v>45313</v>
      </c>
      <c r="C663" s="7" t="s">
        <v>271</v>
      </c>
      <c r="D663" s="7">
        <v>24</v>
      </c>
      <c r="E663" s="5">
        <f>DAY(TableAopCalendar[[#This Row],[Date]])</f>
        <v>22</v>
      </c>
      <c r="F66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63" s="5" t="str">
        <f t="shared" si="31"/>
        <v>Week 4</v>
      </c>
      <c r="H663" s="8" t="str">
        <f t="shared" si="32"/>
        <v>January 24 Week 4</v>
      </c>
      <c r="I663" s="5" t="str">
        <f>CONCATENATE(UPPER(TableAopCalendar[[#This Row],[Month]])," ",TableAopCalendar[[#This Row],[Year]])</f>
        <v>JANUARY 24</v>
      </c>
      <c r="J663" s="8" t="s">
        <v>274</v>
      </c>
      <c r="K663" s="8" t="str">
        <f>CONCATENATE(TableAopCalendar[[#This Row],[Month for Plan]]," ",TableAopCalendar[[#This Row],[Plan]])</f>
        <v>JANUARY 24 PLANNED</v>
      </c>
    </row>
    <row r="664" spans="1:11" x14ac:dyDescent="0.25">
      <c r="A664" s="5">
        <f t="shared" si="30"/>
        <v>2</v>
      </c>
      <c r="B664" s="6">
        <v>45314</v>
      </c>
      <c r="C664" s="7" t="s">
        <v>271</v>
      </c>
      <c r="D664" s="7">
        <v>24</v>
      </c>
      <c r="E664" s="5">
        <f>DAY(TableAopCalendar[[#This Row],[Date]])</f>
        <v>23</v>
      </c>
      <c r="F66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64" s="5" t="str">
        <f t="shared" si="31"/>
        <v>Week 4</v>
      </c>
      <c r="H664" s="8" t="str">
        <f t="shared" si="32"/>
        <v>January 24 Week 4</v>
      </c>
      <c r="I664" s="5" t="str">
        <f>CONCATENATE(UPPER(TableAopCalendar[[#This Row],[Month]])," ",TableAopCalendar[[#This Row],[Year]])</f>
        <v>JANUARY 24</v>
      </c>
      <c r="J664" s="8" t="s">
        <v>274</v>
      </c>
      <c r="K664" s="8" t="str">
        <f>CONCATENATE(TableAopCalendar[[#This Row],[Month for Plan]]," ",TableAopCalendar[[#This Row],[Plan]])</f>
        <v>JANUARY 24 PLANNED</v>
      </c>
    </row>
    <row r="665" spans="1:11" x14ac:dyDescent="0.25">
      <c r="A665" s="5">
        <f t="shared" si="30"/>
        <v>3</v>
      </c>
      <c r="B665" s="6">
        <v>45315</v>
      </c>
      <c r="C665" s="7" t="s">
        <v>271</v>
      </c>
      <c r="D665" s="7">
        <v>24</v>
      </c>
      <c r="E665" s="5">
        <f>DAY(TableAopCalendar[[#This Row],[Date]])</f>
        <v>24</v>
      </c>
      <c r="F66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65" s="5" t="str">
        <f t="shared" si="31"/>
        <v>Week 4</v>
      </c>
      <c r="H665" s="8" t="str">
        <f t="shared" si="32"/>
        <v>January 24 Week 4</v>
      </c>
      <c r="I665" s="5" t="str">
        <f>CONCATENATE(UPPER(TableAopCalendar[[#This Row],[Month]])," ",TableAopCalendar[[#This Row],[Year]])</f>
        <v>JANUARY 24</v>
      </c>
      <c r="J665" s="8" t="s">
        <v>274</v>
      </c>
      <c r="K665" s="8" t="str">
        <f>CONCATENATE(TableAopCalendar[[#This Row],[Month for Plan]]," ",TableAopCalendar[[#This Row],[Plan]])</f>
        <v>JANUARY 24 PLANNED</v>
      </c>
    </row>
    <row r="666" spans="1:11" x14ac:dyDescent="0.25">
      <c r="A666" s="5">
        <f t="shared" si="30"/>
        <v>4</v>
      </c>
      <c r="B666" s="6">
        <v>45316</v>
      </c>
      <c r="C666" s="7" t="s">
        <v>271</v>
      </c>
      <c r="D666" s="7">
        <v>24</v>
      </c>
      <c r="E666" s="5">
        <f>DAY(TableAopCalendar[[#This Row],[Date]])</f>
        <v>25</v>
      </c>
      <c r="F666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66" s="5" t="str">
        <f t="shared" si="31"/>
        <v>Week 4</v>
      </c>
      <c r="H666" s="8" t="str">
        <f t="shared" si="32"/>
        <v>January 24 Week 4</v>
      </c>
      <c r="I666" s="5" t="str">
        <f>CONCATENATE(UPPER(TableAopCalendar[[#This Row],[Month]])," ",TableAopCalendar[[#This Row],[Year]])</f>
        <v>JANUARY 24</v>
      </c>
      <c r="J666" s="8" t="s">
        <v>274</v>
      </c>
      <c r="K666" s="8" t="str">
        <f>CONCATENATE(TableAopCalendar[[#This Row],[Month for Plan]]," ",TableAopCalendar[[#This Row],[Plan]])</f>
        <v>JANUARY 24 PLANNED</v>
      </c>
    </row>
    <row r="667" spans="1:11" x14ac:dyDescent="0.25">
      <c r="A667" s="5">
        <f t="shared" si="30"/>
        <v>5</v>
      </c>
      <c r="B667" s="6">
        <v>45317</v>
      </c>
      <c r="C667" s="7" t="s">
        <v>271</v>
      </c>
      <c r="D667" s="7">
        <v>24</v>
      </c>
      <c r="E667" s="5">
        <f>DAY(TableAopCalendar[[#This Row],[Date]])</f>
        <v>26</v>
      </c>
      <c r="F66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67" s="5" t="str">
        <f t="shared" si="31"/>
        <v>Week 4</v>
      </c>
      <c r="H667" s="8" t="str">
        <f t="shared" si="32"/>
        <v>January 24 Week 4</v>
      </c>
      <c r="I667" s="5" t="str">
        <f>CONCATENATE(UPPER(TableAopCalendar[[#This Row],[Month]])," ",TableAopCalendar[[#This Row],[Year]])</f>
        <v>JANUARY 24</v>
      </c>
      <c r="J667" s="8" t="s">
        <v>274</v>
      </c>
      <c r="K667" s="8" t="str">
        <f>CONCATENATE(TableAopCalendar[[#This Row],[Month for Plan]]," ",TableAopCalendar[[#This Row],[Plan]])</f>
        <v>JANUARY 24 PLANNED</v>
      </c>
    </row>
    <row r="668" spans="1:11" x14ac:dyDescent="0.25">
      <c r="A668" s="5">
        <f t="shared" si="30"/>
        <v>6</v>
      </c>
      <c r="B668" s="6">
        <v>45318</v>
      </c>
      <c r="C668" s="7" t="s">
        <v>271</v>
      </c>
      <c r="D668" s="7">
        <v>24</v>
      </c>
      <c r="E668" s="5">
        <f>DAY(TableAopCalendar[[#This Row],[Date]])</f>
        <v>27</v>
      </c>
      <c r="F66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68" s="5" t="str">
        <f t="shared" si="31"/>
        <v>Week 4</v>
      </c>
      <c r="H668" s="8" t="str">
        <f t="shared" si="32"/>
        <v>January 24 Week 4</v>
      </c>
      <c r="I668" s="5" t="str">
        <f>CONCATENATE(UPPER(TableAopCalendar[[#This Row],[Month]])," ",TableAopCalendar[[#This Row],[Year]])</f>
        <v>JANUARY 24</v>
      </c>
      <c r="J668" s="8" t="s">
        <v>274</v>
      </c>
      <c r="K668" s="8" t="str">
        <f>CONCATENATE(TableAopCalendar[[#This Row],[Month for Plan]]," ",TableAopCalendar[[#This Row],[Plan]])</f>
        <v>JANUARY 24 PLANNED</v>
      </c>
    </row>
    <row r="669" spans="1:11" x14ac:dyDescent="0.25">
      <c r="A669" s="5">
        <f t="shared" si="30"/>
        <v>7</v>
      </c>
      <c r="B669" s="6">
        <v>45319</v>
      </c>
      <c r="C669" s="7" t="s">
        <v>271</v>
      </c>
      <c r="D669" s="7">
        <v>24</v>
      </c>
      <c r="E669" s="5">
        <f>DAY(TableAopCalendar[[#This Row],[Date]])</f>
        <v>28</v>
      </c>
      <c r="F66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69" s="5" t="str">
        <f t="shared" si="31"/>
        <v>Week 4</v>
      </c>
      <c r="H669" s="8" t="str">
        <f t="shared" si="32"/>
        <v>January 24 Week 4</v>
      </c>
      <c r="I669" s="5" t="str">
        <f>CONCATENATE(UPPER(TableAopCalendar[[#This Row],[Month]])," ",TableAopCalendar[[#This Row],[Year]])</f>
        <v>JANUARY 24</v>
      </c>
      <c r="J669" s="8" t="s">
        <v>274</v>
      </c>
      <c r="K669" s="8" t="str">
        <f>CONCATENATE(TableAopCalendar[[#This Row],[Month for Plan]]," ",TableAopCalendar[[#This Row],[Plan]])</f>
        <v>JANUARY 24 PLANNED</v>
      </c>
    </row>
    <row r="670" spans="1:11" x14ac:dyDescent="0.25">
      <c r="A670" s="5">
        <f t="shared" si="30"/>
        <v>1</v>
      </c>
      <c r="B670" s="6">
        <v>45320</v>
      </c>
      <c r="C670" s="7" t="s">
        <v>271</v>
      </c>
      <c r="D670" s="7">
        <v>24</v>
      </c>
      <c r="E670" s="5">
        <f>DAY(TableAopCalendar[[#This Row],[Date]])</f>
        <v>29</v>
      </c>
      <c r="F670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70" s="5" t="str">
        <f t="shared" si="31"/>
        <v>Week 5</v>
      </c>
      <c r="H670" s="8" t="str">
        <f t="shared" si="32"/>
        <v>January 24 Week 5</v>
      </c>
      <c r="I670" s="5" t="str">
        <f>CONCATENATE(UPPER(TableAopCalendar[[#This Row],[Month]])," ",TableAopCalendar[[#This Row],[Year]])</f>
        <v>JANUARY 24</v>
      </c>
      <c r="J670" s="8" t="s">
        <v>274</v>
      </c>
      <c r="K670" s="8" t="str">
        <f>CONCATENATE(TableAopCalendar[[#This Row],[Month for Plan]]," ",TableAopCalendar[[#This Row],[Plan]])</f>
        <v>JANUARY 24 PLANNED</v>
      </c>
    </row>
    <row r="671" spans="1:11" x14ac:dyDescent="0.25">
      <c r="A671" s="5">
        <f t="shared" si="30"/>
        <v>2</v>
      </c>
      <c r="B671" s="6">
        <v>45321</v>
      </c>
      <c r="C671" s="7" t="s">
        <v>271</v>
      </c>
      <c r="D671" s="7">
        <v>24</v>
      </c>
      <c r="E671" s="5">
        <f>DAY(TableAopCalendar[[#This Row],[Date]])</f>
        <v>30</v>
      </c>
      <c r="F671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71" s="5" t="str">
        <f t="shared" si="31"/>
        <v>Week 5</v>
      </c>
      <c r="H671" s="8" t="str">
        <f t="shared" si="32"/>
        <v>January 24 Week 5</v>
      </c>
      <c r="I671" s="5" t="str">
        <f>CONCATENATE(UPPER(TableAopCalendar[[#This Row],[Month]])," ",TableAopCalendar[[#This Row],[Year]])</f>
        <v>JANUARY 24</v>
      </c>
      <c r="J671" s="8" t="s">
        <v>274</v>
      </c>
      <c r="K671" s="8" t="str">
        <f>CONCATENATE(TableAopCalendar[[#This Row],[Month for Plan]]," ",TableAopCalendar[[#This Row],[Plan]])</f>
        <v>JANUARY 24 PLANNED</v>
      </c>
    </row>
    <row r="672" spans="1:11" x14ac:dyDescent="0.25">
      <c r="A672" s="5">
        <f t="shared" si="30"/>
        <v>3</v>
      </c>
      <c r="B672" s="6">
        <v>45322</v>
      </c>
      <c r="C672" s="7" t="s">
        <v>271</v>
      </c>
      <c r="D672" s="7">
        <v>24</v>
      </c>
      <c r="E672" s="5">
        <f>DAY(TableAopCalendar[[#This Row],[Date]])</f>
        <v>31</v>
      </c>
      <c r="F672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672" s="5" t="str">
        <f t="shared" si="31"/>
        <v>Week 5</v>
      </c>
      <c r="H672" s="8" t="str">
        <f t="shared" si="32"/>
        <v>January 24 Week 5</v>
      </c>
      <c r="I672" s="5" t="str">
        <f>CONCATENATE(UPPER(TableAopCalendar[[#This Row],[Month]])," ",TableAopCalendar[[#This Row],[Year]])</f>
        <v>JANUARY 24</v>
      </c>
      <c r="J672" s="8" t="s">
        <v>274</v>
      </c>
      <c r="K672" s="8" t="str">
        <f>CONCATENATE(TableAopCalendar[[#This Row],[Month for Plan]]," ",TableAopCalendar[[#This Row],[Plan]])</f>
        <v>JANUARY 24 PLANNED</v>
      </c>
    </row>
    <row r="673" spans="1:11" x14ac:dyDescent="0.25">
      <c r="A673" s="5">
        <f t="shared" si="30"/>
        <v>1</v>
      </c>
      <c r="B673" s="6">
        <v>45323</v>
      </c>
      <c r="C673" s="7" t="s">
        <v>272</v>
      </c>
      <c r="D673" s="7">
        <v>24</v>
      </c>
      <c r="E673" s="5">
        <f>DAY(TableAopCalendar[[#This Row],[Date]])</f>
        <v>1</v>
      </c>
      <c r="F67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3" s="5" t="str">
        <f t="shared" si="31"/>
        <v>Week 1</v>
      </c>
      <c r="H673" s="8" t="str">
        <f t="shared" si="32"/>
        <v>February 24 Week 1</v>
      </c>
      <c r="I673" s="5" t="str">
        <f>CONCATENATE(UPPER(TableAopCalendar[[#This Row],[Month]])," ",TableAopCalendar[[#This Row],[Year]])</f>
        <v>FEBRUARY 24</v>
      </c>
      <c r="J673" s="8" t="s">
        <v>274</v>
      </c>
      <c r="K673" s="8" t="str">
        <f>CONCATENATE(TableAopCalendar[[#This Row],[Month for Plan]]," ",TableAopCalendar[[#This Row],[Plan]])</f>
        <v>FEBRUARY 24 PLANNED</v>
      </c>
    </row>
    <row r="674" spans="1:11" x14ac:dyDescent="0.25">
      <c r="A674" s="5">
        <f t="shared" si="30"/>
        <v>2</v>
      </c>
      <c r="B674" s="6">
        <v>45324</v>
      </c>
      <c r="C674" s="7" t="s">
        <v>272</v>
      </c>
      <c r="D674" s="7">
        <v>24</v>
      </c>
      <c r="E674" s="5">
        <f>DAY(TableAopCalendar[[#This Row],[Date]])</f>
        <v>2</v>
      </c>
      <c r="F67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4" s="5" t="str">
        <f t="shared" si="31"/>
        <v>Week 1</v>
      </c>
      <c r="H674" s="8" t="str">
        <f t="shared" si="32"/>
        <v>February 24 Week 1</v>
      </c>
      <c r="I674" s="5" t="str">
        <f>CONCATENATE(UPPER(TableAopCalendar[[#This Row],[Month]])," ",TableAopCalendar[[#This Row],[Year]])</f>
        <v>FEBRUARY 24</v>
      </c>
      <c r="J674" s="8" t="s">
        <v>274</v>
      </c>
      <c r="K674" s="8" t="str">
        <f>CONCATENATE(TableAopCalendar[[#This Row],[Month for Plan]]," ",TableAopCalendar[[#This Row],[Plan]])</f>
        <v>FEBRUARY 24 PLANNED</v>
      </c>
    </row>
    <row r="675" spans="1:11" x14ac:dyDescent="0.25">
      <c r="A675" s="5">
        <f t="shared" si="30"/>
        <v>3</v>
      </c>
      <c r="B675" s="6">
        <v>45325</v>
      </c>
      <c r="C675" s="7" t="s">
        <v>272</v>
      </c>
      <c r="D675" s="7">
        <v>24</v>
      </c>
      <c r="E675" s="5">
        <f>DAY(TableAopCalendar[[#This Row],[Date]])</f>
        <v>3</v>
      </c>
      <c r="F675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5" s="5" t="str">
        <f t="shared" si="31"/>
        <v>Week 1</v>
      </c>
      <c r="H675" s="8" t="str">
        <f t="shared" si="32"/>
        <v>February 24 Week 1</v>
      </c>
      <c r="I675" s="5" t="str">
        <f>CONCATENATE(UPPER(TableAopCalendar[[#This Row],[Month]])," ",TableAopCalendar[[#This Row],[Year]])</f>
        <v>FEBRUARY 24</v>
      </c>
      <c r="J675" s="8" t="s">
        <v>274</v>
      </c>
      <c r="K675" s="8" t="str">
        <f>CONCATENATE(TableAopCalendar[[#This Row],[Month for Plan]]," ",TableAopCalendar[[#This Row],[Plan]])</f>
        <v>FEBRUARY 24 PLANNED</v>
      </c>
    </row>
    <row r="676" spans="1:11" x14ac:dyDescent="0.25">
      <c r="A676" s="5">
        <f t="shared" si="30"/>
        <v>4</v>
      </c>
      <c r="B676" s="6">
        <v>45326</v>
      </c>
      <c r="C676" s="7" t="s">
        <v>272</v>
      </c>
      <c r="D676" s="7">
        <v>24</v>
      </c>
      <c r="E676" s="5">
        <f>DAY(TableAopCalendar[[#This Row],[Date]])</f>
        <v>4</v>
      </c>
      <c r="F67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6" s="5" t="str">
        <f t="shared" si="31"/>
        <v>Week 1</v>
      </c>
      <c r="H676" s="8" t="str">
        <f t="shared" si="32"/>
        <v>February 24 Week 1</v>
      </c>
      <c r="I676" s="5" t="str">
        <f>CONCATENATE(UPPER(TableAopCalendar[[#This Row],[Month]])," ",TableAopCalendar[[#This Row],[Year]])</f>
        <v>FEBRUARY 24</v>
      </c>
      <c r="J676" s="8" t="s">
        <v>274</v>
      </c>
      <c r="K676" s="8" t="str">
        <f>CONCATENATE(TableAopCalendar[[#This Row],[Month for Plan]]," ",TableAopCalendar[[#This Row],[Plan]])</f>
        <v>FEBRUARY 24 PLANNED</v>
      </c>
    </row>
    <row r="677" spans="1:11" x14ac:dyDescent="0.25">
      <c r="A677" s="5">
        <f t="shared" si="30"/>
        <v>5</v>
      </c>
      <c r="B677" s="6">
        <v>45327</v>
      </c>
      <c r="C677" s="7" t="s">
        <v>272</v>
      </c>
      <c r="D677" s="7">
        <v>24</v>
      </c>
      <c r="E677" s="5">
        <f>DAY(TableAopCalendar[[#This Row],[Date]])</f>
        <v>5</v>
      </c>
      <c r="F67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7" s="5" t="str">
        <f t="shared" si="31"/>
        <v>Week 1</v>
      </c>
      <c r="H677" s="8" t="str">
        <f t="shared" si="32"/>
        <v>February 24 Week 1</v>
      </c>
      <c r="I677" s="5" t="str">
        <f>CONCATENATE(UPPER(TableAopCalendar[[#This Row],[Month]])," ",TableAopCalendar[[#This Row],[Year]])</f>
        <v>FEBRUARY 24</v>
      </c>
      <c r="J677" s="8" t="s">
        <v>274</v>
      </c>
      <c r="K677" s="8" t="str">
        <f>CONCATENATE(TableAopCalendar[[#This Row],[Month for Plan]]," ",TableAopCalendar[[#This Row],[Plan]])</f>
        <v>FEBRUARY 24 PLANNED</v>
      </c>
    </row>
    <row r="678" spans="1:11" x14ac:dyDescent="0.25">
      <c r="A678" s="5">
        <f t="shared" si="30"/>
        <v>6</v>
      </c>
      <c r="B678" s="6">
        <v>45328</v>
      </c>
      <c r="C678" s="7" t="s">
        <v>272</v>
      </c>
      <c r="D678" s="7">
        <v>24</v>
      </c>
      <c r="E678" s="5">
        <f>DAY(TableAopCalendar[[#This Row],[Date]])</f>
        <v>6</v>
      </c>
      <c r="F67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8" s="5" t="str">
        <f t="shared" si="31"/>
        <v>Week 1</v>
      </c>
      <c r="H678" s="8" t="str">
        <f t="shared" si="32"/>
        <v>February 24 Week 1</v>
      </c>
      <c r="I678" s="5" t="str">
        <f>CONCATENATE(UPPER(TableAopCalendar[[#This Row],[Month]])," ",TableAopCalendar[[#This Row],[Year]])</f>
        <v>FEBRUARY 24</v>
      </c>
      <c r="J678" s="8" t="s">
        <v>274</v>
      </c>
      <c r="K678" s="8" t="str">
        <f>CONCATENATE(TableAopCalendar[[#This Row],[Month for Plan]]," ",TableAopCalendar[[#This Row],[Plan]])</f>
        <v>FEBRUARY 24 PLANNED</v>
      </c>
    </row>
    <row r="679" spans="1:11" x14ac:dyDescent="0.25">
      <c r="A679" s="5">
        <f t="shared" si="30"/>
        <v>7</v>
      </c>
      <c r="B679" s="6">
        <v>45329</v>
      </c>
      <c r="C679" s="7" t="s">
        <v>272</v>
      </c>
      <c r="D679" s="7">
        <v>24</v>
      </c>
      <c r="E679" s="5">
        <f>DAY(TableAopCalendar[[#This Row],[Date]])</f>
        <v>7</v>
      </c>
      <c r="F679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679" s="5" t="str">
        <f t="shared" si="31"/>
        <v>Week 1</v>
      </c>
      <c r="H679" s="8" t="str">
        <f t="shared" si="32"/>
        <v>February 24 Week 1</v>
      </c>
      <c r="I679" s="5" t="str">
        <f>CONCATENATE(UPPER(TableAopCalendar[[#This Row],[Month]])," ",TableAopCalendar[[#This Row],[Year]])</f>
        <v>FEBRUARY 24</v>
      </c>
      <c r="J679" s="8" t="s">
        <v>274</v>
      </c>
      <c r="K679" s="8" t="str">
        <f>CONCATENATE(TableAopCalendar[[#This Row],[Month for Plan]]," ",TableAopCalendar[[#This Row],[Plan]])</f>
        <v>FEBRUARY 24 PLANNED</v>
      </c>
    </row>
    <row r="680" spans="1:11" x14ac:dyDescent="0.25">
      <c r="A680" s="5">
        <f t="shared" si="30"/>
        <v>1</v>
      </c>
      <c r="B680" s="6">
        <v>45330</v>
      </c>
      <c r="C680" s="7" t="s">
        <v>272</v>
      </c>
      <c r="D680" s="7">
        <v>24</v>
      </c>
      <c r="E680" s="5">
        <f>DAY(TableAopCalendar[[#This Row],[Date]])</f>
        <v>8</v>
      </c>
      <c r="F68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80" s="5" t="str">
        <f t="shared" si="31"/>
        <v>Week 2</v>
      </c>
      <c r="H680" s="8" t="str">
        <f t="shared" si="32"/>
        <v>February 24 Week 2</v>
      </c>
      <c r="I680" s="5" t="str">
        <f>CONCATENATE(UPPER(TableAopCalendar[[#This Row],[Month]])," ",TableAopCalendar[[#This Row],[Year]])</f>
        <v>FEBRUARY 24</v>
      </c>
      <c r="J680" s="8" t="s">
        <v>274</v>
      </c>
      <c r="K680" s="8" t="str">
        <f>CONCATENATE(TableAopCalendar[[#This Row],[Month for Plan]]," ",TableAopCalendar[[#This Row],[Plan]])</f>
        <v>FEBRUARY 24 PLANNED</v>
      </c>
    </row>
    <row r="681" spans="1:11" x14ac:dyDescent="0.25">
      <c r="A681" s="5">
        <f t="shared" si="30"/>
        <v>2</v>
      </c>
      <c r="B681" s="6">
        <v>45331</v>
      </c>
      <c r="C681" s="7" t="s">
        <v>272</v>
      </c>
      <c r="D681" s="7">
        <v>24</v>
      </c>
      <c r="E681" s="5">
        <f>DAY(TableAopCalendar[[#This Row],[Date]])</f>
        <v>9</v>
      </c>
      <c r="F68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81" s="5" t="str">
        <f t="shared" si="31"/>
        <v>Week 2</v>
      </c>
      <c r="H681" s="8" t="str">
        <f t="shared" si="32"/>
        <v>February 24 Week 2</v>
      </c>
      <c r="I681" s="5" t="str">
        <f>CONCATENATE(UPPER(TableAopCalendar[[#This Row],[Month]])," ",TableAopCalendar[[#This Row],[Year]])</f>
        <v>FEBRUARY 24</v>
      </c>
      <c r="J681" s="8" t="s">
        <v>274</v>
      </c>
      <c r="K681" s="8" t="str">
        <f>CONCATENATE(TableAopCalendar[[#This Row],[Month for Plan]]," ",TableAopCalendar[[#This Row],[Plan]])</f>
        <v>FEBRUARY 24 PLANNED</v>
      </c>
    </row>
    <row r="682" spans="1:11" x14ac:dyDescent="0.25">
      <c r="A682" s="5">
        <f t="shared" si="30"/>
        <v>3</v>
      </c>
      <c r="B682" s="6">
        <v>45332</v>
      </c>
      <c r="C682" s="7" t="s">
        <v>272</v>
      </c>
      <c r="D682" s="7">
        <v>24</v>
      </c>
      <c r="E682" s="5">
        <f>DAY(TableAopCalendar[[#This Row],[Date]])</f>
        <v>10</v>
      </c>
      <c r="F682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82" s="5" t="str">
        <f t="shared" si="31"/>
        <v>Week 2</v>
      </c>
      <c r="H682" s="8" t="str">
        <f t="shared" si="32"/>
        <v>February 24 Week 2</v>
      </c>
      <c r="I682" s="5" t="str">
        <f>CONCATENATE(UPPER(TableAopCalendar[[#This Row],[Month]])," ",TableAopCalendar[[#This Row],[Year]])</f>
        <v>FEBRUARY 24</v>
      </c>
      <c r="J682" s="8" t="s">
        <v>274</v>
      </c>
      <c r="K682" s="8" t="str">
        <f>CONCATENATE(TableAopCalendar[[#This Row],[Month for Plan]]," ",TableAopCalendar[[#This Row],[Plan]])</f>
        <v>FEBRUARY 24 PLANNED</v>
      </c>
    </row>
    <row r="683" spans="1:11" x14ac:dyDescent="0.25">
      <c r="A683" s="5">
        <f t="shared" si="30"/>
        <v>4</v>
      </c>
      <c r="B683" s="6">
        <v>45333</v>
      </c>
      <c r="C683" s="7" t="s">
        <v>272</v>
      </c>
      <c r="D683" s="7">
        <v>24</v>
      </c>
      <c r="E683" s="5">
        <f>DAY(TableAopCalendar[[#This Row],[Date]])</f>
        <v>11</v>
      </c>
      <c r="F68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83" s="5" t="str">
        <f t="shared" si="31"/>
        <v>Week 2</v>
      </c>
      <c r="H683" s="8" t="str">
        <f t="shared" si="32"/>
        <v>February 24 Week 2</v>
      </c>
      <c r="I683" s="5" t="str">
        <f>CONCATENATE(UPPER(TableAopCalendar[[#This Row],[Month]])," ",TableAopCalendar[[#This Row],[Year]])</f>
        <v>FEBRUARY 24</v>
      </c>
      <c r="J683" s="8" t="s">
        <v>274</v>
      </c>
      <c r="K683" s="8" t="str">
        <f>CONCATENATE(TableAopCalendar[[#This Row],[Month for Plan]]," ",TableAopCalendar[[#This Row],[Plan]])</f>
        <v>FEBRUARY 24 PLANNED</v>
      </c>
    </row>
    <row r="684" spans="1:11" x14ac:dyDescent="0.25">
      <c r="A684" s="5">
        <f t="shared" si="30"/>
        <v>5</v>
      </c>
      <c r="B684" s="6">
        <v>45334</v>
      </c>
      <c r="C684" s="7" t="s">
        <v>272</v>
      </c>
      <c r="D684" s="7">
        <v>24</v>
      </c>
      <c r="E684" s="5">
        <f>DAY(TableAopCalendar[[#This Row],[Date]])</f>
        <v>12</v>
      </c>
      <c r="F68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84" s="5" t="str">
        <f t="shared" si="31"/>
        <v>Week 2</v>
      </c>
      <c r="H684" s="8" t="str">
        <f t="shared" si="32"/>
        <v>February 24 Week 2</v>
      </c>
      <c r="I684" s="5" t="str">
        <f>CONCATENATE(UPPER(TableAopCalendar[[#This Row],[Month]])," ",TableAopCalendar[[#This Row],[Year]])</f>
        <v>FEBRUARY 24</v>
      </c>
      <c r="J684" s="8" t="s">
        <v>274</v>
      </c>
      <c r="K684" s="8" t="str">
        <f>CONCATENATE(TableAopCalendar[[#This Row],[Month for Plan]]," ",TableAopCalendar[[#This Row],[Plan]])</f>
        <v>FEBRUARY 24 PLANNED</v>
      </c>
    </row>
    <row r="685" spans="1:11" x14ac:dyDescent="0.25">
      <c r="A685" s="5">
        <f t="shared" si="30"/>
        <v>6</v>
      </c>
      <c r="B685" s="6">
        <v>45335</v>
      </c>
      <c r="C685" s="7" t="s">
        <v>272</v>
      </c>
      <c r="D685" s="7">
        <v>24</v>
      </c>
      <c r="E685" s="5">
        <f>DAY(TableAopCalendar[[#This Row],[Date]])</f>
        <v>13</v>
      </c>
      <c r="F68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85" s="5" t="str">
        <f t="shared" si="31"/>
        <v>Week 2</v>
      </c>
      <c r="H685" s="8" t="str">
        <f t="shared" si="32"/>
        <v>February 24 Week 2</v>
      </c>
      <c r="I685" s="5" t="str">
        <f>CONCATENATE(UPPER(TableAopCalendar[[#This Row],[Month]])," ",TableAopCalendar[[#This Row],[Year]])</f>
        <v>FEBRUARY 24</v>
      </c>
      <c r="J685" s="8" t="s">
        <v>274</v>
      </c>
      <c r="K685" s="8" t="str">
        <f>CONCATENATE(TableAopCalendar[[#This Row],[Month for Plan]]," ",TableAopCalendar[[#This Row],[Plan]])</f>
        <v>FEBRUARY 24 PLANNED</v>
      </c>
    </row>
    <row r="686" spans="1:11" x14ac:dyDescent="0.25">
      <c r="A686" s="5">
        <f t="shared" si="30"/>
        <v>7</v>
      </c>
      <c r="B686" s="6">
        <v>45336</v>
      </c>
      <c r="C686" s="7" t="s">
        <v>272</v>
      </c>
      <c r="D686" s="7">
        <v>24</v>
      </c>
      <c r="E686" s="5">
        <f>DAY(TableAopCalendar[[#This Row],[Date]])</f>
        <v>14</v>
      </c>
      <c r="F686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686" s="5" t="str">
        <f t="shared" si="31"/>
        <v>Week 2</v>
      </c>
      <c r="H686" s="8" t="str">
        <f t="shared" si="32"/>
        <v>February 24 Week 2</v>
      </c>
      <c r="I686" s="5" t="str">
        <f>CONCATENATE(UPPER(TableAopCalendar[[#This Row],[Month]])," ",TableAopCalendar[[#This Row],[Year]])</f>
        <v>FEBRUARY 24</v>
      </c>
      <c r="J686" s="8" t="s">
        <v>274</v>
      </c>
      <c r="K686" s="8" t="str">
        <f>CONCATENATE(TableAopCalendar[[#This Row],[Month for Plan]]," ",TableAopCalendar[[#This Row],[Plan]])</f>
        <v>FEBRUARY 24 PLANNED</v>
      </c>
    </row>
    <row r="687" spans="1:11" x14ac:dyDescent="0.25">
      <c r="A687" s="5">
        <f t="shared" si="30"/>
        <v>1</v>
      </c>
      <c r="B687" s="6">
        <v>45337</v>
      </c>
      <c r="C687" s="7" t="s">
        <v>272</v>
      </c>
      <c r="D687" s="7">
        <v>24</v>
      </c>
      <c r="E687" s="5">
        <f>DAY(TableAopCalendar[[#This Row],[Date]])</f>
        <v>15</v>
      </c>
      <c r="F68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87" s="5" t="str">
        <f t="shared" si="31"/>
        <v>Week 3</v>
      </c>
      <c r="H687" s="8" t="str">
        <f t="shared" si="32"/>
        <v>February 24 Week 3</v>
      </c>
      <c r="I687" s="5" t="str">
        <f>CONCATENATE(UPPER(TableAopCalendar[[#This Row],[Month]])," ",TableAopCalendar[[#This Row],[Year]])</f>
        <v>FEBRUARY 24</v>
      </c>
      <c r="J687" s="8" t="s">
        <v>274</v>
      </c>
      <c r="K687" s="8" t="str">
        <f>CONCATENATE(TableAopCalendar[[#This Row],[Month for Plan]]," ",TableAopCalendar[[#This Row],[Plan]])</f>
        <v>FEBRUARY 24 PLANNED</v>
      </c>
    </row>
    <row r="688" spans="1:11" x14ac:dyDescent="0.25">
      <c r="A688" s="5">
        <f t="shared" si="30"/>
        <v>2</v>
      </c>
      <c r="B688" s="6">
        <v>45338</v>
      </c>
      <c r="C688" s="7" t="s">
        <v>272</v>
      </c>
      <c r="D688" s="7">
        <v>24</v>
      </c>
      <c r="E688" s="5">
        <f>DAY(TableAopCalendar[[#This Row],[Date]])</f>
        <v>16</v>
      </c>
      <c r="F68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88" s="5" t="str">
        <f t="shared" si="31"/>
        <v>Week 3</v>
      </c>
      <c r="H688" s="8" t="str">
        <f t="shared" si="32"/>
        <v>February 24 Week 3</v>
      </c>
      <c r="I688" s="5" t="str">
        <f>CONCATENATE(UPPER(TableAopCalendar[[#This Row],[Month]])," ",TableAopCalendar[[#This Row],[Year]])</f>
        <v>FEBRUARY 24</v>
      </c>
      <c r="J688" s="8" t="s">
        <v>274</v>
      </c>
      <c r="K688" s="8" t="str">
        <f>CONCATENATE(TableAopCalendar[[#This Row],[Month for Plan]]," ",TableAopCalendar[[#This Row],[Plan]])</f>
        <v>FEBRUARY 24 PLANNED</v>
      </c>
    </row>
    <row r="689" spans="1:11" x14ac:dyDescent="0.25">
      <c r="A689" s="5">
        <f t="shared" si="30"/>
        <v>3</v>
      </c>
      <c r="B689" s="6">
        <v>45339</v>
      </c>
      <c r="C689" s="7" t="s">
        <v>272</v>
      </c>
      <c r="D689" s="7">
        <v>24</v>
      </c>
      <c r="E689" s="5">
        <f>DAY(TableAopCalendar[[#This Row],[Date]])</f>
        <v>17</v>
      </c>
      <c r="F689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89" s="5" t="str">
        <f t="shared" si="31"/>
        <v>Week 3</v>
      </c>
      <c r="H689" s="8" t="str">
        <f t="shared" si="32"/>
        <v>February 24 Week 3</v>
      </c>
      <c r="I689" s="5" t="str">
        <f>CONCATENATE(UPPER(TableAopCalendar[[#This Row],[Month]])," ",TableAopCalendar[[#This Row],[Year]])</f>
        <v>FEBRUARY 24</v>
      </c>
      <c r="J689" s="8" t="s">
        <v>274</v>
      </c>
      <c r="K689" s="8" t="str">
        <f>CONCATENATE(TableAopCalendar[[#This Row],[Month for Plan]]," ",TableAopCalendar[[#This Row],[Plan]])</f>
        <v>FEBRUARY 24 PLANNED</v>
      </c>
    </row>
    <row r="690" spans="1:11" x14ac:dyDescent="0.25">
      <c r="A690" s="5">
        <f t="shared" si="30"/>
        <v>4</v>
      </c>
      <c r="B690" s="6">
        <v>45340</v>
      </c>
      <c r="C690" s="7" t="s">
        <v>272</v>
      </c>
      <c r="D690" s="7">
        <v>24</v>
      </c>
      <c r="E690" s="5">
        <f>DAY(TableAopCalendar[[#This Row],[Date]])</f>
        <v>18</v>
      </c>
      <c r="F69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90" s="5" t="str">
        <f t="shared" si="31"/>
        <v>Week 3</v>
      </c>
      <c r="H690" s="8" t="str">
        <f t="shared" si="32"/>
        <v>February 24 Week 3</v>
      </c>
      <c r="I690" s="5" t="str">
        <f>CONCATENATE(UPPER(TableAopCalendar[[#This Row],[Month]])," ",TableAopCalendar[[#This Row],[Year]])</f>
        <v>FEBRUARY 24</v>
      </c>
      <c r="J690" s="8" t="s">
        <v>274</v>
      </c>
      <c r="K690" s="8" t="str">
        <f>CONCATENATE(TableAopCalendar[[#This Row],[Month for Plan]]," ",TableAopCalendar[[#This Row],[Plan]])</f>
        <v>FEBRUARY 24 PLANNED</v>
      </c>
    </row>
    <row r="691" spans="1:11" x14ac:dyDescent="0.25">
      <c r="A691" s="5">
        <f t="shared" si="30"/>
        <v>5</v>
      </c>
      <c r="B691" s="6">
        <v>45341</v>
      </c>
      <c r="C691" s="7" t="s">
        <v>272</v>
      </c>
      <c r="D691" s="7">
        <v>24</v>
      </c>
      <c r="E691" s="5">
        <f>DAY(TableAopCalendar[[#This Row],[Date]])</f>
        <v>19</v>
      </c>
      <c r="F69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91" s="5" t="str">
        <f t="shared" si="31"/>
        <v>Week 3</v>
      </c>
      <c r="H691" s="8" t="str">
        <f t="shared" si="32"/>
        <v>February 24 Week 3</v>
      </c>
      <c r="I691" s="5" t="str">
        <f>CONCATENATE(UPPER(TableAopCalendar[[#This Row],[Month]])," ",TableAopCalendar[[#This Row],[Year]])</f>
        <v>FEBRUARY 24</v>
      </c>
      <c r="J691" s="8" t="s">
        <v>274</v>
      </c>
      <c r="K691" s="8" t="str">
        <f>CONCATENATE(TableAopCalendar[[#This Row],[Month for Plan]]," ",TableAopCalendar[[#This Row],[Plan]])</f>
        <v>FEBRUARY 24 PLANNED</v>
      </c>
    </row>
    <row r="692" spans="1:11" x14ac:dyDescent="0.25">
      <c r="A692" s="5">
        <f t="shared" si="30"/>
        <v>6</v>
      </c>
      <c r="B692" s="6">
        <v>45342</v>
      </c>
      <c r="C692" s="7" t="s">
        <v>272</v>
      </c>
      <c r="D692" s="7">
        <v>24</v>
      </c>
      <c r="E692" s="5">
        <f>DAY(TableAopCalendar[[#This Row],[Date]])</f>
        <v>20</v>
      </c>
      <c r="F69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92" s="5" t="str">
        <f t="shared" si="31"/>
        <v>Week 3</v>
      </c>
      <c r="H692" s="8" t="str">
        <f t="shared" si="32"/>
        <v>February 24 Week 3</v>
      </c>
      <c r="I692" s="5" t="str">
        <f>CONCATENATE(UPPER(TableAopCalendar[[#This Row],[Month]])," ",TableAopCalendar[[#This Row],[Year]])</f>
        <v>FEBRUARY 24</v>
      </c>
      <c r="J692" s="8" t="s">
        <v>274</v>
      </c>
      <c r="K692" s="8" t="str">
        <f>CONCATENATE(TableAopCalendar[[#This Row],[Month for Plan]]," ",TableAopCalendar[[#This Row],[Plan]])</f>
        <v>FEBRUARY 24 PLANNED</v>
      </c>
    </row>
    <row r="693" spans="1:11" x14ac:dyDescent="0.25">
      <c r="A693" s="5">
        <f t="shared" si="30"/>
        <v>7</v>
      </c>
      <c r="B693" s="6">
        <v>45343</v>
      </c>
      <c r="C693" s="7" t="s">
        <v>272</v>
      </c>
      <c r="D693" s="7">
        <v>24</v>
      </c>
      <c r="E693" s="5">
        <f>DAY(TableAopCalendar[[#This Row],[Date]])</f>
        <v>21</v>
      </c>
      <c r="F693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693" s="5" t="str">
        <f t="shared" si="31"/>
        <v>Week 3</v>
      </c>
      <c r="H693" s="8" t="str">
        <f t="shared" si="32"/>
        <v>February 24 Week 3</v>
      </c>
      <c r="I693" s="5" t="str">
        <f>CONCATENATE(UPPER(TableAopCalendar[[#This Row],[Month]])," ",TableAopCalendar[[#This Row],[Year]])</f>
        <v>FEBRUARY 24</v>
      </c>
      <c r="J693" s="8" t="s">
        <v>274</v>
      </c>
      <c r="K693" s="8" t="str">
        <f>CONCATENATE(TableAopCalendar[[#This Row],[Month for Plan]]," ",TableAopCalendar[[#This Row],[Plan]])</f>
        <v>FEBRUARY 24 PLANNED</v>
      </c>
    </row>
    <row r="694" spans="1:11" x14ac:dyDescent="0.25">
      <c r="A694" s="5">
        <f t="shared" si="30"/>
        <v>1</v>
      </c>
      <c r="B694" s="6">
        <v>45344</v>
      </c>
      <c r="C694" s="7" t="s">
        <v>272</v>
      </c>
      <c r="D694" s="7">
        <v>24</v>
      </c>
      <c r="E694" s="5">
        <f>DAY(TableAopCalendar[[#This Row],[Date]])</f>
        <v>22</v>
      </c>
      <c r="F69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94" s="5" t="str">
        <f t="shared" si="31"/>
        <v>Week 4</v>
      </c>
      <c r="H694" s="8" t="str">
        <f t="shared" si="32"/>
        <v>February 24 Week 4</v>
      </c>
      <c r="I694" s="5" t="str">
        <f>CONCATENATE(UPPER(TableAopCalendar[[#This Row],[Month]])," ",TableAopCalendar[[#This Row],[Year]])</f>
        <v>FEBRUARY 24</v>
      </c>
      <c r="J694" s="8" t="s">
        <v>274</v>
      </c>
      <c r="K694" s="8" t="str">
        <f>CONCATENATE(TableAopCalendar[[#This Row],[Month for Plan]]," ",TableAopCalendar[[#This Row],[Plan]])</f>
        <v>FEBRUARY 24 PLANNED</v>
      </c>
    </row>
    <row r="695" spans="1:11" x14ac:dyDescent="0.25">
      <c r="A695" s="5">
        <f t="shared" si="30"/>
        <v>2</v>
      </c>
      <c r="B695" s="6">
        <v>45345</v>
      </c>
      <c r="C695" s="7" t="s">
        <v>272</v>
      </c>
      <c r="D695" s="7">
        <v>24</v>
      </c>
      <c r="E695" s="5">
        <f>DAY(TableAopCalendar[[#This Row],[Date]])</f>
        <v>23</v>
      </c>
      <c r="F69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95" s="5" t="str">
        <f t="shared" si="31"/>
        <v>Week 4</v>
      </c>
      <c r="H695" s="8" t="str">
        <f t="shared" si="32"/>
        <v>February 24 Week 4</v>
      </c>
      <c r="I695" s="5" t="str">
        <f>CONCATENATE(UPPER(TableAopCalendar[[#This Row],[Month]])," ",TableAopCalendar[[#This Row],[Year]])</f>
        <v>FEBRUARY 24</v>
      </c>
      <c r="J695" s="8" t="s">
        <v>274</v>
      </c>
      <c r="K695" s="8" t="str">
        <f>CONCATENATE(TableAopCalendar[[#This Row],[Month for Plan]]," ",TableAopCalendar[[#This Row],[Plan]])</f>
        <v>FEBRUARY 24 PLANNED</v>
      </c>
    </row>
    <row r="696" spans="1:11" x14ac:dyDescent="0.25">
      <c r="A696" s="5">
        <f t="shared" si="30"/>
        <v>3</v>
      </c>
      <c r="B696" s="6">
        <v>45346</v>
      </c>
      <c r="C696" s="7" t="s">
        <v>272</v>
      </c>
      <c r="D696" s="7">
        <v>24</v>
      </c>
      <c r="E696" s="5">
        <f>DAY(TableAopCalendar[[#This Row],[Date]])</f>
        <v>24</v>
      </c>
      <c r="F696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96" s="5" t="str">
        <f t="shared" si="31"/>
        <v>Week 4</v>
      </c>
      <c r="H696" s="8" t="str">
        <f t="shared" si="32"/>
        <v>February 24 Week 4</v>
      </c>
      <c r="I696" s="5" t="str">
        <f>CONCATENATE(UPPER(TableAopCalendar[[#This Row],[Month]])," ",TableAopCalendar[[#This Row],[Year]])</f>
        <v>FEBRUARY 24</v>
      </c>
      <c r="J696" s="8" t="s">
        <v>274</v>
      </c>
      <c r="K696" s="8" t="str">
        <f>CONCATENATE(TableAopCalendar[[#This Row],[Month for Plan]]," ",TableAopCalendar[[#This Row],[Plan]])</f>
        <v>FEBRUARY 24 PLANNED</v>
      </c>
    </row>
    <row r="697" spans="1:11" x14ac:dyDescent="0.25">
      <c r="A697" s="5">
        <f t="shared" si="30"/>
        <v>4</v>
      </c>
      <c r="B697" s="6">
        <v>45347</v>
      </c>
      <c r="C697" s="7" t="s">
        <v>272</v>
      </c>
      <c r="D697" s="7">
        <v>24</v>
      </c>
      <c r="E697" s="5">
        <f>DAY(TableAopCalendar[[#This Row],[Date]])</f>
        <v>25</v>
      </c>
      <c r="F69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97" s="5" t="str">
        <f t="shared" si="31"/>
        <v>Week 4</v>
      </c>
      <c r="H697" s="8" t="str">
        <f t="shared" si="32"/>
        <v>February 24 Week 4</v>
      </c>
      <c r="I697" s="5" t="str">
        <f>CONCATENATE(UPPER(TableAopCalendar[[#This Row],[Month]])," ",TableAopCalendar[[#This Row],[Year]])</f>
        <v>FEBRUARY 24</v>
      </c>
      <c r="J697" s="8" t="s">
        <v>274</v>
      </c>
      <c r="K697" s="8" t="str">
        <f>CONCATENATE(TableAopCalendar[[#This Row],[Month for Plan]]," ",TableAopCalendar[[#This Row],[Plan]])</f>
        <v>FEBRUARY 24 PLANNED</v>
      </c>
    </row>
    <row r="698" spans="1:11" x14ac:dyDescent="0.25">
      <c r="A698" s="5">
        <f t="shared" si="30"/>
        <v>5</v>
      </c>
      <c r="B698" s="6">
        <v>45348</v>
      </c>
      <c r="C698" s="7" t="s">
        <v>272</v>
      </c>
      <c r="D698" s="7">
        <v>24</v>
      </c>
      <c r="E698" s="5">
        <f>DAY(TableAopCalendar[[#This Row],[Date]])</f>
        <v>26</v>
      </c>
      <c r="F69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98" s="5" t="str">
        <f t="shared" si="31"/>
        <v>Week 4</v>
      </c>
      <c r="H698" s="8" t="str">
        <f t="shared" si="32"/>
        <v>February 24 Week 4</v>
      </c>
      <c r="I698" s="5" t="str">
        <f>CONCATENATE(UPPER(TableAopCalendar[[#This Row],[Month]])," ",TableAopCalendar[[#This Row],[Year]])</f>
        <v>FEBRUARY 24</v>
      </c>
      <c r="J698" s="8" t="s">
        <v>274</v>
      </c>
      <c r="K698" s="8" t="str">
        <f>CONCATENATE(TableAopCalendar[[#This Row],[Month for Plan]]," ",TableAopCalendar[[#This Row],[Plan]])</f>
        <v>FEBRUARY 24 PLANNED</v>
      </c>
    </row>
    <row r="699" spans="1:11" x14ac:dyDescent="0.25">
      <c r="A699" s="5">
        <f t="shared" si="30"/>
        <v>6</v>
      </c>
      <c r="B699" s="6">
        <v>45349</v>
      </c>
      <c r="C699" s="7" t="s">
        <v>272</v>
      </c>
      <c r="D699" s="7">
        <v>24</v>
      </c>
      <c r="E699" s="5">
        <f>DAY(TableAopCalendar[[#This Row],[Date]])</f>
        <v>27</v>
      </c>
      <c r="F69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699" s="5" t="str">
        <f t="shared" si="31"/>
        <v>Week 4</v>
      </c>
      <c r="H699" s="8" t="str">
        <f t="shared" si="32"/>
        <v>February 24 Week 4</v>
      </c>
      <c r="I699" s="5" t="str">
        <f>CONCATENATE(UPPER(TableAopCalendar[[#This Row],[Month]])," ",TableAopCalendar[[#This Row],[Year]])</f>
        <v>FEBRUARY 24</v>
      </c>
      <c r="J699" s="8" t="s">
        <v>274</v>
      </c>
      <c r="K699" s="8" t="str">
        <f>CONCATENATE(TableAopCalendar[[#This Row],[Month for Plan]]," ",TableAopCalendar[[#This Row],[Plan]])</f>
        <v>FEBRUARY 24 PLANNED</v>
      </c>
    </row>
    <row r="700" spans="1:11" x14ac:dyDescent="0.25">
      <c r="A700" s="5">
        <f t="shared" si="30"/>
        <v>7</v>
      </c>
      <c r="B700" s="6">
        <v>45350</v>
      </c>
      <c r="C700" s="7" t="s">
        <v>272</v>
      </c>
      <c r="D700" s="7">
        <v>24</v>
      </c>
      <c r="E700" s="5">
        <f>DAY(TableAopCalendar[[#This Row],[Date]])</f>
        <v>28</v>
      </c>
      <c r="F700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00" s="5" t="str">
        <f t="shared" si="31"/>
        <v>Week 4</v>
      </c>
      <c r="H700" s="8" t="str">
        <f t="shared" si="32"/>
        <v>February 24 Week 4</v>
      </c>
      <c r="I700" s="5" t="str">
        <f>CONCATENATE(UPPER(TableAopCalendar[[#This Row],[Month]])," ",TableAopCalendar[[#This Row],[Year]])</f>
        <v>FEBRUARY 24</v>
      </c>
      <c r="J700" s="8" t="s">
        <v>274</v>
      </c>
      <c r="K700" s="8" t="str">
        <f>CONCATENATE(TableAopCalendar[[#This Row],[Month for Plan]]," ",TableAopCalendar[[#This Row],[Plan]])</f>
        <v>FEBRUARY 24 PLANNED</v>
      </c>
    </row>
    <row r="701" spans="1:11" x14ac:dyDescent="0.25">
      <c r="A701" s="5">
        <f t="shared" si="30"/>
        <v>1</v>
      </c>
      <c r="B701" s="6">
        <v>45351</v>
      </c>
      <c r="C701" s="7" t="s">
        <v>272</v>
      </c>
      <c r="D701" s="7">
        <v>24</v>
      </c>
      <c r="E701" s="5">
        <f>DAY(TableAopCalendar[[#This Row],[Date]])</f>
        <v>29</v>
      </c>
      <c r="F701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01" s="5" t="str">
        <f t="shared" si="31"/>
        <v>Week 5</v>
      </c>
      <c r="H701" s="8" t="str">
        <f t="shared" si="32"/>
        <v>February 24 Week 5</v>
      </c>
      <c r="I701" s="5" t="str">
        <f>CONCATENATE(UPPER(TableAopCalendar[[#This Row],[Month]])," ",TableAopCalendar[[#This Row],[Year]])</f>
        <v>FEBRUARY 24</v>
      </c>
      <c r="J701" s="8" t="s">
        <v>274</v>
      </c>
      <c r="K701" s="8" t="str">
        <f>CONCATENATE(TableAopCalendar[[#This Row],[Month for Plan]]," ",TableAopCalendar[[#This Row],[Plan]])</f>
        <v>FEBRUARY 24 PLANNED</v>
      </c>
    </row>
    <row r="702" spans="1:11" x14ac:dyDescent="0.25">
      <c r="A702" s="5">
        <f t="shared" si="30"/>
        <v>1</v>
      </c>
      <c r="B702" s="6">
        <v>45352</v>
      </c>
      <c r="C702" s="7" t="s">
        <v>273</v>
      </c>
      <c r="D702" s="7">
        <v>24</v>
      </c>
      <c r="E702" s="5">
        <f>DAY(TableAopCalendar[[#This Row],[Date]])</f>
        <v>1</v>
      </c>
      <c r="F702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02" s="5" t="str">
        <f t="shared" si="31"/>
        <v>Week 1</v>
      </c>
      <c r="H702" s="8" t="str">
        <f t="shared" si="32"/>
        <v>March 24 Week 1</v>
      </c>
      <c r="I702" s="5" t="str">
        <f>CONCATENATE(UPPER(TableAopCalendar[[#This Row],[Month]])," ",TableAopCalendar[[#This Row],[Year]])</f>
        <v>MARCH 24</v>
      </c>
      <c r="J702" s="8" t="s">
        <v>274</v>
      </c>
      <c r="K702" s="8" t="str">
        <f>CONCATENATE(TableAopCalendar[[#This Row],[Month for Plan]]," ",TableAopCalendar[[#This Row],[Plan]])</f>
        <v>MARCH 24 PLANNED</v>
      </c>
    </row>
    <row r="703" spans="1:11" x14ac:dyDescent="0.25">
      <c r="A703" s="5">
        <f t="shared" si="30"/>
        <v>2</v>
      </c>
      <c r="B703" s="6">
        <v>45353</v>
      </c>
      <c r="C703" s="7" t="s">
        <v>273</v>
      </c>
      <c r="D703" s="7">
        <v>24</v>
      </c>
      <c r="E703" s="5">
        <f>DAY(TableAopCalendar[[#This Row],[Date]])</f>
        <v>2</v>
      </c>
      <c r="F703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03" s="5" t="str">
        <f t="shared" si="31"/>
        <v>Week 1</v>
      </c>
      <c r="H703" s="8" t="str">
        <f t="shared" si="32"/>
        <v>March 24 Week 1</v>
      </c>
      <c r="I703" s="5" t="str">
        <f>CONCATENATE(UPPER(TableAopCalendar[[#This Row],[Month]])," ",TableAopCalendar[[#This Row],[Year]])</f>
        <v>MARCH 24</v>
      </c>
      <c r="J703" s="8" t="s">
        <v>274</v>
      </c>
      <c r="K703" s="8" t="str">
        <f>CONCATENATE(TableAopCalendar[[#This Row],[Month for Plan]]," ",TableAopCalendar[[#This Row],[Plan]])</f>
        <v>MARCH 24 PLANNED</v>
      </c>
    </row>
    <row r="704" spans="1:11" x14ac:dyDescent="0.25">
      <c r="A704" s="5">
        <f t="shared" si="30"/>
        <v>3</v>
      </c>
      <c r="B704" s="6">
        <v>45354</v>
      </c>
      <c r="C704" s="7" t="s">
        <v>273</v>
      </c>
      <c r="D704" s="7">
        <v>24</v>
      </c>
      <c r="E704" s="5">
        <f>DAY(TableAopCalendar[[#This Row],[Date]])</f>
        <v>3</v>
      </c>
      <c r="F704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04" s="5" t="str">
        <f t="shared" si="31"/>
        <v>Week 1</v>
      </c>
      <c r="H704" s="8" t="str">
        <f t="shared" si="32"/>
        <v>March 24 Week 1</v>
      </c>
      <c r="I704" s="5" t="str">
        <f>CONCATENATE(UPPER(TableAopCalendar[[#This Row],[Month]])," ",TableAopCalendar[[#This Row],[Year]])</f>
        <v>MARCH 24</v>
      </c>
      <c r="J704" s="8" t="s">
        <v>274</v>
      </c>
      <c r="K704" s="8" t="str">
        <f>CONCATENATE(TableAopCalendar[[#This Row],[Month for Plan]]," ",TableAopCalendar[[#This Row],[Plan]])</f>
        <v>MARCH 24 PLANNED</v>
      </c>
    </row>
    <row r="705" spans="1:11" x14ac:dyDescent="0.25">
      <c r="A705" s="5">
        <f t="shared" si="30"/>
        <v>4</v>
      </c>
      <c r="B705" s="6">
        <v>45355</v>
      </c>
      <c r="C705" s="7" t="s">
        <v>273</v>
      </c>
      <c r="D705" s="7">
        <v>24</v>
      </c>
      <c r="E705" s="5">
        <f>DAY(TableAopCalendar[[#This Row],[Date]])</f>
        <v>4</v>
      </c>
      <c r="F705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05" s="5" t="str">
        <f t="shared" si="31"/>
        <v>Week 1</v>
      </c>
      <c r="H705" s="8" t="str">
        <f t="shared" si="32"/>
        <v>March 24 Week 1</v>
      </c>
      <c r="I705" s="5" t="str">
        <f>CONCATENATE(UPPER(TableAopCalendar[[#This Row],[Month]])," ",TableAopCalendar[[#This Row],[Year]])</f>
        <v>MARCH 24</v>
      </c>
      <c r="J705" s="8" t="s">
        <v>274</v>
      </c>
      <c r="K705" s="8" t="str">
        <f>CONCATENATE(TableAopCalendar[[#This Row],[Month for Plan]]," ",TableAopCalendar[[#This Row],[Plan]])</f>
        <v>MARCH 24 PLANNED</v>
      </c>
    </row>
    <row r="706" spans="1:11" x14ac:dyDescent="0.25">
      <c r="A706" s="5">
        <f t="shared" ref="A706:A732" si="33">IF(G706=G705,A705+1,1)</f>
        <v>5</v>
      </c>
      <c r="B706" s="6">
        <v>45356</v>
      </c>
      <c r="C706" s="7" t="s">
        <v>273</v>
      </c>
      <c r="D706" s="7">
        <v>24</v>
      </c>
      <c r="E706" s="5">
        <f>DAY(TableAopCalendar[[#This Row],[Date]])</f>
        <v>5</v>
      </c>
      <c r="F706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06" s="5" t="str">
        <f t="shared" ref="G706:G732" si="34">"Week"&amp;" "&amp;F706</f>
        <v>Week 1</v>
      </c>
      <c r="H706" s="8" t="str">
        <f t="shared" ref="H706:H732" si="35">CONCATENATE(C706," ",D706," ",G706)</f>
        <v>March 24 Week 1</v>
      </c>
      <c r="I706" s="5" t="str">
        <f>CONCATENATE(UPPER(TableAopCalendar[[#This Row],[Month]])," ",TableAopCalendar[[#This Row],[Year]])</f>
        <v>MARCH 24</v>
      </c>
      <c r="J706" s="8" t="s">
        <v>274</v>
      </c>
      <c r="K706" s="8" t="str">
        <f>CONCATENATE(TableAopCalendar[[#This Row],[Month for Plan]]," ",TableAopCalendar[[#This Row],[Plan]])</f>
        <v>MARCH 24 PLANNED</v>
      </c>
    </row>
    <row r="707" spans="1:11" x14ac:dyDescent="0.25">
      <c r="A707" s="5">
        <f t="shared" si="33"/>
        <v>6</v>
      </c>
      <c r="B707" s="6">
        <v>45357</v>
      </c>
      <c r="C707" s="7" t="s">
        <v>273</v>
      </c>
      <c r="D707" s="7">
        <v>24</v>
      </c>
      <c r="E707" s="5">
        <f>DAY(TableAopCalendar[[#This Row],[Date]])</f>
        <v>6</v>
      </c>
      <c r="F707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07" s="5" t="str">
        <f t="shared" si="34"/>
        <v>Week 1</v>
      </c>
      <c r="H707" s="8" t="str">
        <f t="shared" si="35"/>
        <v>March 24 Week 1</v>
      </c>
      <c r="I707" s="5" t="str">
        <f>CONCATENATE(UPPER(TableAopCalendar[[#This Row],[Month]])," ",TableAopCalendar[[#This Row],[Year]])</f>
        <v>MARCH 24</v>
      </c>
      <c r="J707" s="8" t="s">
        <v>274</v>
      </c>
      <c r="K707" s="8" t="str">
        <f>CONCATENATE(TableAopCalendar[[#This Row],[Month for Plan]]," ",TableAopCalendar[[#This Row],[Plan]])</f>
        <v>MARCH 24 PLANNED</v>
      </c>
    </row>
    <row r="708" spans="1:11" x14ac:dyDescent="0.25">
      <c r="A708" s="5">
        <f t="shared" si="33"/>
        <v>7</v>
      </c>
      <c r="B708" s="6">
        <v>45358</v>
      </c>
      <c r="C708" s="7" t="s">
        <v>273</v>
      </c>
      <c r="D708" s="7">
        <v>24</v>
      </c>
      <c r="E708" s="5">
        <f>DAY(TableAopCalendar[[#This Row],[Date]])</f>
        <v>7</v>
      </c>
      <c r="F708" s="5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08" s="5" t="str">
        <f t="shared" si="34"/>
        <v>Week 1</v>
      </c>
      <c r="H708" s="8" t="str">
        <f t="shared" si="35"/>
        <v>March 24 Week 1</v>
      </c>
      <c r="I708" s="5" t="str">
        <f>CONCATENATE(UPPER(TableAopCalendar[[#This Row],[Month]])," ",TableAopCalendar[[#This Row],[Year]])</f>
        <v>MARCH 24</v>
      </c>
      <c r="J708" s="8" t="s">
        <v>274</v>
      </c>
      <c r="K708" s="8" t="str">
        <f>CONCATENATE(TableAopCalendar[[#This Row],[Month for Plan]]," ",TableAopCalendar[[#This Row],[Plan]])</f>
        <v>MARCH 24 PLANNED</v>
      </c>
    </row>
    <row r="709" spans="1:11" x14ac:dyDescent="0.25">
      <c r="A709" s="5">
        <f t="shared" si="33"/>
        <v>1</v>
      </c>
      <c r="B709" s="6">
        <v>45359</v>
      </c>
      <c r="C709" s="7" t="s">
        <v>273</v>
      </c>
      <c r="D709" s="7">
        <v>24</v>
      </c>
      <c r="E709" s="5">
        <f>DAY(TableAopCalendar[[#This Row],[Date]])</f>
        <v>8</v>
      </c>
      <c r="F709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09" s="5" t="str">
        <f t="shared" si="34"/>
        <v>Week 2</v>
      </c>
      <c r="H709" s="8" t="str">
        <f t="shared" si="35"/>
        <v>March 24 Week 2</v>
      </c>
      <c r="I709" s="5" t="str">
        <f>CONCATENATE(UPPER(TableAopCalendar[[#This Row],[Month]])," ",TableAopCalendar[[#This Row],[Year]])</f>
        <v>MARCH 24</v>
      </c>
      <c r="J709" s="8" t="s">
        <v>274</v>
      </c>
      <c r="K709" s="8" t="str">
        <f>CONCATENATE(TableAopCalendar[[#This Row],[Month for Plan]]," ",TableAopCalendar[[#This Row],[Plan]])</f>
        <v>MARCH 24 PLANNED</v>
      </c>
    </row>
    <row r="710" spans="1:11" x14ac:dyDescent="0.25">
      <c r="A710" s="5">
        <f t="shared" si="33"/>
        <v>2</v>
      </c>
      <c r="B710" s="6">
        <v>45360</v>
      </c>
      <c r="C710" s="7" t="s">
        <v>273</v>
      </c>
      <c r="D710" s="7">
        <v>24</v>
      </c>
      <c r="E710" s="5">
        <f>DAY(TableAopCalendar[[#This Row],[Date]])</f>
        <v>9</v>
      </c>
      <c r="F710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10" s="5" t="str">
        <f t="shared" si="34"/>
        <v>Week 2</v>
      </c>
      <c r="H710" s="8" t="str">
        <f t="shared" si="35"/>
        <v>March 24 Week 2</v>
      </c>
      <c r="I710" s="5" t="str">
        <f>CONCATENATE(UPPER(TableAopCalendar[[#This Row],[Month]])," ",TableAopCalendar[[#This Row],[Year]])</f>
        <v>MARCH 24</v>
      </c>
      <c r="J710" s="8" t="s">
        <v>274</v>
      </c>
      <c r="K710" s="8" t="str">
        <f>CONCATENATE(TableAopCalendar[[#This Row],[Month for Plan]]," ",TableAopCalendar[[#This Row],[Plan]])</f>
        <v>MARCH 24 PLANNED</v>
      </c>
    </row>
    <row r="711" spans="1:11" x14ac:dyDescent="0.25">
      <c r="A711" s="5">
        <f t="shared" si="33"/>
        <v>3</v>
      </c>
      <c r="B711" s="6">
        <v>45361</v>
      </c>
      <c r="C711" s="7" t="s">
        <v>273</v>
      </c>
      <c r="D711" s="7">
        <v>24</v>
      </c>
      <c r="E711" s="5">
        <f>DAY(TableAopCalendar[[#This Row],[Date]])</f>
        <v>10</v>
      </c>
      <c r="F711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11" s="5" t="str">
        <f t="shared" si="34"/>
        <v>Week 2</v>
      </c>
      <c r="H711" s="8" t="str">
        <f t="shared" si="35"/>
        <v>March 24 Week 2</v>
      </c>
      <c r="I711" s="5" t="str">
        <f>CONCATENATE(UPPER(TableAopCalendar[[#This Row],[Month]])," ",TableAopCalendar[[#This Row],[Year]])</f>
        <v>MARCH 24</v>
      </c>
      <c r="J711" s="8" t="s">
        <v>274</v>
      </c>
      <c r="K711" s="8" t="str">
        <f>CONCATENATE(TableAopCalendar[[#This Row],[Month for Plan]]," ",TableAopCalendar[[#This Row],[Plan]])</f>
        <v>MARCH 24 PLANNED</v>
      </c>
    </row>
    <row r="712" spans="1:11" x14ac:dyDescent="0.25">
      <c r="A712" s="5">
        <f t="shared" si="33"/>
        <v>4</v>
      </c>
      <c r="B712" s="6">
        <v>45362</v>
      </c>
      <c r="C712" s="7" t="s">
        <v>273</v>
      </c>
      <c r="D712" s="7">
        <v>24</v>
      </c>
      <c r="E712" s="5">
        <f>DAY(TableAopCalendar[[#This Row],[Date]])</f>
        <v>11</v>
      </c>
      <c r="F712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12" s="5" t="str">
        <f t="shared" si="34"/>
        <v>Week 2</v>
      </c>
      <c r="H712" s="8" t="str">
        <f t="shared" si="35"/>
        <v>March 24 Week 2</v>
      </c>
      <c r="I712" s="5" t="str">
        <f>CONCATENATE(UPPER(TableAopCalendar[[#This Row],[Month]])," ",TableAopCalendar[[#This Row],[Year]])</f>
        <v>MARCH 24</v>
      </c>
      <c r="J712" s="8" t="s">
        <v>274</v>
      </c>
      <c r="K712" s="8" t="str">
        <f>CONCATENATE(TableAopCalendar[[#This Row],[Month for Plan]]," ",TableAopCalendar[[#This Row],[Plan]])</f>
        <v>MARCH 24 PLANNED</v>
      </c>
    </row>
    <row r="713" spans="1:11" x14ac:dyDescent="0.25">
      <c r="A713" s="5">
        <f t="shared" si="33"/>
        <v>5</v>
      </c>
      <c r="B713" s="6">
        <v>45363</v>
      </c>
      <c r="C713" s="7" t="s">
        <v>273</v>
      </c>
      <c r="D713" s="7">
        <v>24</v>
      </c>
      <c r="E713" s="5">
        <f>DAY(TableAopCalendar[[#This Row],[Date]])</f>
        <v>12</v>
      </c>
      <c r="F713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13" s="5" t="str">
        <f t="shared" si="34"/>
        <v>Week 2</v>
      </c>
      <c r="H713" s="8" t="str">
        <f t="shared" si="35"/>
        <v>March 24 Week 2</v>
      </c>
      <c r="I713" s="5" t="str">
        <f>CONCATENATE(UPPER(TableAopCalendar[[#This Row],[Month]])," ",TableAopCalendar[[#This Row],[Year]])</f>
        <v>MARCH 24</v>
      </c>
      <c r="J713" s="8" t="s">
        <v>274</v>
      </c>
      <c r="K713" s="8" t="str">
        <f>CONCATENATE(TableAopCalendar[[#This Row],[Month for Plan]]," ",TableAopCalendar[[#This Row],[Plan]])</f>
        <v>MARCH 24 PLANNED</v>
      </c>
    </row>
    <row r="714" spans="1:11" x14ac:dyDescent="0.25">
      <c r="A714" s="5">
        <f t="shared" si="33"/>
        <v>6</v>
      </c>
      <c r="B714" s="6">
        <v>45364</v>
      </c>
      <c r="C714" s="7" t="s">
        <v>273</v>
      </c>
      <c r="D714" s="7">
        <v>24</v>
      </c>
      <c r="E714" s="5">
        <f>DAY(TableAopCalendar[[#This Row],[Date]])</f>
        <v>13</v>
      </c>
      <c r="F714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14" s="5" t="str">
        <f t="shared" si="34"/>
        <v>Week 2</v>
      </c>
      <c r="H714" s="8" t="str">
        <f t="shared" si="35"/>
        <v>March 24 Week 2</v>
      </c>
      <c r="I714" s="5" t="str">
        <f>CONCATENATE(UPPER(TableAopCalendar[[#This Row],[Month]])," ",TableAopCalendar[[#This Row],[Year]])</f>
        <v>MARCH 24</v>
      </c>
      <c r="J714" s="8" t="s">
        <v>274</v>
      </c>
      <c r="K714" s="8" t="str">
        <f>CONCATENATE(TableAopCalendar[[#This Row],[Month for Plan]]," ",TableAopCalendar[[#This Row],[Plan]])</f>
        <v>MARCH 24 PLANNED</v>
      </c>
    </row>
    <row r="715" spans="1:11" x14ac:dyDescent="0.25">
      <c r="A715" s="5">
        <f t="shared" si="33"/>
        <v>7</v>
      </c>
      <c r="B715" s="6">
        <v>45365</v>
      </c>
      <c r="C715" s="7" t="s">
        <v>273</v>
      </c>
      <c r="D715" s="7">
        <v>24</v>
      </c>
      <c r="E715" s="5">
        <f>DAY(TableAopCalendar[[#This Row],[Date]])</f>
        <v>14</v>
      </c>
      <c r="F715" s="5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15" s="5" t="str">
        <f t="shared" si="34"/>
        <v>Week 2</v>
      </c>
      <c r="H715" s="8" t="str">
        <f t="shared" si="35"/>
        <v>March 24 Week 2</v>
      </c>
      <c r="I715" s="5" t="str">
        <f>CONCATENATE(UPPER(TableAopCalendar[[#This Row],[Month]])," ",TableAopCalendar[[#This Row],[Year]])</f>
        <v>MARCH 24</v>
      </c>
      <c r="J715" s="8" t="s">
        <v>274</v>
      </c>
      <c r="K715" s="8" t="str">
        <f>CONCATENATE(TableAopCalendar[[#This Row],[Month for Plan]]," ",TableAopCalendar[[#This Row],[Plan]])</f>
        <v>MARCH 24 PLANNED</v>
      </c>
    </row>
    <row r="716" spans="1:11" x14ac:dyDescent="0.25">
      <c r="A716" s="5">
        <f t="shared" si="33"/>
        <v>1</v>
      </c>
      <c r="B716" s="6">
        <v>45366</v>
      </c>
      <c r="C716" s="7" t="s">
        <v>273</v>
      </c>
      <c r="D716" s="7">
        <v>24</v>
      </c>
      <c r="E716" s="5">
        <f>DAY(TableAopCalendar[[#This Row],[Date]])</f>
        <v>15</v>
      </c>
      <c r="F716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16" s="5" t="str">
        <f t="shared" si="34"/>
        <v>Week 3</v>
      </c>
      <c r="H716" s="8" t="str">
        <f t="shared" si="35"/>
        <v>March 24 Week 3</v>
      </c>
      <c r="I716" s="5" t="str">
        <f>CONCATENATE(UPPER(TableAopCalendar[[#This Row],[Month]])," ",TableAopCalendar[[#This Row],[Year]])</f>
        <v>MARCH 24</v>
      </c>
      <c r="J716" s="8" t="s">
        <v>274</v>
      </c>
      <c r="K716" s="8" t="str">
        <f>CONCATENATE(TableAopCalendar[[#This Row],[Month for Plan]]," ",TableAopCalendar[[#This Row],[Plan]])</f>
        <v>MARCH 24 PLANNED</v>
      </c>
    </row>
    <row r="717" spans="1:11" x14ac:dyDescent="0.25">
      <c r="A717" s="5">
        <f t="shared" si="33"/>
        <v>2</v>
      </c>
      <c r="B717" s="6">
        <v>45367</v>
      </c>
      <c r="C717" s="7" t="s">
        <v>273</v>
      </c>
      <c r="D717" s="7">
        <v>24</v>
      </c>
      <c r="E717" s="5">
        <f>DAY(TableAopCalendar[[#This Row],[Date]])</f>
        <v>16</v>
      </c>
      <c r="F717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17" s="5" t="str">
        <f t="shared" si="34"/>
        <v>Week 3</v>
      </c>
      <c r="H717" s="8" t="str">
        <f t="shared" si="35"/>
        <v>March 24 Week 3</v>
      </c>
      <c r="I717" s="5" t="str">
        <f>CONCATENATE(UPPER(TableAopCalendar[[#This Row],[Month]])," ",TableAopCalendar[[#This Row],[Year]])</f>
        <v>MARCH 24</v>
      </c>
      <c r="J717" s="8" t="s">
        <v>274</v>
      </c>
      <c r="K717" s="8" t="str">
        <f>CONCATENATE(TableAopCalendar[[#This Row],[Month for Plan]]," ",TableAopCalendar[[#This Row],[Plan]])</f>
        <v>MARCH 24 PLANNED</v>
      </c>
    </row>
    <row r="718" spans="1:11" x14ac:dyDescent="0.25">
      <c r="A718" s="5">
        <f t="shared" si="33"/>
        <v>3</v>
      </c>
      <c r="B718" s="6">
        <v>45368</v>
      </c>
      <c r="C718" s="7" t="s">
        <v>273</v>
      </c>
      <c r="D718" s="7">
        <v>24</v>
      </c>
      <c r="E718" s="5">
        <f>DAY(TableAopCalendar[[#This Row],[Date]])</f>
        <v>17</v>
      </c>
      <c r="F718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18" s="5" t="str">
        <f t="shared" si="34"/>
        <v>Week 3</v>
      </c>
      <c r="H718" s="8" t="str">
        <f t="shared" si="35"/>
        <v>March 24 Week 3</v>
      </c>
      <c r="I718" s="5" t="str">
        <f>CONCATENATE(UPPER(TableAopCalendar[[#This Row],[Month]])," ",TableAopCalendar[[#This Row],[Year]])</f>
        <v>MARCH 24</v>
      </c>
      <c r="J718" s="8" t="s">
        <v>274</v>
      </c>
      <c r="K718" s="8" t="str">
        <f>CONCATENATE(TableAopCalendar[[#This Row],[Month for Plan]]," ",TableAopCalendar[[#This Row],[Plan]])</f>
        <v>MARCH 24 PLANNED</v>
      </c>
    </row>
    <row r="719" spans="1:11" x14ac:dyDescent="0.25">
      <c r="A719" s="5">
        <f t="shared" si="33"/>
        <v>4</v>
      </c>
      <c r="B719" s="6">
        <v>45369</v>
      </c>
      <c r="C719" s="7" t="s">
        <v>273</v>
      </c>
      <c r="D719" s="7">
        <v>24</v>
      </c>
      <c r="E719" s="5">
        <f>DAY(TableAopCalendar[[#This Row],[Date]])</f>
        <v>18</v>
      </c>
      <c r="F719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19" s="5" t="str">
        <f t="shared" si="34"/>
        <v>Week 3</v>
      </c>
      <c r="H719" s="8" t="str">
        <f t="shared" si="35"/>
        <v>March 24 Week 3</v>
      </c>
      <c r="I719" s="5" t="str">
        <f>CONCATENATE(UPPER(TableAopCalendar[[#This Row],[Month]])," ",TableAopCalendar[[#This Row],[Year]])</f>
        <v>MARCH 24</v>
      </c>
      <c r="J719" s="8" t="s">
        <v>274</v>
      </c>
      <c r="K719" s="8" t="str">
        <f>CONCATENATE(TableAopCalendar[[#This Row],[Month for Plan]]," ",TableAopCalendar[[#This Row],[Plan]])</f>
        <v>MARCH 24 PLANNED</v>
      </c>
    </row>
    <row r="720" spans="1:11" x14ac:dyDescent="0.25">
      <c r="A720" s="5">
        <f t="shared" si="33"/>
        <v>5</v>
      </c>
      <c r="B720" s="6">
        <v>45370</v>
      </c>
      <c r="C720" s="7" t="s">
        <v>273</v>
      </c>
      <c r="D720" s="7">
        <v>24</v>
      </c>
      <c r="E720" s="5">
        <f>DAY(TableAopCalendar[[#This Row],[Date]])</f>
        <v>19</v>
      </c>
      <c r="F720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20" s="5" t="str">
        <f t="shared" si="34"/>
        <v>Week 3</v>
      </c>
      <c r="H720" s="8" t="str">
        <f t="shared" si="35"/>
        <v>March 24 Week 3</v>
      </c>
      <c r="I720" s="5" t="str">
        <f>CONCATENATE(UPPER(TableAopCalendar[[#This Row],[Month]])," ",TableAopCalendar[[#This Row],[Year]])</f>
        <v>MARCH 24</v>
      </c>
      <c r="J720" s="8" t="s">
        <v>274</v>
      </c>
      <c r="K720" s="8" t="str">
        <f>CONCATENATE(TableAopCalendar[[#This Row],[Month for Plan]]," ",TableAopCalendar[[#This Row],[Plan]])</f>
        <v>MARCH 24 PLANNED</v>
      </c>
    </row>
    <row r="721" spans="1:11" x14ac:dyDescent="0.25">
      <c r="A721" s="5">
        <f t="shared" si="33"/>
        <v>6</v>
      </c>
      <c r="B721" s="6">
        <v>45371</v>
      </c>
      <c r="C721" s="7" t="s">
        <v>273</v>
      </c>
      <c r="D721" s="7">
        <v>24</v>
      </c>
      <c r="E721" s="5">
        <f>DAY(TableAopCalendar[[#This Row],[Date]])</f>
        <v>20</v>
      </c>
      <c r="F721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21" s="5" t="str">
        <f t="shared" si="34"/>
        <v>Week 3</v>
      </c>
      <c r="H721" s="8" t="str">
        <f t="shared" si="35"/>
        <v>March 24 Week 3</v>
      </c>
      <c r="I721" s="5" t="str">
        <f>CONCATENATE(UPPER(TableAopCalendar[[#This Row],[Month]])," ",TableAopCalendar[[#This Row],[Year]])</f>
        <v>MARCH 24</v>
      </c>
      <c r="J721" s="8" t="s">
        <v>274</v>
      </c>
      <c r="K721" s="8" t="str">
        <f>CONCATENATE(TableAopCalendar[[#This Row],[Month for Plan]]," ",TableAopCalendar[[#This Row],[Plan]])</f>
        <v>MARCH 24 PLANNED</v>
      </c>
    </row>
    <row r="722" spans="1:11" x14ac:dyDescent="0.25">
      <c r="A722" s="5">
        <f t="shared" si="33"/>
        <v>7</v>
      </c>
      <c r="B722" s="6">
        <v>45372</v>
      </c>
      <c r="C722" s="7" t="s">
        <v>273</v>
      </c>
      <c r="D722" s="7">
        <v>24</v>
      </c>
      <c r="E722" s="5">
        <f>DAY(TableAopCalendar[[#This Row],[Date]])</f>
        <v>21</v>
      </c>
      <c r="F722" s="5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22" s="5" t="str">
        <f t="shared" si="34"/>
        <v>Week 3</v>
      </c>
      <c r="H722" s="8" t="str">
        <f t="shared" si="35"/>
        <v>March 24 Week 3</v>
      </c>
      <c r="I722" s="5" t="str">
        <f>CONCATENATE(UPPER(TableAopCalendar[[#This Row],[Month]])," ",TableAopCalendar[[#This Row],[Year]])</f>
        <v>MARCH 24</v>
      </c>
      <c r="J722" s="8" t="s">
        <v>274</v>
      </c>
      <c r="K722" s="8" t="str">
        <f>CONCATENATE(TableAopCalendar[[#This Row],[Month for Plan]]," ",TableAopCalendar[[#This Row],[Plan]])</f>
        <v>MARCH 24 PLANNED</v>
      </c>
    </row>
    <row r="723" spans="1:11" x14ac:dyDescent="0.25">
      <c r="A723" s="5">
        <f t="shared" si="33"/>
        <v>1</v>
      </c>
      <c r="B723" s="6">
        <v>45373</v>
      </c>
      <c r="C723" s="7" t="s">
        <v>273</v>
      </c>
      <c r="D723" s="7">
        <v>24</v>
      </c>
      <c r="E723" s="5">
        <f>DAY(TableAopCalendar[[#This Row],[Date]])</f>
        <v>22</v>
      </c>
      <c r="F723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23" s="5" t="str">
        <f t="shared" si="34"/>
        <v>Week 4</v>
      </c>
      <c r="H723" s="8" t="str">
        <f t="shared" si="35"/>
        <v>March 24 Week 4</v>
      </c>
      <c r="I723" s="5" t="str">
        <f>CONCATENATE(UPPER(TableAopCalendar[[#This Row],[Month]])," ",TableAopCalendar[[#This Row],[Year]])</f>
        <v>MARCH 24</v>
      </c>
      <c r="J723" s="8" t="s">
        <v>274</v>
      </c>
      <c r="K723" s="8" t="str">
        <f>CONCATENATE(TableAopCalendar[[#This Row],[Month for Plan]]," ",TableAopCalendar[[#This Row],[Plan]])</f>
        <v>MARCH 24 PLANNED</v>
      </c>
    </row>
    <row r="724" spans="1:11" x14ac:dyDescent="0.25">
      <c r="A724" s="5">
        <f t="shared" si="33"/>
        <v>2</v>
      </c>
      <c r="B724" s="6">
        <v>45374</v>
      </c>
      <c r="C724" s="7" t="s">
        <v>273</v>
      </c>
      <c r="D724" s="7">
        <v>24</v>
      </c>
      <c r="E724" s="5">
        <f>DAY(TableAopCalendar[[#This Row],[Date]])</f>
        <v>23</v>
      </c>
      <c r="F724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24" s="5" t="str">
        <f t="shared" si="34"/>
        <v>Week 4</v>
      </c>
      <c r="H724" s="8" t="str">
        <f t="shared" si="35"/>
        <v>March 24 Week 4</v>
      </c>
      <c r="I724" s="5" t="str">
        <f>CONCATENATE(UPPER(TableAopCalendar[[#This Row],[Month]])," ",TableAopCalendar[[#This Row],[Year]])</f>
        <v>MARCH 24</v>
      </c>
      <c r="J724" s="8" t="s">
        <v>274</v>
      </c>
      <c r="K724" s="8" t="str">
        <f>CONCATENATE(TableAopCalendar[[#This Row],[Month for Plan]]," ",TableAopCalendar[[#This Row],[Plan]])</f>
        <v>MARCH 24 PLANNED</v>
      </c>
    </row>
    <row r="725" spans="1:11" x14ac:dyDescent="0.25">
      <c r="A725" s="5">
        <f t="shared" si="33"/>
        <v>3</v>
      </c>
      <c r="B725" s="6">
        <v>45375</v>
      </c>
      <c r="C725" s="7" t="s">
        <v>273</v>
      </c>
      <c r="D725" s="7">
        <v>24</v>
      </c>
      <c r="E725" s="5">
        <f>DAY(TableAopCalendar[[#This Row],[Date]])</f>
        <v>24</v>
      </c>
      <c r="F725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25" s="5" t="str">
        <f t="shared" si="34"/>
        <v>Week 4</v>
      </c>
      <c r="H725" s="8" t="str">
        <f t="shared" si="35"/>
        <v>March 24 Week 4</v>
      </c>
      <c r="I725" s="5" t="str">
        <f>CONCATENATE(UPPER(TableAopCalendar[[#This Row],[Month]])," ",TableAopCalendar[[#This Row],[Year]])</f>
        <v>MARCH 24</v>
      </c>
      <c r="J725" s="8" t="s">
        <v>274</v>
      </c>
      <c r="K725" s="8" t="str">
        <f>CONCATENATE(TableAopCalendar[[#This Row],[Month for Plan]]," ",TableAopCalendar[[#This Row],[Plan]])</f>
        <v>MARCH 24 PLANNED</v>
      </c>
    </row>
    <row r="726" spans="1:11" x14ac:dyDescent="0.25">
      <c r="A726" s="5">
        <f t="shared" si="33"/>
        <v>4</v>
      </c>
      <c r="B726" s="6">
        <v>45376</v>
      </c>
      <c r="C726" s="7" t="s">
        <v>273</v>
      </c>
      <c r="D726" s="7">
        <v>24</v>
      </c>
      <c r="E726" s="5">
        <f>DAY(TableAopCalendar[[#This Row],[Date]])</f>
        <v>25</v>
      </c>
      <c r="F726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26" s="5" t="str">
        <f t="shared" si="34"/>
        <v>Week 4</v>
      </c>
      <c r="H726" s="8" t="str">
        <f t="shared" si="35"/>
        <v>March 24 Week 4</v>
      </c>
      <c r="I726" s="5" t="str">
        <f>CONCATENATE(UPPER(TableAopCalendar[[#This Row],[Month]])," ",TableAopCalendar[[#This Row],[Year]])</f>
        <v>MARCH 24</v>
      </c>
      <c r="J726" s="8" t="s">
        <v>274</v>
      </c>
      <c r="K726" s="8" t="str">
        <f>CONCATENATE(TableAopCalendar[[#This Row],[Month for Plan]]," ",TableAopCalendar[[#This Row],[Plan]])</f>
        <v>MARCH 24 PLANNED</v>
      </c>
    </row>
    <row r="727" spans="1:11" x14ac:dyDescent="0.25">
      <c r="A727" s="5">
        <f t="shared" si="33"/>
        <v>5</v>
      </c>
      <c r="B727" s="6">
        <v>45377</v>
      </c>
      <c r="C727" s="7" t="s">
        <v>273</v>
      </c>
      <c r="D727" s="7">
        <v>24</v>
      </c>
      <c r="E727" s="5">
        <f>DAY(TableAopCalendar[[#This Row],[Date]])</f>
        <v>26</v>
      </c>
      <c r="F727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27" s="5" t="str">
        <f t="shared" si="34"/>
        <v>Week 4</v>
      </c>
      <c r="H727" s="8" t="str">
        <f t="shared" si="35"/>
        <v>March 24 Week 4</v>
      </c>
      <c r="I727" s="5" t="str">
        <f>CONCATENATE(UPPER(TableAopCalendar[[#This Row],[Month]])," ",TableAopCalendar[[#This Row],[Year]])</f>
        <v>MARCH 24</v>
      </c>
      <c r="J727" s="8" t="s">
        <v>274</v>
      </c>
      <c r="K727" s="8" t="str">
        <f>CONCATENATE(TableAopCalendar[[#This Row],[Month for Plan]]," ",TableAopCalendar[[#This Row],[Plan]])</f>
        <v>MARCH 24 PLANNED</v>
      </c>
    </row>
    <row r="728" spans="1:11" x14ac:dyDescent="0.25">
      <c r="A728" s="5">
        <f t="shared" si="33"/>
        <v>6</v>
      </c>
      <c r="B728" s="6">
        <v>45378</v>
      </c>
      <c r="C728" s="7" t="s">
        <v>273</v>
      </c>
      <c r="D728" s="7">
        <v>24</v>
      </c>
      <c r="E728" s="5">
        <f>DAY(TableAopCalendar[[#This Row],[Date]])</f>
        <v>27</v>
      </c>
      <c r="F728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28" s="5" t="str">
        <f t="shared" si="34"/>
        <v>Week 4</v>
      </c>
      <c r="H728" s="8" t="str">
        <f t="shared" si="35"/>
        <v>March 24 Week 4</v>
      </c>
      <c r="I728" s="5" t="str">
        <f>CONCATENATE(UPPER(TableAopCalendar[[#This Row],[Month]])," ",TableAopCalendar[[#This Row],[Year]])</f>
        <v>MARCH 24</v>
      </c>
      <c r="J728" s="8" t="s">
        <v>274</v>
      </c>
      <c r="K728" s="8" t="str">
        <f>CONCATENATE(TableAopCalendar[[#This Row],[Month for Plan]]," ",TableAopCalendar[[#This Row],[Plan]])</f>
        <v>MARCH 24 PLANNED</v>
      </c>
    </row>
    <row r="729" spans="1:11" x14ac:dyDescent="0.25">
      <c r="A729" s="5">
        <f t="shared" si="33"/>
        <v>7</v>
      </c>
      <c r="B729" s="6">
        <v>45379</v>
      </c>
      <c r="C729" s="7" t="s">
        <v>273</v>
      </c>
      <c r="D729" s="7">
        <v>24</v>
      </c>
      <c r="E729" s="5">
        <f>DAY(TableAopCalendar[[#This Row],[Date]])</f>
        <v>28</v>
      </c>
      <c r="F729" s="5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29" s="5" t="str">
        <f t="shared" si="34"/>
        <v>Week 4</v>
      </c>
      <c r="H729" s="8" t="str">
        <f t="shared" si="35"/>
        <v>March 24 Week 4</v>
      </c>
      <c r="I729" s="5" t="str">
        <f>CONCATENATE(UPPER(TableAopCalendar[[#This Row],[Month]])," ",TableAopCalendar[[#This Row],[Year]])</f>
        <v>MARCH 24</v>
      </c>
      <c r="J729" s="8" t="s">
        <v>274</v>
      </c>
      <c r="K729" s="8" t="str">
        <f>CONCATENATE(TableAopCalendar[[#This Row],[Month for Plan]]," ",TableAopCalendar[[#This Row],[Plan]])</f>
        <v>MARCH 24 PLANNED</v>
      </c>
    </row>
    <row r="730" spans="1:11" x14ac:dyDescent="0.25">
      <c r="A730" s="5">
        <f t="shared" si="33"/>
        <v>1</v>
      </c>
      <c r="B730" s="6">
        <v>45380</v>
      </c>
      <c r="C730" s="7" t="s">
        <v>273</v>
      </c>
      <c r="D730" s="7">
        <v>24</v>
      </c>
      <c r="E730" s="5">
        <f>DAY(TableAopCalendar[[#This Row],[Date]])</f>
        <v>29</v>
      </c>
      <c r="F730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30" s="5" t="str">
        <f t="shared" si="34"/>
        <v>Week 5</v>
      </c>
      <c r="H730" s="8" t="str">
        <f t="shared" si="35"/>
        <v>March 24 Week 5</v>
      </c>
      <c r="I730" s="5" t="str">
        <f>CONCATENATE(UPPER(TableAopCalendar[[#This Row],[Month]])," ",TableAopCalendar[[#This Row],[Year]])</f>
        <v>MARCH 24</v>
      </c>
      <c r="J730" s="8" t="s">
        <v>274</v>
      </c>
      <c r="K730" s="8" t="str">
        <f>CONCATENATE(TableAopCalendar[[#This Row],[Month for Plan]]," ",TableAopCalendar[[#This Row],[Plan]])</f>
        <v>MARCH 24 PLANNED</v>
      </c>
    </row>
    <row r="731" spans="1:11" x14ac:dyDescent="0.25">
      <c r="A731" s="5">
        <f t="shared" si="33"/>
        <v>2</v>
      </c>
      <c r="B731" s="6">
        <v>45381</v>
      </c>
      <c r="C731" s="7" t="s">
        <v>273</v>
      </c>
      <c r="D731" s="7">
        <v>24</v>
      </c>
      <c r="E731" s="5">
        <f>DAY(TableAopCalendar[[#This Row],[Date]])</f>
        <v>30</v>
      </c>
      <c r="F731" s="5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31" s="5" t="str">
        <f t="shared" si="34"/>
        <v>Week 5</v>
      </c>
      <c r="H731" s="8" t="str">
        <f t="shared" si="35"/>
        <v>March 24 Week 5</v>
      </c>
      <c r="I731" s="5" t="str">
        <f>CONCATENATE(UPPER(TableAopCalendar[[#This Row],[Month]])," ",TableAopCalendar[[#This Row],[Year]])</f>
        <v>MARCH 24</v>
      </c>
      <c r="J731" s="8" t="s">
        <v>274</v>
      </c>
      <c r="K731" s="8" t="str">
        <f>CONCATENATE(TableAopCalendar[[#This Row],[Month for Plan]]," ",TableAopCalendar[[#This Row],[Plan]])</f>
        <v>MARCH 24 PLANNED</v>
      </c>
    </row>
    <row r="732" spans="1:11" x14ac:dyDescent="0.25">
      <c r="A732" s="8">
        <f t="shared" si="33"/>
        <v>3</v>
      </c>
      <c r="B732" s="6">
        <v>45382</v>
      </c>
      <c r="C732" s="7" t="s">
        <v>273</v>
      </c>
      <c r="D732" s="7">
        <v>24</v>
      </c>
      <c r="E732" s="8">
        <f>DAY(TableAopCalendar[[#This Row],[Date]])</f>
        <v>31</v>
      </c>
      <c r="F732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32" s="8" t="str">
        <f t="shared" si="34"/>
        <v>Week 5</v>
      </c>
      <c r="H732" s="8" t="str">
        <f t="shared" si="35"/>
        <v>March 24 Week 5</v>
      </c>
      <c r="I732" s="5" t="str">
        <f>CONCATENATE(UPPER(TableAopCalendar[[#This Row],[Month]])," ",TableAopCalendar[[#This Row],[Year]])</f>
        <v>MARCH 24</v>
      </c>
      <c r="J732" s="8" t="s">
        <v>274</v>
      </c>
      <c r="K732" s="8" t="str">
        <f>CONCATENATE(TableAopCalendar[[#This Row],[Month for Plan]]," ",TableAopCalendar[[#This Row],[Plan]])</f>
        <v>MARCH 24 PLANNED</v>
      </c>
    </row>
    <row r="733" spans="1:11" x14ac:dyDescent="0.25">
      <c r="A733" s="8">
        <f t="shared" ref="A733:A764" si="36">IF(G733=G732,A732+1,1)</f>
        <v>1</v>
      </c>
      <c r="B733" s="6">
        <v>45383</v>
      </c>
      <c r="C733" s="7" t="s">
        <v>264</v>
      </c>
      <c r="D733" s="7">
        <v>24</v>
      </c>
      <c r="E733" s="8">
        <f>DAY(TableAopCalendar[[#This Row],[Date]])</f>
        <v>1</v>
      </c>
      <c r="F733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33" s="8" t="str">
        <f t="shared" ref="G733:G764" si="37">"Week"&amp;" "&amp;F733</f>
        <v>Week 1</v>
      </c>
      <c r="H733" s="8" t="str">
        <f t="shared" ref="H733:H764" si="38">CONCATENATE(C733," ",D733," ",G733)</f>
        <v>April 24 Week 1</v>
      </c>
      <c r="I733" s="8" t="str">
        <f>CONCATENATE(UPPER(TableAopCalendar[[#This Row],[Month]])," ",TableAopCalendar[[#This Row],[Year]])</f>
        <v>APRIL 24</v>
      </c>
      <c r="J733" s="8" t="s">
        <v>274</v>
      </c>
      <c r="K733" s="8" t="str">
        <f>CONCATENATE(TableAopCalendar[[#This Row],[Month for Plan]]," ",TableAopCalendar[[#This Row],[Plan]])</f>
        <v>APRIL 24 PLANNED</v>
      </c>
    </row>
    <row r="734" spans="1:11" x14ac:dyDescent="0.25">
      <c r="A734" s="8">
        <f t="shared" si="36"/>
        <v>2</v>
      </c>
      <c r="B734" s="6">
        <v>45384</v>
      </c>
      <c r="C734" s="7" t="s">
        <v>264</v>
      </c>
      <c r="D734" s="7">
        <v>24</v>
      </c>
      <c r="E734" s="8">
        <f>DAY(TableAopCalendar[[#This Row],[Date]])</f>
        <v>2</v>
      </c>
      <c r="F734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34" s="8" t="str">
        <f t="shared" si="37"/>
        <v>Week 1</v>
      </c>
      <c r="H734" s="8" t="str">
        <f t="shared" si="38"/>
        <v>April 24 Week 1</v>
      </c>
      <c r="I734" s="8" t="str">
        <f>CONCATENATE(UPPER(TableAopCalendar[[#This Row],[Month]])," ",TableAopCalendar[[#This Row],[Year]])</f>
        <v>APRIL 24</v>
      </c>
      <c r="J734" s="8" t="s">
        <v>274</v>
      </c>
      <c r="K734" s="8" t="str">
        <f>CONCATENATE(TableAopCalendar[[#This Row],[Month for Plan]]," ",TableAopCalendar[[#This Row],[Plan]])</f>
        <v>APRIL 24 PLANNED</v>
      </c>
    </row>
    <row r="735" spans="1:11" x14ac:dyDescent="0.25">
      <c r="A735" s="8">
        <f t="shared" si="36"/>
        <v>3</v>
      </c>
      <c r="B735" s="6">
        <v>45385</v>
      </c>
      <c r="C735" s="7" t="s">
        <v>264</v>
      </c>
      <c r="D735" s="7">
        <v>24</v>
      </c>
      <c r="E735" s="8">
        <f>DAY(TableAopCalendar[[#This Row],[Date]])</f>
        <v>3</v>
      </c>
      <c r="F735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35" s="8" t="str">
        <f t="shared" si="37"/>
        <v>Week 1</v>
      </c>
      <c r="H735" s="8" t="str">
        <f t="shared" si="38"/>
        <v>April 24 Week 1</v>
      </c>
      <c r="I735" s="8" t="str">
        <f>CONCATENATE(UPPER(TableAopCalendar[[#This Row],[Month]])," ",TableAopCalendar[[#This Row],[Year]])</f>
        <v>APRIL 24</v>
      </c>
      <c r="J735" s="8" t="s">
        <v>274</v>
      </c>
      <c r="K735" s="8" t="str">
        <f>CONCATENATE(TableAopCalendar[[#This Row],[Month for Plan]]," ",TableAopCalendar[[#This Row],[Plan]])</f>
        <v>APRIL 24 PLANNED</v>
      </c>
    </row>
    <row r="736" spans="1:11" x14ac:dyDescent="0.25">
      <c r="A736" s="8">
        <f t="shared" si="36"/>
        <v>4</v>
      </c>
      <c r="B736" s="6">
        <v>45386</v>
      </c>
      <c r="C736" s="7" t="s">
        <v>264</v>
      </c>
      <c r="D736" s="7">
        <v>24</v>
      </c>
      <c r="E736" s="8">
        <f>DAY(TableAopCalendar[[#This Row],[Date]])</f>
        <v>4</v>
      </c>
      <c r="F736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36" s="8" t="str">
        <f t="shared" si="37"/>
        <v>Week 1</v>
      </c>
      <c r="H736" s="8" t="str">
        <f t="shared" si="38"/>
        <v>April 24 Week 1</v>
      </c>
      <c r="I736" s="8" t="str">
        <f>CONCATENATE(UPPER(TableAopCalendar[[#This Row],[Month]])," ",TableAopCalendar[[#This Row],[Year]])</f>
        <v>APRIL 24</v>
      </c>
      <c r="J736" s="8" t="s">
        <v>274</v>
      </c>
      <c r="K736" s="8" t="str">
        <f>CONCATENATE(TableAopCalendar[[#This Row],[Month for Plan]]," ",TableAopCalendar[[#This Row],[Plan]])</f>
        <v>APRIL 24 PLANNED</v>
      </c>
    </row>
    <row r="737" spans="1:11" x14ac:dyDescent="0.25">
      <c r="A737" s="8">
        <f t="shared" si="36"/>
        <v>5</v>
      </c>
      <c r="B737" s="6">
        <v>45387</v>
      </c>
      <c r="C737" s="7" t="s">
        <v>264</v>
      </c>
      <c r="D737" s="7">
        <v>24</v>
      </c>
      <c r="E737" s="8">
        <f>DAY(TableAopCalendar[[#This Row],[Date]])</f>
        <v>5</v>
      </c>
      <c r="F737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37" s="8" t="str">
        <f t="shared" si="37"/>
        <v>Week 1</v>
      </c>
      <c r="H737" s="8" t="str">
        <f t="shared" si="38"/>
        <v>April 24 Week 1</v>
      </c>
      <c r="I737" s="8" t="str">
        <f>CONCATENATE(UPPER(TableAopCalendar[[#This Row],[Month]])," ",TableAopCalendar[[#This Row],[Year]])</f>
        <v>APRIL 24</v>
      </c>
      <c r="J737" s="8" t="s">
        <v>274</v>
      </c>
      <c r="K737" s="8" t="str">
        <f>CONCATENATE(TableAopCalendar[[#This Row],[Month for Plan]]," ",TableAopCalendar[[#This Row],[Plan]])</f>
        <v>APRIL 24 PLANNED</v>
      </c>
    </row>
    <row r="738" spans="1:11" x14ac:dyDescent="0.25">
      <c r="A738" s="8">
        <f t="shared" si="36"/>
        <v>6</v>
      </c>
      <c r="B738" s="6">
        <v>45388</v>
      </c>
      <c r="C738" s="7" t="s">
        <v>264</v>
      </c>
      <c r="D738" s="7">
        <v>24</v>
      </c>
      <c r="E738" s="8">
        <f>DAY(TableAopCalendar[[#This Row],[Date]])</f>
        <v>6</v>
      </c>
      <c r="F738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38" s="8" t="str">
        <f t="shared" si="37"/>
        <v>Week 1</v>
      </c>
      <c r="H738" s="8" t="str">
        <f t="shared" si="38"/>
        <v>April 24 Week 1</v>
      </c>
      <c r="I738" s="8" t="str">
        <f>CONCATENATE(UPPER(TableAopCalendar[[#This Row],[Month]])," ",TableAopCalendar[[#This Row],[Year]])</f>
        <v>APRIL 24</v>
      </c>
      <c r="J738" s="8" t="s">
        <v>274</v>
      </c>
      <c r="K738" s="8" t="str">
        <f>CONCATENATE(TableAopCalendar[[#This Row],[Month for Plan]]," ",TableAopCalendar[[#This Row],[Plan]])</f>
        <v>APRIL 24 PLANNED</v>
      </c>
    </row>
    <row r="739" spans="1:11" x14ac:dyDescent="0.25">
      <c r="A739" s="8">
        <f t="shared" si="36"/>
        <v>7</v>
      </c>
      <c r="B739" s="6">
        <v>45389</v>
      </c>
      <c r="C739" s="7" t="s">
        <v>264</v>
      </c>
      <c r="D739" s="7">
        <v>24</v>
      </c>
      <c r="E739" s="8">
        <f>DAY(TableAopCalendar[[#This Row],[Date]])</f>
        <v>7</v>
      </c>
      <c r="F739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39" s="8" t="str">
        <f t="shared" si="37"/>
        <v>Week 1</v>
      </c>
      <c r="H739" s="8" t="str">
        <f t="shared" si="38"/>
        <v>April 24 Week 1</v>
      </c>
      <c r="I739" s="8" t="str">
        <f>CONCATENATE(UPPER(TableAopCalendar[[#This Row],[Month]])," ",TableAopCalendar[[#This Row],[Year]])</f>
        <v>APRIL 24</v>
      </c>
      <c r="J739" s="8" t="s">
        <v>274</v>
      </c>
      <c r="K739" s="8" t="str">
        <f>CONCATENATE(TableAopCalendar[[#This Row],[Month for Plan]]," ",TableAopCalendar[[#This Row],[Plan]])</f>
        <v>APRIL 24 PLANNED</v>
      </c>
    </row>
    <row r="740" spans="1:11" x14ac:dyDescent="0.25">
      <c r="A740" s="8">
        <f t="shared" si="36"/>
        <v>1</v>
      </c>
      <c r="B740" s="6">
        <v>45390</v>
      </c>
      <c r="C740" s="7" t="s">
        <v>264</v>
      </c>
      <c r="D740" s="7">
        <v>24</v>
      </c>
      <c r="E740" s="8">
        <f>DAY(TableAopCalendar[[#This Row],[Date]])</f>
        <v>8</v>
      </c>
      <c r="F740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0" s="8" t="str">
        <f t="shared" si="37"/>
        <v>Week 2</v>
      </c>
      <c r="H740" s="8" t="str">
        <f t="shared" si="38"/>
        <v>April 24 Week 2</v>
      </c>
      <c r="I740" s="8" t="str">
        <f>CONCATENATE(UPPER(TableAopCalendar[[#This Row],[Month]])," ",TableAopCalendar[[#This Row],[Year]])</f>
        <v>APRIL 24</v>
      </c>
      <c r="J740" s="8" t="s">
        <v>274</v>
      </c>
      <c r="K740" s="8" t="str">
        <f>CONCATENATE(TableAopCalendar[[#This Row],[Month for Plan]]," ",TableAopCalendar[[#This Row],[Plan]])</f>
        <v>APRIL 24 PLANNED</v>
      </c>
    </row>
    <row r="741" spans="1:11" x14ac:dyDescent="0.25">
      <c r="A741" s="8">
        <f t="shared" si="36"/>
        <v>2</v>
      </c>
      <c r="B741" s="6">
        <v>45391</v>
      </c>
      <c r="C741" s="7" t="s">
        <v>264</v>
      </c>
      <c r="D741" s="7">
        <v>24</v>
      </c>
      <c r="E741" s="8">
        <f>DAY(TableAopCalendar[[#This Row],[Date]])</f>
        <v>9</v>
      </c>
      <c r="F741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1" s="8" t="str">
        <f t="shared" si="37"/>
        <v>Week 2</v>
      </c>
      <c r="H741" s="8" t="str">
        <f t="shared" si="38"/>
        <v>April 24 Week 2</v>
      </c>
      <c r="I741" s="8" t="str">
        <f>CONCATENATE(UPPER(TableAopCalendar[[#This Row],[Month]])," ",TableAopCalendar[[#This Row],[Year]])</f>
        <v>APRIL 24</v>
      </c>
      <c r="J741" s="8" t="s">
        <v>274</v>
      </c>
      <c r="K741" s="8" t="str">
        <f>CONCATENATE(TableAopCalendar[[#This Row],[Month for Plan]]," ",TableAopCalendar[[#This Row],[Plan]])</f>
        <v>APRIL 24 PLANNED</v>
      </c>
    </row>
    <row r="742" spans="1:11" x14ac:dyDescent="0.25">
      <c r="A742" s="8">
        <f t="shared" si="36"/>
        <v>3</v>
      </c>
      <c r="B742" s="6">
        <v>45392</v>
      </c>
      <c r="C742" s="7" t="s">
        <v>264</v>
      </c>
      <c r="D742" s="7">
        <v>24</v>
      </c>
      <c r="E742" s="8">
        <f>DAY(TableAopCalendar[[#This Row],[Date]])</f>
        <v>10</v>
      </c>
      <c r="F742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2" s="8" t="str">
        <f t="shared" si="37"/>
        <v>Week 2</v>
      </c>
      <c r="H742" s="8" t="str">
        <f t="shared" si="38"/>
        <v>April 24 Week 2</v>
      </c>
      <c r="I742" s="8" t="str">
        <f>CONCATENATE(UPPER(TableAopCalendar[[#This Row],[Month]])," ",TableAopCalendar[[#This Row],[Year]])</f>
        <v>APRIL 24</v>
      </c>
      <c r="J742" s="8" t="s">
        <v>274</v>
      </c>
      <c r="K742" s="8" t="str">
        <f>CONCATENATE(TableAopCalendar[[#This Row],[Month for Plan]]," ",TableAopCalendar[[#This Row],[Plan]])</f>
        <v>APRIL 24 PLANNED</v>
      </c>
    </row>
    <row r="743" spans="1:11" x14ac:dyDescent="0.25">
      <c r="A743" s="8">
        <f t="shared" si="36"/>
        <v>4</v>
      </c>
      <c r="B743" s="6">
        <v>45393</v>
      </c>
      <c r="C743" s="7" t="s">
        <v>264</v>
      </c>
      <c r="D743" s="7">
        <v>24</v>
      </c>
      <c r="E743" s="8">
        <f>DAY(TableAopCalendar[[#This Row],[Date]])</f>
        <v>11</v>
      </c>
      <c r="F743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3" s="8" t="str">
        <f t="shared" si="37"/>
        <v>Week 2</v>
      </c>
      <c r="H743" s="8" t="str">
        <f t="shared" si="38"/>
        <v>April 24 Week 2</v>
      </c>
      <c r="I743" s="8" t="str">
        <f>CONCATENATE(UPPER(TableAopCalendar[[#This Row],[Month]])," ",TableAopCalendar[[#This Row],[Year]])</f>
        <v>APRIL 24</v>
      </c>
      <c r="J743" s="8" t="s">
        <v>274</v>
      </c>
      <c r="K743" s="8" t="str">
        <f>CONCATENATE(TableAopCalendar[[#This Row],[Month for Plan]]," ",TableAopCalendar[[#This Row],[Plan]])</f>
        <v>APRIL 24 PLANNED</v>
      </c>
    </row>
    <row r="744" spans="1:11" x14ac:dyDescent="0.25">
      <c r="A744" s="8">
        <f t="shared" si="36"/>
        <v>5</v>
      </c>
      <c r="B744" s="6">
        <v>45394</v>
      </c>
      <c r="C744" s="7" t="s">
        <v>264</v>
      </c>
      <c r="D744" s="7">
        <v>24</v>
      </c>
      <c r="E744" s="8">
        <f>DAY(TableAopCalendar[[#This Row],[Date]])</f>
        <v>12</v>
      </c>
      <c r="F744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4" s="8" t="str">
        <f t="shared" si="37"/>
        <v>Week 2</v>
      </c>
      <c r="H744" s="8" t="str">
        <f t="shared" si="38"/>
        <v>April 24 Week 2</v>
      </c>
      <c r="I744" s="8" t="str">
        <f>CONCATENATE(UPPER(TableAopCalendar[[#This Row],[Month]])," ",TableAopCalendar[[#This Row],[Year]])</f>
        <v>APRIL 24</v>
      </c>
      <c r="J744" s="8" t="s">
        <v>274</v>
      </c>
      <c r="K744" s="8" t="str">
        <f>CONCATENATE(TableAopCalendar[[#This Row],[Month for Plan]]," ",TableAopCalendar[[#This Row],[Plan]])</f>
        <v>APRIL 24 PLANNED</v>
      </c>
    </row>
    <row r="745" spans="1:11" x14ac:dyDescent="0.25">
      <c r="A745" s="8">
        <f t="shared" si="36"/>
        <v>6</v>
      </c>
      <c r="B745" s="6">
        <v>45395</v>
      </c>
      <c r="C745" s="7" t="s">
        <v>264</v>
      </c>
      <c r="D745" s="7">
        <v>24</v>
      </c>
      <c r="E745" s="8">
        <f>DAY(TableAopCalendar[[#This Row],[Date]])</f>
        <v>13</v>
      </c>
      <c r="F745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5" s="8" t="str">
        <f t="shared" si="37"/>
        <v>Week 2</v>
      </c>
      <c r="H745" s="8" t="str">
        <f t="shared" si="38"/>
        <v>April 24 Week 2</v>
      </c>
      <c r="I745" s="8" t="str">
        <f>CONCATENATE(UPPER(TableAopCalendar[[#This Row],[Month]])," ",TableAopCalendar[[#This Row],[Year]])</f>
        <v>APRIL 24</v>
      </c>
      <c r="J745" s="8" t="s">
        <v>274</v>
      </c>
      <c r="K745" s="8" t="str">
        <f>CONCATENATE(TableAopCalendar[[#This Row],[Month for Plan]]," ",TableAopCalendar[[#This Row],[Plan]])</f>
        <v>APRIL 24 PLANNED</v>
      </c>
    </row>
    <row r="746" spans="1:11" x14ac:dyDescent="0.25">
      <c r="A746" s="8">
        <f t="shared" si="36"/>
        <v>7</v>
      </c>
      <c r="B746" s="6">
        <v>45396</v>
      </c>
      <c r="C746" s="7" t="s">
        <v>264</v>
      </c>
      <c r="D746" s="7">
        <v>24</v>
      </c>
      <c r="E746" s="8">
        <f>DAY(TableAopCalendar[[#This Row],[Date]])</f>
        <v>14</v>
      </c>
      <c r="F746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46" s="8" t="str">
        <f t="shared" si="37"/>
        <v>Week 2</v>
      </c>
      <c r="H746" s="8" t="str">
        <f t="shared" si="38"/>
        <v>April 24 Week 2</v>
      </c>
      <c r="I746" s="8" t="str">
        <f>CONCATENATE(UPPER(TableAopCalendar[[#This Row],[Month]])," ",TableAopCalendar[[#This Row],[Year]])</f>
        <v>APRIL 24</v>
      </c>
      <c r="J746" s="8" t="s">
        <v>274</v>
      </c>
      <c r="K746" s="8" t="str">
        <f>CONCATENATE(TableAopCalendar[[#This Row],[Month for Plan]]," ",TableAopCalendar[[#This Row],[Plan]])</f>
        <v>APRIL 24 PLANNED</v>
      </c>
    </row>
    <row r="747" spans="1:11" x14ac:dyDescent="0.25">
      <c r="A747" s="8">
        <f t="shared" si="36"/>
        <v>1</v>
      </c>
      <c r="B747" s="6">
        <v>45397</v>
      </c>
      <c r="C747" s="7" t="s">
        <v>264</v>
      </c>
      <c r="D747" s="7">
        <v>24</v>
      </c>
      <c r="E747" s="8">
        <f>DAY(TableAopCalendar[[#This Row],[Date]])</f>
        <v>15</v>
      </c>
      <c r="F747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47" s="8" t="str">
        <f t="shared" si="37"/>
        <v>Week 3</v>
      </c>
      <c r="H747" s="8" t="str">
        <f t="shared" si="38"/>
        <v>April 24 Week 3</v>
      </c>
      <c r="I747" s="8" t="str">
        <f>CONCATENATE(UPPER(TableAopCalendar[[#This Row],[Month]])," ",TableAopCalendar[[#This Row],[Year]])</f>
        <v>APRIL 24</v>
      </c>
      <c r="J747" s="8" t="s">
        <v>274</v>
      </c>
      <c r="K747" s="8" t="str">
        <f>CONCATENATE(TableAopCalendar[[#This Row],[Month for Plan]]," ",TableAopCalendar[[#This Row],[Plan]])</f>
        <v>APRIL 24 PLANNED</v>
      </c>
    </row>
    <row r="748" spans="1:11" x14ac:dyDescent="0.25">
      <c r="A748" s="8">
        <f t="shared" si="36"/>
        <v>2</v>
      </c>
      <c r="B748" s="6">
        <v>45398</v>
      </c>
      <c r="C748" s="7" t="s">
        <v>264</v>
      </c>
      <c r="D748" s="7">
        <v>24</v>
      </c>
      <c r="E748" s="8">
        <f>DAY(TableAopCalendar[[#This Row],[Date]])</f>
        <v>16</v>
      </c>
      <c r="F748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48" s="8" t="str">
        <f t="shared" si="37"/>
        <v>Week 3</v>
      </c>
      <c r="H748" s="8" t="str">
        <f t="shared" si="38"/>
        <v>April 24 Week 3</v>
      </c>
      <c r="I748" s="8" t="str">
        <f>CONCATENATE(UPPER(TableAopCalendar[[#This Row],[Month]])," ",TableAopCalendar[[#This Row],[Year]])</f>
        <v>APRIL 24</v>
      </c>
      <c r="J748" s="8" t="s">
        <v>274</v>
      </c>
      <c r="K748" s="8" t="str">
        <f>CONCATENATE(TableAopCalendar[[#This Row],[Month for Plan]]," ",TableAopCalendar[[#This Row],[Plan]])</f>
        <v>APRIL 24 PLANNED</v>
      </c>
    </row>
    <row r="749" spans="1:11" x14ac:dyDescent="0.25">
      <c r="A749" s="8">
        <f t="shared" si="36"/>
        <v>3</v>
      </c>
      <c r="B749" s="6">
        <v>45399</v>
      </c>
      <c r="C749" s="7" t="s">
        <v>264</v>
      </c>
      <c r="D749" s="7">
        <v>24</v>
      </c>
      <c r="E749" s="8">
        <f>DAY(TableAopCalendar[[#This Row],[Date]])</f>
        <v>17</v>
      </c>
      <c r="F749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49" s="8" t="str">
        <f t="shared" si="37"/>
        <v>Week 3</v>
      </c>
      <c r="H749" s="8" t="str">
        <f t="shared" si="38"/>
        <v>April 24 Week 3</v>
      </c>
      <c r="I749" s="8" t="str">
        <f>CONCATENATE(UPPER(TableAopCalendar[[#This Row],[Month]])," ",TableAopCalendar[[#This Row],[Year]])</f>
        <v>APRIL 24</v>
      </c>
      <c r="J749" s="8" t="s">
        <v>274</v>
      </c>
      <c r="K749" s="8" t="str">
        <f>CONCATENATE(TableAopCalendar[[#This Row],[Month for Plan]]," ",TableAopCalendar[[#This Row],[Plan]])</f>
        <v>APRIL 24 PLANNED</v>
      </c>
    </row>
    <row r="750" spans="1:11" x14ac:dyDescent="0.25">
      <c r="A750" s="8">
        <f t="shared" si="36"/>
        <v>4</v>
      </c>
      <c r="B750" s="6">
        <v>45400</v>
      </c>
      <c r="C750" s="7" t="s">
        <v>264</v>
      </c>
      <c r="D750" s="7">
        <v>24</v>
      </c>
      <c r="E750" s="8">
        <f>DAY(TableAopCalendar[[#This Row],[Date]])</f>
        <v>18</v>
      </c>
      <c r="F750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50" s="8" t="str">
        <f t="shared" si="37"/>
        <v>Week 3</v>
      </c>
      <c r="H750" s="8" t="str">
        <f t="shared" si="38"/>
        <v>April 24 Week 3</v>
      </c>
      <c r="I750" s="8" t="str">
        <f>CONCATENATE(UPPER(TableAopCalendar[[#This Row],[Month]])," ",TableAopCalendar[[#This Row],[Year]])</f>
        <v>APRIL 24</v>
      </c>
      <c r="J750" s="8" t="s">
        <v>274</v>
      </c>
      <c r="K750" s="8" t="str">
        <f>CONCATENATE(TableAopCalendar[[#This Row],[Month for Plan]]," ",TableAopCalendar[[#This Row],[Plan]])</f>
        <v>APRIL 24 PLANNED</v>
      </c>
    </row>
    <row r="751" spans="1:11" x14ac:dyDescent="0.25">
      <c r="A751" s="8">
        <f t="shared" si="36"/>
        <v>5</v>
      </c>
      <c r="B751" s="6">
        <v>45401</v>
      </c>
      <c r="C751" s="7" t="s">
        <v>264</v>
      </c>
      <c r="D751" s="7">
        <v>24</v>
      </c>
      <c r="E751" s="8">
        <f>DAY(TableAopCalendar[[#This Row],[Date]])</f>
        <v>19</v>
      </c>
      <c r="F751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51" s="8" t="str">
        <f t="shared" si="37"/>
        <v>Week 3</v>
      </c>
      <c r="H751" s="8" t="str">
        <f t="shared" si="38"/>
        <v>April 24 Week 3</v>
      </c>
      <c r="I751" s="8" t="str">
        <f>CONCATENATE(UPPER(TableAopCalendar[[#This Row],[Month]])," ",TableAopCalendar[[#This Row],[Year]])</f>
        <v>APRIL 24</v>
      </c>
      <c r="J751" s="8" t="s">
        <v>274</v>
      </c>
      <c r="K751" s="8" t="str">
        <f>CONCATENATE(TableAopCalendar[[#This Row],[Month for Plan]]," ",TableAopCalendar[[#This Row],[Plan]])</f>
        <v>APRIL 24 PLANNED</v>
      </c>
    </row>
    <row r="752" spans="1:11" x14ac:dyDescent="0.25">
      <c r="A752" s="8">
        <f t="shared" si="36"/>
        <v>6</v>
      </c>
      <c r="B752" s="6">
        <v>45402</v>
      </c>
      <c r="C752" s="7" t="s">
        <v>264</v>
      </c>
      <c r="D752" s="7">
        <v>24</v>
      </c>
      <c r="E752" s="8">
        <f>DAY(TableAopCalendar[[#This Row],[Date]])</f>
        <v>20</v>
      </c>
      <c r="F752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52" s="8" t="str">
        <f t="shared" si="37"/>
        <v>Week 3</v>
      </c>
      <c r="H752" s="8" t="str">
        <f t="shared" si="38"/>
        <v>April 24 Week 3</v>
      </c>
      <c r="I752" s="8" t="str">
        <f>CONCATENATE(UPPER(TableAopCalendar[[#This Row],[Month]])," ",TableAopCalendar[[#This Row],[Year]])</f>
        <v>APRIL 24</v>
      </c>
      <c r="J752" s="8" t="s">
        <v>274</v>
      </c>
      <c r="K752" s="8" t="str">
        <f>CONCATENATE(TableAopCalendar[[#This Row],[Month for Plan]]," ",TableAopCalendar[[#This Row],[Plan]])</f>
        <v>APRIL 24 PLANNED</v>
      </c>
    </row>
    <row r="753" spans="1:11" x14ac:dyDescent="0.25">
      <c r="A753" s="8">
        <f t="shared" si="36"/>
        <v>7</v>
      </c>
      <c r="B753" s="6">
        <v>45403</v>
      </c>
      <c r="C753" s="7" t="s">
        <v>264</v>
      </c>
      <c r="D753" s="7">
        <v>24</v>
      </c>
      <c r="E753" s="8">
        <f>DAY(TableAopCalendar[[#This Row],[Date]])</f>
        <v>21</v>
      </c>
      <c r="F753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53" s="8" t="str">
        <f t="shared" si="37"/>
        <v>Week 3</v>
      </c>
      <c r="H753" s="8" t="str">
        <f t="shared" si="38"/>
        <v>April 24 Week 3</v>
      </c>
      <c r="I753" s="8" t="str">
        <f>CONCATENATE(UPPER(TableAopCalendar[[#This Row],[Month]])," ",TableAopCalendar[[#This Row],[Year]])</f>
        <v>APRIL 24</v>
      </c>
      <c r="J753" s="8" t="s">
        <v>274</v>
      </c>
      <c r="K753" s="8" t="str">
        <f>CONCATENATE(TableAopCalendar[[#This Row],[Month for Plan]]," ",TableAopCalendar[[#This Row],[Plan]])</f>
        <v>APRIL 24 PLANNED</v>
      </c>
    </row>
    <row r="754" spans="1:11" x14ac:dyDescent="0.25">
      <c r="A754" s="8">
        <f t="shared" si="36"/>
        <v>1</v>
      </c>
      <c r="B754" s="6">
        <v>45404</v>
      </c>
      <c r="C754" s="7" t="s">
        <v>264</v>
      </c>
      <c r="D754" s="7">
        <v>24</v>
      </c>
      <c r="E754" s="8">
        <f>DAY(TableAopCalendar[[#This Row],[Date]])</f>
        <v>22</v>
      </c>
      <c r="F754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54" s="8" t="str">
        <f t="shared" si="37"/>
        <v>Week 4</v>
      </c>
      <c r="H754" s="8" t="str">
        <f t="shared" si="38"/>
        <v>April 24 Week 4</v>
      </c>
      <c r="I754" s="8" t="str">
        <f>CONCATENATE(UPPER(TableAopCalendar[[#This Row],[Month]])," ",TableAopCalendar[[#This Row],[Year]])</f>
        <v>APRIL 24</v>
      </c>
      <c r="J754" s="8" t="s">
        <v>274</v>
      </c>
      <c r="K754" s="8" t="str">
        <f>CONCATENATE(TableAopCalendar[[#This Row],[Month for Plan]]," ",TableAopCalendar[[#This Row],[Plan]])</f>
        <v>APRIL 24 PLANNED</v>
      </c>
    </row>
    <row r="755" spans="1:11" x14ac:dyDescent="0.25">
      <c r="A755" s="8">
        <f t="shared" si="36"/>
        <v>2</v>
      </c>
      <c r="B755" s="6">
        <v>45405</v>
      </c>
      <c r="C755" s="7" t="s">
        <v>264</v>
      </c>
      <c r="D755" s="7">
        <v>24</v>
      </c>
      <c r="E755" s="8">
        <f>DAY(TableAopCalendar[[#This Row],[Date]])</f>
        <v>23</v>
      </c>
      <c r="F755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55" s="8" t="str">
        <f t="shared" si="37"/>
        <v>Week 4</v>
      </c>
      <c r="H755" s="8" t="str">
        <f t="shared" si="38"/>
        <v>April 24 Week 4</v>
      </c>
      <c r="I755" s="8" t="str">
        <f>CONCATENATE(UPPER(TableAopCalendar[[#This Row],[Month]])," ",TableAopCalendar[[#This Row],[Year]])</f>
        <v>APRIL 24</v>
      </c>
      <c r="J755" s="8" t="s">
        <v>274</v>
      </c>
      <c r="K755" s="8" t="str">
        <f>CONCATENATE(TableAopCalendar[[#This Row],[Month for Plan]]," ",TableAopCalendar[[#This Row],[Plan]])</f>
        <v>APRIL 24 PLANNED</v>
      </c>
    </row>
    <row r="756" spans="1:11" x14ac:dyDescent="0.25">
      <c r="A756" s="8">
        <f t="shared" si="36"/>
        <v>3</v>
      </c>
      <c r="B756" s="6">
        <v>45406</v>
      </c>
      <c r="C756" s="7" t="s">
        <v>264</v>
      </c>
      <c r="D756" s="7">
        <v>24</v>
      </c>
      <c r="E756" s="8">
        <f>DAY(TableAopCalendar[[#This Row],[Date]])</f>
        <v>24</v>
      </c>
      <c r="F756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56" s="8" t="str">
        <f t="shared" si="37"/>
        <v>Week 4</v>
      </c>
      <c r="H756" s="8" t="str">
        <f t="shared" si="38"/>
        <v>April 24 Week 4</v>
      </c>
      <c r="I756" s="8" t="str">
        <f>CONCATENATE(UPPER(TableAopCalendar[[#This Row],[Month]])," ",TableAopCalendar[[#This Row],[Year]])</f>
        <v>APRIL 24</v>
      </c>
      <c r="J756" s="8" t="s">
        <v>274</v>
      </c>
      <c r="K756" s="8" t="str">
        <f>CONCATENATE(TableAopCalendar[[#This Row],[Month for Plan]]," ",TableAopCalendar[[#This Row],[Plan]])</f>
        <v>APRIL 24 PLANNED</v>
      </c>
    </row>
    <row r="757" spans="1:11" x14ac:dyDescent="0.25">
      <c r="A757" s="8">
        <f t="shared" si="36"/>
        <v>4</v>
      </c>
      <c r="B757" s="6">
        <v>45407</v>
      </c>
      <c r="C757" s="7" t="s">
        <v>264</v>
      </c>
      <c r="D757" s="7">
        <v>24</v>
      </c>
      <c r="E757" s="8">
        <f>DAY(TableAopCalendar[[#This Row],[Date]])</f>
        <v>25</v>
      </c>
      <c r="F757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57" s="8" t="str">
        <f t="shared" si="37"/>
        <v>Week 4</v>
      </c>
      <c r="H757" s="8" t="str">
        <f t="shared" si="38"/>
        <v>April 24 Week 4</v>
      </c>
      <c r="I757" s="8" t="str">
        <f>CONCATENATE(UPPER(TableAopCalendar[[#This Row],[Month]])," ",TableAopCalendar[[#This Row],[Year]])</f>
        <v>APRIL 24</v>
      </c>
      <c r="J757" s="8" t="s">
        <v>274</v>
      </c>
      <c r="K757" s="8" t="str">
        <f>CONCATENATE(TableAopCalendar[[#This Row],[Month for Plan]]," ",TableAopCalendar[[#This Row],[Plan]])</f>
        <v>APRIL 24 PLANNED</v>
      </c>
    </row>
    <row r="758" spans="1:11" x14ac:dyDescent="0.25">
      <c r="A758" s="8">
        <f t="shared" si="36"/>
        <v>5</v>
      </c>
      <c r="B758" s="6">
        <v>45408</v>
      </c>
      <c r="C758" s="7" t="s">
        <v>264</v>
      </c>
      <c r="D758" s="7">
        <v>24</v>
      </c>
      <c r="E758" s="8">
        <f>DAY(TableAopCalendar[[#This Row],[Date]])</f>
        <v>26</v>
      </c>
      <c r="F758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58" s="8" t="str">
        <f t="shared" si="37"/>
        <v>Week 4</v>
      </c>
      <c r="H758" s="8" t="str">
        <f t="shared" si="38"/>
        <v>April 24 Week 4</v>
      </c>
      <c r="I758" s="8" t="str">
        <f>CONCATENATE(UPPER(TableAopCalendar[[#This Row],[Month]])," ",TableAopCalendar[[#This Row],[Year]])</f>
        <v>APRIL 24</v>
      </c>
      <c r="J758" s="8" t="s">
        <v>274</v>
      </c>
      <c r="K758" s="8" t="str">
        <f>CONCATENATE(TableAopCalendar[[#This Row],[Month for Plan]]," ",TableAopCalendar[[#This Row],[Plan]])</f>
        <v>APRIL 24 PLANNED</v>
      </c>
    </row>
    <row r="759" spans="1:11" x14ac:dyDescent="0.25">
      <c r="A759" s="8">
        <f t="shared" si="36"/>
        <v>6</v>
      </c>
      <c r="B759" s="6">
        <v>45409</v>
      </c>
      <c r="C759" s="7" t="s">
        <v>264</v>
      </c>
      <c r="D759" s="7">
        <v>24</v>
      </c>
      <c r="E759" s="8">
        <f>DAY(TableAopCalendar[[#This Row],[Date]])</f>
        <v>27</v>
      </c>
      <c r="F759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59" s="8" t="str">
        <f t="shared" si="37"/>
        <v>Week 4</v>
      </c>
      <c r="H759" s="8" t="str">
        <f t="shared" si="38"/>
        <v>April 24 Week 4</v>
      </c>
      <c r="I759" s="8" t="str">
        <f>CONCATENATE(UPPER(TableAopCalendar[[#This Row],[Month]])," ",TableAopCalendar[[#This Row],[Year]])</f>
        <v>APRIL 24</v>
      </c>
      <c r="J759" s="8" t="s">
        <v>274</v>
      </c>
      <c r="K759" s="8" t="str">
        <f>CONCATENATE(TableAopCalendar[[#This Row],[Month for Plan]]," ",TableAopCalendar[[#This Row],[Plan]])</f>
        <v>APRIL 24 PLANNED</v>
      </c>
    </row>
    <row r="760" spans="1:11" x14ac:dyDescent="0.25">
      <c r="A760" s="8">
        <f t="shared" si="36"/>
        <v>7</v>
      </c>
      <c r="B760" s="6">
        <v>45410</v>
      </c>
      <c r="C760" s="7" t="s">
        <v>264</v>
      </c>
      <c r="D760" s="7">
        <v>24</v>
      </c>
      <c r="E760" s="8">
        <f>DAY(TableAopCalendar[[#This Row],[Date]])</f>
        <v>28</v>
      </c>
      <c r="F760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60" s="8" t="str">
        <f t="shared" si="37"/>
        <v>Week 4</v>
      </c>
      <c r="H760" s="8" t="str">
        <f t="shared" si="38"/>
        <v>April 24 Week 4</v>
      </c>
      <c r="I760" s="8" t="str">
        <f>CONCATENATE(UPPER(TableAopCalendar[[#This Row],[Month]])," ",TableAopCalendar[[#This Row],[Year]])</f>
        <v>APRIL 24</v>
      </c>
      <c r="J760" s="8" t="s">
        <v>274</v>
      </c>
      <c r="K760" s="8" t="str">
        <f>CONCATENATE(TableAopCalendar[[#This Row],[Month for Plan]]," ",TableAopCalendar[[#This Row],[Plan]])</f>
        <v>APRIL 24 PLANNED</v>
      </c>
    </row>
    <row r="761" spans="1:11" x14ac:dyDescent="0.25">
      <c r="A761" s="8">
        <f t="shared" si="36"/>
        <v>1</v>
      </c>
      <c r="B761" s="6">
        <v>45411</v>
      </c>
      <c r="C761" s="7" t="s">
        <v>264</v>
      </c>
      <c r="D761" s="7">
        <v>24</v>
      </c>
      <c r="E761" s="8">
        <f>DAY(TableAopCalendar[[#This Row],[Date]])</f>
        <v>29</v>
      </c>
      <c r="F761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61" s="8" t="str">
        <f t="shared" si="37"/>
        <v>Week 5</v>
      </c>
      <c r="H761" s="8" t="str">
        <f t="shared" si="38"/>
        <v>April 24 Week 5</v>
      </c>
      <c r="I761" s="8" t="str">
        <f>CONCATENATE(UPPER(TableAopCalendar[[#This Row],[Month]])," ",TableAopCalendar[[#This Row],[Year]])</f>
        <v>APRIL 24</v>
      </c>
      <c r="J761" s="8" t="s">
        <v>274</v>
      </c>
      <c r="K761" s="8" t="str">
        <f>CONCATENATE(TableAopCalendar[[#This Row],[Month for Plan]]," ",TableAopCalendar[[#This Row],[Plan]])</f>
        <v>APRIL 24 PLANNED</v>
      </c>
    </row>
    <row r="762" spans="1:11" x14ac:dyDescent="0.25">
      <c r="A762" s="8">
        <f t="shared" si="36"/>
        <v>2</v>
      </c>
      <c r="B762" s="6">
        <v>45412</v>
      </c>
      <c r="C762" s="7" t="s">
        <v>264</v>
      </c>
      <c r="D762" s="7">
        <v>24</v>
      </c>
      <c r="E762" s="8">
        <f>DAY(TableAopCalendar[[#This Row],[Date]])</f>
        <v>30</v>
      </c>
      <c r="F762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62" s="8" t="str">
        <f t="shared" si="37"/>
        <v>Week 5</v>
      </c>
      <c r="H762" s="8" t="str">
        <f t="shared" si="38"/>
        <v>April 24 Week 5</v>
      </c>
      <c r="I762" s="8" t="str">
        <f>CONCATENATE(UPPER(TableAopCalendar[[#This Row],[Month]])," ",TableAopCalendar[[#This Row],[Year]])</f>
        <v>APRIL 24</v>
      </c>
      <c r="J762" s="8" t="s">
        <v>274</v>
      </c>
      <c r="K762" s="8" t="str">
        <f>CONCATENATE(TableAopCalendar[[#This Row],[Month for Plan]]," ",TableAopCalendar[[#This Row],[Plan]])</f>
        <v>APRIL 24 PLANNED</v>
      </c>
    </row>
    <row r="763" spans="1:11" x14ac:dyDescent="0.25">
      <c r="A763" s="8">
        <f t="shared" si="36"/>
        <v>1</v>
      </c>
      <c r="B763" s="6">
        <v>45413</v>
      </c>
      <c r="C763" s="7" t="s">
        <v>265</v>
      </c>
      <c r="D763" s="7">
        <v>24</v>
      </c>
      <c r="E763" s="8">
        <f>DAY(TableAopCalendar[[#This Row],[Date]])</f>
        <v>1</v>
      </c>
      <c r="F763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63" s="8" t="str">
        <f t="shared" si="37"/>
        <v>Week 1</v>
      </c>
      <c r="H763" s="8" t="str">
        <f t="shared" si="38"/>
        <v>May 24 Week 1</v>
      </c>
      <c r="I763" s="8" t="str">
        <f>CONCATENATE(UPPER(TableAopCalendar[[#This Row],[Month]])," ",TableAopCalendar[[#This Row],[Year]])</f>
        <v>MAY 24</v>
      </c>
      <c r="J763" s="8" t="s">
        <v>274</v>
      </c>
      <c r="K763" s="8" t="str">
        <f>CONCATENATE(TableAopCalendar[[#This Row],[Month for Plan]]," ",TableAopCalendar[[#This Row],[Plan]])</f>
        <v>MAY 24 PLANNED</v>
      </c>
    </row>
    <row r="764" spans="1:11" x14ac:dyDescent="0.25">
      <c r="A764" s="8">
        <f t="shared" si="36"/>
        <v>2</v>
      </c>
      <c r="B764" s="6">
        <v>45414</v>
      </c>
      <c r="C764" s="7" t="s">
        <v>265</v>
      </c>
      <c r="D764" s="7">
        <v>24</v>
      </c>
      <c r="E764" s="8">
        <f>DAY(TableAopCalendar[[#This Row],[Date]])</f>
        <v>2</v>
      </c>
      <c r="F764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64" s="8" t="str">
        <f t="shared" si="37"/>
        <v>Week 1</v>
      </c>
      <c r="H764" s="8" t="str">
        <f t="shared" si="38"/>
        <v>May 24 Week 1</v>
      </c>
      <c r="I764" s="8" t="str">
        <f>CONCATENATE(UPPER(TableAopCalendar[[#This Row],[Month]])," ",TableAopCalendar[[#This Row],[Year]])</f>
        <v>MAY 24</v>
      </c>
      <c r="J764" s="8" t="s">
        <v>274</v>
      </c>
      <c r="K764" s="8" t="str">
        <f>CONCATENATE(TableAopCalendar[[#This Row],[Month for Plan]]," ",TableAopCalendar[[#This Row],[Plan]])</f>
        <v>MAY 24 PLANNED</v>
      </c>
    </row>
    <row r="765" spans="1:11" x14ac:dyDescent="0.25">
      <c r="A765" s="8">
        <f t="shared" ref="A765:A796" si="39">IF(G765=G764,A764+1,1)</f>
        <v>3</v>
      </c>
      <c r="B765" s="6">
        <v>45415</v>
      </c>
      <c r="C765" s="7" t="s">
        <v>265</v>
      </c>
      <c r="D765" s="7">
        <v>24</v>
      </c>
      <c r="E765" s="8">
        <f>DAY(TableAopCalendar[[#This Row],[Date]])</f>
        <v>3</v>
      </c>
      <c r="F765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65" s="8" t="str">
        <f t="shared" ref="G765:G796" si="40">"Week"&amp;" "&amp;F765</f>
        <v>Week 1</v>
      </c>
      <c r="H765" s="8" t="str">
        <f t="shared" ref="H765:H796" si="41">CONCATENATE(C765," ",D765," ",G765)</f>
        <v>May 24 Week 1</v>
      </c>
      <c r="I765" s="8" t="str">
        <f>CONCATENATE(UPPER(TableAopCalendar[[#This Row],[Month]])," ",TableAopCalendar[[#This Row],[Year]])</f>
        <v>MAY 24</v>
      </c>
      <c r="J765" s="8" t="s">
        <v>274</v>
      </c>
      <c r="K765" s="8" t="str">
        <f>CONCATENATE(TableAopCalendar[[#This Row],[Month for Plan]]," ",TableAopCalendar[[#This Row],[Plan]])</f>
        <v>MAY 24 PLANNED</v>
      </c>
    </row>
    <row r="766" spans="1:11" x14ac:dyDescent="0.25">
      <c r="A766" s="8">
        <f t="shared" si="39"/>
        <v>4</v>
      </c>
      <c r="B766" s="6">
        <v>45416</v>
      </c>
      <c r="C766" s="7" t="s">
        <v>265</v>
      </c>
      <c r="D766" s="7">
        <v>24</v>
      </c>
      <c r="E766" s="8">
        <f>DAY(TableAopCalendar[[#This Row],[Date]])</f>
        <v>4</v>
      </c>
      <c r="F766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66" s="8" t="str">
        <f t="shared" si="40"/>
        <v>Week 1</v>
      </c>
      <c r="H766" s="8" t="str">
        <f t="shared" si="41"/>
        <v>May 24 Week 1</v>
      </c>
      <c r="I766" s="8" t="str">
        <f>CONCATENATE(UPPER(TableAopCalendar[[#This Row],[Month]])," ",TableAopCalendar[[#This Row],[Year]])</f>
        <v>MAY 24</v>
      </c>
      <c r="J766" s="8" t="s">
        <v>274</v>
      </c>
      <c r="K766" s="8" t="str">
        <f>CONCATENATE(TableAopCalendar[[#This Row],[Month for Plan]]," ",TableAopCalendar[[#This Row],[Plan]])</f>
        <v>MAY 24 PLANNED</v>
      </c>
    </row>
    <row r="767" spans="1:11" x14ac:dyDescent="0.25">
      <c r="A767" s="8">
        <f t="shared" si="39"/>
        <v>5</v>
      </c>
      <c r="B767" s="6">
        <v>45417</v>
      </c>
      <c r="C767" s="7" t="s">
        <v>265</v>
      </c>
      <c r="D767" s="7">
        <v>24</v>
      </c>
      <c r="E767" s="8">
        <f>DAY(TableAopCalendar[[#This Row],[Date]])</f>
        <v>5</v>
      </c>
      <c r="F767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67" s="8" t="str">
        <f t="shared" si="40"/>
        <v>Week 1</v>
      </c>
      <c r="H767" s="8" t="str">
        <f t="shared" si="41"/>
        <v>May 24 Week 1</v>
      </c>
      <c r="I767" s="8" t="str">
        <f>CONCATENATE(UPPER(TableAopCalendar[[#This Row],[Month]])," ",TableAopCalendar[[#This Row],[Year]])</f>
        <v>MAY 24</v>
      </c>
      <c r="J767" s="8" t="s">
        <v>274</v>
      </c>
      <c r="K767" s="8" t="str">
        <f>CONCATENATE(TableAopCalendar[[#This Row],[Month for Plan]]," ",TableAopCalendar[[#This Row],[Plan]])</f>
        <v>MAY 24 PLANNED</v>
      </c>
    </row>
    <row r="768" spans="1:11" x14ac:dyDescent="0.25">
      <c r="A768" s="8">
        <f t="shared" si="39"/>
        <v>6</v>
      </c>
      <c r="B768" s="6">
        <v>45418</v>
      </c>
      <c r="C768" s="7" t="s">
        <v>265</v>
      </c>
      <c r="D768" s="7">
        <v>24</v>
      </c>
      <c r="E768" s="8">
        <f>DAY(TableAopCalendar[[#This Row],[Date]])</f>
        <v>6</v>
      </c>
      <c r="F768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68" s="8" t="str">
        <f t="shared" si="40"/>
        <v>Week 1</v>
      </c>
      <c r="H768" s="8" t="str">
        <f t="shared" si="41"/>
        <v>May 24 Week 1</v>
      </c>
      <c r="I768" s="8" t="str">
        <f>CONCATENATE(UPPER(TableAopCalendar[[#This Row],[Month]])," ",TableAopCalendar[[#This Row],[Year]])</f>
        <v>MAY 24</v>
      </c>
      <c r="J768" s="8" t="s">
        <v>274</v>
      </c>
      <c r="K768" s="8" t="str">
        <f>CONCATENATE(TableAopCalendar[[#This Row],[Month for Plan]]," ",TableAopCalendar[[#This Row],[Plan]])</f>
        <v>MAY 24 PLANNED</v>
      </c>
    </row>
    <row r="769" spans="1:11" x14ac:dyDescent="0.25">
      <c r="A769" s="8">
        <f t="shared" si="39"/>
        <v>7</v>
      </c>
      <c r="B769" s="6">
        <v>45419</v>
      </c>
      <c r="C769" s="7" t="s">
        <v>265</v>
      </c>
      <c r="D769" s="7">
        <v>24</v>
      </c>
      <c r="E769" s="8">
        <f>DAY(TableAopCalendar[[#This Row],[Date]])</f>
        <v>7</v>
      </c>
      <c r="F769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69" s="8" t="str">
        <f t="shared" si="40"/>
        <v>Week 1</v>
      </c>
      <c r="H769" s="8" t="str">
        <f t="shared" si="41"/>
        <v>May 24 Week 1</v>
      </c>
      <c r="I769" s="8" t="str">
        <f>CONCATENATE(UPPER(TableAopCalendar[[#This Row],[Month]])," ",TableAopCalendar[[#This Row],[Year]])</f>
        <v>MAY 24</v>
      </c>
      <c r="J769" s="8" t="s">
        <v>274</v>
      </c>
      <c r="K769" s="8" t="str">
        <f>CONCATENATE(TableAopCalendar[[#This Row],[Month for Plan]]," ",TableAopCalendar[[#This Row],[Plan]])</f>
        <v>MAY 24 PLANNED</v>
      </c>
    </row>
    <row r="770" spans="1:11" x14ac:dyDescent="0.25">
      <c r="A770" s="8">
        <f t="shared" si="39"/>
        <v>1</v>
      </c>
      <c r="B770" s="6">
        <v>45420</v>
      </c>
      <c r="C770" s="7" t="s">
        <v>265</v>
      </c>
      <c r="D770" s="7">
        <v>24</v>
      </c>
      <c r="E770" s="8">
        <f>DAY(TableAopCalendar[[#This Row],[Date]])</f>
        <v>8</v>
      </c>
      <c r="F770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70" s="8" t="str">
        <f t="shared" si="40"/>
        <v>Week 2</v>
      </c>
      <c r="H770" s="8" t="str">
        <f t="shared" si="41"/>
        <v>May 24 Week 2</v>
      </c>
      <c r="I770" s="8" t="str">
        <f>CONCATENATE(UPPER(TableAopCalendar[[#This Row],[Month]])," ",TableAopCalendar[[#This Row],[Year]])</f>
        <v>MAY 24</v>
      </c>
      <c r="J770" s="8" t="s">
        <v>274</v>
      </c>
      <c r="K770" s="8" t="str">
        <f>CONCATENATE(TableAopCalendar[[#This Row],[Month for Plan]]," ",TableAopCalendar[[#This Row],[Plan]])</f>
        <v>MAY 24 PLANNED</v>
      </c>
    </row>
    <row r="771" spans="1:11" x14ac:dyDescent="0.25">
      <c r="A771" s="8">
        <f t="shared" si="39"/>
        <v>2</v>
      </c>
      <c r="B771" s="6">
        <v>45421</v>
      </c>
      <c r="C771" s="7" t="s">
        <v>265</v>
      </c>
      <c r="D771" s="7">
        <v>24</v>
      </c>
      <c r="E771" s="8">
        <f>DAY(TableAopCalendar[[#This Row],[Date]])</f>
        <v>9</v>
      </c>
      <c r="F771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71" s="8" t="str">
        <f t="shared" si="40"/>
        <v>Week 2</v>
      </c>
      <c r="H771" s="8" t="str">
        <f t="shared" si="41"/>
        <v>May 24 Week 2</v>
      </c>
      <c r="I771" s="8" t="str">
        <f>CONCATENATE(UPPER(TableAopCalendar[[#This Row],[Month]])," ",TableAopCalendar[[#This Row],[Year]])</f>
        <v>MAY 24</v>
      </c>
      <c r="J771" s="8" t="s">
        <v>274</v>
      </c>
      <c r="K771" s="8" t="str">
        <f>CONCATENATE(TableAopCalendar[[#This Row],[Month for Plan]]," ",TableAopCalendar[[#This Row],[Plan]])</f>
        <v>MAY 24 PLANNED</v>
      </c>
    </row>
    <row r="772" spans="1:11" x14ac:dyDescent="0.25">
      <c r="A772" s="8">
        <f t="shared" si="39"/>
        <v>3</v>
      </c>
      <c r="B772" s="6">
        <v>45422</v>
      </c>
      <c r="C772" s="7" t="s">
        <v>265</v>
      </c>
      <c r="D772" s="7">
        <v>24</v>
      </c>
      <c r="E772" s="8">
        <f>DAY(TableAopCalendar[[#This Row],[Date]])</f>
        <v>10</v>
      </c>
      <c r="F772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72" s="8" t="str">
        <f t="shared" si="40"/>
        <v>Week 2</v>
      </c>
      <c r="H772" s="8" t="str">
        <f t="shared" si="41"/>
        <v>May 24 Week 2</v>
      </c>
      <c r="I772" s="8" t="str">
        <f>CONCATENATE(UPPER(TableAopCalendar[[#This Row],[Month]])," ",TableAopCalendar[[#This Row],[Year]])</f>
        <v>MAY 24</v>
      </c>
      <c r="J772" s="8" t="s">
        <v>274</v>
      </c>
      <c r="K772" s="8" t="str">
        <f>CONCATENATE(TableAopCalendar[[#This Row],[Month for Plan]]," ",TableAopCalendar[[#This Row],[Plan]])</f>
        <v>MAY 24 PLANNED</v>
      </c>
    </row>
    <row r="773" spans="1:11" x14ac:dyDescent="0.25">
      <c r="A773" s="8">
        <f t="shared" si="39"/>
        <v>4</v>
      </c>
      <c r="B773" s="6">
        <v>45423</v>
      </c>
      <c r="C773" s="7" t="s">
        <v>265</v>
      </c>
      <c r="D773" s="7">
        <v>24</v>
      </c>
      <c r="E773" s="8">
        <f>DAY(TableAopCalendar[[#This Row],[Date]])</f>
        <v>11</v>
      </c>
      <c r="F773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73" s="8" t="str">
        <f t="shared" si="40"/>
        <v>Week 2</v>
      </c>
      <c r="H773" s="8" t="str">
        <f t="shared" si="41"/>
        <v>May 24 Week 2</v>
      </c>
      <c r="I773" s="8" t="str">
        <f>CONCATENATE(UPPER(TableAopCalendar[[#This Row],[Month]])," ",TableAopCalendar[[#This Row],[Year]])</f>
        <v>MAY 24</v>
      </c>
      <c r="J773" s="8" t="s">
        <v>274</v>
      </c>
      <c r="K773" s="8" t="str">
        <f>CONCATENATE(TableAopCalendar[[#This Row],[Month for Plan]]," ",TableAopCalendar[[#This Row],[Plan]])</f>
        <v>MAY 24 PLANNED</v>
      </c>
    </row>
    <row r="774" spans="1:11" x14ac:dyDescent="0.25">
      <c r="A774" s="8">
        <f t="shared" si="39"/>
        <v>5</v>
      </c>
      <c r="B774" s="6">
        <v>45424</v>
      </c>
      <c r="C774" s="7" t="s">
        <v>265</v>
      </c>
      <c r="D774" s="7">
        <v>24</v>
      </c>
      <c r="E774" s="8">
        <f>DAY(TableAopCalendar[[#This Row],[Date]])</f>
        <v>12</v>
      </c>
      <c r="F774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74" s="8" t="str">
        <f t="shared" si="40"/>
        <v>Week 2</v>
      </c>
      <c r="H774" s="8" t="str">
        <f t="shared" si="41"/>
        <v>May 24 Week 2</v>
      </c>
      <c r="I774" s="8" t="str">
        <f>CONCATENATE(UPPER(TableAopCalendar[[#This Row],[Month]])," ",TableAopCalendar[[#This Row],[Year]])</f>
        <v>MAY 24</v>
      </c>
      <c r="J774" s="8" t="s">
        <v>274</v>
      </c>
      <c r="K774" s="8" t="str">
        <f>CONCATENATE(TableAopCalendar[[#This Row],[Month for Plan]]," ",TableAopCalendar[[#This Row],[Plan]])</f>
        <v>MAY 24 PLANNED</v>
      </c>
    </row>
    <row r="775" spans="1:11" x14ac:dyDescent="0.25">
      <c r="A775" s="8">
        <f t="shared" si="39"/>
        <v>6</v>
      </c>
      <c r="B775" s="6">
        <v>45425</v>
      </c>
      <c r="C775" s="7" t="s">
        <v>265</v>
      </c>
      <c r="D775" s="7">
        <v>24</v>
      </c>
      <c r="E775" s="8">
        <f>DAY(TableAopCalendar[[#This Row],[Date]])</f>
        <v>13</v>
      </c>
      <c r="F775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75" s="8" t="str">
        <f t="shared" si="40"/>
        <v>Week 2</v>
      </c>
      <c r="H775" s="8" t="str">
        <f t="shared" si="41"/>
        <v>May 24 Week 2</v>
      </c>
      <c r="I775" s="8" t="str">
        <f>CONCATENATE(UPPER(TableAopCalendar[[#This Row],[Month]])," ",TableAopCalendar[[#This Row],[Year]])</f>
        <v>MAY 24</v>
      </c>
      <c r="J775" s="8" t="s">
        <v>274</v>
      </c>
      <c r="K775" s="8" t="str">
        <f>CONCATENATE(TableAopCalendar[[#This Row],[Month for Plan]]," ",TableAopCalendar[[#This Row],[Plan]])</f>
        <v>MAY 24 PLANNED</v>
      </c>
    </row>
    <row r="776" spans="1:11" x14ac:dyDescent="0.25">
      <c r="A776" s="8">
        <f t="shared" si="39"/>
        <v>7</v>
      </c>
      <c r="B776" s="6">
        <v>45426</v>
      </c>
      <c r="C776" s="7" t="s">
        <v>265</v>
      </c>
      <c r="D776" s="7">
        <v>24</v>
      </c>
      <c r="E776" s="8">
        <f>DAY(TableAopCalendar[[#This Row],[Date]])</f>
        <v>14</v>
      </c>
      <c r="F776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776" s="8" t="str">
        <f t="shared" si="40"/>
        <v>Week 2</v>
      </c>
      <c r="H776" s="8" t="str">
        <f t="shared" si="41"/>
        <v>May 24 Week 2</v>
      </c>
      <c r="I776" s="8" t="str">
        <f>CONCATENATE(UPPER(TableAopCalendar[[#This Row],[Month]])," ",TableAopCalendar[[#This Row],[Year]])</f>
        <v>MAY 24</v>
      </c>
      <c r="J776" s="8" t="s">
        <v>274</v>
      </c>
      <c r="K776" s="8" t="str">
        <f>CONCATENATE(TableAopCalendar[[#This Row],[Month for Plan]]," ",TableAopCalendar[[#This Row],[Plan]])</f>
        <v>MAY 24 PLANNED</v>
      </c>
    </row>
    <row r="777" spans="1:11" x14ac:dyDescent="0.25">
      <c r="A777" s="8">
        <f t="shared" si="39"/>
        <v>1</v>
      </c>
      <c r="B777" s="6">
        <v>45427</v>
      </c>
      <c r="C777" s="7" t="s">
        <v>265</v>
      </c>
      <c r="D777" s="7">
        <v>24</v>
      </c>
      <c r="E777" s="8">
        <f>DAY(TableAopCalendar[[#This Row],[Date]])</f>
        <v>15</v>
      </c>
      <c r="F777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77" s="8" t="str">
        <f t="shared" si="40"/>
        <v>Week 3</v>
      </c>
      <c r="H777" s="8" t="str">
        <f t="shared" si="41"/>
        <v>May 24 Week 3</v>
      </c>
      <c r="I777" s="8" t="str">
        <f>CONCATENATE(UPPER(TableAopCalendar[[#This Row],[Month]])," ",TableAopCalendar[[#This Row],[Year]])</f>
        <v>MAY 24</v>
      </c>
      <c r="J777" s="8" t="s">
        <v>274</v>
      </c>
      <c r="K777" s="8" t="str">
        <f>CONCATENATE(TableAopCalendar[[#This Row],[Month for Plan]]," ",TableAopCalendar[[#This Row],[Plan]])</f>
        <v>MAY 24 PLANNED</v>
      </c>
    </row>
    <row r="778" spans="1:11" x14ac:dyDescent="0.25">
      <c r="A778" s="8">
        <f t="shared" si="39"/>
        <v>2</v>
      </c>
      <c r="B778" s="6">
        <v>45428</v>
      </c>
      <c r="C778" s="7" t="s">
        <v>265</v>
      </c>
      <c r="D778" s="7">
        <v>24</v>
      </c>
      <c r="E778" s="8">
        <f>DAY(TableAopCalendar[[#This Row],[Date]])</f>
        <v>16</v>
      </c>
      <c r="F778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78" s="8" t="str">
        <f t="shared" si="40"/>
        <v>Week 3</v>
      </c>
      <c r="H778" s="8" t="str">
        <f t="shared" si="41"/>
        <v>May 24 Week 3</v>
      </c>
      <c r="I778" s="8" t="str">
        <f>CONCATENATE(UPPER(TableAopCalendar[[#This Row],[Month]])," ",TableAopCalendar[[#This Row],[Year]])</f>
        <v>MAY 24</v>
      </c>
      <c r="J778" s="8" t="s">
        <v>274</v>
      </c>
      <c r="K778" s="8" t="str">
        <f>CONCATENATE(TableAopCalendar[[#This Row],[Month for Plan]]," ",TableAopCalendar[[#This Row],[Plan]])</f>
        <v>MAY 24 PLANNED</v>
      </c>
    </row>
    <row r="779" spans="1:11" x14ac:dyDescent="0.25">
      <c r="A779" s="8">
        <f t="shared" si="39"/>
        <v>3</v>
      </c>
      <c r="B779" s="6">
        <v>45429</v>
      </c>
      <c r="C779" s="7" t="s">
        <v>265</v>
      </c>
      <c r="D779" s="7">
        <v>24</v>
      </c>
      <c r="E779" s="8">
        <f>DAY(TableAopCalendar[[#This Row],[Date]])</f>
        <v>17</v>
      </c>
      <c r="F779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79" s="8" t="str">
        <f t="shared" si="40"/>
        <v>Week 3</v>
      </c>
      <c r="H779" s="8" t="str">
        <f t="shared" si="41"/>
        <v>May 24 Week 3</v>
      </c>
      <c r="I779" s="8" t="str">
        <f>CONCATENATE(UPPER(TableAopCalendar[[#This Row],[Month]])," ",TableAopCalendar[[#This Row],[Year]])</f>
        <v>MAY 24</v>
      </c>
      <c r="J779" s="8" t="s">
        <v>274</v>
      </c>
      <c r="K779" s="8" t="str">
        <f>CONCATENATE(TableAopCalendar[[#This Row],[Month for Plan]]," ",TableAopCalendar[[#This Row],[Plan]])</f>
        <v>MAY 24 PLANNED</v>
      </c>
    </row>
    <row r="780" spans="1:11" x14ac:dyDescent="0.25">
      <c r="A780" s="8">
        <f t="shared" si="39"/>
        <v>4</v>
      </c>
      <c r="B780" s="6">
        <v>45430</v>
      </c>
      <c r="C780" s="7" t="s">
        <v>265</v>
      </c>
      <c r="D780" s="7">
        <v>24</v>
      </c>
      <c r="E780" s="8">
        <f>DAY(TableAopCalendar[[#This Row],[Date]])</f>
        <v>18</v>
      </c>
      <c r="F780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80" s="8" t="str">
        <f t="shared" si="40"/>
        <v>Week 3</v>
      </c>
      <c r="H780" s="8" t="str">
        <f t="shared" si="41"/>
        <v>May 24 Week 3</v>
      </c>
      <c r="I780" s="8" t="str">
        <f>CONCATENATE(UPPER(TableAopCalendar[[#This Row],[Month]])," ",TableAopCalendar[[#This Row],[Year]])</f>
        <v>MAY 24</v>
      </c>
      <c r="J780" s="8" t="s">
        <v>274</v>
      </c>
      <c r="K780" s="8" t="str">
        <f>CONCATENATE(TableAopCalendar[[#This Row],[Month for Plan]]," ",TableAopCalendar[[#This Row],[Plan]])</f>
        <v>MAY 24 PLANNED</v>
      </c>
    </row>
    <row r="781" spans="1:11" x14ac:dyDescent="0.25">
      <c r="A781" s="8">
        <f t="shared" si="39"/>
        <v>5</v>
      </c>
      <c r="B781" s="6">
        <v>45431</v>
      </c>
      <c r="C781" s="7" t="s">
        <v>265</v>
      </c>
      <c r="D781" s="7">
        <v>24</v>
      </c>
      <c r="E781" s="8">
        <f>DAY(TableAopCalendar[[#This Row],[Date]])</f>
        <v>19</v>
      </c>
      <c r="F781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81" s="8" t="str">
        <f t="shared" si="40"/>
        <v>Week 3</v>
      </c>
      <c r="H781" s="8" t="str">
        <f t="shared" si="41"/>
        <v>May 24 Week 3</v>
      </c>
      <c r="I781" s="8" t="str">
        <f>CONCATENATE(UPPER(TableAopCalendar[[#This Row],[Month]])," ",TableAopCalendar[[#This Row],[Year]])</f>
        <v>MAY 24</v>
      </c>
      <c r="J781" s="8" t="s">
        <v>274</v>
      </c>
      <c r="K781" s="8" t="str">
        <f>CONCATENATE(TableAopCalendar[[#This Row],[Month for Plan]]," ",TableAopCalendar[[#This Row],[Plan]])</f>
        <v>MAY 24 PLANNED</v>
      </c>
    </row>
    <row r="782" spans="1:11" x14ac:dyDescent="0.25">
      <c r="A782" s="8">
        <f t="shared" si="39"/>
        <v>6</v>
      </c>
      <c r="B782" s="6">
        <v>45432</v>
      </c>
      <c r="C782" s="7" t="s">
        <v>265</v>
      </c>
      <c r="D782" s="7">
        <v>24</v>
      </c>
      <c r="E782" s="8">
        <f>DAY(TableAopCalendar[[#This Row],[Date]])</f>
        <v>20</v>
      </c>
      <c r="F782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82" s="8" t="str">
        <f t="shared" si="40"/>
        <v>Week 3</v>
      </c>
      <c r="H782" s="8" t="str">
        <f t="shared" si="41"/>
        <v>May 24 Week 3</v>
      </c>
      <c r="I782" s="8" t="str">
        <f>CONCATENATE(UPPER(TableAopCalendar[[#This Row],[Month]])," ",TableAopCalendar[[#This Row],[Year]])</f>
        <v>MAY 24</v>
      </c>
      <c r="J782" s="8" t="s">
        <v>274</v>
      </c>
      <c r="K782" s="8" t="str">
        <f>CONCATENATE(TableAopCalendar[[#This Row],[Month for Plan]]," ",TableAopCalendar[[#This Row],[Plan]])</f>
        <v>MAY 24 PLANNED</v>
      </c>
    </row>
    <row r="783" spans="1:11" x14ac:dyDescent="0.25">
      <c r="A783" s="8">
        <f t="shared" si="39"/>
        <v>7</v>
      </c>
      <c r="B783" s="6">
        <v>45433</v>
      </c>
      <c r="C783" s="7" t="s">
        <v>265</v>
      </c>
      <c r="D783" s="7">
        <v>24</v>
      </c>
      <c r="E783" s="8">
        <f>DAY(TableAopCalendar[[#This Row],[Date]])</f>
        <v>21</v>
      </c>
      <c r="F783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783" s="8" t="str">
        <f t="shared" si="40"/>
        <v>Week 3</v>
      </c>
      <c r="H783" s="8" t="str">
        <f t="shared" si="41"/>
        <v>May 24 Week 3</v>
      </c>
      <c r="I783" s="8" t="str">
        <f>CONCATENATE(UPPER(TableAopCalendar[[#This Row],[Month]])," ",TableAopCalendar[[#This Row],[Year]])</f>
        <v>MAY 24</v>
      </c>
      <c r="J783" s="8" t="s">
        <v>274</v>
      </c>
      <c r="K783" s="8" t="str">
        <f>CONCATENATE(TableAopCalendar[[#This Row],[Month for Plan]]," ",TableAopCalendar[[#This Row],[Plan]])</f>
        <v>MAY 24 PLANNED</v>
      </c>
    </row>
    <row r="784" spans="1:11" x14ac:dyDescent="0.25">
      <c r="A784" s="8">
        <f t="shared" si="39"/>
        <v>1</v>
      </c>
      <c r="B784" s="6">
        <v>45434</v>
      </c>
      <c r="C784" s="7" t="s">
        <v>265</v>
      </c>
      <c r="D784" s="7">
        <v>24</v>
      </c>
      <c r="E784" s="8">
        <f>DAY(TableAopCalendar[[#This Row],[Date]])</f>
        <v>22</v>
      </c>
      <c r="F784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84" s="8" t="str">
        <f t="shared" si="40"/>
        <v>Week 4</v>
      </c>
      <c r="H784" s="8" t="str">
        <f t="shared" si="41"/>
        <v>May 24 Week 4</v>
      </c>
      <c r="I784" s="8" t="str">
        <f>CONCATENATE(UPPER(TableAopCalendar[[#This Row],[Month]])," ",TableAopCalendar[[#This Row],[Year]])</f>
        <v>MAY 24</v>
      </c>
      <c r="J784" s="8" t="s">
        <v>274</v>
      </c>
      <c r="K784" s="8" t="str">
        <f>CONCATENATE(TableAopCalendar[[#This Row],[Month for Plan]]," ",TableAopCalendar[[#This Row],[Plan]])</f>
        <v>MAY 24 PLANNED</v>
      </c>
    </row>
    <row r="785" spans="1:11" x14ac:dyDescent="0.25">
      <c r="A785" s="8">
        <f t="shared" si="39"/>
        <v>2</v>
      </c>
      <c r="B785" s="6">
        <v>45435</v>
      </c>
      <c r="C785" s="7" t="s">
        <v>265</v>
      </c>
      <c r="D785" s="7">
        <v>24</v>
      </c>
      <c r="E785" s="8">
        <f>DAY(TableAopCalendar[[#This Row],[Date]])</f>
        <v>23</v>
      </c>
      <c r="F785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85" s="8" t="str">
        <f t="shared" si="40"/>
        <v>Week 4</v>
      </c>
      <c r="H785" s="8" t="str">
        <f t="shared" si="41"/>
        <v>May 24 Week 4</v>
      </c>
      <c r="I785" s="8" t="str">
        <f>CONCATENATE(UPPER(TableAopCalendar[[#This Row],[Month]])," ",TableAopCalendar[[#This Row],[Year]])</f>
        <v>MAY 24</v>
      </c>
      <c r="J785" s="8" t="s">
        <v>274</v>
      </c>
      <c r="K785" s="8" t="str">
        <f>CONCATENATE(TableAopCalendar[[#This Row],[Month for Plan]]," ",TableAopCalendar[[#This Row],[Plan]])</f>
        <v>MAY 24 PLANNED</v>
      </c>
    </row>
    <row r="786" spans="1:11" x14ac:dyDescent="0.25">
      <c r="A786" s="8">
        <f t="shared" si="39"/>
        <v>3</v>
      </c>
      <c r="B786" s="6">
        <v>45436</v>
      </c>
      <c r="C786" s="7" t="s">
        <v>265</v>
      </c>
      <c r="D786" s="7">
        <v>24</v>
      </c>
      <c r="E786" s="8">
        <f>DAY(TableAopCalendar[[#This Row],[Date]])</f>
        <v>24</v>
      </c>
      <c r="F786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86" s="8" t="str">
        <f t="shared" si="40"/>
        <v>Week 4</v>
      </c>
      <c r="H786" s="8" t="str">
        <f t="shared" si="41"/>
        <v>May 24 Week 4</v>
      </c>
      <c r="I786" s="8" t="str">
        <f>CONCATENATE(UPPER(TableAopCalendar[[#This Row],[Month]])," ",TableAopCalendar[[#This Row],[Year]])</f>
        <v>MAY 24</v>
      </c>
      <c r="J786" s="8" t="s">
        <v>274</v>
      </c>
      <c r="K786" s="8" t="str">
        <f>CONCATENATE(TableAopCalendar[[#This Row],[Month for Plan]]," ",TableAopCalendar[[#This Row],[Plan]])</f>
        <v>MAY 24 PLANNED</v>
      </c>
    </row>
    <row r="787" spans="1:11" x14ac:dyDescent="0.25">
      <c r="A787" s="8">
        <f t="shared" si="39"/>
        <v>4</v>
      </c>
      <c r="B787" s="6">
        <v>45437</v>
      </c>
      <c r="C787" s="7" t="s">
        <v>265</v>
      </c>
      <c r="D787" s="7">
        <v>24</v>
      </c>
      <c r="E787" s="8">
        <f>DAY(TableAopCalendar[[#This Row],[Date]])</f>
        <v>25</v>
      </c>
      <c r="F787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87" s="8" t="str">
        <f t="shared" si="40"/>
        <v>Week 4</v>
      </c>
      <c r="H787" s="8" t="str">
        <f t="shared" si="41"/>
        <v>May 24 Week 4</v>
      </c>
      <c r="I787" s="8" t="str">
        <f>CONCATENATE(UPPER(TableAopCalendar[[#This Row],[Month]])," ",TableAopCalendar[[#This Row],[Year]])</f>
        <v>MAY 24</v>
      </c>
      <c r="J787" s="8" t="s">
        <v>274</v>
      </c>
      <c r="K787" s="8" t="str">
        <f>CONCATENATE(TableAopCalendar[[#This Row],[Month for Plan]]," ",TableAopCalendar[[#This Row],[Plan]])</f>
        <v>MAY 24 PLANNED</v>
      </c>
    </row>
    <row r="788" spans="1:11" x14ac:dyDescent="0.25">
      <c r="A788" s="8">
        <f t="shared" si="39"/>
        <v>5</v>
      </c>
      <c r="B788" s="6">
        <v>45438</v>
      </c>
      <c r="C788" s="7" t="s">
        <v>265</v>
      </c>
      <c r="D788" s="7">
        <v>24</v>
      </c>
      <c r="E788" s="8">
        <f>DAY(TableAopCalendar[[#This Row],[Date]])</f>
        <v>26</v>
      </c>
      <c r="F788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88" s="8" t="str">
        <f t="shared" si="40"/>
        <v>Week 4</v>
      </c>
      <c r="H788" s="8" t="str">
        <f t="shared" si="41"/>
        <v>May 24 Week 4</v>
      </c>
      <c r="I788" s="8" t="str">
        <f>CONCATENATE(UPPER(TableAopCalendar[[#This Row],[Month]])," ",TableAopCalendar[[#This Row],[Year]])</f>
        <v>MAY 24</v>
      </c>
      <c r="J788" s="8" t="s">
        <v>274</v>
      </c>
      <c r="K788" s="8" t="str">
        <f>CONCATENATE(TableAopCalendar[[#This Row],[Month for Plan]]," ",TableAopCalendar[[#This Row],[Plan]])</f>
        <v>MAY 24 PLANNED</v>
      </c>
    </row>
    <row r="789" spans="1:11" x14ac:dyDescent="0.25">
      <c r="A789" s="8">
        <f t="shared" si="39"/>
        <v>6</v>
      </c>
      <c r="B789" s="6">
        <v>45439</v>
      </c>
      <c r="C789" s="7" t="s">
        <v>265</v>
      </c>
      <c r="D789" s="7">
        <v>24</v>
      </c>
      <c r="E789" s="8">
        <f>DAY(TableAopCalendar[[#This Row],[Date]])</f>
        <v>27</v>
      </c>
      <c r="F789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89" s="8" t="str">
        <f t="shared" si="40"/>
        <v>Week 4</v>
      </c>
      <c r="H789" s="8" t="str">
        <f t="shared" si="41"/>
        <v>May 24 Week 4</v>
      </c>
      <c r="I789" s="8" t="str">
        <f>CONCATENATE(UPPER(TableAopCalendar[[#This Row],[Month]])," ",TableAopCalendar[[#This Row],[Year]])</f>
        <v>MAY 24</v>
      </c>
      <c r="J789" s="8" t="s">
        <v>274</v>
      </c>
      <c r="K789" s="8" t="str">
        <f>CONCATENATE(TableAopCalendar[[#This Row],[Month for Plan]]," ",TableAopCalendar[[#This Row],[Plan]])</f>
        <v>MAY 24 PLANNED</v>
      </c>
    </row>
    <row r="790" spans="1:11" x14ac:dyDescent="0.25">
      <c r="A790" s="8">
        <f t="shared" si="39"/>
        <v>7</v>
      </c>
      <c r="B790" s="6">
        <v>45440</v>
      </c>
      <c r="C790" s="7" t="s">
        <v>265</v>
      </c>
      <c r="D790" s="7">
        <v>24</v>
      </c>
      <c r="E790" s="8">
        <f>DAY(TableAopCalendar[[#This Row],[Date]])</f>
        <v>28</v>
      </c>
      <c r="F790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790" s="8" t="str">
        <f t="shared" si="40"/>
        <v>Week 4</v>
      </c>
      <c r="H790" s="8" t="str">
        <f t="shared" si="41"/>
        <v>May 24 Week 4</v>
      </c>
      <c r="I790" s="8" t="str">
        <f>CONCATENATE(UPPER(TableAopCalendar[[#This Row],[Month]])," ",TableAopCalendar[[#This Row],[Year]])</f>
        <v>MAY 24</v>
      </c>
      <c r="J790" s="8" t="s">
        <v>274</v>
      </c>
      <c r="K790" s="8" t="str">
        <f>CONCATENATE(TableAopCalendar[[#This Row],[Month for Plan]]," ",TableAopCalendar[[#This Row],[Plan]])</f>
        <v>MAY 24 PLANNED</v>
      </c>
    </row>
    <row r="791" spans="1:11" x14ac:dyDescent="0.25">
      <c r="A791" s="8">
        <f t="shared" si="39"/>
        <v>1</v>
      </c>
      <c r="B791" s="6">
        <v>45441</v>
      </c>
      <c r="C791" s="7" t="s">
        <v>265</v>
      </c>
      <c r="D791" s="7">
        <v>24</v>
      </c>
      <c r="E791" s="8">
        <f>DAY(TableAopCalendar[[#This Row],[Date]])</f>
        <v>29</v>
      </c>
      <c r="F791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91" s="8" t="str">
        <f t="shared" si="40"/>
        <v>Week 5</v>
      </c>
      <c r="H791" s="8" t="str">
        <f t="shared" si="41"/>
        <v>May 24 Week 5</v>
      </c>
      <c r="I791" s="8" t="str">
        <f>CONCATENATE(UPPER(TableAopCalendar[[#This Row],[Month]])," ",TableAopCalendar[[#This Row],[Year]])</f>
        <v>MAY 24</v>
      </c>
      <c r="J791" s="8" t="s">
        <v>274</v>
      </c>
      <c r="K791" s="8" t="str">
        <f>CONCATENATE(TableAopCalendar[[#This Row],[Month for Plan]]," ",TableAopCalendar[[#This Row],[Plan]])</f>
        <v>MAY 24 PLANNED</v>
      </c>
    </row>
    <row r="792" spans="1:11" x14ac:dyDescent="0.25">
      <c r="A792" s="8">
        <f t="shared" si="39"/>
        <v>2</v>
      </c>
      <c r="B792" s="6">
        <v>45442</v>
      </c>
      <c r="C792" s="7" t="s">
        <v>265</v>
      </c>
      <c r="D792" s="7">
        <v>24</v>
      </c>
      <c r="E792" s="8">
        <f>DAY(TableAopCalendar[[#This Row],[Date]])</f>
        <v>30</v>
      </c>
      <c r="F792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92" s="8" t="str">
        <f t="shared" si="40"/>
        <v>Week 5</v>
      </c>
      <c r="H792" s="8" t="str">
        <f t="shared" si="41"/>
        <v>May 24 Week 5</v>
      </c>
      <c r="I792" s="8" t="str">
        <f>CONCATENATE(UPPER(TableAopCalendar[[#This Row],[Month]])," ",TableAopCalendar[[#This Row],[Year]])</f>
        <v>MAY 24</v>
      </c>
      <c r="J792" s="8" t="s">
        <v>274</v>
      </c>
      <c r="K792" s="8" t="str">
        <f>CONCATENATE(TableAopCalendar[[#This Row],[Month for Plan]]," ",TableAopCalendar[[#This Row],[Plan]])</f>
        <v>MAY 24 PLANNED</v>
      </c>
    </row>
    <row r="793" spans="1:11" x14ac:dyDescent="0.25">
      <c r="A793" s="8">
        <f t="shared" si="39"/>
        <v>3</v>
      </c>
      <c r="B793" s="6">
        <v>45443</v>
      </c>
      <c r="C793" s="7" t="s">
        <v>265</v>
      </c>
      <c r="D793" s="7">
        <v>24</v>
      </c>
      <c r="E793" s="8">
        <f>DAY(TableAopCalendar[[#This Row],[Date]])</f>
        <v>31</v>
      </c>
      <c r="F793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793" s="8" t="str">
        <f t="shared" si="40"/>
        <v>Week 5</v>
      </c>
      <c r="H793" s="8" t="str">
        <f t="shared" si="41"/>
        <v>May 24 Week 5</v>
      </c>
      <c r="I793" s="8" t="str">
        <f>CONCATENATE(UPPER(TableAopCalendar[[#This Row],[Month]])," ",TableAopCalendar[[#This Row],[Year]])</f>
        <v>MAY 24</v>
      </c>
      <c r="J793" s="8" t="s">
        <v>274</v>
      </c>
      <c r="K793" s="8" t="str">
        <f>CONCATENATE(TableAopCalendar[[#This Row],[Month for Plan]]," ",TableAopCalendar[[#This Row],[Plan]])</f>
        <v>MAY 24 PLANNED</v>
      </c>
    </row>
    <row r="794" spans="1:11" x14ac:dyDescent="0.25">
      <c r="A794" s="8">
        <f t="shared" si="39"/>
        <v>1</v>
      </c>
      <c r="B794" s="6">
        <v>45444</v>
      </c>
      <c r="C794" s="7" t="s">
        <v>266</v>
      </c>
      <c r="D794" s="7">
        <v>24</v>
      </c>
      <c r="E794" s="8">
        <f>DAY(TableAopCalendar[[#This Row],[Date]])</f>
        <v>1</v>
      </c>
      <c r="F794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94" s="8" t="str">
        <f t="shared" si="40"/>
        <v>Week 1</v>
      </c>
      <c r="H794" s="8" t="str">
        <f t="shared" si="41"/>
        <v>June 24 Week 1</v>
      </c>
      <c r="I794" s="8" t="str">
        <f>CONCATENATE(UPPER(TableAopCalendar[[#This Row],[Month]])," ",TableAopCalendar[[#This Row],[Year]])</f>
        <v>JUNE 24</v>
      </c>
      <c r="J794" s="8" t="s">
        <v>274</v>
      </c>
      <c r="K794" s="8" t="str">
        <f>CONCATENATE(TableAopCalendar[[#This Row],[Month for Plan]]," ",TableAopCalendar[[#This Row],[Plan]])</f>
        <v>JUNE 24 PLANNED</v>
      </c>
    </row>
    <row r="795" spans="1:11" x14ac:dyDescent="0.25">
      <c r="A795" s="8">
        <f t="shared" si="39"/>
        <v>2</v>
      </c>
      <c r="B795" s="6">
        <v>45445</v>
      </c>
      <c r="C795" s="7" t="s">
        <v>266</v>
      </c>
      <c r="D795" s="7">
        <v>24</v>
      </c>
      <c r="E795" s="8">
        <f>DAY(TableAopCalendar[[#This Row],[Date]])</f>
        <v>2</v>
      </c>
      <c r="F795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95" s="8" t="str">
        <f t="shared" si="40"/>
        <v>Week 1</v>
      </c>
      <c r="H795" s="8" t="str">
        <f t="shared" si="41"/>
        <v>June 24 Week 1</v>
      </c>
      <c r="I795" s="8" t="str">
        <f>CONCATENATE(UPPER(TableAopCalendar[[#This Row],[Month]])," ",TableAopCalendar[[#This Row],[Year]])</f>
        <v>JUNE 24</v>
      </c>
      <c r="J795" s="8" t="s">
        <v>274</v>
      </c>
      <c r="K795" s="8" t="str">
        <f>CONCATENATE(TableAopCalendar[[#This Row],[Month for Plan]]," ",TableAopCalendar[[#This Row],[Plan]])</f>
        <v>JUNE 24 PLANNED</v>
      </c>
    </row>
    <row r="796" spans="1:11" x14ac:dyDescent="0.25">
      <c r="A796" s="8">
        <f t="shared" si="39"/>
        <v>3</v>
      </c>
      <c r="B796" s="6">
        <v>45446</v>
      </c>
      <c r="C796" s="7" t="s">
        <v>266</v>
      </c>
      <c r="D796" s="7">
        <v>24</v>
      </c>
      <c r="E796" s="8">
        <f>DAY(TableAopCalendar[[#This Row],[Date]])</f>
        <v>3</v>
      </c>
      <c r="F796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96" s="8" t="str">
        <f t="shared" si="40"/>
        <v>Week 1</v>
      </c>
      <c r="H796" s="8" t="str">
        <f t="shared" si="41"/>
        <v>June 24 Week 1</v>
      </c>
      <c r="I796" s="8" t="str">
        <f>CONCATENATE(UPPER(TableAopCalendar[[#This Row],[Month]])," ",TableAopCalendar[[#This Row],[Year]])</f>
        <v>JUNE 24</v>
      </c>
      <c r="J796" s="8" t="s">
        <v>274</v>
      </c>
      <c r="K796" s="8" t="str">
        <f>CONCATENATE(TableAopCalendar[[#This Row],[Month for Plan]]," ",TableAopCalendar[[#This Row],[Plan]])</f>
        <v>JUNE 24 PLANNED</v>
      </c>
    </row>
    <row r="797" spans="1:11" x14ac:dyDescent="0.25">
      <c r="A797" s="8">
        <f t="shared" ref="A797:A828" si="42">IF(G797=G796,A796+1,1)</f>
        <v>4</v>
      </c>
      <c r="B797" s="6">
        <v>45447</v>
      </c>
      <c r="C797" s="7" t="s">
        <v>266</v>
      </c>
      <c r="D797" s="7">
        <v>24</v>
      </c>
      <c r="E797" s="8">
        <f>DAY(TableAopCalendar[[#This Row],[Date]])</f>
        <v>4</v>
      </c>
      <c r="F797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97" s="8" t="str">
        <f t="shared" ref="G797:G828" si="43">"Week"&amp;" "&amp;F797</f>
        <v>Week 1</v>
      </c>
      <c r="H797" s="8" t="str">
        <f t="shared" ref="H797:H828" si="44">CONCATENATE(C797," ",D797," ",G797)</f>
        <v>June 24 Week 1</v>
      </c>
      <c r="I797" s="8" t="str">
        <f>CONCATENATE(UPPER(TableAopCalendar[[#This Row],[Month]])," ",TableAopCalendar[[#This Row],[Year]])</f>
        <v>JUNE 24</v>
      </c>
      <c r="J797" s="8" t="s">
        <v>274</v>
      </c>
      <c r="K797" s="8" t="str">
        <f>CONCATENATE(TableAopCalendar[[#This Row],[Month for Plan]]," ",TableAopCalendar[[#This Row],[Plan]])</f>
        <v>JUNE 24 PLANNED</v>
      </c>
    </row>
    <row r="798" spans="1:11" x14ac:dyDescent="0.25">
      <c r="A798" s="8">
        <f t="shared" si="42"/>
        <v>5</v>
      </c>
      <c r="B798" s="6">
        <v>45448</v>
      </c>
      <c r="C798" s="7" t="s">
        <v>266</v>
      </c>
      <c r="D798" s="7">
        <v>24</v>
      </c>
      <c r="E798" s="8">
        <f>DAY(TableAopCalendar[[#This Row],[Date]])</f>
        <v>5</v>
      </c>
      <c r="F798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98" s="8" t="str">
        <f t="shared" si="43"/>
        <v>Week 1</v>
      </c>
      <c r="H798" s="8" t="str">
        <f t="shared" si="44"/>
        <v>June 24 Week 1</v>
      </c>
      <c r="I798" s="8" t="str">
        <f>CONCATENATE(UPPER(TableAopCalendar[[#This Row],[Month]])," ",TableAopCalendar[[#This Row],[Year]])</f>
        <v>JUNE 24</v>
      </c>
      <c r="J798" s="8" t="s">
        <v>274</v>
      </c>
      <c r="K798" s="8" t="str">
        <f>CONCATENATE(TableAopCalendar[[#This Row],[Month for Plan]]," ",TableAopCalendar[[#This Row],[Plan]])</f>
        <v>JUNE 24 PLANNED</v>
      </c>
    </row>
    <row r="799" spans="1:11" x14ac:dyDescent="0.25">
      <c r="A799" s="8">
        <f t="shared" si="42"/>
        <v>6</v>
      </c>
      <c r="B799" s="6">
        <v>45449</v>
      </c>
      <c r="C799" s="7" t="s">
        <v>266</v>
      </c>
      <c r="D799" s="7">
        <v>24</v>
      </c>
      <c r="E799" s="8">
        <f>DAY(TableAopCalendar[[#This Row],[Date]])</f>
        <v>6</v>
      </c>
      <c r="F799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799" s="8" t="str">
        <f t="shared" si="43"/>
        <v>Week 1</v>
      </c>
      <c r="H799" s="8" t="str">
        <f t="shared" si="44"/>
        <v>June 24 Week 1</v>
      </c>
      <c r="I799" s="8" t="str">
        <f>CONCATENATE(UPPER(TableAopCalendar[[#This Row],[Month]])," ",TableAopCalendar[[#This Row],[Year]])</f>
        <v>JUNE 24</v>
      </c>
      <c r="J799" s="8" t="s">
        <v>274</v>
      </c>
      <c r="K799" s="8" t="str">
        <f>CONCATENATE(TableAopCalendar[[#This Row],[Month for Plan]]," ",TableAopCalendar[[#This Row],[Plan]])</f>
        <v>JUNE 24 PLANNED</v>
      </c>
    </row>
    <row r="800" spans="1:11" x14ac:dyDescent="0.25">
      <c r="A800" s="8">
        <f t="shared" si="42"/>
        <v>7</v>
      </c>
      <c r="B800" s="6">
        <v>45450</v>
      </c>
      <c r="C800" s="7" t="s">
        <v>266</v>
      </c>
      <c r="D800" s="7">
        <v>24</v>
      </c>
      <c r="E800" s="8">
        <f>DAY(TableAopCalendar[[#This Row],[Date]])</f>
        <v>7</v>
      </c>
      <c r="F800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00" s="8" t="str">
        <f t="shared" si="43"/>
        <v>Week 1</v>
      </c>
      <c r="H800" s="8" t="str">
        <f t="shared" si="44"/>
        <v>June 24 Week 1</v>
      </c>
      <c r="I800" s="8" t="str">
        <f>CONCATENATE(UPPER(TableAopCalendar[[#This Row],[Month]])," ",TableAopCalendar[[#This Row],[Year]])</f>
        <v>JUNE 24</v>
      </c>
      <c r="J800" s="8" t="s">
        <v>274</v>
      </c>
      <c r="K800" s="8" t="str">
        <f>CONCATENATE(TableAopCalendar[[#This Row],[Month for Plan]]," ",TableAopCalendar[[#This Row],[Plan]])</f>
        <v>JUNE 24 PLANNED</v>
      </c>
    </row>
    <row r="801" spans="1:11" x14ac:dyDescent="0.25">
      <c r="A801" s="8">
        <f t="shared" si="42"/>
        <v>1</v>
      </c>
      <c r="B801" s="6">
        <v>45451</v>
      </c>
      <c r="C801" s="7" t="s">
        <v>266</v>
      </c>
      <c r="D801" s="7">
        <v>24</v>
      </c>
      <c r="E801" s="8">
        <f>DAY(TableAopCalendar[[#This Row],[Date]])</f>
        <v>8</v>
      </c>
      <c r="F801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01" s="8" t="str">
        <f t="shared" si="43"/>
        <v>Week 2</v>
      </c>
      <c r="H801" s="8" t="str">
        <f t="shared" si="44"/>
        <v>June 24 Week 2</v>
      </c>
      <c r="I801" s="8" t="str">
        <f>CONCATENATE(UPPER(TableAopCalendar[[#This Row],[Month]])," ",TableAopCalendar[[#This Row],[Year]])</f>
        <v>JUNE 24</v>
      </c>
      <c r="J801" s="8" t="s">
        <v>274</v>
      </c>
      <c r="K801" s="8" t="str">
        <f>CONCATENATE(TableAopCalendar[[#This Row],[Month for Plan]]," ",TableAopCalendar[[#This Row],[Plan]])</f>
        <v>JUNE 24 PLANNED</v>
      </c>
    </row>
    <row r="802" spans="1:11" x14ac:dyDescent="0.25">
      <c r="A802" s="8">
        <f t="shared" si="42"/>
        <v>2</v>
      </c>
      <c r="B802" s="6">
        <v>45452</v>
      </c>
      <c r="C802" s="7" t="s">
        <v>266</v>
      </c>
      <c r="D802" s="7">
        <v>24</v>
      </c>
      <c r="E802" s="8">
        <f>DAY(TableAopCalendar[[#This Row],[Date]])</f>
        <v>9</v>
      </c>
      <c r="F802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02" s="8" t="str">
        <f t="shared" si="43"/>
        <v>Week 2</v>
      </c>
      <c r="H802" s="8" t="str">
        <f t="shared" si="44"/>
        <v>June 24 Week 2</v>
      </c>
      <c r="I802" s="8" t="str">
        <f>CONCATENATE(UPPER(TableAopCalendar[[#This Row],[Month]])," ",TableAopCalendar[[#This Row],[Year]])</f>
        <v>JUNE 24</v>
      </c>
      <c r="J802" s="8" t="s">
        <v>274</v>
      </c>
      <c r="K802" s="8" t="str">
        <f>CONCATENATE(TableAopCalendar[[#This Row],[Month for Plan]]," ",TableAopCalendar[[#This Row],[Plan]])</f>
        <v>JUNE 24 PLANNED</v>
      </c>
    </row>
    <row r="803" spans="1:11" x14ac:dyDescent="0.25">
      <c r="A803" s="8">
        <f t="shared" si="42"/>
        <v>3</v>
      </c>
      <c r="B803" s="6">
        <v>45453</v>
      </c>
      <c r="C803" s="7" t="s">
        <v>266</v>
      </c>
      <c r="D803" s="7">
        <v>24</v>
      </c>
      <c r="E803" s="8">
        <f>DAY(TableAopCalendar[[#This Row],[Date]])</f>
        <v>10</v>
      </c>
      <c r="F803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03" s="8" t="str">
        <f t="shared" si="43"/>
        <v>Week 2</v>
      </c>
      <c r="H803" s="8" t="str">
        <f t="shared" si="44"/>
        <v>June 24 Week 2</v>
      </c>
      <c r="I803" s="8" t="str">
        <f>CONCATENATE(UPPER(TableAopCalendar[[#This Row],[Month]])," ",TableAopCalendar[[#This Row],[Year]])</f>
        <v>JUNE 24</v>
      </c>
      <c r="J803" s="8" t="s">
        <v>274</v>
      </c>
      <c r="K803" s="8" t="str">
        <f>CONCATENATE(TableAopCalendar[[#This Row],[Month for Plan]]," ",TableAopCalendar[[#This Row],[Plan]])</f>
        <v>JUNE 24 PLANNED</v>
      </c>
    </row>
    <row r="804" spans="1:11" x14ac:dyDescent="0.25">
      <c r="A804" s="8">
        <f t="shared" si="42"/>
        <v>4</v>
      </c>
      <c r="B804" s="6">
        <v>45454</v>
      </c>
      <c r="C804" s="7" t="s">
        <v>266</v>
      </c>
      <c r="D804" s="7">
        <v>24</v>
      </c>
      <c r="E804" s="8">
        <f>DAY(TableAopCalendar[[#This Row],[Date]])</f>
        <v>11</v>
      </c>
      <c r="F804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04" s="8" t="str">
        <f t="shared" si="43"/>
        <v>Week 2</v>
      </c>
      <c r="H804" s="8" t="str">
        <f t="shared" si="44"/>
        <v>June 24 Week 2</v>
      </c>
      <c r="I804" s="8" t="str">
        <f>CONCATENATE(UPPER(TableAopCalendar[[#This Row],[Month]])," ",TableAopCalendar[[#This Row],[Year]])</f>
        <v>JUNE 24</v>
      </c>
      <c r="J804" s="8" t="s">
        <v>274</v>
      </c>
      <c r="K804" s="8" t="str">
        <f>CONCATENATE(TableAopCalendar[[#This Row],[Month for Plan]]," ",TableAopCalendar[[#This Row],[Plan]])</f>
        <v>JUNE 24 PLANNED</v>
      </c>
    </row>
    <row r="805" spans="1:11" x14ac:dyDescent="0.25">
      <c r="A805" s="8">
        <f t="shared" si="42"/>
        <v>5</v>
      </c>
      <c r="B805" s="6">
        <v>45455</v>
      </c>
      <c r="C805" s="7" t="s">
        <v>266</v>
      </c>
      <c r="D805" s="7">
        <v>24</v>
      </c>
      <c r="E805" s="8">
        <f>DAY(TableAopCalendar[[#This Row],[Date]])</f>
        <v>12</v>
      </c>
      <c r="F805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05" s="8" t="str">
        <f t="shared" si="43"/>
        <v>Week 2</v>
      </c>
      <c r="H805" s="8" t="str">
        <f t="shared" si="44"/>
        <v>June 24 Week 2</v>
      </c>
      <c r="I805" s="8" t="str">
        <f>CONCATENATE(UPPER(TableAopCalendar[[#This Row],[Month]])," ",TableAopCalendar[[#This Row],[Year]])</f>
        <v>JUNE 24</v>
      </c>
      <c r="J805" s="8" t="s">
        <v>274</v>
      </c>
      <c r="K805" s="8" t="str">
        <f>CONCATENATE(TableAopCalendar[[#This Row],[Month for Plan]]," ",TableAopCalendar[[#This Row],[Plan]])</f>
        <v>JUNE 24 PLANNED</v>
      </c>
    </row>
    <row r="806" spans="1:11" x14ac:dyDescent="0.25">
      <c r="A806" s="8">
        <f t="shared" si="42"/>
        <v>6</v>
      </c>
      <c r="B806" s="6">
        <v>45456</v>
      </c>
      <c r="C806" s="7" t="s">
        <v>266</v>
      </c>
      <c r="D806" s="7">
        <v>24</v>
      </c>
      <c r="E806" s="8">
        <f>DAY(TableAopCalendar[[#This Row],[Date]])</f>
        <v>13</v>
      </c>
      <c r="F806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06" s="8" t="str">
        <f t="shared" si="43"/>
        <v>Week 2</v>
      </c>
      <c r="H806" s="8" t="str">
        <f t="shared" si="44"/>
        <v>June 24 Week 2</v>
      </c>
      <c r="I806" s="8" t="str">
        <f>CONCATENATE(UPPER(TableAopCalendar[[#This Row],[Month]])," ",TableAopCalendar[[#This Row],[Year]])</f>
        <v>JUNE 24</v>
      </c>
      <c r="J806" s="8" t="s">
        <v>274</v>
      </c>
      <c r="K806" s="8" t="str">
        <f>CONCATENATE(TableAopCalendar[[#This Row],[Month for Plan]]," ",TableAopCalendar[[#This Row],[Plan]])</f>
        <v>JUNE 24 PLANNED</v>
      </c>
    </row>
    <row r="807" spans="1:11" x14ac:dyDescent="0.25">
      <c r="A807" s="8">
        <f t="shared" si="42"/>
        <v>7</v>
      </c>
      <c r="B807" s="6">
        <v>45457</v>
      </c>
      <c r="C807" s="7" t="s">
        <v>266</v>
      </c>
      <c r="D807" s="7">
        <v>24</v>
      </c>
      <c r="E807" s="8">
        <f>DAY(TableAopCalendar[[#This Row],[Date]])</f>
        <v>14</v>
      </c>
      <c r="F807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07" s="8" t="str">
        <f t="shared" si="43"/>
        <v>Week 2</v>
      </c>
      <c r="H807" s="8" t="str">
        <f t="shared" si="44"/>
        <v>June 24 Week 2</v>
      </c>
      <c r="I807" s="8" t="str">
        <f>CONCATENATE(UPPER(TableAopCalendar[[#This Row],[Month]])," ",TableAopCalendar[[#This Row],[Year]])</f>
        <v>JUNE 24</v>
      </c>
      <c r="J807" s="8" t="s">
        <v>274</v>
      </c>
      <c r="K807" s="8" t="str">
        <f>CONCATENATE(TableAopCalendar[[#This Row],[Month for Plan]]," ",TableAopCalendar[[#This Row],[Plan]])</f>
        <v>JUNE 24 PLANNED</v>
      </c>
    </row>
    <row r="808" spans="1:11" x14ac:dyDescent="0.25">
      <c r="A808" s="8">
        <f t="shared" si="42"/>
        <v>1</v>
      </c>
      <c r="B808" s="6">
        <v>45458</v>
      </c>
      <c r="C808" s="7" t="s">
        <v>266</v>
      </c>
      <c r="D808" s="7">
        <v>24</v>
      </c>
      <c r="E808" s="8">
        <f>DAY(TableAopCalendar[[#This Row],[Date]])</f>
        <v>15</v>
      </c>
      <c r="F808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08" s="8" t="str">
        <f t="shared" si="43"/>
        <v>Week 3</v>
      </c>
      <c r="H808" s="8" t="str">
        <f t="shared" si="44"/>
        <v>June 24 Week 3</v>
      </c>
      <c r="I808" s="8" t="str">
        <f>CONCATENATE(UPPER(TableAopCalendar[[#This Row],[Month]])," ",TableAopCalendar[[#This Row],[Year]])</f>
        <v>JUNE 24</v>
      </c>
      <c r="J808" s="8" t="s">
        <v>274</v>
      </c>
      <c r="K808" s="8" t="str">
        <f>CONCATENATE(TableAopCalendar[[#This Row],[Month for Plan]]," ",TableAopCalendar[[#This Row],[Plan]])</f>
        <v>JUNE 24 PLANNED</v>
      </c>
    </row>
    <row r="809" spans="1:11" x14ac:dyDescent="0.25">
      <c r="A809" s="8">
        <f t="shared" si="42"/>
        <v>2</v>
      </c>
      <c r="B809" s="6">
        <v>45459</v>
      </c>
      <c r="C809" s="7" t="s">
        <v>266</v>
      </c>
      <c r="D809" s="7">
        <v>24</v>
      </c>
      <c r="E809" s="8">
        <f>DAY(TableAopCalendar[[#This Row],[Date]])</f>
        <v>16</v>
      </c>
      <c r="F809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09" s="8" t="str">
        <f t="shared" si="43"/>
        <v>Week 3</v>
      </c>
      <c r="H809" s="8" t="str">
        <f t="shared" si="44"/>
        <v>June 24 Week 3</v>
      </c>
      <c r="I809" s="8" t="str">
        <f>CONCATENATE(UPPER(TableAopCalendar[[#This Row],[Month]])," ",TableAopCalendar[[#This Row],[Year]])</f>
        <v>JUNE 24</v>
      </c>
      <c r="J809" s="8" t="s">
        <v>274</v>
      </c>
      <c r="K809" s="8" t="str">
        <f>CONCATENATE(TableAopCalendar[[#This Row],[Month for Plan]]," ",TableAopCalendar[[#This Row],[Plan]])</f>
        <v>JUNE 24 PLANNED</v>
      </c>
    </row>
    <row r="810" spans="1:11" x14ac:dyDescent="0.25">
      <c r="A810" s="8">
        <f t="shared" si="42"/>
        <v>3</v>
      </c>
      <c r="B810" s="6">
        <v>45460</v>
      </c>
      <c r="C810" s="7" t="s">
        <v>266</v>
      </c>
      <c r="D810" s="7">
        <v>24</v>
      </c>
      <c r="E810" s="8">
        <f>DAY(TableAopCalendar[[#This Row],[Date]])</f>
        <v>17</v>
      </c>
      <c r="F810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10" s="8" t="str">
        <f t="shared" si="43"/>
        <v>Week 3</v>
      </c>
      <c r="H810" s="8" t="str">
        <f t="shared" si="44"/>
        <v>June 24 Week 3</v>
      </c>
      <c r="I810" s="8" t="str">
        <f>CONCATENATE(UPPER(TableAopCalendar[[#This Row],[Month]])," ",TableAopCalendar[[#This Row],[Year]])</f>
        <v>JUNE 24</v>
      </c>
      <c r="J810" s="8" t="s">
        <v>274</v>
      </c>
      <c r="K810" s="8" t="str">
        <f>CONCATENATE(TableAopCalendar[[#This Row],[Month for Plan]]," ",TableAopCalendar[[#This Row],[Plan]])</f>
        <v>JUNE 24 PLANNED</v>
      </c>
    </row>
    <row r="811" spans="1:11" x14ac:dyDescent="0.25">
      <c r="A811" s="8">
        <f t="shared" si="42"/>
        <v>4</v>
      </c>
      <c r="B811" s="6">
        <v>45461</v>
      </c>
      <c r="C811" s="7" t="s">
        <v>266</v>
      </c>
      <c r="D811" s="7">
        <v>24</v>
      </c>
      <c r="E811" s="8">
        <f>DAY(TableAopCalendar[[#This Row],[Date]])</f>
        <v>18</v>
      </c>
      <c r="F811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11" s="8" t="str">
        <f t="shared" si="43"/>
        <v>Week 3</v>
      </c>
      <c r="H811" s="8" t="str">
        <f t="shared" si="44"/>
        <v>June 24 Week 3</v>
      </c>
      <c r="I811" s="8" t="str">
        <f>CONCATENATE(UPPER(TableAopCalendar[[#This Row],[Month]])," ",TableAopCalendar[[#This Row],[Year]])</f>
        <v>JUNE 24</v>
      </c>
      <c r="J811" s="8" t="s">
        <v>274</v>
      </c>
      <c r="K811" s="8" t="str">
        <f>CONCATENATE(TableAopCalendar[[#This Row],[Month for Plan]]," ",TableAopCalendar[[#This Row],[Plan]])</f>
        <v>JUNE 24 PLANNED</v>
      </c>
    </row>
    <row r="812" spans="1:11" x14ac:dyDescent="0.25">
      <c r="A812" s="8">
        <f t="shared" si="42"/>
        <v>5</v>
      </c>
      <c r="B812" s="6">
        <v>45462</v>
      </c>
      <c r="C812" s="7" t="s">
        <v>266</v>
      </c>
      <c r="D812" s="7">
        <v>24</v>
      </c>
      <c r="E812" s="8">
        <f>DAY(TableAopCalendar[[#This Row],[Date]])</f>
        <v>19</v>
      </c>
      <c r="F812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12" s="8" t="str">
        <f t="shared" si="43"/>
        <v>Week 3</v>
      </c>
      <c r="H812" s="8" t="str">
        <f t="shared" si="44"/>
        <v>June 24 Week 3</v>
      </c>
      <c r="I812" s="8" t="str">
        <f>CONCATENATE(UPPER(TableAopCalendar[[#This Row],[Month]])," ",TableAopCalendar[[#This Row],[Year]])</f>
        <v>JUNE 24</v>
      </c>
      <c r="J812" s="8" t="s">
        <v>274</v>
      </c>
      <c r="K812" s="8" t="str">
        <f>CONCATENATE(TableAopCalendar[[#This Row],[Month for Plan]]," ",TableAopCalendar[[#This Row],[Plan]])</f>
        <v>JUNE 24 PLANNED</v>
      </c>
    </row>
    <row r="813" spans="1:11" x14ac:dyDescent="0.25">
      <c r="A813" s="8">
        <f t="shared" si="42"/>
        <v>6</v>
      </c>
      <c r="B813" s="6">
        <v>45463</v>
      </c>
      <c r="C813" s="7" t="s">
        <v>266</v>
      </c>
      <c r="D813" s="7">
        <v>24</v>
      </c>
      <c r="E813" s="8">
        <f>DAY(TableAopCalendar[[#This Row],[Date]])</f>
        <v>20</v>
      </c>
      <c r="F813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13" s="8" t="str">
        <f t="shared" si="43"/>
        <v>Week 3</v>
      </c>
      <c r="H813" s="8" t="str">
        <f t="shared" si="44"/>
        <v>June 24 Week 3</v>
      </c>
      <c r="I813" s="8" t="str">
        <f>CONCATENATE(UPPER(TableAopCalendar[[#This Row],[Month]])," ",TableAopCalendar[[#This Row],[Year]])</f>
        <v>JUNE 24</v>
      </c>
      <c r="J813" s="8" t="s">
        <v>274</v>
      </c>
      <c r="K813" s="8" t="str">
        <f>CONCATENATE(TableAopCalendar[[#This Row],[Month for Plan]]," ",TableAopCalendar[[#This Row],[Plan]])</f>
        <v>JUNE 24 PLANNED</v>
      </c>
    </row>
    <row r="814" spans="1:11" x14ac:dyDescent="0.25">
      <c r="A814" s="8">
        <f t="shared" si="42"/>
        <v>7</v>
      </c>
      <c r="B814" s="6">
        <v>45464</v>
      </c>
      <c r="C814" s="7" t="s">
        <v>266</v>
      </c>
      <c r="D814" s="7">
        <v>24</v>
      </c>
      <c r="E814" s="8">
        <f>DAY(TableAopCalendar[[#This Row],[Date]])</f>
        <v>21</v>
      </c>
      <c r="F814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14" s="8" t="str">
        <f t="shared" si="43"/>
        <v>Week 3</v>
      </c>
      <c r="H814" s="8" t="str">
        <f t="shared" si="44"/>
        <v>June 24 Week 3</v>
      </c>
      <c r="I814" s="8" t="str">
        <f>CONCATENATE(UPPER(TableAopCalendar[[#This Row],[Month]])," ",TableAopCalendar[[#This Row],[Year]])</f>
        <v>JUNE 24</v>
      </c>
      <c r="J814" s="8" t="s">
        <v>274</v>
      </c>
      <c r="K814" s="8" t="str">
        <f>CONCATENATE(TableAopCalendar[[#This Row],[Month for Plan]]," ",TableAopCalendar[[#This Row],[Plan]])</f>
        <v>JUNE 24 PLANNED</v>
      </c>
    </row>
    <row r="815" spans="1:11" x14ac:dyDescent="0.25">
      <c r="A815" s="8">
        <f t="shared" si="42"/>
        <v>1</v>
      </c>
      <c r="B815" s="6">
        <v>45465</v>
      </c>
      <c r="C815" s="7" t="s">
        <v>266</v>
      </c>
      <c r="D815" s="7">
        <v>24</v>
      </c>
      <c r="E815" s="8">
        <f>DAY(TableAopCalendar[[#This Row],[Date]])</f>
        <v>22</v>
      </c>
      <c r="F815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15" s="8" t="str">
        <f t="shared" si="43"/>
        <v>Week 4</v>
      </c>
      <c r="H815" s="8" t="str">
        <f t="shared" si="44"/>
        <v>June 24 Week 4</v>
      </c>
      <c r="I815" s="8" t="str">
        <f>CONCATENATE(UPPER(TableAopCalendar[[#This Row],[Month]])," ",TableAopCalendar[[#This Row],[Year]])</f>
        <v>JUNE 24</v>
      </c>
      <c r="J815" s="8" t="s">
        <v>274</v>
      </c>
      <c r="K815" s="8" t="str">
        <f>CONCATENATE(TableAopCalendar[[#This Row],[Month for Plan]]," ",TableAopCalendar[[#This Row],[Plan]])</f>
        <v>JUNE 24 PLANNED</v>
      </c>
    </row>
    <row r="816" spans="1:11" x14ac:dyDescent="0.25">
      <c r="A816" s="8">
        <f t="shared" si="42"/>
        <v>2</v>
      </c>
      <c r="B816" s="6">
        <v>45466</v>
      </c>
      <c r="C816" s="7" t="s">
        <v>266</v>
      </c>
      <c r="D816" s="7">
        <v>24</v>
      </c>
      <c r="E816" s="8">
        <f>DAY(TableAopCalendar[[#This Row],[Date]])</f>
        <v>23</v>
      </c>
      <c r="F816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16" s="8" t="str">
        <f t="shared" si="43"/>
        <v>Week 4</v>
      </c>
      <c r="H816" s="8" t="str">
        <f t="shared" si="44"/>
        <v>June 24 Week 4</v>
      </c>
      <c r="I816" s="8" t="str">
        <f>CONCATENATE(UPPER(TableAopCalendar[[#This Row],[Month]])," ",TableAopCalendar[[#This Row],[Year]])</f>
        <v>JUNE 24</v>
      </c>
      <c r="J816" s="8" t="s">
        <v>274</v>
      </c>
      <c r="K816" s="8" t="str">
        <f>CONCATENATE(TableAopCalendar[[#This Row],[Month for Plan]]," ",TableAopCalendar[[#This Row],[Plan]])</f>
        <v>JUNE 24 PLANNED</v>
      </c>
    </row>
    <row r="817" spans="1:11" x14ac:dyDescent="0.25">
      <c r="A817" s="8">
        <f t="shared" si="42"/>
        <v>3</v>
      </c>
      <c r="B817" s="6">
        <v>45467</v>
      </c>
      <c r="C817" s="7" t="s">
        <v>266</v>
      </c>
      <c r="D817" s="7">
        <v>24</v>
      </c>
      <c r="E817" s="8">
        <f>DAY(TableAopCalendar[[#This Row],[Date]])</f>
        <v>24</v>
      </c>
      <c r="F817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17" s="8" t="str">
        <f t="shared" si="43"/>
        <v>Week 4</v>
      </c>
      <c r="H817" s="8" t="str">
        <f t="shared" si="44"/>
        <v>June 24 Week 4</v>
      </c>
      <c r="I817" s="8" t="str">
        <f>CONCATENATE(UPPER(TableAopCalendar[[#This Row],[Month]])," ",TableAopCalendar[[#This Row],[Year]])</f>
        <v>JUNE 24</v>
      </c>
      <c r="J817" s="8" t="s">
        <v>274</v>
      </c>
      <c r="K817" s="8" t="str">
        <f>CONCATENATE(TableAopCalendar[[#This Row],[Month for Plan]]," ",TableAopCalendar[[#This Row],[Plan]])</f>
        <v>JUNE 24 PLANNED</v>
      </c>
    </row>
    <row r="818" spans="1:11" x14ac:dyDescent="0.25">
      <c r="A818" s="8">
        <f t="shared" si="42"/>
        <v>4</v>
      </c>
      <c r="B818" s="6">
        <v>45468</v>
      </c>
      <c r="C818" s="7" t="s">
        <v>266</v>
      </c>
      <c r="D818" s="7">
        <v>24</v>
      </c>
      <c r="E818" s="8">
        <f>DAY(TableAopCalendar[[#This Row],[Date]])</f>
        <v>25</v>
      </c>
      <c r="F818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18" s="8" t="str">
        <f t="shared" si="43"/>
        <v>Week 4</v>
      </c>
      <c r="H818" s="8" t="str">
        <f t="shared" si="44"/>
        <v>June 24 Week 4</v>
      </c>
      <c r="I818" s="8" t="str">
        <f>CONCATENATE(UPPER(TableAopCalendar[[#This Row],[Month]])," ",TableAopCalendar[[#This Row],[Year]])</f>
        <v>JUNE 24</v>
      </c>
      <c r="J818" s="8" t="s">
        <v>274</v>
      </c>
      <c r="K818" s="8" t="str">
        <f>CONCATENATE(TableAopCalendar[[#This Row],[Month for Plan]]," ",TableAopCalendar[[#This Row],[Plan]])</f>
        <v>JUNE 24 PLANNED</v>
      </c>
    </row>
    <row r="819" spans="1:11" x14ac:dyDescent="0.25">
      <c r="A819" s="8">
        <f t="shared" si="42"/>
        <v>5</v>
      </c>
      <c r="B819" s="6">
        <v>45469</v>
      </c>
      <c r="C819" s="7" t="s">
        <v>266</v>
      </c>
      <c r="D819" s="7">
        <v>24</v>
      </c>
      <c r="E819" s="8">
        <f>DAY(TableAopCalendar[[#This Row],[Date]])</f>
        <v>26</v>
      </c>
      <c r="F819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19" s="8" t="str">
        <f t="shared" si="43"/>
        <v>Week 4</v>
      </c>
      <c r="H819" s="8" t="str">
        <f t="shared" si="44"/>
        <v>June 24 Week 4</v>
      </c>
      <c r="I819" s="8" t="str">
        <f>CONCATENATE(UPPER(TableAopCalendar[[#This Row],[Month]])," ",TableAopCalendar[[#This Row],[Year]])</f>
        <v>JUNE 24</v>
      </c>
      <c r="J819" s="8" t="s">
        <v>274</v>
      </c>
      <c r="K819" s="8" t="str">
        <f>CONCATENATE(TableAopCalendar[[#This Row],[Month for Plan]]," ",TableAopCalendar[[#This Row],[Plan]])</f>
        <v>JUNE 24 PLANNED</v>
      </c>
    </row>
    <row r="820" spans="1:11" x14ac:dyDescent="0.25">
      <c r="A820" s="8">
        <f t="shared" si="42"/>
        <v>6</v>
      </c>
      <c r="B820" s="6">
        <v>45470</v>
      </c>
      <c r="C820" s="7" t="s">
        <v>266</v>
      </c>
      <c r="D820" s="7">
        <v>24</v>
      </c>
      <c r="E820" s="8">
        <f>DAY(TableAopCalendar[[#This Row],[Date]])</f>
        <v>27</v>
      </c>
      <c r="F820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20" s="8" t="str">
        <f t="shared" si="43"/>
        <v>Week 4</v>
      </c>
      <c r="H820" s="8" t="str">
        <f t="shared" si="44"/>
        <v>June 24 Week 4</v>
      </c>
      <c r="I820" s="8" t="str">
        <f>CONCATENATE(UPPER(TableAopCalendar[[#This Row],[Month]])," ",TableAopCalendar[[#This Row],[Year]])</f>
        <v>JUNE 24</v>
      </c>
      <c r="J820" s="8" t="s">
        <v>274</v>
      </c>
      <c r="K820" s="8" t="str">
        <f>CONCATENATE(TableAopCalendar[[#This Row],[Month for Plan]]," ",TableAopCalendar[[#This Row],[Plan]])</f>
        <v>JUNE 24 PLANNED</v>
      </c>
    </row>
    <row r="821" spans="1:11" x14ac:dyDescent="0.25">
      <c r="A821" s="8">
        <f t="shared" si="42"/>
        <v>7</v>
      </c>
      <c r="B821" s="6">
        <v>45471</v>
      </c>
      <c r="C821" s="7" t="s">
        <v>266</v>
      </c>
      <c r="D821" s="7">
        <v>24</v>
      </c>
      <c r="E821" s="8">
        <f>DAY(TableAopCalendar[[#This Row],[Date]])</f>
        <v>28</v>
      </c>
      <c r="F821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21" s="8" t="str">
        <f t="shared" si="43"/>
        <v>Week 4</v>
      </c>
      <c r="H821" s="8" t="str">
        <f t="shared" si="44"/>
        <v>June 24 Week 4</v>
      </c>
      <c r="I821" s="8" t="str">
        <f>CONCATENATE(UPPER(TableAopCalendar[[#This Row],[Month]])," ",TableAopCalendar[[#This Row],[Year]])</f>
        <v>JUNE 24</v>
      </c>
      <c r="J821" s="8" t="s">
        <v>274</v>
      </c>
      <c r="K821" s="8" t="str">
        <f>CONCATENATE(TableAopCalendar[[#This Row],[Month for Plan]]," ",TableAopCalendar[[#This Row],[Plan]])</f>
        <v>JUNE 24 PLANNED</v>
      </c>
    </row>
    <row r="822" spans="1:11" x14ac:dyDescent="0.25">
      <c r="A822" s="8">
        <f t="shared" si="42"/>
        <v>1</v>
      </c>
      <c r="B822" s="6">
        <v>45472</v>
      </c>
      <c r="C822" s="7" t="s">
        <v>266</v>
      </c>
      <c r="D822" s="7">
        <v>24</v>
      </c>
      <c r="E822" s="8">
        <f>DAY(TableAopCalendar[[#This Row],[Date]])</f>
        <v>29</v>
      </c>
      <c r="F822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22" s="8" t="str">
        <f t="shared" si="43"/>
        <v>Week 5</v>
      </c>
      <c r="H822" s="8" t="str">
        <f t="shared" si="44"/>
        <v>June 24 Week 5</v>
      </c>
      <c r="I822" s="8" t="str">
        <f>CONCATENATE(UPPER(TableAopCalendar[[#This Row],[Month]])," ",TableAopCalendar[[#This Row],[Year]])</f>
        <v>JUNE 24</v>
      </c>
      <c r="J822" s="8" t="s">
        <v>274</v>
      </c>
      <c r="K822" s="8" t="str">
        <f>CONCATENATE(TableAopCalendar[[#This Row],[Month for Plan]]," ",TableAopCalendar[[#This Row],[Plan]])</f>
        <v>JUNE 24 PLANNED</v>
      </c>
    </row>
    <row r="823" spans="1:11" x14ac:dyDescent="0.25">
      <c r="A823" s="8">
        <f t="shared" si="42"/>
        <v>2</v>
      </c>
      <c r="B823" s="6">
        <v>45473</v>
      </c>
      <c r="C823" s="7" t="s">
        <v>266</v>
      </c>
      <c r="D823" s="7">
        <v>24</v>
      </c>
      <c r="E823" s="8">
        <f>DAY(TableAopCalendar[[#This Row],[Date]])</f>
        <v>30</v>
      </c>
      <c r="F823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23" s="8" t="str">
        <f t="shared" si="43"/>
        <v>Week 5</v>
      </c>
      <c r="H823" s="8" t="str">
        <f t="shared" si="44"/>
        <v>June 24 Week 5</v>
      </c>
      <c r="I823" s="8" t="str">
        <f>CONCATENATE(UPPER(TableAopCalendar[[#This Row],[Month]])," ",TableAopCalendar[[#This Row],[Year]])</f>
        <v>JUNE 24</v>
      </c>
      <c r="J823" s="8" t="s">
        <v>274</v>
      </c>
      <c r="K823" s="8" t="str">
        <f>CONCATENATE(TableAopCalendar[[#This Row],[Month for Plan]]," ",TableAopCalendar[[#This Row],[Plan]])</f>
        <v>JUNE 24 PLANNED</v>
      </c>
    </row>
    <row r="824" spans="1:11" x14ac:dyDescent="0.25">
      <c r="A824" s="8">
        <f t="shared" si="42"/>
        <v>1</v>
      </c>
      <c r="B824" s="6">
        <v>45474</v>
      </c>
      <c r="C824" s="7" t="s">
        <v>267</v>
      </c>
      <c r="D824" s="7">
        <v>24</v>
      </c>
      <c r="E824" s="8">
        <f>DAY(TableAopCalendar[[#This Row],[Date]])</f>
        <v>1</v>
      </c>
      <c r="F824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24" s="8" t="str">
        <f t="shared" si="43"/>
        <v>Week 1</v>
      </c>
      <c r="H824" s="8" t="str">
        <f t="shared" si="44"/>
        <v>July 24 Week 1</v>
      </c>
      <c r="I824" s="8" t="str">
        <f>CONCATENATE(UPPER(TableAopCalendar[[#This Row],[Month]])," ",TableAopCalendar[[#This Row],[Year]])</f>
        <v>JULY 24</v>
      </c>
      <c r="J824" s="8" t="s">
        <v>274</v>
      </c>
      <c r="K824" s="8" t="str">
        <f>CONCATENATE(TableAopCalendar[[#This Row],[Month for Plan]]," ",TableAopCalendar[[#This Row],[Plan]])</f>
        <v>JULY 24 PLANNED</v>
      </c>
    </row>
    <row r="825" spans="1:11" x14ac:dyDescent="0.25">
      <c r="A825" s="8">
        <f t="shared" si="42"/>
        <v>2</v>
      </c>
      <c r="B825" s="6">
        <v>45475</v>
      </c>
      <c r="C825" s="7" t="s">
        <v>267</v>
      </c>
      <c r="D825" s="7">
        <v>24</v>
      </c>
      <c r="E825" s="8">
        <f>DAY(TableAopCalendar[[#This Row],[Date]])</f>
        <v>2</v>
      </c>
      <c r="F825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25" s="8" t="str">
        <f t="shared" si="43"/>
        <v>Week 1</v>
      </c>
      <c r="H825" s="8" t="str">
        <f t="shared" si="44"/>
        <v>July 24 Week 1</v>
      </c>
      <c r="I825" s="8" t="str">
        <f>CONCATENATE(UPPER(TableAopCalendar[[#This Row],[Month]])," ",TableAopCalendar[[#This Row],[Year]])</f>
        <v>JULY 24</v>
      </c>
      <c r="J825" s="8" t="s">
        <v>274</v>
      </c>
      <c r="K825" s="8" t="str">
        <f>CONCATENATE(TableAopCalendar[[#This Row],[Month for Plan]]," ",TableAopCalendar[[#This Row],[Plan]])</f>
        <v>JULY 24 PLANNED</v>
      </c>
    </row>
    <row r="826" spans="1:11" x14ac:dyDescent="0.25">
      <c r="A826" s="8">
        <f t="shared" si="42"/>
        <v>3</v>
      </c>
      <c r="B826" s="6">
        <v>45476</v>
      </c>
      <c r="C826" s="7" t="s">
        <v>267</v>
      </c>
      <c r="D826" s="7">
        <v>24</v>
      </c>
      <c r="E826" s="8">
        <f>DAY(TableAopCalendar[[#This Row],[Date]])</f>
        <v>3</v>
      </c>
      <c r="F826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26" s="8" t="str">
        <f t="shared" si="43"/>
        <v>Week 1</v>
      </c>
      <c r="H826" s="8" t="str">
        <f t="shared" si="44"/>
        <v>July 24 Week 1</v>
      </c>
      <c r="I826" s="8" t="str">
        <f>CONCATENATE(UPPER(TableAopCalendar[[#This Row],[Month]])," ",TableAopCalendar[[#This Row],[Year]])</f>
        <v>JULY 24</v>
      </c>
      <c r="J826" s="8" t="s">
        <v>274</v>
      </c>
      <c r="K826" s="8" t="str">
        <f>CONCATENATE(TableAopCalendar[[#This Row],[Month for Plan]]," ",TableAopCalendar[[#This Row],[Plan]])</f>
        <v>JULY 24 PLANNED</v>
      </c>
    </row>
    <row r="827" spans="1:11" x14ac:dyDescent="0.25">
      <c r="A827" s="8">
        <f t="shared" si="42"/>
        <v>4</v>
      </c>
      <c r="B827" s="6">
        <v>45477</v>
      </c>
      <c r="C827" s="7" t="s">
        <v>267</v>
      </c>
      <c r="D827" s="7">
        <v>24</v>
      </c>
      <c r="E827" s="8">
        <f>DAY(TableAopCalendar[[#This Row],[Date]])</f>
        <v>4</v>
      </c>
      <c r="F827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27" s="8" t="str">
        <f t="shared" si="43"/>
        <v>Week 1</v>
      </c>
      <c r="H827" s="8" t="str">
        <f t="shared" si="44"/>
        <v>July 24 Week 1</v>
      </c>
      <c r="I827" s="8" t="str">
        <f>CONCATENATE(UPPER(TableAopCalendar[[#This Row],[Month]])," ",TableAopCalendar[[#This Row],[Year]])</f>
        <v>JULY 24</v>
      </c>
      <c r="J827" s="8" t="s">
        <v>274</v>
      </c>
      <c r="K827" s="8" t="str">
        <f>CONCATENATE(TableAopCalendar[[#This Row],[Month for Plan]]," ",TableAopCalendar[[#This Row],[Plan]])</f>
        <v>JULY 24 PLANNED</v>
      </c>
    </row>
    <row r="828" spans="1:11" x14ac:dyDescent="0.25">
      <c r="A828" s="8">
        <f t="shared" si="42"/>
        <v>5</v>
      </c>
      <c r="B828" s="6">
        <v>45478</v>
      </c>
      <c r="C828" s="7" t="s">
        <v>267</v>
      </c>
      <c r="D828" s="7">
        <v>24</v>
      </c>
      <c r="E828" s="8">
        <f>DAY(TableAopCalendar[[#This Row],[Date]])</f>
        <v>5</v>
      </c>
      <c r="F828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28" s="8" t="str">
        <f t="shared" si="43"/>
        <v>Week 1</v>
      </c>
      <c r="H828" s="8" t="str">
        <f t="shared" si="44"/>
        <v>July 24 Week 1</v>
      </c>
      <c r="I828" s="8" t="str">
        <f>CONCATENATE(UPPER(TableAopCalendar[[#This Row],[Month]])," ",TableAopCalendar[[#This Row],[Year]])</f>
        <v>JULY 24</v>
      </c>
      <c r="J828" s="8" t="s">
        <v>274</v>
      </c>
      <c r="K828" s="8" t="str">
        <f>CONCATENATE(TableAopCalendar[[#This Row],[Month for Plan]]," ",TableAopCalendar[[#This Row],[Plan]])</f>
        <v>JULY 24 PLANNED</v>
      </c>
    </row>
    <row r="829" spans="1:11" x14ac:dyDescent="0.25">
      <c r="A829" s="8">
        <f t="shared" ref="A829:A860" si="45">IF(G829=G828,A828+1,1)</f>
        <v>6</v>
      </c>
      <c r="B829" s="6">
        <v>45479</v>
      </c>
      <c r="C829" s="7" t="s">
        <v>267</v>
      </c>
      <c r="D829" s="7">
        <v>24</v>
      </c>
      <c r="E829" s="8">
        <f>DAY(TableAopCalendar[[#This Row],[Date]])</f>
        <v>6</v>
      </c>
      <c r="F829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29" s="8" t="str">
        <f t="shared" ref="G829:G860" si="46">"Week"&amp;" "&amp;F829</f>
        <v>Week 1</v>
      </c>
      <c r="H829" s="8" t="str">
        <f t="shared" ref="H829:H860" si="47">CONCATENATE(C829," ",D829," ",G829)</f>
        <v>July 24 Week 1</v>
      </c>
      <c r="I829" s="8" t="str">
        <f>CONCATENATE(UPPER(TableAopCalendar[[#This Row],[Month]])," ",TableAopCalendar[[#This Row],[Year]])</f>
        <v>JULY 24</v>
      </c>
      <c r="J829" s="8" t="s">
        <v>274</v>
      </c>
      <c r="K829" s="8" t="str">
        <f>CONCATENATE(TableAopCalendar[[#This Row],[Month for Plan]]," ",TableAopCalendar[[#This Row],[Plan]])</f>
        <v>JULY 24 PLANNED</v>
      </c>
    </row>
    <row r="830" spans="1:11" x14ac:dyDescent="0.25">
      <c r="A830" s="8">
        <f t="shared" si="45"/>
        <v>7</v>
      </c>
      <c r="B830" s="6">
        <v>45480</v>
      </c>
      <c r="C830" s="7" t="s">
        <v>267</v>
      </c>
      <c r="D830" s="7">
        <v>24</v>
      </c>
      <c r="E830" s="8">
        <f>DAY(TableAopCalendar[[#This Row],[Date]])</f>
        <v>7</v>
      </c>
      <c r="F830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30" s="8" t="str">
        <f t="shared" si="46"/>
        <v>Week 1</v>
      </c>
      <c r="H830" s="8" t="str">
        <f t="shared" si="47"/>
        <v>July 24 Week 1</v>
      </c>
      <c r="I830" s="8" t="str">
        <f>CONCATENATE(UPPER(TableAopCalendar[[#This Row],[Month]])," ",TableAopCalendar[[#This Row],[Year]])</f>
        <v>JULY 24</v>
      </c>
      <c r="J830" s="8" t="s">
        <v>274</v>
      </c>
      <c r="K830" s="8" t="str">
        <f>CONCATENATE(TableAopCalendar[[#This Row],[Month for Plan]]," ",TableAopCalendar[[#This Row],[Plan]])</f>
        <v>JULY 24 PLANNED</v>
      </c>
    </row>
    <row r="831" spans="1:11" x14ac:dyDescent="0.25">
      <c r="A831" s="8">
        <f t="shared" si="45"/>
        <v>1</v>
      </c>
      <c r="B831" s="6">
        <v>45481</v>
      </c>
      <c r="C831" s="7" t="s">
        <v>267</v>
      </c>
      <c r="D831" s="7">
        <v>24</v>
      </c>
      <c r="E831" s="8">
        <f>DAY(TableAopCalendar[[#This Row],[Date]])</f>
        <v>8</v>
      </c>
      <c r="F831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31" s="8" t="str">
        <f t="shared" si="46"/>
        <v>Week 2</v>
      </c>
      <c r="H831" s="8" t="str">
        <f t="shared" si="47"/>
        <v>July 24 Week 2</v>
      </c>
      <c r="I831" s="8" t="str">
        <f>CONCATENATE(UPPER(TableAopCalendar[[#This Row],[Month]])," ",TableAopCalendar[[#This Row],[Year]])</f>
        <v>JULY 24</v>
      </c>
      <c r="J831" s="8" t="s">
        <v>274</v>
      </c>
      <c r="K831" s="8" t="str">
        <f>CONCATENATE(TableAopCalendar[[#This Row],[Month for Plan]]," ",TableAopCalendar[[#This Row],[Plan]])</f>
        <v>JULY 24 PLANNED</v>
      </c>
    </row>
    <row r="832" spans="1:11" x14ac:dyDescent="0.25">
      <c r="A832" s="8">
        <f t="shared" si="45"/>
        <v>2</v>
      </c>
      <c r="B832" s="6">
        <v>45482</v>
      </c>
      <c r="C832" s="7" t="s">
        <v>267</v>
      </c>
      <c r="D832" s="7">
        <v>24</v>
      </c>
      <c r="E832" s="8">
        <f>DAY(TableAopCalendar[[#This Row],[Date]])</f>
        <v>9</v>
      </c>
      <c r="F832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32" s="8" t="str">
        <f t="shared" si="46"/>
        <v>Week 2</v>
      </c>
      <c r="H832" s="8" t="str">
        <f t="shared" si="47"/>
        <v>July 24 Week 2</v>
      </c>
      <c r="I832" s="8" t="str">
        <f>CONCATENATE(UPPER(TableAopCalendar[[#This Row],[Month]])," ",TableAopCalendar[[#This Row],[Year]])</f>
        <v>JULY 24</v>
      </c>
      <c r="J832" s="8" t="s">
        <v>274</v>
      </c>
      <c r="K832" s="8" t="str">
        <f>CONCATENATE(TableAopCalendar[[#This Row],[Month for Plan]]," ",TableAopCalendar[[#This Row],[Plan]])</f>
        <v>JULY 24 PLANNED</v>
      </c>
    </row>
    <row r="833" spans="1:11" x14ac:dyDescent="0.25">
      <c r="A833" s="8">
        <f t="shared" si="45"/>
        <v>3</v>
      </c>
      <c r="B833" s="6">
        <v>45483</v>
      </c>
      <c r="C833" s="7" t="s">
        <v>267</v>
      </c>
      <c r="D833" s="7">
        <v>24</v>
      </c>
      <c r="E833" s="8">
        <f>DAY(TableAopCalendar[[#This Row],[Date]])</f>
        <v>10</v>
      </c>
      <c r="F833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33" s="8" t="str">
        <f t="shared" si="46"/>
        <v>Week 2</v>
      </c>
      <c r="H833" s="8" t="str">
        <f t="shared" si="47"/>
        <v>July 24 Week 2</v>
      </c>
      <c r="I833" s="8" t="str">
        <f>CONCATENATE(UPPER(TableAopCalendar[[#This Row],[Month]])," ",TableAopCalendar[[#This Row],[Year]])</f>
        <v>JULY 24</v>
      </c>
      <c r="J833" s="8" t="s">
        <v>274</v>
      </c>
      <c r="K833" s="8" t="str">
        <f>CONCATENATE(TableAopCalendar[[#This Row],[Month for Plan]]," ",TableAopCalendar[[#This Row],[Plan]])</f>
        <v>JULY 24 PLANNED</v>
      </c>
    </row>
    <row r="834" spans="1:11" x14ac:dyDescent="0.25">
      <c r="A834" s="8">
        <f t="shared" si="45"/>
        <v>4</v>
      </c>
      <c r="B834" s="6">
        <v>45484</v>
      </c>
      <c r="C834" s="7" t="s">
        <v>267</v>
      </c>
      <c r="D834" s="7">
        <v>24</v>
      </c>
      <c r="E834" s="8">
        <f>DAY(TableAopCalendar[[#This Row],[Date]])</f>
        <v>11</v>
      </c>
      <c r="F834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34" s="8" t="str">
        <f t="shared" si="46"/>
        <v>Week 2</v>
      </c>
      <c r="H834" s="8" t="str">
        <f t="shared" si="47"/>
        <v>July 24 Week 2</v>
      </c>
      <c r="I834" s="8" t="str">
        <f>CONCATENATE(UPPER(TableAopCalendar[[#This Row],[Month]])," ",TableAopCalendar[[#This Row],[Year]])</f>
        <v>JULY 24</v>
      </c>
      <c r="J834" s="8" t="s">
        <v>274</v>
      </c>
      <c r="K834" s="8" t="str">
        <f>CONCATENATE(TableAopCalendar[[#This Row],[Month for Plan]]," ",TableAopCalendar[[#This Row],[Plan]])</f>
        <v>JULY 24 PLANNED</v>
      </c>
    </row>
    <row r="835" spans="1:11" x14ac:dyDescent="0.25">
      <c r="A835" s="8">
        <f t="shared" si="45"/>
        <v>5</v>
      </c>
      <c r="B835" s="6">
        <v>45485</v>
      </c>
      <c r="C835" s="7" t="s">
        <v>267</v>
      </c>
      <c r="D835" s="7">
        <v>24</v>
      </c>
      <c r="E835" s="8">
        <f>DAY(TableAopCalendar[[#This Row],[Date]])</f>
        <v>12</v>
      </c>
      <c r="F835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35" s="8" t="str">
        <f t="shared" si="46"/>
        <v>Week 2</v>
      </c>
      <c r="H835" s="8" t="str">
        <f t="shared" si="47"/>
        <v>July 24 Week 2</v>
      </c>
      <c r="I835" s="8" t="str">
        <f>CONCATENATE(UPPER(TableAopCalendar[[#This Row],[Month]])," ",TableAopCalendar[[#This Row],[Year]])</f>
        <v>JULY 24</v>
      </c>
      <c r="J835" s="8" t="s">
        <v>274</v>
      </c>
      <c r="K835" s="8" t="str">
        <f>CONCATENATE(TableAopCalendar[[#This Row],[Month for Plan]]," ",TableAopCalendar[[#This Row],[Plan]])</f>
        <v>JULY 24 PLANNED</v>
      </c>
    </row>
    <row r="836" spans="1:11" x14ac:dyDescent="0.25">
      <c r="A836" s="8">
        <f t="shared" si="45"/>
        <v>6</v>
      </c>
      <c r="B836" s="6">
        <v>45486</v>
      </c>
      <c r="C836" s="7" t="s">
        <v>267</v>
      </c>
      <c r="D836" s="7">
        <v>24</v>
      </c>
      <c r="E836" s="8">
        <f>DAY(TableAopCalendar[[#This Row],[Date]])</f>
        <v>13</v>
      </c>
      <c r="F836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36" s="8" t="str">
        <f t="shared" si="46"/>
        <v>Week 2</v>
      </c>
      <c r="H836" s="8" t="str">
        <f t="shared" si="47"/>
        <v>July 24 Week 2</v>
      </c>
      <c r="I836" s="8" t="str">
        <f>CONCATENATE(UPPER(TableAopCalendar[[#This Row],[Month]])," ",TableAopCalendar[[#This Row],[Year]])</f>
        <v>JULY 24</v>
      </c>
      <c r="J836" s="8" t="s">
        <v>274</v>
      </c>
      <c r="K836" s="8" t="str">
        <f>CONCATENATE(TableAopCalendar[[#This Row],[Month for Plan]]," ",TableAopCalendar[[#This Row],[Plan]])</f>
        <v>JULY 24 PLANNED</v>
      </c>
    </row>
    <row r="837" spans="1:11" x14ac:dyDescent="0.25">
      <c r="A837" s="8">
        <f t="shared" si="45"/>
        <v>7</v>
      </c>
      <c r="B837" s="6">
        <v>45487</v>
      </c>
      <c r="C837" s="7" t="s">
        <v>267</v>
      </c>
      <c r="D837" s="7">
        <v>24</v>
      </c>
      <c r="E837" s="8">
        <f>DAY(TableAopCalendar[[#This Row],[Date]])</f>
        <v>14</v>
      </c>
      <c r="F837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37" s="8" t="str">
        <f t="shared" si="46"/>
        <v>Week 2</v>
      </c>
      <c r="H837" s="8" t="str">
        <f t="shared" si="47"/>
        <v>July 24 Week 2</v>
      </c>
      <c r="I837" s="8" t="str">
        <f>CONCATENATE(UPPER(TableAopCalendar[[#This Row],[Month]])," ",TableAopCalendar[[#This Row],[Year]])</f>
        <v>JULY 24</v>
      </c>
      <c r="J837" s="8" t="s">
        <v>274</v>
      </c>
      <c r="K837" s="8" t="str">
        <f>CONCATENATE(TableAopCalendar[[#This Row],[Month for Plan]]," ",TableAopCalendar[[#This Row],[Plan]])</f>
        <v>JULY 24 PLANNED</v>
      </c>
    </row>
    <row r="838" spans="1:11" x14ac:dyDescent="0.25">
      <c r="A838" s="8">
        <f t="shared" si="45"/>
        <v>1</v>
      </c>
      <c r="B838" s="6">
        <v>45488</v>
      </c>
      <c r="C838" s="7" t="s">
        <v>267</v>
      </c>
      <c r="D838" s="7">
        <v>24</v>
      </c>
      <c r="E838" s="8">
        <f>DAY(TableAopCalendar[[#This Row],[Date]])</f>
        <v>15</v>
      </c>
      <c r="F838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38" s="8" t="str">
        <f t="shared" si="46"/>
        <v>Week 3</v>
      </c>
      <c r="H838" s="8" t="str">
        <f t="shared" si="47"/>
        <v>July 24 Week 3</v>
      </c>
      <c r="I838" s="8" t="str">
        <f>CONCATENATE(UPPER(TableAopCalendar[[#This Row],[Month]])," ",TableAopCalendar[[#This Row],[Year]])</f>
        <v>JULY 24</v>
      </c>
      <c r="J838" s="8" t="s">
        <v>274</v>
      </c>
      <c r="K838" s="8" t="str">
        <f>CONCATENATE(TableAopCalendar[[#This Row],[Month for Plan]]," ",TableAopCalendar[[#This Row],[Plan]])</f>
        <v>JULY 24 PLANNED</v>
      </c>
    </row>
    <row r="839" spans="1:11" x14ac:dyDescent="0.25">
      <c r="A839" s="8">
        <f t="shared" si="45"/>
        <v>2</v>
      </c>
      <c r="B839" s="6">
        <v>45489</v>
      </c>
      <c r="C839" s="7" t="s">
        <v>267</v>
      </c>
      <c r="D839" s="7">
        <v>24</v>
      </c>
      <c r="E839" s="8">
        <f>DAY(TableAopCalendar[[#This Row],[Date]])</f>
        <v>16</v>
      </c>
      <c r="F839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39" s="8" t="str">
        <f t="shared" si="46"/>
        <v>Week 3</v>
      </c>
      <c r="H839" s="8" t="str">
        <f t="shared" si="47"/>
        <v>July 24 Week 3</v>
      </c>
      <c r="I839" s="8" t="str">
        <f>CONCATENATE(UPPER(TableAopCalendar[[#This Row],[Month]])," ",TableAopCalendar[[#This Row],[Year]])</f>
        <v>JULY 24</v>
      </c>
      <c r="J839" s="8" t="s">
        <v>274</v>
      </c>
      <c r="K839" s="8" t="str">
        <f>CONCATENATE(TableAopCalendar[[#This Row],[Month for Plan]]," ",TableAopCalendar[[#This Row],[Plan]])</f>
        <v>JULY 24 PLANNED</v>
      </c>
    </row>
    <row r="840" spans="1:11" x14ac:dyDescent="0.25">
      <c r="A840" s="8">
        <f t="shared" si="45"/>
        <v>3</v>
      </c>
      <c r="B840" s="6">
        <v>45490</v>
      </c>
      <c r="C840" s="7" t="s">
        <v>267</v>
      </c>
      <c r="D840" s="7">
        <v>24</v>
      </c>
      <c r="E840" s="8">
        <f>DAY(TableAopCalendar[[#This Row],[Date]])</f>
        <v>17</v>
      </c>
      <c r="F840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40" s="8" t="str">
        <f t="shared" si="46"/>
        <v>Week 3</v>
      </c>
      <c r="H840" s="8" t="str">
        <f t="shared" si="47"/>
        <v>July 24 Week 3</v>
      </c>
      <c r="I840" s="8" t="str">
        <f>CONCATENATE(UPPER(TableAopCalendar[[#This Row],[Month]])," ",TableAopCalendar[[#This Row],[Year]])</f>
        <v>JULY 24</v>
      </c>
      <c r="J840" s="8" t="s">
        <v>274</v>
      </c>
      <c r="K840" s="8" t="str">
        <f>CONCATENATE(TableAopCalendar[[#This Row],[Month for Plan]]," ",TableAopCalendar[[#This Row],[Plan]])</f>
        <v>JULY 24 PLANNED</v>
      </c>
    </row>
    <row r="841" spans="1:11" x14ac:dyDescent="0.25">
      <c r="A841" s="8">
        <f t="shared" si="45"/>
        <v>4</v>
      </c>
      <c r="B841" s="6">
        <v>45491</v>
      </c>
      <c r="C841" s="7" t="s">
        <v>267</v>
      </c>
      <c r="D841" s="7">
        <v>24</v>
      </c>
      <c r="E841" s="8">
        <f>DAY(TableAopCalendar[[#This Row],[Date]])</f>
        <v>18</v>
      </c>
      <c r="F841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41" s="8" t="str">
        <f t="shared" si="46"/>
        <v>Week 3</v>
      </c>
      <c r="H841" s="8" t="str">
        <f t="shared" si="47"/>
        <v>July 24 Week 3</v>
      </c>
      <c r="I841" s="8" t="str">
        <f>CONCATENATE(UPPER(TableAopCalendar[[#This Row],[Month]])," ",TableAopCalendar[[#This Row],[Year]])</f>
        <v>JULY 24</v>
      </c>
      <c r="J841" s="8" t="s">
        <v>274</v>
      </c>
      <c r="K841" s="8" t="str">
        <f>CONCATENATE(TableAopCalendar[[#This Row],[Month for Plan]]," ",TableAopCalendar[[#This Row],[Plan]])</f>
        <v>JULY 24 PLANNED</v>
      </c>
    </row>
    <row r="842" spans="1:11" x14ac:dyDescent="0.25">
      <c r="A842" s="8">
        <f t="shared" si="45"/>
        <v>5</v>
      </c>
      <c r="B842" s="6">
        <v>45492</v>
      </c>
      <c r="C842" s="7" t="s">
        <v>267</v>
      </c>
      <c r="D842" s="7">
        <v>24</v>
      </c>
      <c r="E842" s="8">
        <f>DAY(TableAopCalendar[[#This Row],[Date]])</f>
        <v>19</v>
      </c>
      <c r="F842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42" s="8" t="str">
        <f t="shared" si="46"/>
        <v>Week 3</v>
      </c>
      <c r="H842" s="8" t="str">
        <f t="shared" si="47"/>
        <v>July 24 Week 3</v>
      </c>
      <c r="I842" s="8" t="str">
        <f>CONCATENATE(UPPER(TableAopCalendar[[#This Row],[Month]])," ",TableAopCalendar[[#This Row],[Year]])</f>
        <v>JULY 24</v>
      </c>
      <c r="J842" s="8" t="s">
        <v>274</v>
      </c>
      <c r="K842" s="8" t="str">
        <f>CONCATENATE(TableAopCalendar[[#This Row],[Month for Plan]]," ",TableAopCalendar[[#This Row],[Plan]])</f>
        <v>JULY 24 PLANNED</v>
      </c>
    </row>
    <row r="843" spans="1:11" x14ac:dyDescent="0.25">
      <c r="A843" s="8">
        <f t="shared" si="45"/>
        <v>6</v>
      </c>
      <c r="B843" s="6">
        <v>45493</v>
      </c>
      <c r="C843" s="7" t="s">
        <v>267</v>
      </c>
      <c r="D843" s="7">
        <v>24</v>
      </c>
      <c r="E843" s="8">
        <f>DAY(TableAopCalendar[[#This Row],[Date]])</f>
        <v>20</v>
      </c>
      <c r="F843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43" s="8" t="str">
        <f t="shared" si="46"/>
        <v>Week 3</v>
      </c>
      <c r="H843" s="8" t="str">
        <f t="shared" si="47"/>
        <v>July 24 Week 3</v>
      </c>
      <c r="I843" s="8" t="str">
        <f>CONCATENATE(UPPER(TableAopCalendar[[#This Row],[Month]])," ",TableAopCalendar[[#This Row],[Year]])</f>
        <v>JULY 24</v>
      </c>
      <c r="J843" s="8" t="s">
        <v>274</v>
      </c>
      <c r="K843" s="8" t="str">
        <f>CONCATENATE(TableAopCalendar[[#This Row],[Month for Plan]]," ",TableAopCalendar[[#This Row],[Plan]])</f>
        <v>JULY 24 PLANNED</v>
      </c>
    </row>
    <row r="844" spans="1:11" x14ac:dyDescent="0.25">
      <c r="A844" s="8">
        <f t="shared" si="45"/>
        <v>7</v>
      </c>
      <c r="B844" s="6">
        <v>45494</v>
      </c>
      <c r="C844" s="7" t="s">
        <v>267</v>
      </c>
      <c r="D844" s="7">
        <v>24</v>
      </c>
      <c r="E844" s="8">
        <f>DAY(TableAopCalendar[[#This Row],[Date]])</f>
        <v>21</v>
      </c>
      <c r="F844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44" s="8" t="str">
        <f t="shared" si="46"/>
        <v>Week 3</v>
      </c>
      <c r="H844" s="8" t="str">
        <f t="shared" si="47"/>
        <v>July 24 Week 3</v>
      </c>
      <c r="I844" s="8" t="str">
        <f>CONCATENATE(UPPER(TableAopCalendar[[#This Row],[Month]])," ",TableAopCalendar[[#This Row],[Year]])</f>
        <v>JULY 24</v>
      </c>
      <c r="J844" s="8" t="s">
        <v>274</v>
      </c>
      <c r="K844" s="8" t="str">
        <f>CONCATENATE(TableAopCalendar[[#This Row],[Month for Plan]]," ",TableAopCalendar[[#This Row],[Plan]])</f>
        <v>JULY 24 PLANNED</v>
      </c>
    </row>
    <row r="845" spans="1:11" x14ac:dyDescent="0.25">
      <c r="A845" s="8">
        <f t="shared" si="45"/>
        <v>1</v>
      </c>
      <c r="B845" s="6">
        <v>45495</v>
      </c>
      <c r="C845" s="7" t="s">
        <v>267</v>
      </c>
      <c r="D845" s="7">
        <v>24</v>
      </c>
      <c r="E845" s="8">
        <f>DAY(TableAopCalendar[[#This Row],[Date]])</f>
        <v>22</v>
      </c>
      <c r="F845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45" s="8" t="str">
        <f t="shared" si="46"/>
        <v>Week 4</v>
      </c>
      <c r="H845" s="8" t="str">
        <f t="shared" si="47"/>
        <v>July 24 Week 4</v>
      </c>
      <c r="I845" s="8" t="str">
        <f>CONCATENATE(UPPER(TableAopCalendar[[#This Row],[Month]])," ",TableAopCalendar[[#This Row],[Year]])</f>
        <v>JULY 24</v>
      </c>
      <c r="J845" s="8" t="s">
        <v>274</v>
      </c>
      <c r="K845" s="8" t="str">
        <f>CONCATENATE(TableAopCalendar[[#This Row],[Month for Plan]]," ",TableAopCalendar[[#This Row],[Plan]])</f>
        <v>JULY 24 PLANNED</v>
      </c>
    </row>
    <row r="846" spans="1:11" x14ac:dyDescent="0.25">
      <c r="A846" s="8">
        <f t="shared" si="45"/>
        <v>2</v>
      </c>
      <c r="B846" s="6">
        <v>45496</v>
      </c>
      <c r="C846" s="7" t="s">
        <v>267</v>
      </c>
      <c r="D846" s="7">
        <v>24</v>
      </c>
      <c r="E846" s="8">
        <f>DAY(TableAopCalendar[[#This Row],[Date]])</f>
        <v>23</v>
      </c>
      <c r="F846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46" s="8" t="str">
        <f t="shared" si="46"/>
        <v>Week 4</v>
      </c>
      <c r="H846" s="8" t="str">
        <f t="shared" si="47"/>
        <v>July 24 Week 4</v>
      </c>
      <c r="I846" s="8" t="str">
        <f>CONCATENATE(UPPER(TableAopCalendar[[#This Row],[Month]])," ",TableAopCalendar[[#This Row],[Year]])</f>
        <v>JULY 24</v>
      </c>
      <c r="J846" s="8" t="s">
        <v>274</v>
      </c>
      <c r="K846" s="8" t="str">
        <f>CONCATENATE(TableAopCalendar[[#This Row],[Month for Plan]]," ",TableAopCalendar[[#This Row],[Plan]])</f>
        <v>JULY 24 PLANNED</v>
      </c>
    </row>
    <row r="847" spans="1:11" x14ac:dyDescent="0.25">
      <c r="A847" s="8">
        <f t="shared" si="45"/>
        <v>3</v>
      </c>
      <c r="B847" s="6">
        <v>45497</v>
      </c>
      <c r="C847" s="7" t="s">
        <v>267</v>
      </c>
      <c r="D847" s="7">
        <v>24</v>
      </c>
      <c r="E847" s="8">
        <f>DAY(TableAopCalendar[[#This Row],[Date]])</f>
        <v>24</v>
      </c>
      <c r="F847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47" s="8" t="str">
        <f t="shared" si="46"/>
        <v>Week 4</v>
      </c>
      <c r="H847" s="8" t="str">
        <f t="shared" si="47"/>
        <v>July 24 Week 4</v>
      </c>
      <c r="I847" s="8" t="str">
        <f>CONCATENATE(UPPER(TableAopCalendar[[#This Row],[Month]])," ",TableAopCalendar[[#This Row],[Year]])</f>
        <v>JULY 24</v>
      </c>
      <c r="J847" s="8" t="s">
        <v>274</v>
      </c>
      <c r="K847" s="8" t="str">
        <f>CONCATENATE(TableAopCalendar[[#This Row],[Month for Plan]]," ",TableAopCalendar[[#This Row],[Plan]])</f>
        <v>JULY 24 PLANNED</v>
      </c>
    </row>
    <row r="848" spans="1:11" x14ac:dyDescent="0.25">
      <c r="A848" s="8">
        <f t="shared" si="45"/>
        <v>4</v>
      </c>
      <c r="B848" s="6">
        <v>45498</v>
      </c>
      <c r="C848" s="7" t="s">
        <v>267</v>
      </c>
      <c r="D848" s="7">
        <v>24</v>
      </c>
      <c r="E848" s="8">
        <f>DAY(TableAopCalendar[[#This Row],[Date]])</f>
        <v>25</v>
      </c>
      <c r="F848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48" s="8" t="str">
        <f t="shared" si="46"/>
        <v>Week 4</v>
      </c>
      <c r="H848" s="8" t="str">
        <f t="shared" si="47"/>
        <v>July 24 Week 4</v>
      </c>
      <c r="I848" s="8" t="str">
        <f>CONCATENATE(UPPER(TableAopCalendar[[#This Row],[Month]])," ",TableAopCalendar[[#This Row],[Year]])</f>
        <v>JULY 24</v>
      </c>
      <c r="J848" s="8" t="s">
        <v>274</v>
      </c>
      <c r="K848" s="8" t="str">
        <f>CONCATENATE(TableAopCalendar[[#This Row],[Month for Plan]]," ",TableAopCalendar[[#This Row],[Plan]])</f>
        <v>JULY 24 PLANNED</v>
      </c>
    </row>
    <row r="849" spans="1:11" x14ac:dyDescent="0.25">
      <c r="A849" s="8">
        <f t="shared" si="45"/>
        <v>5</v>
      </c>
      <c r="B849" s="6">
        <v>45499</v>
      </c>
      <c r="C849" s="7" t="s">
        <v>267</v>
      </c>
      <c r="D849" s="7">
        <v>24</v>
      </c>
      <c r="E849" s="8">
        <f>DAY(TableAopCalendar[[#This Row],[Date]])</f>
        <v>26</v>
      </c>
      <c r="F849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49" s="8" t="str">
        <f t="shared" si="46"/>
        <v>Week 4</v>
      </c>
      <c r="H849" s="8" t="str">
        <f t="shared" si="47"/>
        <v>July 24 Week 4</v>
      </c>
      <c r="I849" s="8" t="str">
        <f>CONCATENATE(UPPER(TableAopCalendar[[#This Row],[Month]])," ",TableAopCalendar[[#This Row],[Year]])</f>
        <v>JULY 24</v>
      </c>
      <c r="J849" s="8" t="s">
        <v>274</v>
      </c>
      <c r="K849" s="8" t="str">
        <f>CONCATENATE(TableAopCalendar[[#This Row],[Month for Plan]]," ",TableAopCalendar[[#This Row],[Plan]])</f>
        <v>JULY 24 PLANNED</v>
      </c>
    </row>
    <row r="850" spans="1:11" x14ac:dyDescent="0.25">
      <c r="A850" s="8">
        <f t="shared" si="45"/>
        <v>6</v>
      </c>
      <c r="B850" s="6">
        <v>45500</v>
      </c>
      <c r="C850" s="7" t="s">
        <v>267</v>
      </c>
      <c r="D850" s="7">
        <v>24</v>
      </c>
      <c r="E850" s="8">
        <f>DAY(TableAopCalendar[[#This Row],[Date]])</f>
        <v>27</v>
      </c>
      <c r="F850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50" s="8" t="str">
        <f t="shared" si="46"/>
        <v>Week 4</v>
      </c>
      <c r="H850" s="8" t="str">
        <f t="shared" si="47"/>
        <v>July 24 Week 4</v>
      </c>
      <c r="I850" s="8" t="str">
        <f>CONCATENATE(UPPER(TableAopCalendar[[#This Row],[Month]])," ",TableAopCalendar[[#This Row],[Year]])</f>
        <v>JULY 24</v>
      </c>
      <c r="J850" s="8" t="s">
        <v>274</v>
      </c>
      <c r="K850" s="8" t="str">
        <f>CONCATENATE(TableAopCalendar[[#This Row],[Month for Plan]]," ",TableAopCalendar[[#This Row],[Plan]])</f>
        <v>JULY 24 PLANNED</v>
      </c>
    </row>
    <row r="851" spans="1:11" x14ac:dyDescent="0.25">
      <c r="A851" s="8">
        <f t="shared" si="45"/>
        <v>7</v>
      </c>
      <c r="B851" s="6">
        <v>45501</v>
      </c>
      <c r="C851" s="7" t="s">
        <v>267</v>
      </c>
      <c r="D851" s="7">
        <v>24</v>
      </c>
      <c r="E851" s="8">
        <f>DAY(TableAopCalendar[[#This Row],[Date]])</f>
        <v>28</v>
      </c>
      <c r="F851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51" s="8" t="str">
        <f t="shared" si="46"/>
        <v>Week 4</v>
      </c>
      <c r="H851" s="8" t="str">
        <f t="shared" si="47"/>
        <v>July 24 Week 4</v>
      </c>
      <c r="I851" s="8" t="str">
        <f>CONCATENATE(UPPER(TableAopCalendar[[#This Row],[Month]])," ",TableAopCalendar[[#This Row],[Year]])</f>
        <v>JULY 24</v>
      </c>
      <c r="J851" s="8" t="s">
        <v>274</v>
      </c>
      <c r="K851" s="8" t="str">
        <f>CONCATENATE(TableAopCalendar[[#This Row],[Month for Plan]]," ",TableAopCalendar[[#This Row],[Plan]])</f>
        <v>JULY 24 PLANNED</v>
      </c>
    </row>
    <row r="852" spans="1:11" x14ac:dyDescent="0.25">
      <c r="A852" s="8">
        <f t="shared" si="45"/>
        <v>1</v>
      </c>
      <c r="B852" s="6">
        <v>45502</v>
      </c>
      <c r="C852" s="7" t="s">
        <v>267</v>
      </c>
      <c r="D852" s="7">
        <v>24</v>
      </c>
      <c r="E852" s="8">
        <f>DAY(TableAopCalendar[[#This Row],[Date]])</f>
        <v>29</v>
      </c>
      <c r="F852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52" s="8" t="str">
        <f t="shared" si="46"/>
        <v>Week 5</v>
      </c>
      <c r="H852" s="8" t="str">
        <f t="shared" si="47"/>
        <v>July 24 Week 5</v>
      </c>
      <c r="I852" s="8" t="str">
        <f>CONCATENATE(UPPER(TableAopCalendar[[#This Row],[Month]])," ",TableAopCalendar[[#This Row],[Year]])</f>
        <v>JULY 24</v>
      </c>
      <c r="J852" s="8" t="s">
        <v>274</v>
      </c>
      <c r="K852" s="8" t="str">
        <f>CONCATENATE(TableAopCalendar[[#This Row],[Month for Plan]]," ",TableAopCalendar[[#This Row],[Plan]])</f>
        <v>JULY 24 PLANNED</v>
      </c>
    </row>
    <row r="853" spans="1:11" x14ac:dyDescent="0.25">
      <c r="A853" s="8">
        <f t="shared" si="45"/>
        <v>2</v>
      </c>
      <c r="B853" s="6">
        <v>45503</v>
      </c>
      <c r="C853" s="7" t="s">
        <v>267</v>
      </c>
      <c r="D853" s="7">
        <v>24</v>
      </c>
      <c r="E853" s="8">
        <f>DAY(TableAopCalendar[[#This Row],[Date]])</f>
        <v>30</v>
      </c>
      <c r="F853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53" s="8" t="str">
        <f t="shared" si="46"/>
        <v>Week 5</v>
      </c>
      <c r="H853" s="8" t="str">
        <f t="shared" si="47"/>
        <v>July 24 Week 5</v>
      </c>
      <c r="I853" s="8" t="str">
        <f>CONCATENATE(UPPER(TableAopCalendar[[#This Row],[Month]])," ",TableAopCalendar[[#This Row],[Year]])</f>
        <v>JULY 24</v>
      </c>
      <c r="J853" s="8" t="s">
        <v>274</v>
      </c>
      <c r="K853" s="8" t="str">
        <f>CONCATENATE(TableAopCalendar[[#This Row],[Month for Plan]]," ",TableAopCalendar[[#This Row],[Plan]])</f>
        <v>JULY 24 PLANNED</v>
      </c>
    </row>
    <row r="854" spans="1:11" x14ac:dyDescent="0.25">
      <c r="A854" s="8">
        <f t="shared" si="45"/>
        <v>3</v>
      </c>
      <c r="B854" s="6">
        <v>45504</v>
      </c>
      <c r="C854" s="7" t="s">
        <v>267</v>
      </c>
      <c r="D854" s="7">
        <v>24</v>
      </c>
      <c r="E854" s="8">
        <f>DAY(TableAopCalendar[[#This Row],[Date]])</f>
        <v>31</v>
      </c>
      <c r="F854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54" s="8" t="str">
        <f t="shared" si="46"/>
        <v>Week 5</v>
      </c>
      <c r="H854" s="8" t="str">
        <f t="shared" si="47"/>
        <v>July 24 Week 5</v>
      </c>
      <c r="I854" s="8" t="str">
        <f>CONCATENATE(UPPER(TableAopCalendar[[#This Row],[Month]])," ",TableAopCalendar[[#This Row],[Year]])</f>
        <v>JULY 24</v>
      </c>
      <c r="J854" s="8" t="s">
        <v>274</v>
      </c>
      <c r="K854" s="8" t="str">
        <f>CONCATENATE(TableAopCalendar[[#This Row],[Month for Plan]]," ",TableAopCalendar[[#This Row],[Plan]])</f>
        <v>JULY 24 PLANNED</v>
      </c>
    </row>
    <row r="855" spans="1:11" x14ac:dyDescent="0.25">
      <c r="A855" s="8">
        <f t="shared" si="45"/>
        <v>1</v>
      </c>
      <c r="B855" s="6">
        <v>45505</v>
      </c>
      <c r="C855" s="7" t="s">
        <v>268</v>
      </c>
      <c r="D855" s="7">
        <v>24</v>
      </c>
      <c r="E855" s="8">
        <f>DAY(TableAopCalendar[[#This Row],[Date]])</f>
        <v>1</v>
      </c>
      <c r="F855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55" s="8" t="str">
        <f t="shared" si="46"/>
        <v>Week 1</v>
      </c>
      <c r="H855" s="8" t="str">
        <f t="shared" si="47"/>
        <v>August 24 Week 1</v>
      </c>
      <c r="I855" s="8" t="str">
        <f>CONCATENATE(UPPER(TableAopCalendar[[#This Row],[Month]])," ",TableAopCalendar[[#This Row],[Year]])</f>
        <v>AUGUST 24</v>
      </c>
      <c r="J855" s="8" t="s">
        <v>274</v>
      </c>
      <c r="K855" s="8" t="str">
        <f>CONCATENATE(TableAopCalendar[[#This Row],[Month for Plan]]," ",TableAopCalendar[[#This Row],[Plan]])</f>
        <v>AUGUST 24 PLANNED</v>
      </c>
    </row>
    <row r="856" spans="1:11" x14ac:dyDescent="0.25">
      <c r="A856" s="8">
        <f t="shared" si="45"/>
        <v>2</v>
      </c>
      <c r="B856" s="6">
        <v>45506</v>
      </c>
      <c r="C856" s="7" t="s">
        <v>268</v>
      </c>
      <c r="D856" s="7">
        <v>24</v>
      </c>
      <c r="E856" s="8">
        <f>DAY(TableAopCalendar[[#This Row],[Date]])</f>
        <v>2</v>
      </c>
      <c r="F856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56" s="8" t="str">
        <f t="shared" si="46"/>
        <v>Week 1</v>
      </c>
      <c r="H856" s="8" t="str">
        <f t="shared" si="47"/>
        <v>August 24 Week 1</v>
      </c>
      <c r="I856" s="8" t="str">
        <f>CONCATENATE(UPPER(TableAopCalendar[[#This Row],[Month]])," ",TableAopCalendar[[#This Row],[Year]])</f>
        <v>AUGUST 24</v>
      </c>
      <c r="J856" s="8" t="s">
        <v>274</v>
      </c>
      <c r="K856" s="8" t="str">
        <f>CONCATENATE(TableAopCalendar[[#This Row],[Month for Plan]]," ",TableAopCalendar[[#This Row],[Plan]])</f>
        <v>AUGUST 24 PLANNED</v>
      </c>
    </row>
    <row r="857" spans="1:11" x14ac:dyDescent="0.25">
      <c r="A857" s="8">
        <f t="shared" si="45"/>
        <v>3</v>
      </c>
      <c r="B857" s="6">
        <v>45507</v>
      </c>
      <c r="C857" s="7" t="s">
        <v>268</v>
      </c>
      <c r="D857" s="7">
        <v>24</v>
      </c>
      <c r="E857" s="8">
        <f>DAY(TableAopCalendar[[#This Row],[Date]])</f>
        <v>3</v>
      </c>
      <c r="F857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57" s="8" t="str">
        <f t="shared" si="46"/>
        <v>Week 1</v>
      </c>
      <c r="H857" s="8" t="str">
        <f t="shared" si="47"/>
        <v>August 24 Week 1</v>
      </c>
      <c r="I857" s="8" t="str">
        <f>CONCATENATE(UPPER(TableAopCalendar[[#This Row],[Month]])," ",TableAopCalendar[[#This Row],[Year]])</f>
        <v>AUGUST 24</v>
      </c>
      <c r="J857" s="8" t="s">
        <v>274</v>
      </c>
      <c r="K857" s="8" t="str">
        <f>CONCATENATE(TableAopCalendar[[#This Row],[Month for Plan]]," ",TableAopCalendar[[#This Row],[Plan]])</f>
        <v>AUGUST 24 PLANNED</v>
      </c>
    </row>
    <row r="858" spans="1:11" x14ac:dyDescent="0.25">
      <c r="A858" s="8">
        <f t="shared" si="45"/>
        <v>4</v>
      </c>
      <c r="B858" s="6">
        <v>45508</v>
      </c>
      <c r="C858" s="7" t="s">
        <v>268</v>
      </c>
      <c r="D858" s="7">
        <v>24</v>
      </c>
      <c r="E858" s="8">
        <f>DAY(TableAopCalendar[[#This Row],[Date]])</f>
        <v>4</v>
      </c>
      <c r="F858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58" s="8" t="str">
        <f t="shared" si="46"/>
        <v>Week 1</v>
      </c>
      <c r="H858" s="8" t="str">
        <f t="shared" si="47"/>
        <v>August 24 Week 1</v>
      </c>
      <c r="I858" s="8" t="str">
        <f>CONCATENATE(UPPER(TableAopCalendar[[#This Row],[Month]])," ",TableAopCalendar[[#This Row],[Year]])</f>
        <v>AUGUST 24</v>
      </c>
      <c r="J858" s="8" t="s">
        <v>274</v>
      </c>
      <c r="K858" s="8" t="str">
        <f>CONCATENATE(TableAopCalendar[[#This Row],[Month for Plan]]," ",TableAopCalendar[[#This Row],[Plan]])</f>
        <v>AUGUST 24 PLANNED</v>
      </c>
    </row>
    <row r="859" spans="1:11" x14ac:dyDescent="0.25">
      <c r="A859" s="8">
        <f t="shared" si="45"/>
        <v>5</v>
      </c>
      <c r="B859" s="6">
        <v>45509</v>
      </c>
      <c r="C859" s="7" t="s">
        <v>268</v>
      </c>
      <c r="D859" s="7">
        <v>24</v>
      </c>
      <c r="E859" s="8">
        <f>DAY(TableAopCalendar[[#This Row],[Date]])</f>
        <v>5</v>
      </c>
      <c r="F859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59" s="8" t="str">
        <f t="shared" si="46"/>
        <v>Week 1</v>
      </c>
      <c r="H859" s="8" t="str">
        <f t="shared" si="47"/>
        <v>August 24 Week 1</v>
      </c>
      <c r="I859" s="8" t="str">
        <f>CONCATENATE(UPPER(TableAopCalendar[[#This Row],[Month]])," ",TableAopCalendar[[#This Row],[Year]])</f>
        <v>AUGUST 24</v>
      </c>
      <c r="J859" s="8" t="s">
        <v>274</v>
      </c>
      <c r="K859" s="8" t="str">
        <f>CONCATENATE(TableAopCalendar[[#This Row],[Month for Plan]]," ",TableAopCalendar[[#This Row],[Plan]])</f>
        <v>AUGUST 24 PLANNED</v>
      </c>
    </row>
    <row r="860" spans="1:11" x14ac:dyDescent="0.25">
      <c r="A860" s="8">
        <f t="shared" si="45"/>
        <v>6</v>
      </c>
      <c r="B860" s="6">
        <v>45510</v>
      </c>
      <c r="C860" s="7" t="s">
        <v>268</v>
      </c>
      <c r="D860" s="7">
        <v>24</v>
      </c>
      <c r="E860" s="8">
        <f>DAY(TableAopCalendar[[#This Row],[Date]])</f>
        <v>6</v>
      </c>
      <c r="F860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60" s="8" t="str">
        <f t="shared" si="46"/>
        <v>Week 1</v>
      </c>
      <c r="H860" s="8" t="str">
        <f t="shared" si="47"/>
        <v>August 24 Week 1</v>
      </c>
      <c r="I860" s="8" t="str">
        <f>CONCATENATE(UPPER(TableAopCalendar[[#This Row],[Month]])," ",TableAopCalendar[[#This Row],[Year]])</f>
        <v>AUGUST 24</v>
      </c>
      <c r="J860" s="8" t="s">
        <v>274</v>
      </c>
      <c r="K860" s="8" t="str">
        <f>CONCATENATE(TableAopCalendar[[#This Row],[Month for Plan]]," ",TableAopCalendar[[#This Row],[Plan]])</f>
        <v>AUGUST 24 PLANNED</v>
      </c>
    </row>
    <row r="861" spans="1:11" x14ac:dyDescent="0.25">
      <c r="A861" s="8">
        <f t="shared" ref="A861:A884" si="48">IF(G861=G860,A860+1,1)</f>
        <v>7</v>
      </c>
      <c r="B861" s="6">
        <v>45511</v>
      </c>
      <c r="C861" s="7" t="s">
        <v>268</v>
      </c>
      <c r="D861" s="7">
        <v>24</v>
      </c>
      <c r="E861" s="8">
        <f>DAY(TableAopCalendar[[#This Row],[Date]])</f>
        <v>7</v>
      </c>
      <c r="F861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61" s="8" t="str">
        <f t="shared" ref="G861:G884" si="49">"Week"&amp;" "&amp;F861</f>
        <v>Week 1</v>
      </c>
      <c r="H861" s="8" t="str">
        <f t="shared" ref="H861:H884" si="50">CONCATENATE(C861," ",D861," ",G861)</f>
        <v>August 24 Week 1</v>
      </c>
      <c r="I861" s="8" t="str">
        <f>CONCATENATE(UPPER(TableAopCalendar[[#This Row],[Month]])," ",TableAopCalendar[[#This Row],[Year]])</f>
        <v>AUGUST 24</v>
      </c>
      <c r="J861" s="8" t="s">
        <v>274</v>
      </c>
      <c r="K861" s="8" t="str">
        <f>CONCATENATE(TableAopCalendar[[#This Row],[Month for Plan]]," ",TableAopCalendar[[#This Row],[Plan]])</f>
        <v>AUGUST 24 PLANNED</v>
      </c>
    </row>
    <row r="862" spans="1:11" x14ac:dyDescent="0.25">
      <c r="A862" s="8">
        <f t="shared" si="48"/>
        <v>1</v>
      </c>
      <c r="B862" s="6">
        <v>45512</v>
      </c>
      <c r="C862" s="7" t="s">
        <v>268</v>
      </c>
      <c r="D862" s="7">
        <v>24</v>
      </c>
      <c r="E862" s="8">
        <f>DAY(TableAopCalendar[[#This Row],[Date]])</f>
        <v>8</v>
      </c>
      <c r="F862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62" s="8" t="str">
        <f t="shared" si="49"/>
        <v>Week 2</v>
      </c>
      <c r="H862" s="8" t="str">
        <f t="shared" si="50"/>
        <v>August 24 Week 2</v>
      </c>
      <c r="I862" s="8" t="str">
        <f>CONCATENATE(UPPER(TableAopCalendar[[#This Row],[Month]])," ",TableAopCalendar[[#This Row],[Year]])</f>
        <v>AUGUST 24</v>
      </c>
      <c r="J862" s="8" t="s">
        <v>274</v>
      </c>
      <c r="K862" s="8" t="str">
        <f>CONCATENATE(TableAopCalendar[[#This Row],[Month for Plan]]," ",TableAopCalendar[[#This Row],[Plan]])</f>
        <v>AUGUST 24 PLANNED</v>
      </c>
    </row>
    <row r="863" spans="1:11" x14ac:dyDescent="0.25">
      <c r="A863" s="8">
        <f t="shared" si="48"/>
        <v>2</v>
      </c>
      <c r="B863" s="6">
        <v>45513</v>
      </c>
      <c r="C863" s="7" t="s">
        <v>268</v>
      </c>
      <c r="D863" s="7">
        <v>24</v>
      </c>
      <c r="E863" s="8">
        <f>DAY(TableAopCalendar[[#This Row],[Date]])</f>
        <v>9</v>
      </c>
      <c r="F863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63" s="8" t="str">
        <f t="shared" si="49"/>
        <v>Week 2</v>
      </c>
      <c r="H863" s="8" t="str">
        <f t="shared" si="50"/>
        <v>August 24 Week 2</v>
      </c>
      <c r="I863" s="8" t="str">
        <f>CONCATENATE(UPPER(TableAopCalendar[[#This Row],[Month]])," ",TableAopCalendar[[#This Row],[Year]])</f>
        <v>AUGUST 24</v>
      </c>
      <c r="J863" s="8" t="s">
        <v>274</v>
      </c>
      <c r="K863" s="8" t="str">
        <f>CONCATENATE(TableAopCalendar[[#This Row],[Month for Plan]]," ",TableAopCalendar[[#This Row],[Plan]])</f>
        <v>AUGUST 24 PLANNED</v>
      </c>
    </row>
    <row r="864" spans="1:11" x14ac:dyDescent="0.25">
      <c r="A864" s="8">
        <f t="shared" si="48"/>
        <v>3</v>
      </c>
      <c r="B864" s="6">
        <v>45514</v>
      </c>
      <c r="C864" s="7" t="s">
        <v>268</v>
      </c>
      <c r="D864" s="7">
        <v>24</v>
      </c>
      <c r="E864" s="8">
        <f>DAY(TableAopCalendar[[#This Row],[Date]])</f>
        <v>10</v>
      </c>
      <c r="F864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64" s="8" t="str">
        <f t="shared" si="49"/>
        <v>Week 2</v>
      </c>
      <c r="H864" s="8" t="str">
        <f t="shared" si="50"/>
        <v>August 24 Week 2</v>
      </c>
      <c r="I864" s="8" t="str">
        <f>CONCATENATE(UPPER(TableAopCalendar[[#This Row],[Month]])," ",TableAopCalendar[[#This Row],[Year]])</f>
        <v>AUGUST 24</v>
      </c>
      <c r="J864" s="8" t="s">
        <v>274</v>
      </c>
      <c r="K864" s="8" t="str">
        <f>CONCATENATE(TableAopCalendar[[#This Row],[Month for Plan]]," ",TableAopCalendar[[#This Row],[Plan]])</f>
        <v>AUGUST 24 PLANNED</v>
      </c>
    </row>
    <row r="865" spans="1:11" x14ac:dyDescent="0.25">
      <c r="A865" s="8">
        <f t="shared" si="48"/>
        <v>4</v>
      </c>
      <c r="B865" s="6">
        <v>45515</v>
      </c>
      <c r="C865" s="7" t="s">
        <v>268</v>
      </c>
      <c r="D865" s="7">
        <v>24</v>
      </c>
      <c r="E865" s="8">
        <f>DAY(TableAopCalendar[[#This Row],[Date]])</f>
        <v>11</v>
      </c>
      <c r="F865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65" s="8" t="str">
        <f t="shared" si="49"/>
        <v>Week 2</v>
      </c>
      <c r="H865" s="8" t="str">
        <f t="shared" si="50"/>
        <v>August 24 Week 2</v>
      </c>
      <c r="I865" s="8" t="str">
        <f>CONCATENATE(UPPER(TableAopCalendar[[#This Row],[Month]])," ",TableAopCalendar[[#This Row],[Year]])</f>
        <v>AUGUST 24</v>
      </c>
      <c r="J865" s="8" t="s">
        <v>274</v>
      </c>
      <c r="K865" s="8" t="str">
        <f>CONCATENATE(TableAopCalendar[[#This Row],[Month for Plan]]," ",TableAopCalendar[[#This Row],[Plan]])</f>
        <v>AUGUST 24 PLANNED</v>
      </c>
    </row>
    <row r="866" spans="1:11" x14ac:dyDescent="0.25">
      <c r="A866" s="8">
        <f t="shared" si="48"/>
        <v>5</v>
      </c>
      <c r="B866" s="6">
        <v>45516</v>
      </c>
      <c r="C866" s="7" t="s">
        <v>268</v>
      </c>
      <c r="D866" s="7">
        <v>24</v>
      </c>
      <c r="E866" s="8">
        <f>DAY(TableAopCalendar[[#This Row],[Date]])</f>
        <v>12</v>
      </c>
      <c r="F866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66" s="8" t="str">
        <f t="shared" si="49"/>
        <v>Week 2</v>
      </c>
      <c r="H866" s="8" t="str">
        <f t="shared" si="50"/>
        <v>August 24 Week 2</v>
      </c>
      <c r="I866" s="8" t="str">
        <f>CONCATENATE(UPPER(TableAopCalendar[[#This Row],[Month]])," ",TableAopCalendar[[#This Row],[Year]])</f>
        <v>AUGUST 24</v>
      </c>
      <c r="J866" s="8" t="s">
        <v>274</v>
      </c>
      <c r="K866" s="8" t="str">
        <f>CONCATENATE(TableAopCalendar[[#This Row],[Month for Plan]]," ",TableAopCalendar[[#This Row],[Plan]])</f>
        <v>AUGUST 24 PLANNED</v>
      </c>
    </row>
    <row r="867" spans="1:11" x14ac:dyDescent="0.25">
      <c r="A867" s="8">
        <f t="shared" si="48"/>
        <v>6</v>
      </c>
      <c r="B867" s="6">
        <v>45517</v>
      </c>
      <c r="C867" s="7" t="s">
        <v>268</v>
      </c>
      <c r="D867" s="7">
        <v>24</v>
      </c>
      <c r="E867" s="8">
        <f>DAY(TableAopCalendar[[#This Row],[Date]])</f>
        <v>13</v>
      </c>
      <c r="F867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67" s="8" t="str">
        <f t="shared" si="49"/>
        <v>Week 2</v>
      </c>
      <c r="H867" s="8" t="str">
        <f t="shared" si="50"/>
        <v>August 24 Week 2</v>
      </c>
      <c r="I867" s="8" t="str">
        <f>CONCATENATE(UPPER(TableAopCalendar[[#This Row],[Month]])," ",TableAopCalendar[[#This Row],[Year]])</f>
        <v>AUGUST 24</v>
      </c>
      <c r="J867" s="8" t="s">
        <v>274</v>
      </c>
      <c r="K867" s="8" t="str">
        <f>CONCATENATE(TableAopCalendar[[#This Row],[Month for Plan]]," ",TableAopCalendar[[#This Row],[Plan]])</f>
        <v>AUGUST 24 PLANNED</v>
      </c>
    </row>
    <row r="868" spans="1:11" x14ac:dyDescent="0.25">
      <c r="A868" s="8">
        <f t="shared" si="48"/>
        <v>7</v>
      </c>
      <c r="B868" s="6">
        <v>45518</v>
      </c>
      <c r="C868" s="7" t="s">
        <v>268</v>
      </c>
      <c r="D868" s="7">
        <v>24</v>
      </c>
      <c r="E868" s="8">
        <f>DAY(TableAopCalendar[[#This Row],[Date]])</f>
        <v>14</v>
      </c>
      <c r="F868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68" s="8" t="str">
        <f t="shared" si="49"/>
        <v>Week 2</v>
      </c>
      <c r="H868" s="8" t="str">
        <f t="shared" si="50"/>
        <v>August 24 Week 2</v>
      </c>
      <c r="I868" s="8" t="str">
        <f>CONCATENATE(UPPER(TableAopCalendar[[#This Row],[Month]])," ",TableAopCalendar[[#This Row],[Year]])</f>
        <v>AUGUST 24</v>
      </c>
      <c r="J868" s="8" t="s">
        <v>274</v>
      </c>
      <c r="K868" s="8" t="str">
        <f>CONCATENATE(TableAopCalendar[[#This Row],[Month for Plan]]," ",TableAopCalendar[[#This Row],[Plan]])</f>
        <v>AUGUST 24 PLANNED</v>
      </c>
    </row>
    <row r="869" spans="1:11" x14ac:dyDescent="0.25">
      <c r="A869" s="8">
        <f t="shared" si="48"/>
        <v>1</v>
      </c>
      <c r="B869" s="6">
        <v>45519</v>
      </c>
      <c r="C869" s="7" t="s">
        <v>268</v>
      </c>
      <c r="D869" s="7">
        <v>24</v>
      </c>
      <c r="E869" s="8">
        <f>DAY(TableAopCalendar[[#This Row],[Date]])</f>
        <v>15</v>
      </c>
      <c r="F869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69" s="8" t="str">
        <f t="shared" si="49"/>
        <v>Week 3</v>
      </c>
      <c r="H869" s="8" t="str">
        <f t="shared" si="50"/>
        <v>August 24 Week 3</v>
      </c>
      <c r="I869" s="8" t="str">
        <f>CONCATENATE(UPPER(TableAopCalendar[[#This Row],[Month]])," ",TableAopCalendar[[#This Row],[Year]])</f>
        <v>AUGUST 24</v>
      </c>
      <c r="J869" s="8" t="s">
        <v>274</v>
      </c>
      <c r="K869" s="8" t="str">
        <f>CONCATENATE(TableAopCalendar[[#This Row],[Month for Plan]]," ",TableAopCalendar[[#This Row],[Plan]])</f>
        <v>AUGUST 24 PLANNED</v>
      </c>
    </row>
    <row r="870" spans="1:11" x14ac:dyDescent="0.25">
      <c r="A870" s="8">
        <f t="shared" si="48"/>
        <v>2</v>
      </c>
      <c r="B870" s="6">
        <v>45520</v>
      </c>
      <c r="C870" s="7" t="s">
        <v>268</v>
      </c>
      <c r="D870" s="7">
        <v>24</v>
      </c>
      <c r="E870" s="8">
        <f>DAY(TableAopCalendar[[#This Row],[Date]])</f>
        <v>16</v>
      </c>
      <c r="F870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70" s="8" t="str">
        <f t="shared" si="49"/>
        <v>Week 3</v>
      </c>
      <c r="H870" s="8" t="str">
        <f t="shared" si="50"/>
        <v>August 24 Week 3</v>
      </c>
      <c r="I870" s="8" t="str">
        <f>CONCATENATE(UPPER(TableAopCalendar[[#This Row],[Month]])," ",TableAopCalendar[[#This Row],[Year]])</f>
        <v>AUGUST 24</v>
      </c>
      <c r="J870" s="8" t="s">
        <v>274</v>
      </c>
      <c r="K870" s="8" t="str">
        <f>CONCATENATE(TableAopCalendar[[#This Row],[Month for Plan]]," ",TableAopCalendar[[#This Row],[Plan]])</f>
        <v>AUGUST 24 PLANNED</v>
      </c>
    </row>
    <row r="871" spans="1:11" x14ac:dyDescent="0.25">
      <c r="A871" s="8">
        <f t="shared" si="48"/>
        <v>3</v>
      </c>
      <c r="B871" s="6">
        <v>45521</v>
      </c>
      <c r="C871" s="7" t="s">
        <v>268</v>
      </c>
      <c r="D871" s="7">
        <v>24</v>
      </c>
      <c r="E871" s="8">
        <f>DAY(TableAopCalendar[[#This Row],[Date]])</f>
        <v>17</v>
      </c>
      <c r="F871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71" s="8" t="str">
        <f t="shared" si="49"/>
        <v>Week 3</v>
      </c>
      <c r="H871" s="8" t="str">
        <f t="shared" si="50"/>
        <v>August 24 Week 3</v>
      </c>
      <c r="I871" s="8" t="str">
        <f>CONCATENATE(UPPER(TableAopCalendar[[#This Row],[Month]])," ",TableAopCalendar[[#This Row],[Year]])</f>
        <v>AUGUST 24</v>
      </c>
      <c r="J871" s="8" t="s">
        <v>274</v>
      </c>
      <c r="K871" s="8" t="str">
        <f>CONCATENATE(TableAopCalendar[[#This Row],[Month for Plan]]," ",TableAopCalendar[[#This Row],[Plan]])</f>
        <v>AUGUST 24 PLANNED</v>
      </c>
    </row>
    <row r="872" spans="1:11" x14ac:dyDescent="0.25">
      <c r="A872" s="8">
        <f t="shared" si="48"/>
        <v>4</v>
      </c>
      <c r="B872" s="6">
        <v>45522</v>
      </c>
      <c r="C872" s="7" t="s">
        <v>268</v>
      </c>
      <c r="D872" s="7">
        <v>24</v>
      </c>
      <c r="E872" s="8">
        <f>DAY(TableAopCalendar[[#This Row],[Date]])</f>
        <v>18</v>
      </c>
      <c r="F872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72" s="8" t="str">
        <f t="shared" si="49"/>
        <v>Week 3</v>
      </c>
      <c r="H872" s="8" t="str">
        <f t="shared" si="50"/>
        <v>August 24 Week 3</v>
      </c>
      <c r="I872" s="8" t="str">
        <f>CONCATENATE(UPPER(TableAopCalendar[[#This Row],[Month]])," ",TableAopCalendar[[#This Row],[Year]])</f>
        <v>AUGUST 24</v>
      </c>
      <c r="J872" s="8" t="s">
        <v>274</v>
      </c>
      <c r="K872" s="8" t="str">
        <f>CONCATENATE(TableAopCalendar[[#This Row],[Month for Plan]]," ",TableAopCalendar[[#This Row],[Plan]])</f>
        <v>AUGUST 24 PLANNED</v>
      </c>
    </row>
    <row r="873" spans="1:11" x14ac:dyDescent="0.25">
      <c r="A873" s="8">
        <f t="shared" si="48"/>
        <v>5</v>
      </c>
      <c r="B873" s="6">
        <v>45523</v>
      </c>
      <c r="C873" s="7" t="s">
        <v>268</v>
      </c>
      <c r="D873" s="7">
        <v>24</v>
      </c>
      <c r="E873" s="8">
        <f>DAY(TableAopCalendar[[#This Row],[Date]])</f>
        <v>19</v>
      </c>
      <c r="F873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73" s="8" t="str">
        <f t="shared" si="49"/>
        <v>Week 3</v>
      </c>
      <c r="H873" s="8" t="str">
        <f t="shared" si="50"/>
        <v>August 24 Week 3</v>
      </c>
      <c r="I873" s="8" t="str">
        <f>CONCATENATE(UPPER(TableAopCalendar[[#This Row],[Month]])," ",TableAopCalendar[[#This Row],[Year]])</f>
        <v>AUGUST 24</v>
      </c>
      <c r="J873" s="8" t="s">
        <v>274</v>
      </c>
      <c r="K873" s="8" t="str">
        <f>CONCATENATE(TableAopCalendar[[#This Row],[Month for Plan]]," ",TableAopCalendar[[#This Row],[Plan]])</f>
        <v>AUGUST 24 PLANNED</v>
      </c>
    </row>
    <row r="874" spans="1:11" x14ac:dyDescent="0.25">
      <c r="A874" s="8">
        <f t="shared" si="48"/>
        <v>6</v>
      </c>
      <c r="B874" s="6">
        <v>45524</v>
      </c>
      <c r="C874" s="7" t="s">
        <v>268</v>
      </c>
      <c r="D874" s="7">
        <v>24</v>
      </c>
      <c r="E874" s="8">
        <f>DAY(TableAopCalendar[[#This Row],[Date]])</f>
        <v>20</v>
      </c>
      <c r="F874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74" s="8" t="str">
        <f t="shared" si="49"/>
        <v>Week 3</v>
      </c>
      <c r="H874" s="8" t="str">
        <f t="shared" si="50"/>
        <v>August 24 Week 3</v>
      </c>
      <c r="I874" s="8" t="str">
        <f>CONCATENATE(UPPER(TableAopCalendar[[#This Row],[Month]])," ",TableAopCalendar[[#This Row],[Year]])</f>
        <v>AUGUST 24</v>
      </c>
      <c r="J874" s="8" t="s">
        <v>274</v>
      </c>
      <c r="K874" s="8" t="str">
        <f>CONCATENATE(TableAopCalendar[[#This Row],[Month for Plan]]," ",TableAopCalendar[[#This Row],[Plan]])</f>
        <v>AUGUST 24 PLANNED</v>
      </c>
    </row>
    <row r="875" spans="1:11" x14ac:dyDescent="0.25">
      <c r="A875" s="8">
        <f t="shared" si="48"/>
        <v>7</v>
      </c>
      <c r="B875" s="6">
        <v>45525</v>
      </c>
      <c r="C875" s="7" t="s">
        <v>268</v>
      </c>
      <c r="D875" s="7">
        <v>24</v>
      </c>
      <c r="E875" s="8">
        <f>DAY(TableAopCalendar[[#This Row],[Date]])</f>
        <v>21</v>
      </c>
      <c r="F875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875" s="8" t="str">
        <f t="shared" si="49"/>
        <v>Week 3</v>
      </c>
      <c r="H875" s="8" t="str">
        <f t="shared" si="50"/>
        <v>August 24 Week 3</v>
      </c>
      <c r="I875" s="8" t="str">
        <f>CONCATENATE(UPPER(TableAopCalendar[[#This Row],[Month]])," ",TableAopCalendar[[#This Row],[Year]])</f>
        <v>AUGUST 24</v>
      </c>
      <c r="J875" s="8" t="s">
        <v>274</v>
      </c>
      <c r="K875" s="8" t="str">
        <f>CONCATENATE(TableAopCalendar[[#This Row],[Month for Plan]]," ",TableAopCalendar[[#This Row],[Plan]])</f>
        <v>AUGUST 24 PLANNED</v>
      </c>
    </row>
    <row r="876" spans="1:11" x14ac:dyDescent="0.25">
      <c r="A876" s="8">
        <f t="shared" si="48"/>
        <v>1</v>
      </c>
      <c r="B876" s="6">
        <v>45526</v>
      </c>
      <c r="C876" s="7" t="s">
        <v>268</v>
      </c>
      <c r="D876" s="7">
        <v>24</v>
      </c>
      <c r="E876" s="8">
        <f>DAY(TableAopCalendar[[#This Row],[Date]])</f>
        <v>22</v>
      </c>
      <c r="F876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76" s="8" t="str">
        <f t="shared" si="49"/>
        <v>Week 4</v>
      </c>
      <c r="H876" s="8" t="str">
        <f t="shared" si="50"/>
        <v>August 24 Week 4</v>
      </c>
      <c r="I876" s="8" t="str">
        <f>CONCATENATE(UPPER(TableAopCalendar[[#This Row],[Month]])," ",TableAopCalendar[[#This Row],[Year]])</f>
        <v>AUGUST 24</v>
      </c>
      <c r="J876" s="8" t="s">
        <v>274</v>
      </c>
      <c r="K876" s="8" t="str">
        <f>CONCATENATE(TableAopCalendar[[#This Row],[Month for Plan]]," ",TableAopCalendar[[#This Row],[Plan]])</f>
        <v>AUGUST 24 PLANNED</v>
      </c>
    </row>
    <row r="877" spans="1:11" x14ac:dyDescent="0.25">
      <c r="A877" s="8">
        <f t="shared" si="48"/>
        <v>2</v>
      </c>
      <c r="B877" s="6">
        <v>45527</v>
      </c>
      <c r="C877" s="7" t="s">
        <v>268</v>
      </c>
      <c r="D877" s="7">
        <v>24</v>
      </c>
      <c r="E877" s="8">
        <f>DAY(TableAopCalendar[[#This Row],[Date]])</f>
        <v>23</v>
      </c>
      <c r="F877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77" s="8" t="str">
        <f t="shared" si="49"/>
        <v>Week 4</v>
      </c>
      <c r="H877" s="8" t="str">
        <f t="shared" si="50"/>
        <v>August 24 Week 4</v>
      </c>
      <c r="I877" s="8" t="str">
        <f>CONCATENATE(UPPER(TableAopCalendar[[#This Row],[Month]])," ",TableAopCalendar[[#This Row],[Year]])</f>
        <v>AUGUST 24</v>
      </c>
      <c r="J877" s="8" t="s">
        <v>274</v>
      </c>
      <c r="K877" s="8" t="str">
        <f>CONCATENATE(TableAopCalendar[[#This Row],[Month for Plan]]," ",TableAopCalendar[[#This Row],[Plan]])</f>
        <v>AUGUST 24 PLANNED</v>
      </c>
    </row>
    <row r="878" spans="1:11" x14ac:dyDescent="0.25">
      <c r="A878" s="8">
        <f t="shared" si="48"/>
        <v>3</v>
      </c>
      <c r="B878" s="6">
        <v>45528</v>
      </c>
      <c r="C878" s="7" t="s">
        <v>268</v>
      </c>
      <c r="D878" s="7">
        <v>24</v>
      </c>
      <c r="E878" s="8">
        <f>DAY(TableAopCalendar[[#This Row],[Date]])</f>
        <v>24</v>
      </c>
      <c r="F878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78" s="8" t="str">
        <f t="shared" si="49"/>
        <v>Week 4</v>
      </c>
      <c r="H878" s="8" t="str">
        <f t="shared" si="50"/>
        <v>August 24 Week 4</v>
      </c>
      <c r="I878" s="8" t="str">
        <f>CONCATENATE(UPPER(TableAopCalendar[[#This Row],[Month]])," ",TableAopCalendar[[#This Row],[Year]])</f>
        <v>AUGUST 24</v>
      </c>
      <c r="J878" s="8" t="s">
        <v>274</v>
      </c>
      <c r="K878" s="8" t="str">
        <f>CONCATENATE(TableAopCalendar[[#This Row],[Month for Plan]]," ",TableAopCalendar[[#This Row],[Plan]])</f>
        <v>AUGUST 24 PLANNED</v>
      </c>
    </row>
    <row r="879" spans="1:11" x14ac:dyDescent="0.25">
      <c r="A879" s="8">
        <f t="shared" si="48"/>
        <v>4</v>
      </c>
      <c r="B879" s="6">
        <v>45529</v>
      </c>
      <c r="C879" s="7" t="s">
        <v>268</v>
      </c>
      <c r="D879" s="7">
        <v>24</v>
      </c>
      <c r="E879" s="8">
        <f>DAY(TableAopCalendar[[#This Row],[Date]])</f>
        <v>25</v>
      </c>
      <c r="F879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79" s="8" t="str">
        <f t="shared" si="49"/>
        <v>Week 4</v>
      </c>
      <c r="H879" s="8" t="str">
        <f t="shared" si="50"/>
        <v>August 24 Week 4</v>
      </c>
      <c r="I879" s="8" t="str">
        <f>CONCATENATE(UPPER(TableAopCalendar[[#This Row],[Month]])," ",TableAopCalendar[[#This Row],[Year]])</f>
        <v>AUGUST 24</v>
      </c>
      <c r="J879" s="8" t="s">
        <v>274</v>
      </c>
      <c r="K879" s="8" t="str">
        <f>CONCATENATE(TableAopCalendar[[#This Row],[Month for Plan]]," ",TableAopCalendar[[#This Row],[Plan]])</f>
        <v>AUGUST 24 PLANNED</v>
      </c>
    </row>
    <row r="880" spans="1:11" x14ac:dyDescent="0.25">
      <c r="A880" s="8">
        <f t="shared" si="48"/>
        <v>5</v>
      </c>
      <c r="B880" s="6">
        <v>45530</v>
      </c>
      <c r="C880" s="7" t="s">
        <v>268</v>
      </c>
      <c r="D880" s="7">
        <v>24</v>
      </c>
      <c r="E880" s="8">
        <f>DAY(TableAopCalendar[[#This Row],[Date]])</f>
        <v>26</v>
      </c>
      <c r="F880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80" s="8" t="str">
        <f t="shared" si="49"/>
        <v>Week 4</v>
      </c>
      <c r="H880" s="8" t="str">
        <f t="shared" si="50"/>
        <v>August 24 Week 4</v>
      </c>
      <c r="I880" s="8" t="str">
        <f>CONCATENATE(UPPER(TableAopCalendar[[#This Row],[Month]])," ",TableAopCalendar[[#This Row],[Year]])</f>
        <v>AUGUST 24</v>
      </c>
      <c r="J880" s="8" t="s">
        <v>274</v>
      </c>
      <c r="K880" s="8" t="str">
        <f>CONCATENATE(TableAopCalendar[[#This Row],[Month for Plan]]," ",TableAopCalendar[[#This Row],[Plan]])</f>
        <v>AUGUST 24 PLANNED</v>
      </c>
    </row>
    <row r="881" spans="1:11" x14ac:dyDescent="0.25">
      <c r="A881" s="8">
        <f t="shared" si="48"/>
        <v>6</v>
      </c>
      <c r="B881" s="6">
        <v>45531</v>
      </c>
      <c r="C881" s="7" t="s">
        <v>268</v>
      </c>
      <c r="D881" s="7">
        <v>24</v>
      </c>
      <c r="E881" s="8">
        <f>DAY(TableAopCalendar[[#This Row],[Date]])</f>
        <v>27</v>
      </c>
      <c r="F881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81" s="8" t="str">
        <f t="shared" si="49"/>
        <v>Week 4</v>
      </c>
      <c r="H881" s="8" t="str">
        <f t="shared" si="50"/>
        <v>August 24 Week 4</v>
      </c>
      <c r="I881" s="8" t="str">
        <f>CONCATENATE(UPPER(TableAopCalendar[[#This Row],[Month]])," ",TableAopCalendar[[#This Row],[Year]])</f>
        <v>AUGUST 24</v>
      </c>
      <c r="J881" s="8" t="s">
        <v>274</v>
      </c>
      <c r="K881" s="8" t="str">
        <f>CONCATENATE(TableAopCalendar[[#This Row],[Month for Plan]]," ",TableAopCalendar[[#This Row],[Plan]])</f>
        <v>AUGUST 24 PLANNED</v>
      </c>
    </row>
    <row r="882" spans="1:11" x14ac:dyDescent="0.25">
      <c r="A882" s="8">
        <f t="shared" si="48"/>
        <v>7</v>
      </c>
      <c r="B882" s="6">
        <v>45532</v>
      </c>
      <c r="C882" s="7" t="s">
        <v>268</v>
      </c>
      <c r="D882" s="7">
        <v>24</v>
      </c>
      <c r="E882" s="8">
        <f>DAY(TableAopCalendar[[#This Row],[Date]])</f>
        <v>28</v>
      </c>
      <c r="F882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882" s="8" t="str">
        <f t="shared" si="49"/>
        <v>Week 4</v>
      </c>
      <c r="H882" s="8" t="str">
        <f t="shared" si="50"/>
        <v>August 24 Week 4</v>
      </c>
      <c r="I882" s="8" t="str">
        <f>CONCATENATE(UPPER(TableAopCalendar[[#This Row],[Month]])," ",TableAopCalendar[[#This Row],[Year]])</f>
        <v>AUGUST 24</v>
      </c>
      <c r="J882" s="8" t="s">
        <v>274</v>
      </c>
      <c r="K882" s="8" t="str">
        <f>CONCATENATE(TableAopCalendar[[#This Row],[Month for Plan]]," ",TableAopCalendar[[#This Row],[Plan]])</f>
        <v>AUGUST 24 PLANNED</v>
      </c>
    </row>
    <row r="883" spans="1:11" x14ac:dyDescent="0.25">
      <c r="A883" s="8">
        <f t="shared" si="48"/>
        <v>1</v>
      </c>
      <c r="B883" s="6">
        <v>45533</v>
      </c>
      <c r="C883" s="7" t="s">
        <v>268</v>
      </c>
      <c r="D883" s="7">
        <v>24</v>
      </c>
      <c r="E883" s="8">
        <f>DAY(TableAopCalendar[[#This Row],[Date]])</f>
        <v>29</v>
      </c>
      <c r="F883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83" s="8" t="str">
        <f t="shared" si="49"/>
        <v>Week 5</v>
      </c>
      <c r="H883" s="8" t="str">
        <f t="shared" si="50"/>
        <v>August 24 Week 5</v>
      </c>
      <c r="I883" s="8" t="str">
        <f>CONCATENATE(UPPER(TableAopCalendar[[#This Row],[Month]])," ",TableAopCalendar[[#This Row],[Year]])</f>
        <v>AUGUST 24</v>
      </c>
      <c r="J883" s="8" t="s">
        <v>274</v>
      </c>
      <c r="K883" s="8" t="str">
        <f>CONCATENATE(TableAopCalendar[[#This Row],[Month for Plan]]," ",TableAopCalendar[[#This Row],[Plan]])</f>
        <v>AUGUST 24 PLANNED</v>
      </c>
    </row>
    <row r="884" spans="1:11" x14ac:dyDescent="0.25">
      <c r="A884" s="8">
        <f t="shared" si="48"/>
        <v>2</v>
      </c>
      <c r="B884" s="6">
        <v>45534</v>
      </c>
      <c r="C884" s="7" t="s">
        <v>268</v>
      </c>
      <c r="D884" s="7">
        <v>24</v>
      </c>
      <c r="E884" s="8">
        <f>DAY(TableAopCalendar[[#This Row],[Date]])</f>
        <v>30</v>
      </c>
      <c r="F884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84" s="8" t="str">
        <f t="shared" si="49"/>
        <v>Week 5</v>
      </c>
      <c r="H884" s="8" t="str">
        <f t="shared" si="50"/>
        <v>August 24 Week 5</v>
      </c>
      <c r="I884" s="8" t="str">
        <f>CONCATENATE(UPPER(TableAopCalendar[[#This Row],[Month]])," ",TableAopCalendar[[#This Row],[Year]])</f>
        <v>AUGUST 24</v>
      </c>
      <c r="J884" s="8" t="s">
        <v>274</v>
      </c>
      <c r="K884" s="8" t="str">
        <f>CONCATENATE(TableAopCalendar[[#This Row],[Month for Plan]]," ",TableAopCalendar[[#This Row],[Plan]])</f>
        <v>AUGUST 24 PLANNED</v>
      </c>
    </row>
    <row r="885" spans="1:11" x14ac:dyDescent="0.25">
      <c r="A885" s="8">
        <f t="shared" ref="A885:A916" si="51">IF(G885=G884,A884+1,1)</f>
        <v>3</v>
      </c>
      <c r="B885" s="6">
        <v>45535</v>
      </c>
      <c r="C885" s="7" t="s">
        <v>268</v>
      </c>
      <c r="D885" s="7">
        <v>24</v>
      </c>
      <c r="E885" s="8">
        <f>DAY(TableAopCalendar[[#This Row],[Date]])</f>
        <v>31</v>
      </c>
      <c r="F885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885" s="8" t="str">
        <f t="shared" ref="G885:G916" si="52">"Week"&amp;" "&amp;F885</f>
        <v>Week 5</v>
      </c>
      <c r="H885" s="8" t="str">
        <f t="shared" ref="H885:H916" si="53">CONCATENATE(C885," ",D885," ",G885)</f>
        <v>August 24 Week 5</v>
      </c>
      <c r="I885" s="8" t="str">
        <f>CONCATENATE(UPPER(TableAopCalendar[[#This Row],[Month]])," ",TableAopCalendar[[#This Row],[Year]])</f>
        <v>AUGUST 24</v>
      </c>
      <c r="J885" s="8" t="s">
        <v>274</v>
      </c>
      <c r="K885" s="8" t="str">
        <f>CONCATENATE(TableAopCalendar[[#This Row],[Month for Plan]]," ",TableAopCalendar[[#This Row],[Plan]])</f>
        <v>AUGUST 24 PLANNED</v>
      </c>
    </row>
    <row r="886" spans="1:11" x14ac:dyDescent="0.25">
      <c r="A886" s="8">
        <f t="shared" si="51"/>
        <v>1</v>
      </c>
      <c r="B886" s="6">
        <v>45536</v>
      </c>
      <c r="C886" s="7" t="s">
        <v>269</v>
      </c>
      <c r="D886" s="7">
        <v>24</v>
      </c>
      <c r="E886" s="8">
        <f>DAY(TableAopCalendar[[#This Row],[Date]])</f>
        <v>1</v>
      </c>
      <c r="F886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86" s="8" t="str">
        <f t="shared" si="52"/>
        <v>Week 1</v>
      </c>
      <c r="H886" s="8" t="str">
        <f t="shared" si="53"/>
        <v>September 24 Week 1</v>
      </c>
      <c r="I886" s="8" t="str">
        <f>CONCATENATE(UPPER(TableAopCalendar[[#This Row],[Month]])," ",TableAopCalendar[[#This Row],[Year]])</f>
        <v>SEPTEMBER 24</v>
      </c>
      <c r="J886" s="8" t="s">
        <v>274</v>
      </c>
      <c r="K886" s="8" t="str">
        <f>CONCATENATE(TableAopCalendar[[#This Row],[Month for Plan]]," ",TableAopCalendar[[#This Row],[Plan]])</f>
        <v>SEPTEMBER 24 PLANNED</v>
      </c>
    </row>
    <row r="887" spans="1:11" x14ac:dyDescent="0.25">
      <c r="A887" s="8">
        <f t="shared" si="51"/>
        <v>2</v>
      </c>
      <c r="B887" s="6">
        <v>45537</v>
      </c>
      <c r="C887" s="7" t="s">
        <v>269</v>
      </c>
      <c r="D887" s="7">
        <v>24</v>
      </c>
      <c r="E887" s="8">
        <f>DAY(TableAopCalendar[[#This Row],[Date]])</f>
        <v>2</v>
      </c>
      <c r="F887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87" s="8" t="str">
        <f t="shared" si="52"/>
        <v>Week 1</v>
      </c>
      <c r="H887" s="8" t="str">
        <f t="shared" si="53"/>
        <v>September 24 Week 1</v>
      </c>
      <c r="I887" s="8" t="str">
        <f>CONCATENATE(UPPER(TableAopCalendar[[#This Row],[Month]])," ",TableAopCalendar[[#This Row],[Year]])</f>
        <v>SEPTEMBER 24</v>
      </c>
      <c r="J887" s="8" t="s">
        <v>274</v>
      </c>
      <c r="K887" s="8" t="str">
        <f>CONCATENATE(TableAopCalendar[[#This Row],[Month for Plan]]," ",TableAopCalendar[[#This Row],[Plan]])</f>
        <v>SEPTEMBER 24 PLANNED</v>
      </c>
    </row>
    <row r="888" spans="1:11" x14ac:dyDescent="0.25">
      <c r="A888" s="8">
        <f t="shared" si="51"/>
        <v>3</v>
      </c>
      <c r="B888" s="6">
        <v>45538</v>
      </c>
      <c r="C888" s="7" t="s">
        <v>269</v>
      </c>
      <c r="D888" s="7">
        <v>24</v>
      </c>
      <c r="E888" s="8">
        <f>DAY(TableAopCalendar[[#This Row],[Date]])</f>
        <v>3</v>
      </c>
      <c r="F888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88" s="8" t="str">
        <f t="shared" si="52"/>
        <v>Week 1</v>
      </c>
      <c r="H888" s="8" t="str">
        <f t="shared" si="53"/>
        <v>September 24 Week 1</v>
      </c>
      <c r="I888" s="8" t="str">
        <f>CONCATENATE(UPPER(TableAopCalendar[[#This Row],[Month]])," ",TableAopCalendar[[#This Row],[Year]])</f>
        <v>SEPTEMBER 24</v>
      </c>
      <c r="J888" s="8" t="s">
        <v>274</v>
      </c>
      <c r="K888" s="8" t="str">
        <f>CONCATENATE(TableAopCalendar[[#This Row],[Month for Plan]]," ",TableAopCalendar[[#This Row],[Plan]])</f>
        <v>SEPTEMBER 24 PLANNED</v>
      </c>
    </row>
    <row r="889" spans="1:11" x14ac:dyDescent="0.25">
      <c r="A889" s="8">
        <f t="shared" si="51"/>
        <v>4</v>
      </c>
      <c r="B889" s="6">
        <v>45539</v>
      </c>
      <c r="C889" s="7" t="s">
        <v>269</v>
      </c>
      <c r="D889" s="7">
        <v>24</v>
      </c>
      <c r="E889" s="8">
        <f>DAY(TableAopCalendar[[#This Row],[Date]])</f>
        <v>4</v>
      </c>
      <c r="F889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89" s="8" t="str">
        <f t="shared" si="52"/>
        <v>Week 1</v>
      </c>
      <c r="H889" s="8" t="str">
        <f t="shared" si="53"/>
        <v>September 24 Week 1</v>
      </c>
      <c r="I889" s="8" t="str">
        <f>CONCATENATE(UPPER(TableAopCalendar[[#This Row],[Month]])," ",TableAopCalendar[[#This Row],[Year]])</f>
        <v>SEPTEMBER 24</v>
      </c>
      <c r="J889" s="8" t="s">
        <v>274</v>
      </c>
      <c r="K889" s="8" t="str">
        <f>CONCATENATE(TableAopCalendar[[#This Row],[Month for Plan]]," ",TableAopCalendar[[#This Row],[Plan]])</f>
        <v>SEPTEMBER 24 PLANNED</v>
      </c>
    </row>
    <row r="890" spans="1:11" x14ac:dyDescent="0.25">
      <c r="A890" s="8">
        <f t="shared" si="51"/>
        <v>5</v>
      </c>
      <c r="B890" s="6">
        <v>45540</v>
      </c>
      <c r="C890" s="7" t="s">
        <v>269</v>
      </c>
      <c r="D890" s="7">
        <v>24</v>
      </c>
      <c r="E890" s="8">
        <f>DAY(TableAopCalendar[[#This Row],[Date]])</f>
        <v>5</v>
      </c>
      <c r="F890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90" s="8" t="str">
        <f t="shared" si="52"/>
        <v>Week 1</v>
      </c>
      <c r="H890" s="8" t="str">
        <f t="shared" si="53"/>
        <v>September 24 Week 1</v>
      </c>
      <c r="I890" s="8" t="str">
        <f>CONCATENATE(UPPER(TableAopCalendar[[#This Row],[Month]])," ",TableAopCalendar[[#This Row],[Year]])</f>
        <v>SEPTEMBER 24</v>
      </c>
      <c r="J890" s="8" t="s">
        <v>274</v>
      </c>
      <c r="K890" s="8" t="str">
        <f>CONCATENATE(TableAopCalendar[[#This Row],[Month for Plan]]," ",TableAopCalendar[[#This Row],[Plan]])</f>
        <v>SEPTEMBER 24 PLANNED</v>
      </c>
    </row>
    <row r="891" spans="1:11" x14ac:dyDescent="0.25">
      <c r="A891" s="8">
        <f t="shared" si="51"/>
        <v>6</v>
      </c>
      <c r="B891" s="6">
        <v>45541</v>
      </c>
      <c r="C891" s="7" t="s">
        <v>269</v>
      </c>
      <c r="D891" s="7">
        <v>24</v>
      </c>
      <c r="E891" s="8">
        <f>DAY(TableAopCalendar[[#This Row],[Date]])</f>
        <v>6</v>
      </c>
      <c r="F891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91" s="8" t="str">
        <f t="shared" si="52"/>
        <v>Week 1</v>
      </c>
      <c r="H891" s="8" t="str">
        <f t="shared" si="53"/>
        <v>September 24 Week 1</v>
      </c>
      <c r="I891" s="8" t="str">
        <f>CONCATENATE(UPPER(TableAopCalendar[[#This Row],[Month]])," ",TableAopCalendar[[#This Row],[Year]])</f>
        <v>SEPTEMBER 24</v>
      </c>
      <c r="J891" s="8" t="s">
        <v>274</v>
      </c>
      <c r="K891" s="8" t="str">
        <f>CONCATENATE(TableAopCalendar[[#This Row],[Month for Plan]]," ",TableAopCalendar[[#This Row],[Plan]])</f>
        <v>SEPTEMBER 24 PLANNED</v>
      </c>
    </row>
    <row r="892" spans="1:11" x14ac:dyDescent="0.25">
      <c r="A892" s="8">
        <f t="shared" si="51"/>
        <v>7</v>
      </c>
      <c r="B892" s="6">
        <v>45542</v>
      </c>
      <c r="C892" s="7" t="s">
        <v>269</v>
      </c>
      <c r="D892" s="7">
        <v>24</v>
      </c>
      <c r="E892" s="8">
        <f>DAY(TableAopCalendar[[#This Row],[Date]])</f>
        <v>7</v>
      </c>
      <c r="F892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892" s="8" t="str">
        <f t="shared" si="52"/>
        <v>Week 1</v>
      </c>
      <c r="H892" s="8" t="str">
        <f t="shared" si="53"/>
        <v>September 24 Week 1</v>
      </c>
      <c r="I892" s="8" t="str">
        <f>CONCATENATE(UPPER(TableAopCalendar[[#This Row],[Month]])," ",TableAopCalendar[[#This Row],[Year]])</f>
        <v>SEPTEMBER 24</v>
      </c>
      <c r="J892" s="8" t="s">
        <v>274</v>
      </c>
      <c r="K892" s="8" t="str">
        <f>CONCATENATE(TableAopCalendar[[#This Row],[Month for Plan]]," ",TableAopCalendar[[#This Row],[Plan]])</f>
        <v>SEPTEMBER 24 PLANNED</v>
      </c>
    </row>
    <row r="893" spans="1:11" x14ac:dyDescent="0.25">
      <c r="A893" s="8">
        <f t="shared" si="51"/>
        <v>1</v>
      </c>
      <c r="B893" s="6">
        <v>45543</v>
      </c>
      <c r="C893" s="7" t="s">
        <v>269</v>
      </c>
      <c r="D893" s="7">
        <v>24</v>
      </c>
      <c r="E893" s="8">
        <f>DAY(TableAopCalendar[[#This Row],[Date]])</f>
        <v>8</v>
      </c>
      <c r="F893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93" s="8" t="str">
        <f t="shared" si="52"/>
        <v>Week 2</v>
      </c>
      <c r="H893" s="8" t="str">
        <f t="shared" si="53"/>
        <v>September 24 Week 2</v>
      </c>
      <c r="I893" s="8" t="str">
        <f>CONCATENATE(UPPER(TableAopCalendar[[#This Row],[Month]])," ",TableAopCalendar[[#This Row],[Year]])</f>
        <v>SEPTEMBER 24</v>
      </c>
      <c r="J893" s="8" t="s">
        <v>274</v>
      </c>
      <c r="K893" s="8" t="str">
        <f>CONCATENATE(TableAopCalendar[[#This Row],[Month for Plan]]," ",TableAopCalendar[[#This Row],[Plan]])</f>
        <v>SEPTEMBER 24 PLANNED</v>
      </c>
    </row>
    <row r="894" spans="1:11" x14ac:dyDescent="0.25">
      <c r="A894" s="8">
        <f t="shared" si="51"/>
        <v>2</v>
      </c>
      <c r="B894" s="6">
        <v>45544</v>
      </c>
      <c r="C894" s="7" t="s">
        <v>269</v>
      </c>
      <c r="D894" s="7">
        <v>24</v>
      </c>
      <c r="E894" s="8">
        <f>DAY(TableAopCalendar[[#This Row],[Date]])</f>
        <v>9</v>
      </c>
      <c r="F894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94" s="8" t="str">
        <f t="shared" si="52"/>
        <v>Week 2</v>
      </c>
      <c r="H894" s="8" t="str">
        <f t="shared" si="53"/>
        <v>September 24 Week 2</v>
      </c>
      <c r="I894" s="8" t="str">
        <f>CONCATENATE(UPPER(TableAopCalendar[[#This Row],[Month]])," ",TableAopCalendar[[#This Row],[Year]])</f>
        <v>SEPTEMBER 24</v>
      </c>
      <c r="J894" s="8" t="s">
        <v>274</v>
      </c>
      <c r="K894" s="8" t="str">
        <f>CONCATENATE(TableAopCalendar[[#This Row],[Month for Plan]]," ",TableAopCalendar[[#This Row],[Plan]])</f>
        <v>SEPTEMBER 24 PLANNED</v>
      </c>
    </row>
    <row r="895" spans="1:11" x14ac:dyDescent="0.25">
      <c r="A895" s="8">
        <f t="shared" si="51"/>
        <v>3</v>
      </c>
      <c r="B895" s="6">
        <v>45545</v>
      </c>
      <c r="C895" s="7" t="s">
        <v>269</v>
      </c>
      <c r="D895" s="7">
        <v>24</v>
      </c>
      <c r="E895" s="8">
        <f>DAY(TableAopCalendar[[#This Row],[Date]])</f>
        <v>10</v>
      </c>
      <c r="F895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95" s="8" t="str">
        <f t="shared" si="52"/>
        <v>Week 2</v>
      </c>
      <c r="H895" s="8" t="str">
        <f t="shared" si="53"/>
        <v>September 24 Week 2</v>
      </c>
      <c r="I895" s="8" t="str">
        <f>CONCATENATE(UPPER(TableAopCalendar[[#This Row],[Month]])," ",TableAopCalendar[[#This Row],[Year]])</f>
        <v>SEPTEMBER 24</v>
      </c>
      <c r="J895" s="8" t="s">
        <v>274</v>
      </c>
      <c r="K895" s="8" t="str">
        <f>CONCATENATE(TableAopCalendar[[#This Row],[Month for Plan]]," ",TableAopCalendar[[#This Row],[Plan]])</f>
        <v>SEPTEMBER 24 PLANNED</v>
      </c>
    </row>
    <row r="896" spans="1:11" x14ac:dyDescent="0.25">
      <c r="A896" s="8">
        <f t="shared" si="51"/>
        <v>4</v>
      </c>
      <c r="B896" s="6">
        <v>45546</v>
      </c>
      <c r="C896" s="7" t="s">
        <v>269</v>
      </c>
      <c r="D896" s="7">
        <v>24</v>
      </c>
      <c r="E896" s="8">
        <f>DAY(TableAopCalendar[[#This Row],[Date]])</f>
        <v>11</v>
      </c>
      <c r="F896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96" s="8" t="str">
        <f t="shared" si="52"/>
        <v>Week 2</v>
      </c>
      <c r="H896" s="8" t="str">
        <f t="shared" si="53"/>
        <v>September 24 Week 2</v>
      </c>
      <c r="I896" s="8" t="str">
        <f>CONCATENATE(UPPER(TableAopCalendar[[#This Row],[Month]])," ",TableAopCalendar[[#This Row],[Year]])</f>
        <v>SEPTEMBER 24</v>
      </c>
      <c r="J896" s="8" t="s">
        <v>274</v>
      </c>
      <c r="K896" s="8" t="str">
        <f>CONCATENATE(TableAopCalendar[[#This Row],[Month for Plan]]," ",TableAopCalendar[[#This Row],[Plan]])</f>
        <v>SEPTEMBER 24 PLANNED</v>
      </c>
    </row>
    <row r="897" spans="1:11" x14ac:dyDescent="0.25">
      <c r="A897" s="8">
        <f t="shared" si="51"/>
        <v>5</v>
      </c>
      <c r="B897" s="6">
        <v>45547</v>
      </c>
      <c r="C897" s="7" t="s">
        <v>269</v>
      </c>
      <c r="D897" s="7">
        <v>24</v>
      </c>
      <c r="E897" s="8">
        <f>DAY(TableAopCalendar[[#This Row],[Date]])</f>
        <v>12</v>
      </c>
      <c r="F897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97" s="8" t="str">
        <f t="shared" si="52"/>
        <v>Week 2</v>
      </c>
      <c r="H897" s="8" t="str">
        <f t="shared" si="53"/>
        <v>September 24 Week 2</v>
      </c>
      <c r="I897" s="8" t="str">
        <f>CONCATENATE(UPPER(TableAopCalendar[[#This Row],[Month]])," ",TableAopCalendar[[#This Row],[Year]])</f>
        <v>SEPTEMBER 24</v>
      </c>
      <c r="J897" s="8" t="s">
        <v>274</v>
      </c>
      <c r="K897" s="8" t="str">
        <f>CONCATENATE(TableAopCalendar[[#This Row],[Month for Plan]]," ",TableAopCalendar[[#This Row],[Plan]])</f>
        <v>SEPTEMBER 24 PLANNED</v>
      </c>
    </row>
    <row r="898" spans="1:11" x14ac:dyDescent="0.25">
      <c r="A898" s="8">
        <f t="shared" si="51"/>
        <v>6</v>
      </c>
      <c r="B898" s="6">
        <v>45548</v>
      </c>
      <c r="C898" s="7" t="s">
        <v>269</v>
      </c>
      <c r="D898" s="7">
        <v>24</v>
      </c>
      <c r="E898" s="8">
        <f>DAY(TableAopCalendar[[#This Row],[Date]])</f>
        <v>13</v>
      </c>
      <c r="F898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98" s="8" t="str">
        <f t="shared" si="52"/>
        <v>Week 2</v>
      </c>
      <c r="H898" s="8" t="str">
        <f t="shared" si="53"/>
        <v>September 24 Week 2</v>
      </c>
      <c r="I898" s="8" t="str">
        <f>CONCATENATE(UPPER(TableAopCalendar[[#This Row],[Month]])," ",TableAopCalendar[[#This Row],[Year]])</f>
        <v>SEPTEMBER 24</v>
      </c>
      <c r="J898" s="8" t="s">
        <v>274</v>
      </c>
      <c r="K898" s="8" t="str">
        <f>CONCATENATE(TableAopCalendar[[#This Row],[Month for Plan]]," ",TableAopCalendar[[#This Row],[Plan]])</f>
        <v>SEPTEMBER 24 PLANNED</v>
      </c>
    </row>
    <row r="899" spans="1:11" x14ac:dyDescent="0.25">
      <c r="A899" s="8">
        <f t="shared" si="51"/>
        <v>7</v>
      </c>
      <c r="B899" s="6">
        <v>45549</v>
      </c>
      <c r="C899" s="7" t="s">
        <v>269</v>
      </c>
      <c r="D899" s="7">
        <v>24</v>
      </c>
      <c r="E899" s="8">
        <f>DAY(TableAopCalendar[[#This Row],[Date]])</f>
        <v>14</v>
      </c>
      <c r="F899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899" s="8" t="str">
        <f t="shared" si="52"/>
        <v>Week 2</v>
      </c>
      <c r="H899" s="8" t="str">
        <f t="shared" si="53"/>
        <v>September 24 Week 2</v>
      </c>
      <c r="I899" s="8" t="str">
        <f>CONCATENATE(UPPER(TableAopCalendar[[#This Row],[Month]])," ",TableAopCalendar[[#This Row],[Year]])</f>
        <v>SEPTEMBER 24</v>
      </c>
      <c r="J899" s="8" t="s">
        <v>274</v>
      </c>
      <c r="K899" s="8" t="str">
        <f>CONCATENATE(TableAopCalendar[[#This Row],[Month for Plan]]," ",TableAopCalendar[[#This Row],[Plan]])</f>
        <v>SEPTEMBER 24 PLANNED</v>
      </c>
    </row>
    <row r="900" spans="1:11" x14ac:dyDescent="0.25">
      <c r="A900" s="8">
        <f t="shared" si="51"/>
        <v>1</v>
      </c>
      <c r="B900" s="6">
        <v>45550</v>
      </c>
      <c r="C900" s="7" t="s">
        <v>269</v>
      </c>
      <c r="D900" s="7">
        <v>24</v>
      </c>
      <c r="E900" s="8">
        <f>DAY(TableAopCalendar[[#This Row],[Date]])</f>
        <v>15</v>
      </c>
      <c r="F900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00" s="8" t="str">
        <f t="shared" si="52"/>
        <v>Week 3</v>
      </c>
      <c r="H900" s="8" t="str">
        <f t="shared" si="53"/>
        <v>September 24 Week 3</v>
      </c>
      <c r="I900" s="8" t="str">
        <f>CONCATENATE(UPPER(TableAopCalendar[[#This Row],[Month]])," ",TableAopCalendar[[#This Row],[Year]])</f>
        <v>SEPTEMBER 24</v>
      </c>
      <c r="J900" s="8" t="s">
        <v>274</v>
      </c>
      <c r="K900" s="8" t="str">
        <f>CONCATENATE(TableAopCalendar[[#This Row],[Month for Plan]]," ",TableAopCalendar[[#This Row],[Plan]])</f>
        <v>SEPTEMBER 24 PLANNED</v>
      </c>
    </row>
    <row r="901" spans="1:11" x14ac:dyDescent="0.25">
      <c r="A901" s="8">
        <f t="shared" si="51"/>
        <v>2</v>
      </c>
      <c r="B901" s="6">
        <v>45551</v>
      </c>
      <c r="C901" s="7" t="s">
        <v>269</v>
      </c>
      <c r="D901" s="7">
        <v>24</v>
      </c>
      <c r="E901" s="8">
        <f>DAY(TableAopCalendar[[#This Row],[Date]])</f>
        <v>16</v>
      </c>
      <c r="F901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01" s="8" t="str">
        <f t="shared" si="52"/>
        <v>Week 3</v>
      </c>
      <c r="H901" s="8" t="str">
        <f t="shared" si="53"/>
        <v>September 24 Week 3</v>
      </c>
      <c r="I901" s="8" t="str">
        <f>CONCATENATE(UPPER(TableAopCalendar[[#This Row],[Month]])," ",TableAopCalendar[[#This Row],[Year]])</f>
        <v>SEPTEMBER 24</v>
      </c>
      <c r="J901" s="8" t="s">
        <v>274</v>
      </c>
      <c r="K901" s="8" t="str">
        <f>CONCATENATE(TableAopCalendar[[#This Row],[Month for Plan]]," ",TableAopCalendar[[#This Row],[Plan]])</f>
        <v>SEPTEMBER 24 PLANNED</v>
      </c>
    </row>
    <row r="902" spans="1:11" x14ac:dyDescent="0.25">
      <c r="A902" s="8">
        <f t="shared" si="51"/>
        <v>3</v>
      </c>
      <c r="B902" s="6">
        <v>45552</v>
      </c>
      <c r="C902" s="7" t="s">
        <v>269</v>
      </c>
      <c r="D902" s="7">
        <v>24</v>
      </c>
      <c r="E902" s="8">
        <f>DAY(TableAopCalendar[[#This Row],[Date]])</f>
        <v>17</v>
      </c>
      <c r="F902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02" s="8" t="str">
        <f t="shared" si="52"/>
        <v>Week 3</v>
      </c>
      <c r="H902" s="8" t="str">
        <f t="shared" si="53"/>
        <v>September 24 Week 3</v>
      </c>
      <c r="I902" s="8" t="str">
        <f>CONCATENATE(UPPER(TableAopCalendar[[#This Row],[Month]])," ",TableAopCalendar[[#This Row],[Year]])</f>
        <v>SEPTEMBER 24</v>
      </c>
      <c r="J902" s="8" t="s">
        <v>274</v>
      </c>
      <c r="K902" s="8" t="str">
        <f>CONCATENATE(TableAopCalendar[[#This Row],[Month for Plan]]," ",TableAopCalendar[[#This Row],[Plan]])</f>
        <v>SEPTEMBER 24 PLANNED</v>
      </c>
    </row>
    <row r="903" spans="1:11" x14ac:dyDescent="0.25">
      <c r="A903" s="8">
        <f t="shared" si="51"/>
        <v>4</v>
      </c>
      <c r="B903" s="6">
        <v>45553</v>
      </c>
      <c r="C903" s="7" t="s">
        <v>269</v>
      </c>
      <c r="D903" s="7">
        <v>24</v>
      </c>
      <c r="E903" s="8">
        <f>DAY(TableAopCalendar[[#This Row],[Date]])</f>
        <v>18</v>
      </c>
      <c r="F903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03" s="8" t="str">
        <f t="shared" si="52"/>
        <v>Week 3</v>
      </c>
      <c r="H903" s="8" t="str">
        <f t="shared" si="53"/>
        <v>September 24 Week 3</v>
      </c>
      <c r="I903" s="8" t="str">
        <f>CONCATENATE(UPPER(TableAopCalendar[[#This Row],[Month]])," ",TableAopCalendar[[#This Row],[Year]])</f>
        <v>SEPTEMBER 24</v>
      </c>
      <c r="J903" s="8" t="s">
        <v>274</v>
      </c>
      <c r="K903" s="8" t="str">
        <f>CONCATENATE(TableAopCalendar[[#This Row],[Month for Plan]]," ",TableAopCalendar[[#This Row],[Plan]])</f>
        <v>SEPTEMBER 24 PLANNED</v>
      </c>
    </row>
    <row r="904" spans="1:11" x14ac:dyDescent="0.25">
      <c r="A904" s="8">
        <f t="shared" si="51"/>
        <v>5</v>
      </c>
      <c r="B904" s="6">
        <v>45554</v>
      </c>
      <c r="C904" s="7" t="s">
        <v>269</v>
      </c>
      <c r="D904" s="7">
        <v>24</v>
      </c>
      <c r="E904" s="8">
        <f>DAY(TableAopCalendar[[#This Row],[Date]])</f>
        <v>19</v>
      </c>
      <c r="F904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04" s="8" t="str">
        <f t="shared" si="52"/>
        <v>Week 3</v>
      </c>
      <c r="H904" s="8" t="str">
        <f t="shared" si="53"/>
        <v>September 24 Week 3</v>
      </c>
      <c r="I904" s="8" t="str">
        <f>CONCATENATE(UPPER(TableAopCalendar[[#This Row],[Month]])," ",TableAopCalendar[[#This Row],[Year]])</f>
        <v>SEPTEMBER 24</v>
      </c>
      <c r="J904" s="8" t="s">
        <v>274</v>
      </c>
      <c r="K904" s="8" t="str">
        <f>CONCATENATE(TableAopCalendar[[#This Row],[Month for Plan]]," ",TableAopCalendar[[#This Row],[Plan]])</f>
        <v>SEPTEMBER 24 PLANNED</v>
      </c>
    </row>
    <row r="905" spans="1:11" x14ac:dyDescent="0.25">
      <c r="A905" s="8">
        <f t="shared" si="51"/>
        <v>6</v>
      </c>
      <c r="B905" s="6">
        <v>45555</v>
      </c>
      <c r="C905" s="7" t="s">
        <v>269</v>
      </c>
      <c r="D905" s="7">
        <v>24</v>
      </c>
      <c r="E905" s="8">
        <f>DAY(TableAopCalendar[[#This Row],[Date]])</f>
        <v>20</v>
      </c>
      <c r="F905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05" s="8" t="str">
        <f t="shared" si="52"/>
        <v>Week 3</v>
      </c>
      <c r="H905" s="8" t="str">
        <f t="shared" si="53"/>
        <v>September 24 Week 3</v>
      </c>
      <c r="I905" s="8" t="str">
        <f>CONCATENATE(UPPER(TableAopCalendar[[#This Row],[Month]])," ",TableAopCalendar[[#This Row],[Year]])</f>
        <v>SEPTEMBER 24</v>
      </c>
      <c r="J905" s="8" t="s">
        <v>274</v>
      </c>
      <c r="K905" s="8" t="str">
        <f>CONCATENATE(TableAopCalendar[[#This Row],[Month for Plan]]," ",TableAopCalendar[[#This Row],[Plan]])</f>
        <v>SEPTEMBER 24 PLANNED</v>
      </c>
    </row>
    <row r="906" spans="1:11" x14ac:dyDescent="0.25">
      <c r="A906" s="8">
        <f t="shared" si="51"/>
        <v>7</v>
      </c>
      <c r="B906" s="6">
        <v>45556</v>
      </c>
      <c r="C906" s="7" t="s">
        <v>269</v>
      </c>
      <c r="D906" s="7">
        <v>24</v>
      </c>
      <c r="E906" s="8">
        <f>DAY(TableAopCalendar[[#This Row],[Date]])</f>
        <v>21</v>
      </c>
      <c r="F906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06" s="8" t="str">
        <f t="shared" si="52"/>
        <v>Week 3</v>
      </c>
      <c r="H906" s="8" t="str">
        <f t="shared" si="53"/>
        <v>September 24 Week 3</v>
      </c>
      <c r="I906" s="8" t="str">
        <f>CONCATENATE(UPPER(TableAopCalendar[[#This Row],[Month]])," ",TableAopCalendar[[#This Row],[Year]])</f>
        <v>SEPTEMBER 24</v>
      </c>
      <c r="J906" s="8" t="s">
        <v>274</v>
      </c>
      <c r="K906" s="8" t="str">
        <f>CONCATENATE(TableAopCalendar[[#This Row],[Month for Plan]]," ",TableAopCalendar[[#This Row],[Plan]])</f>
        <v>SEPTEMBER 24 PLANNED</v>
      </c>
    </row>
    <row r="907" spans="1:11" x14ac:dyDescent="0.25">
      <c r="A907" s="8">
        <f t="shared" si="51"/>
        <v>1</v>
      </c>
      <c r="B907" s="6">
        <v>45557</v>
      </c>
      <c r="C907" s="7" t="s">
        <v>269</v>
      </c>
      <c r="D907" s="7">
        <v>24</v>
      </c>
      <c r="E907" s="8">
        <f>DAY(TableAopCalendar[[#This Row],[Date]])</f>
        <v>22</v>
      </c>
      <c r="F907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07" s="8" t="str">
        <f t="shared" si="52"/>
        <v>Week 4</v>
      </c>
      <c r="H907" s="8" t="str">
        <f t="shared" si="53"/>
        <v>September 24 Week 4</v>
      </c>
      <c r="I907" s="8" t="str">
        <f>CONCATENATE(UPPER(TableAopCalendar[[#This Row],[Month]])," ",TableAopCalendar[[#This Row],[Year]])</f>
        <v>SEPTEMBER 24</v>
      </c>
      <c r="J907" s="8" t="s">
        <v>274</v>
      </c>
      <c r="K907" s="8" t="str">
        <f>CONCATENATE(TableAopCalendar[[#This Row],[Month for Plan]]," ",TableAopCalendar[[#This Row],[Plan]])</f>
        <v>SEPTEMBER 24 PLANNED</v>
      </c>
    </row>
    <row r="908" spans="1:11" x14ac:dyDescent="0.25">
      <c r="A908" s="8">
        <f t="shared" si="51"/>
        <v>2</v>
      </c>
      <c r="B908" s="6">
        <v>45558</v>
      </c>
      <c r="C908" s="7" t="s">
        <v>269</v>
      </c>
      <c r="D908" s="7">
        <v>24</v>
      </c>
      <c r="E908" s="8">
        <f>DAY(TableAopCalendar[[#This Row],[Date]])</f>
        <v>23</v>
      </c>
      <c r="F908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08" s="8" t="str">
        <f t="shared" si="52"/>
        <v>Week 4</v>
      </c>
      <c r="H908" s="8" t="str">
        <f t="shared" si="53"/>
        <v>September 24 Week 4</v>
      </c>
      <c r="I908" s="8" t="str">
        <f>CONCATENATE(UPPER(TableAopCalendar[[#This Row],[Month]])," ",TableAopCalendar[[#This Row],[Year]])</f>
        <v>SEPTEMBER 24</v>
      </c>
      <c r="J908" s="8" t="s">
        <v>274</v>
      </c>
      <c r="K908" s="8" t="str">
        <f>CONCATENATE(TableAopCalendar[[#This Row],[Month for Plan]]," ",TableAopCalendar[[#This Row],[Plan]])</f>
        <v>SEPTEMBER 24 PLANNED</v>
      </c>
    </row>
    <row r="909" spans="1:11" x14ac:dyDescent="0.25">
      <c r="A909" s="8">
        <f t="shared" si="51"/>
        <v>3</v>
      </c>
      <c r="B909" s="6">
        <v>45559</v>
      </c>
      <c r="C909" s="7" t="s">
        <v>269</v>
      </c>
      <c r="D909" s="7">
        <v>24</v>
      </c>
      <c r="E909" s="8">
        <f>DAY(TableAopCalendar[[#This Row],[Date]])</f>
        <v>24</v>
      </c>
      <c r="F909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09" s="8" t="str">
        <f t="shared" si="52"/>
        <v>Week 4</v>
      </c>
      <c r="H909" s="8" t="str">
        <f t="shared" si="53"/>
        <v>September 24 Week 4</v>
      </c>
      <c r="I909" s="8" t="str">
        <f>CONCATENATE(UPPER(TableAopCalendar[[#This Row],[Month]])," ",TableAopCalendar[[#This Row],[Year]])</f>
        <v>SEPTEMBER 24</v>
      </c>
      <c r="J909" s="8" t="s">
        <v>274</v>
      </c>
      <c r="K909" s="8" t="str">
        <f>CONCATENATE(TableAopCalendar[[#This Row],[Month for Plan]]," ",TableAopCalendar[[#This Row],[Plan]])</f>
        <v>SEPTEMBER 24 PLANNED</v>
      </c>
    </row>
    <row r="910" spans="1:11" x14ac:dyDescent="0.25">
      <c r="A910" s="8">
        <f t="shared" si="51"/>
        <v>4</v>
      </c>
      <c r="B910" s="6">
        <v>45560</v>
      </c>
      <c r="C910" s="7" t="s">
        <v>269</v>
      </c>
      <c r="D910" s="7">
        <v>24</v>
      </c>
      <c r="E910" s="8">
        <f>DAY(TableAopCalendar[[#This Row],[Date]])</f>
        <v>25</v>
      </c>
      <c r="F910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10" s="8" t="str">
        <f t="shared" si="52"/>
        <v>Week 4</v>
      </c>
      <c r="H910" s="8" t="str">
        <f t="shared" si="53"/>
        <v>September 24 Week 4</v>
      </c>
      <c r="I910" s="8" t="str">
        <f>CONCATENATE(UPPER(TableAopCalendar[[#This Row],[Month]])," ",TableAopCalendar[[#This Row],[Year]])</f>
        <v>SEPTEMBER 24</v>
      </c>
      <c r="J910" s="8" t="s">
        <v>274</v>
      </c>
      <c r="K910" s="8" t="str">
        <f>CONCATENATE(TableAopCalendar[[#This Row],[Month for Plan]]," ",TableAopCalendar[[#This Row],[Plan]])</f>
        <v>SEPTEMBER 24 PLANNED</v>
      </c>
    </row>
    <row r="911" spans="1:11" x14ac:dyDescent="0.25">
      <c r="A911" s="8">
        <f t="shared" si="51"/>
        <v>5</v>
      </c>
      <c r="B911" s="6">
        <v>45561</v>
      </c>
      <c r="C911" s="7" t="s">
        <v>269</v>
      </c>
      <c r="D911" s="7">
        <v>24</v>
      </c>
      <c r="E911" s="8">
        <f>DAY(TableAopCalendar[[#This Row],[Date]])</f>
        <v>26</v>
      </c>
      <c r="F911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11" s="8" t="str">
        <f t="shared" si="52"/>
        <v>Week 4</v>
      </c>
      <c r="H911" s="8" t="str">
        <f t="shared" si="53"/>
        <v>September 24 Week 4</v>
      </c>
      <c r="I911" s="8" t="str">
        <f>CONCATENATE(UPPER(TableAopCalendar[[#This Row],[Month]])," ",TableAopCalendar[[#This Row],[Year]])</f>
        <v>SEPTEMBER 24</v>
      </c>
      <c r="J911" s="8" t="s">
        <v>274</v>
      </c>
      <c r="K911" s="8" t="str">
        <f>CONCATENATE(TableAopCalendar[[#This Row],[Month for Plan]]," ",TableAopCalendar[[#This Row],[Plan]])</f>
        <v>SEPTEMBER 24 PLANNED</v>
      </c>
    </row>
    <row r="912" spans="1:11" x14ac:dyDescent="0.25">
      <c r="A912" s="8">
        <f t="shared" si="51"/>
        <v>6</v>
      </c>
      <c r="B912" s="6">
        <v>45562</v>
      </c>
      <c r="C912" s="7" t="s">
        <v>269</v>
      </c>
      <c r="D912" s="7">
        <v>24</v>
      </c>
      <c r="E912" s="8">
        <f>DAY(TableAopCalendar[[#This Row],[Date]])</f>
        <v>27</v>
      </c>
      <c r="F912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12" s="8" t="str">
        <f t="shared" si="52"/>
        <v>Week 4</v>
      </c>
      <c r="H912" s="8" t="str">
        <f t="shared" si="53"/>
        <v>September 24 Week 4</v>
      </c>
      <c r="I912" s="8" t="str">
        <f>CONCATENATE(UPPER(TableAopCalendar[[#This Row],[Month]])," ",TableAopCalendar[[#This Row],[Year]])</f>
        <v>SEPTEMBER 24</v>
      </c>
      <c r="J912" s="8" t="s">
        <v>274</v>
      </c>
      <c r="K912" s="8" t="str">
        <f>CONCATENATE(TableAopCalendar[[#This Row],[Month for Plan]]," ",TableAopCalendar[[#This Row],[Plan]])</f>
        <v>SEPTEMBER 24 PLANNED</v>
      </c>
    </row>
    <row r="913" spans="1:11" x14ac:dyDescent="0.25">
      <c r="A913" s="8">
        <f t="shared" si="51"/>
        <v>7</v>
      </c>
      <c r="B913" s="6">
        <v>45563</v>
      </c>
      <c r="C913" s="7" t="s">
        <v>269</v>
      </c>
      <c r="D913" s="7">
        <v>24</v>
      </c>
      <c r="E913" s="8">
        <f>DAY(TableAopCalendar[[#This Row],[Date]])</f>
        <v>28</v>
      </c>
      <c r="F913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13" s="8" t="str">
        <f t="shared" si="52"/>
        <v>Week 4</v>
      </c>
      <c r="H913" s="8" t="str">
        <f t="shared" si="53"/>
        <v>September 24 Week 4</v>
      </c>
      <c r="I913" s="8" t="str">
        <f>CONCATENATE(UPPER(TableAopCalendar[[#This Row],[Month]])," ",TableAopCalendar[[#This Row],[Year]])</f>
        <v>SEPTEMBER 24</v>
      </c>
      <c r="J913" s="8" t="s">
        <v>274</v>
      </c>
      <c r="K913" s="8" t="str">
        <f>CONCATENATE(TableAopCalendar[[#This Row],[Month for Plan]]," ",TableAopCalendar[[#This Row],[Plan]])</f>
        <v>SEPTEMBER 24 PLANNED</v>
      </c>
    </row>
    <row r="914" spans="1:11" x14ac:dyDescent="0.25">
      <c r="A914" s="8">
        <f t="shared" si="51"/>
        <v>1</v>
      </c>
      <c r="B914" s="6">
        <v>45564</v>
      </c>
      <c r="C914" s="7" t="s">
        <v>269</v>
      </c>
      <c r="D914" s="7">
        <v>24</v>
      </c>
      <c r="E914" s="8">
        <f>DAY(TableAopCalendar[[#This Row],[Date]])</f>
        <v>29</v>
      </c>
      <c r="F914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14" s="8" t="str">
        <f t="shared" si="52"/>
        <v>Week 5</v>
      </c>
      <c r="H914" s="8" t="str">
        <f t="shared" si="53"/>
        <v>September 24 Week 5</v>
      </c>
      <c r="I914" s="8" t="str">
        <f>CONCATENATE(UPPER(TableAopCalendar[[#This Row],[Month]])," ",TableAopCalendar[[#This Row],[Year]])</f>
        <v>SEPTEMBER 24</v>
      </c>
      <c r="J914" s="8" t="s">
        <v>274</v>
      </c>
      <c r="K914" s="8" t="str">
        <f>CONCATENATE(TableAopCalendar[[#This Row],[Month for Plan]]," ",TableAopCalendar[[#This Row],[Plan]])</f>
        <v>SEPTEMBER 24 PLANNED</v>
      </c>
    </row>
    <row r="915" spans="1:11" x14ac:dyDescent="0.25">
      <c r="A915" s="8">
        <f t="shared" si="51"/>
        <v>2</v>
      </c>
      <c r="B915" s="6">
        <v>45565</v>
      </c>
      <c r="C915" s="7" t="s">
        <v>269</v>
      </c>
      <c r="D915" s="7">
        <v>24</v>
      </c>
      <c r="E915" s="8">
        <f>DAY(TableAopCalendar[[#This Row],[Date]])</f>
        <v>30</v>
      </c>
      <c r="F915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15" s="8" t="str">
        <f t="shared" si="52"/>
        <v>Week 5</v>
      </c>
      <c r="H915" s="8" t="str">
        <f t="shared" si="53"/>
        <v>September 24 Week 5</v>
      </c>
      <c r="I915" s="8" t="str">
        <f>CONCATENATE(UPPER(TableAopCalendar[[#This Row],[Month]])," ",TableAopCalendar[[#This Row],[Year]])</f>
        <v>SEPTEMBER 24</v>
      </c>
      <c r="J915" s="8" t="s">
        <v>274</v>
      </c>
      <c r="K915" s="8" t="str">
        <f>CONCATENATE(TableAopCalendar[[#This Row],[Month for Plan]]," ",TableAopCalendar[[#This Row],[Plan]])</f>
        <v>SEPTEMBER 24 PLANNED</v>
      </c>
    </row>
    <row r="916" spans="1:11" x14ac:dyDescent="0.25">
      <c r="A916" s="8">
        <f t="shared" si="51"/>
        <v>1</v>
      </c>
      <c r="B916" s="6">
        <v>45566</v>
      </c>
      <c r="C916" s="7" t="s">
        <v>114</v>
      </c>
      <c r="D916" s="7">
        <v>24</v>
      </c>
      <c r="E916" s="8">
        <f>DAY(TableAopCalendar[[#This Row],[Date]])</f>
        <v>1</v>
      </c>
      <c r="F916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16" s="8" t="str">
        <f t="shared" si="52"/>
        <v>Week 1</v>
      </c>
      <c r="H916" s="8" t="str">
        <f t="shared" si="53"/>
        <v>October 24 Week 1</v>
      </c>
      <c r="I916" s="8" t="str">
        <f>CONCATENATE(UPPER(TableAopCalendar[[#This Row],[Month]])," ",TableAopCalendar[[#This Row],[Year]])</f>
        <v>OCTOBER 24</v>
      </c>
      <c r="J916" s="8" t="s">
        <v>274</v>
      </c>
      <c r="K916" s="8" t="str">
        <f>CONCATENATE(TableAopCalendar[[#This Row],[Month for Plan]]," ",TableAopCalendar[[#This Row],[Plan]])</f>
        <v>OCTOBER 24 PLANNED</v>
      </c>
    </row>
    <row r="917" spans="1:11" x14ac:dyDescent="0.25">
      <c r="A917" s="8">
        <f t="shared" ref="A917:A948" si="54">IF(G917=G916,A916+1,1)</f>
        <v>2</v>
      </c>
      <c r="B917" s="6">
        <v>45567</v>
      </c>
      <c r="C917" s="7" t="s">
        <v>114</v>
      </c>
      <c r="D917" s="7">
        <v>24</v>
      </c>
      <c r="E917" s="8">
        <f>DAY(TableAopCalendar[[#This Row],[Date]])</f>
        <v>2</v>
      </c>
      <c r="F917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17" s="8" t="str">
        <f t="shared" ref="G917:G948" si="55">"Week"&amp;" "&amp;F917</f>
        <v>Week 1</v>
      </c>
      <c r="H917" s="8" t="str">
        <f t="shared" ref="H917:H948" si="56">CONCATENATE(C917," ",D917," ",G917)</f>
        <v>October 24 Week 1</v>
      </c>
      <c r="I917" s="8" t="str">
        <f>CONCATENATE(UPPER(TableAopCalendar[[#This Row],[Month]])," ",TableAopCalendar[[#This Row],[Year]])</f>
        <v>OCTOBER 24</v>
      </c>
      <c r="J917" s="8" t="s">
        <v>274</v>
      </c>
      <c r="K917" s="8" t="str">
        <f>CONCATENATE(TableAopCalendar[[#This Row],[Month for Plan]]," ",TableAopCalendar[[#This Row],[Plan]])</f>
        <v>OCTOBER 24 PLANNED</v>
      </c>
    </row>
    <row r="918" spans="1:11" x14ac:dyDescent="0.25">
      <c r="A918" s="8">
        <f t="shared" si="54"/>
        <v>3</v>
      </c>
      <c r="B918" s="6">
        <v>45568</v>
      </c>
      <c r="C918" s="7" t="s">
        <v>114</v>
      </c>
      <c r="D918" s="7">
        <v>24</v>
      </c>
      <c r="E918" s="8">
        <f>DAY(TableAopCalendar[[#This Row],[Date]])</f>
        <v>3</v>
      </c>
      <c r="F918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18" s="8" t="str">
        <f t="shared" si="55"/>
        <v>Week 1</v>
      </c>
      <c r="H918" s="8" t="str">
        <f t="shared" si="56"/>
        <v>October 24 Week 1</v>
      </c>
      <c r="I918" s="8" t="str">
        <f>CONCATENATE(UPPER(TableAopCalendar[[#This Row],[Month]])," ",TableAopCalendar[[#This Row],[Year]])</f>
        <v>OCTOBER 24</v>
      </c>
      <c r="J918" s="8" t="s">
        <v>274</v>
      </c>
      <c r="K918" s="8" t="str">
        <f>CONCATENATE(TableAopCalendar[[#This Row],[Month for Plan]]," ",TableAopCalendar[[#This Row],[Plan]])</f>
        <v>OCTOBER 24 PLANNED</v>
      </c>
    </row>
    <row r="919" spans="1:11" x14ac:dyDescent="0.25">
      <c r="A919" s="8">
        <f t="shared" si="54"/>
        <v>4</v>
      </c>
      <c r="B919" s="6">
        <v>45569</v>
      </c>
      <c r="C919" s="7" t="s">
        <v>114</v>
      </c>
      <c r="D919" s="7">
        <v>24</v>
      </c>
      <c r="E919" s="8">
        <f>DAY(TableAopCalendar[[#This Row],[Date]])</f>
        <v>4</v>
      </c>
      <c r="F919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19" s="8" t="str">
        <f t="shared" si="55"/>
        <v>Week 1</v>
      </c>
      <c r="H919" s="8" t="str">
        <f t="shared" si="56"/>
        <v>October 24 Week 1</v>
      </c>
      <c r="I919" s="8" t="str">
        <f>CONCATENATE(UPPER(TableAopCalendar[[#This Row],[Month]])," ",TableAopCalendar[[#This Row],[Year]])</f>
        <v>OCTOBER 24</v>
      </c>
      <c r="J919" s="8" t="s">
        <v>274</v>
      </c>
      <c r="K919" s="8" t="str">
        <f>CONCATENATE(TableAopCalendar[[#This Row],[Month for Plan]]," ",TableAopCalendar[[#This Row],[Plan]])</f>
        <v>OCTOBER 24 PLANNED</v>
      </c>
    </row>
    <row r="920" spans="1:11" x14ac:dyDescent="0.25">
      <c r="A920" s="8">
        <f t="shared" si="54"/>
        <v>5</v>
      </c>
      <c r="B920" s="6">
        <v>45570</v>
      </c>
      <c r="C920" s="7" t="s">
        <v>114</v>
      </c>
      <c r="D920" s="7">
        <v>24</v>
      </c>
      <c r="E920" s="8">
        <f>DAY(TableAopCalendar[[#This Row],[Date]])</f>
        <v>5</v>
      </c>
      <c r="F920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20" s="8" t="str">
        <f t="shared" si="55"/>
        <v>Week 1</v>
      </c>
      <c r="H920" s="8" t="str">
        <f t="shared" si="56"/>
        <v>October 24 Week 1</v>
      </c>
      <c r="I920" s="8" t="str">
        <f>CONCATENATE(UPPER(TableAopCalendar[[#This Row],[Month]])," ",TableAopCalendar[[#This Row],[Year]])</f>
        <v>OCTOBER 24</v>
      </c>
      <c r="J920" s="8" t="s">
        <v>274</v>
      </c>
      <c r="K920" s="8" t="str">
        <f>CONCATENATE(TableAopCalendar[[#This Row],[Month for Plan]]," ",TableAopCalendar[[#This Row],[Plan]])</f>
        <v>OCTOBER 24 PLANNED</v>
      </c>
    </row>
    <row r="921" spans="1:11" x14ac:dyDescent="0.25">
      <c r="A921" s="8">
        <f t="shared" si="54"/>
        <v>6</v>
      </c>
      <c r="B921" s="6">
        <v>45571</v>
      </c>
      <c r="C921" s="7" t="s">
        <v>114</v>
      </c>
      <c r="D921" s="7">
        <v>24</v>
      </c>
      <c r="E921" s="8">
        <f>DAY(TableAopCalendar[[#This Row],[Date]])</f>
        <v>6</v>
      </c>
      <c r="F921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21" s="8" t="str">
        <f t="shared" si="55"/>
        <v>Week 1</v>
      </c>
      <c r="H921" s="8" t="str">
        <f t="shared" si="56"/>
        <v>October 24 Week 1</v>
      </c>
      <c r="I921" s="8" t="str">
        <f>CONCATENATE(UPPER(TableAopCalendar[[#This Row],[Month]])," ",TableAopCalendar[[#This Row],[Year]])</f>
        <v>OCTOBER 24</v>
      </c>
      <c r="J921" s="8" t="s">
        <v>274</v>
      </c>
      <c r="K921" s="8" t="str">
        <f>CONCATENATE(TableAopCalendar[[#This Row],[Month for Plan]]," ",TableAopCalendar[[#This Row],[Plan]])</f>
        <v>OCTOBER 24 PLANNED</v>
      </c>
    </row>
    <row r="922" spans="1:11" x14ac:dyDescent="0.25">
      <c r="A922" s="8">
        <f t="shared" si="54"/>
        <v>7</v>
      </c>
      <c r="B922" s="6">
        <v>45572</v>
      </c>
      <c r="C922" s="7" t="s">
        <v>114</v>
      </c>
      <c r="D922" s="7">
        <v>24</v>
      </c>
      <c r="E922" s="8">
        <f>DAY(TableAopCalendar[[#This Row],[Date]])</f>
        <v>7</v>
      </c>
      <c r="F922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22" s="8" t="str">
        <f t="shared" si="55"/>
        <v>Week 1</v>
      </c>
      <c r="H922" s="8" t="str">
        <f t="shared" si="56"/>
        <v>October 24 Week 1</v>
      </c>
      <c r="I922" s="8" t="str">
        <f>CONCATENATE(UPPER(TableAopCalendar[[#This Row],[Month]])," ",TableAopCalendar[[#This Row],[Year]])</f>
        <v>OCTOBER 24</v>
      </c>
      <c r="J922" s="8" t="s">
        <v>274</v>
      </c>
      <c r="K922" s="8" t="str">
        <f>CONCATENATE(TableAopCalendar[[#This Row],[Month for Plan]]," ",TableAopCalendar[[#This Row],[Plan]])</f>
        <v>OCTOBER 24 PLANNED</v>
      </c>
    </row>
    <row r="923" spans="1:11" x14ac:dyDescent="0.25">
      <c r="A923" s="8">
        <f t="shared" si="54"/>
        <v>1</v>
      </c>
      <c r="B923" s="6">
        <v>45573</v>
      </c>
      <c r="C923" s="7" t="s">
        <v>114</v>
      </c>
      <c r="D923" s="7">
        <v>24</v>
      </c>
      <c r="E923" s="8">
        <f>DAY(TableAopCalendar[[#This Row],[Date]])</f>
        <v>8</v>
      </c>
      <c r="F923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23" s="8" t="str">
        <f t="shared" si="55"/>
        <v>Week 2</v>
      </c>
      <c r="H923" s="8" t="str">
        <f t="shared" si="56"/>
        <v>October 24 Week 2</v>
      </c>
      <c r="I923" s="8" t="str">
        <f>CONCATENATE(UPPER(TableAopCalendar[[#This Row],[Month]])," ",TableAopCalendar[[#This Row],[Year]])</f>
        <v>OCTOBER 24</v>
      </c>
      <c r="J923" s="8" t="s">
        <v>274</v>
      </c>
      <c r="K923" s="8" t="str">
        <f>CONCATENATE(TableAopCalendar[[#This Row],[Month for Plan]]," ",TableAopCalendar[[#This Row],[Plan]])</f>
        <v>OCTOBER 24 PLANNED</v>
      </c>
    </row>
    <row r="924" spans="1:11" x14ac:dyDescent="0.25">
      <c r="A924" s="8">
        <f t="shared" si="54"/>
        <v>2</v>
      </c>
      <c r="B924" s="6">
        <v>45574</v>
      </c>
      <c r="C924" s="7" t="s">
        <v>114</v>
      </c>
      <c r="D924" s="7">
        <v>24</v>
      </c>
      <c r="E924" s="8">
        <f>DAY(TableAopCalendar[[#This Row],[Date]])</f>
        <v>9</v>
      </c>
      <c r="F924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24" s="8" t="str">
        <f t="shared" si="55"/>
        <v>Week 2</v>
      </c>
      <c r="H924" s="8" t="str">
        <f t="shared" si="56"/>
        <v>October 24 Week 2</v>
      </c>
      <c r="I924" s="8" t="str">
        <f>CONCATENATE(UPPER(TableAopCalendar[[#This Row],[Month]])," ",TableAopCalendar[[#This Row],[Year]])</f>
        <v>OCTOBER 24</v>
      </c>
      <c r="J924" s="8" t="s">
        <v>274</v>
      </c>
      <c r="K924" s="8" t="str">
        <f>CONCATENATE(TableAopCalendar[[#This Row],[Month for Plan]]," ",TableAopCalendar[[#This Row],[Plan]])</f>
        <v>OCTOBER 24 PLANNED</v>
      </c>
    </row>
    <row r="925" spans="1:11" x14ac:dyDescent="0.25">
      <c r="A925" s="8">
        <f t="shared" si="54"/>
        <v>3</v>
      </c>
      <c r="B925" s="6">
        <v>45575</v>
      </c>
      <c r="C925" s="7" t="s">
        <v>114</v>
      </c>
      <c r="D925" s="7">
        <v>24</v>
      </c>
      <c r="E925" s="8">
        <f>DAY(TableAopCalendar[[#This Row],[Date]])</f>
        <v>10</v>
      </c>
      <c r="F925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25" s="8" t="str">
        <f t="shared" si="55"/>
        <v>Week 2</v>
      </c>
      <c r="H925" s="8" t="str">
        <f t="shared" si="56"/>
        <v>October 24 Week 2</v>
      </c>
      <c r="I925" s="8" t="str">
        <f>CONCATENATE(UPPER(TableAopCalendar[[#This Row],[Month]])," ",TableAopCalendar[[#This Row],[Year]])</f>
        <v>OCTOBER 24</v>
      </c>
      <c r="J925" s="8" t="s">
        <v>274</v>
      </c>
      <c r="K925" s="8" t="str">
        <f>CONCATENATE(TableAopCalendar[[#This Row],[Month for Plan]]," ",TableAopCalendar[[#This Row],[Plan]])</f>
        <v>OCTOBER 24 PLANNED</v>
      </c>
    </row>
    <row r="926" spans="1:11" x14ac:dyDescent="0.25">
      <c r="A926" s="8">
        <f t="shared" si="54"/>
        <v>4</v>
      </c>
      <c r="B926" s="6">
        <v>45576</v>
      </c>
      <c r="C926" s="7" t="s">
        <v>114</v>
      </c>
      <c r="D926" s="7">
        <v>24</v>
      </c>
      <c r="E926" s="8">
        <f>DAY(TableAopCalendar[[#This Row],[Date]])</f>
        <v>11</v>
      </c>
      <c r="F926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26" s="8" t="str">
        <f t="shared" si="55"/>
        <v>Week 2</v>
      </c>
      <c r="H926" s="8" t="str">
        <f t="shared" si="56"/>
        <v>October 24 Week 2</v>
      </c>
      <c r="I926" s="8" t="str">
        <f>CONCATENATE(UPPER(TableAopCalendar[[#This Row],[Month]])," ",TableAopCalendar[[#This Row],[Year]])</f>
        <v>OCTOBER 24</v>
      </c>
      <c r="J926" s="8" t="s">
        <v>274</v>
      </c>
      <c r="K926" s="8" t="str">
        <f>CONCATENATE(TableAopCalendar[[#This Row],[Month for Plan]]," ",TableAopCalendar[[#This Row],[Plan]])</f>
        <v>OCTOBER 24 PLANNED</v>
      </c>
    </row>
    <row r="927" spans="1:11" x14ac:dyDescent="0.25">
      <c r="A927" s="8">
        <f t="shared" si="54"/>
        <v>5</v>
      </c>
      <c r="B927" s="6">
        <v>45577</v>
      </c>
      <c r="C927" s="7" t="s">
        <v>114</v>
      </c>
      <c r="D927" s="7">
        <v>24</v>
      </c>
      <c r="E927" s="8">
        <f>DAY(TableAopCalendar[[#This Row],[Date]])</f>
        <v>12</v>
      </c>
      <c r="F927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27" s="8" t="str">
        <f t="shared" si="55"/>
        <v>Week 2</v>
      </c>
      <c r="H927" s="8" t="str">
        <f t="shared" si="56"/>
        <v>October 24 Week 2</v>
      </c>
      <c r="I927" s="8" t="str">
        <f>CONCATENATE(UPPER(TableAopCalendar[[#This Row],[Month]])," ",TableAopCalendar[[#This Row],[Year]])</f>
        <v>OCTOBER 24</v>
      </c>
      <c r="J927" s="8" t="s">
        <v>274</v>
      </c>
      <c r="K927" s="8" t="str">
        <f>CONCATENATE(TableAopCalendar[[#This Row],[Month for Plan]]," ",TableAopCalendar[[#This Row],[Plan]])</f>
        <v>OCTOBER 24 PLANNED</v>
      </c>
    </row>
    <row r="928" spans="1:11" x14ac:dyDescent="0.25">
      <c r="A928" s="8">
        <f t="shared" si="54"/>
        <v>6</v>
      </c>
      <c r="B928" s="6">
        <v>45578</v>
      </c>
      <c r="C928" s="7" t="s">
        <v>114</v>
      </c>
      <c r="D928" s="7">
        <v>24</v>
      </c>
      <c r="E928" s="8">
        <f>DAY(TableAopCalendar[[#This Row],[Date]])</f>
        <v>13</v>
      </c>
      <c r="F928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28" s="8" t="str">
        <f t="shared" si="55"/>
        <v>Week 2</v>
      </c>
      <c r="H928" s="8" t="str">
        <f t="shared" si="56"/>
        <v>October 24 Week 2</v>
      </c>
      <c r="I928" s="8" t="str">
        <f>CONCATENATE(UPPER(TableAopCalendar[[#This Row],[Month]])," ",TableAopCalendar[[#This Row],[Year]])</f>
        <v>OCTOBER 24</v>
      </c>
      <c r="J928" s="8" t="s">
        <v>274</v>
      </c>
      <c r="K928" s="8" t="str">
        <f>CONCATENATE(TableAopCalendar[[#This Row],[Month for Plan]]," ",TableAopCalendar[[#This Row],[Plan]])</f>
        <v>OCTOBER 24 PLANNED</v>
      </c>
    </row>
    <row r="929" spans="1:11" x14ac:dyDescent="0.25">
      <c r="A929" s="8">
        <f t="shared" si="54"/>
        <v>7</v>
      </c>
      <c r="B929" s="6">
        <v>45579</v>
      </c>
      <c r="C929" s="7" t="s">
        <v>114</v>
      </c>
      <c r="D929" s="7">
        <v>24</v>
      </c>
      <c r="E929" s="8">
        <f>DAY(TableAopCalendar[[#This Row],[Date]])</f>
        <v>14</v>
      </c>
      <c r="F929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29" s="8" t="str">
        <f t="shared" si="55"/>
        <v>Week 2</v>
      </c>
      <c r="H929" s="8" t="str">
        <f t="shared" si="56"/>
        <v>October 24 Week 2</v>
      </c>
      <c r="I929" s="8" t="str">
        <f>CONCATENATE(UPPER(TableAopCalendar[[#This Row],[Month]])," ",TableAopCalendar[[#This Row],[Year]])</f>
        <v>OCTOBER 24</v>
      </c>
      <c r="J929" s="8" t="s">
        <v>274</v>
      </c>
      <c r="K929" s="8" t="str">
        <f>CONCATENATE(TableAopCalendar[[#This Row],[Month for Plan]]," ",TableAopCalendar[[#This Row],[Plan]])</f>
        <v>OCTOBER 24 PLANNED</v>
      </c>
    </row>
    <row r="930" spans="1:11" x14ac:dyDescent="0.25">
      <c r="A930" s="8">
        <f t="shared" si="54"/>
        <v>1</v>
      </c>
      <c r="B930" s="6">
        <v>45580</v>
      </c>
      <c r="C930" s="7" t="s">
        <v>114</v>
      </c>
      <c r="D930" s="7">
        <v>24</v>
      </c>
      <c r="E930" s="8">
        <f>DAY(TableAopCalendar[[#This Row],[Date]])</f>
        <v>15</v>
      </c>
      <c r="F930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30" s="8" t="str">
        <f t="shared" si="55"/>
        <v>Week 3</v>
      </c>
      <c r="H930" s="8" t="str">
        <f t="shared" si="56"/>
        <v>October 24 Week 3</v>
      </c>
      <c r="I930" s="8" t="str">
        <f>CONCATENATE(UPPER(TableAopCalendar[[#This Row],[Month]])," ",TableAopCalendar[[#This Row],[Year]])</f>
        <v>OCTOBER 24</v>
      </c>
      <c r="J930" s="8" t="s">
        <v>274</v>
      </c>
      <c r="K930" s="8" t="str">
        <f>CONCATENATE(TableAopCalendar[[#This Row],[Month for Plan]]," ",TableAopCalendar[[#This Row],[Plan]])</f>
        <v>OCTOBER 24 PLANNED</v>
      </c>
    </row>
    <row r="931" spans="1:11" x14ac:dyDescent="0.25">
      <c r="A931" s="8">
        <f t="shared" si="54"/>
        <v>2</v>
      </c>
      <c r="B931" s="6">
        <v>45581</v>
      </c>
      <c r="C931" s="7" t="s">
        <v>114</v>
      </c>
      <c r="D931" s="7">
        <v>24</v>
      </c>
      <c r="E931" s="8">
        <f>DAY(TableAopCalendar[[#This Row],[Date]])</f>
        <v>16</v>
      </c>
      <c r="F931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31" s="8" t="str">
        <f t="shared" si="55"/>
        <v>Week 3</v>
      </c>
      <c r="H931" s="8" t="str">
        <f t="shared" si="56"/>
        <v>October 24 Week 3</v>
      </c>
      <c r="I931" s="8" t="str">
        <f>CONCATENATE(UPPER(TableAopCalendar[[#This Row],[Month]])," ",TableAopCalendar[[#This Row],[Year]])</f>
        <v>OCTOBER 24</v>
      </c>
      <c r="J931" s="8" t="s">
        <v>274</v>
      </c>
      <c r="K931" s="8" t="str">
        <f>CONCATENATE(TableAopCalendar[[#This Row],[Month for Plan]]," ",TableAopCalendar[[#This Row],[Plan]])</f>
        <v>OCTOBER 24 PLANNED</v>
      </c>
    </row>
    <row r="932" spans="1:11" x14ac:dyDescent="0.25">
      <c r="A932" s="8">
        <f t="shared" si="54"/>
        <v>3</v>
      </c>
      <c r="B932" s="6">
        <v>45582</v>
      </c>
      <c r="C932" s="7" t="s">
        <v>114</v>
      </c>
      <c r="D932" s="7">
        <v>24</v>
      </c>
      <c r="E932" s="8">
        <f>DAY(TableAopCalendar[[#This Row],[Date]])</f>
        <v>17</v>
      </c>
      <c r="F932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32" s="8" t="str">
        <f t="shared" si="55"/>
        <v>Week 3</v>
      </c>
      <c r="H932" s="8" t="str">
        <f t="shared" si="56"/>
        <v>October 24 Week 3</v>
      </c>
      <c r="I932" s="8" t="str">
        <f>CONCATENATE(UPPER(TableAopCalendar[[#This Row],[Month]])," ",TableAopCalendar[[#This Row],[Year]])</f>
        <v>OCTOBER 24</v>
      </c>
      <c r="J932" s="8" t="s">
        <v>274</v>
      </c>
      <c r="K932" s="8" t="str">
        <f>CONCATENATE(TableAopCalendar[[#This Row],[Month for Plan]]," ",TableAopCalendar[[#This Row],[Plan]])</f>
        <v>OCTOBER 24 PLANNED</v>
      </c>
    </row>
    <row r="933" spans="1:11" x14ac:dyDescent="0.25">
      <c r="A933" s="8">
        <f t="shared" si="54"/>
        <v>4</v>
      </c>
      <c r="B933" s="6">
        <v>45583</v>
      </c>
      <c r="C933" s="7" t="s">
        <v>114</v>
      </c>
      <c r="D933" s="7">
        <v>24</v>
      </c>
      <c r="E933" s="8">
        <f>DAY(TableAopCalendar[[#This Row],[Date]])</f>
        <v>18</v>
      </c>
      <c r="F933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33" s="8" t="str">
        <f t="shared" si="55"/>
        <v>Week 3</v>
      </c>
      <c r="H933" s="8" t="str">
        <f t="shared" si="56"/>
        <v>October 24 Week 3</v>
      </c>
      <c r="I933" s="8" t="str">
        <f>CONCATENATE(UPPER(TableAopCalendar[[#This Row],[Month]])," ",TableAopCalendar[[#This Row],[Year]])</f>
        <v>OCTOBER 24</v>
      </c>
      <c r="J933" s="8" t="s">
        <v>274</v>
      </c>
      <c r="K933" s="8" t="str">
        <f>CONCATENATE(TableAopCalendar[[#This Row],[Month for Plan]]," ",TableAopCalendar[[#This Row],[Plan]])</f>
        <v>OCTOBER 24 PLANNED</v>
      </c>
    </row>
    <row r="934" spans="1:11" x14ac:dyDescent="0.25">
      <c r="A934" s="8">
        <f t="shared" si="54"/>
        <v>5</v>
      </c>
      <c r="B934" s="6">
        <v>45584</v>
      </c>
      <c r="C934" s="7" t="s">
        <v>114</v>
      </c>
      <c r="D934" s="7">
        <v>24</v>
      </c>
      <c r="E934" s="8">
        <f>DAY(TableAopCalendar[[#This Row],[Date]])</f>
        <v>19</v>
      </c>
      <c r="F934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34" s="8" t="str">
        <f t="shared" si="55"/>
        <v>Week 3</v>
      </c>
      <c r="H934" s="8" t="str">
        <f t="shared" si="56"/>
        <v>October 24 Week 3</v>
      </c>
      <c r="I934" s="8" t="str">
        <f>CONCATENATE(UPPER(TableAopCalendar[[#This Row],[Month]])," ",TableAopCalendar[[#This Row],[Year]])</f>
        <v>OCTOBER 24</v>
      </c>
      <c r="J934" s="8" t="s">
        <v>274</v>
      </c>
      <c r="K934" s="8" t="str">
        <f>CONCATENATE(TableAopCalendar[[#This Row],[Month for Plan]]," ",TableAopCalendar[[#This Row],[Plan]])</f>
        <v>OCTOBER 24 PLANNED</v>
      </c>
    </row>
    <row r="935" spans="1:11" x14ac:dyDescent="0.25">
      <c r="A935" s="8">
        <f t="shared" si="54"/>
        <v>6</v>
      </c>
      <c r="B935" s="6">
        <v>45585</v>
      </c>
      <c r="C935" s="7" t="s">
        <v>114</v>
      </c>
      <c r="D935" s="7">
        <v>24</v>
      </c>
      <c r="E935" s="8">
        <f>DAY(TableAopCalendar[[#This Row],[Date]])</f>
        <v>20</v>
      </c>
      <c r="F935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35" s="8" t="str">
        <f t="shared" si="55"/>
        <v>Week 3</v>
      </c>
      <c r="H935" s="8" t="str">
        <f t="shared" si="56"/>
        <v>October 24 Week 3</v>
      </c>
      <c r="I935" s="8" t="str">
        <f>CONCATENATE(UPPER(TableAopCalendar[[#This Row],[Month]])," ",TableAopCalendar[[#This Row],[Year]])</f>
        <v>OCTOBER 24</v>
      </c>
      <c r="J935" s="8" t="s">
        <v>274</v>
      </c>
      <c r="K935" s="8" t="str">
        <f>CONCATENATE(TableAopCalendar[[#This Row],[Month for Plan]]," ",TableAopCalendar[[#This Row],[Plan]])</f>
        <v>OCTOBER 24 PLANNED</v>
      </c>
    </row>
    <row r="936" spans="1:11" x14ac:dyDescent="0.25">
      <c r="A936" s="8">
        <f t="shared" si="54"/>
        <v>7</v>
      </c>
      <c r="B936" s="6">
        <v>45586</v>
      </c>
      <c r="C936" s="7" t="s">
        <v>114</v>
      </c>
      <c r="D936" s="7">
        <v>24</v>
      </c>
      <c r="E936" s="8">
        <f>DAY(TableAopCalendar[[#This Row],[Date]])</f>
        <v>21</v>
      </c>
      <c r="F936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36" s="8" t="str">
        <f t="shared" si="55"/>
        <v>Week 3</v>
      </c>
      <c r="H936" s="8" t="str">
        <f t="shared" si="56"/>
        <v>October 24 Week 3</v>
      </c>
      <c r="I936" s="8" t="str">
        <f>CONCATENATE(UPPER(TableAopCalendar[[#This Row],[Month]])," ",TableAopCalendar[[#This Row],[Year]])</f>
        <v>OCTOBER 24</v>
      </c>
      <c r="J936" s="8" t="s">
        <v>274</v>
      </c>
      <c r="K936" s="8" t="str">
        <f>CONCATENATE(TableAopCalendar[[#This Row],[Month for Plan]]," ",TableAopCalendar[[#This Row],[Plan]])</f>
        <v>OCTOBER 24 PLANNED</v>
      </c>
    </row>
    <row r="937" spans="1:11" x14ac:dyDescent="0.25">
      <c r="A937" s="8">
        <f t="shared" si="54"/>
        <v>1</v>
      </c>
      <c r="B937" s="6">
        <v>45587</v>
      </c>
      <c r="C937" s="7" t="s">
        <v>114</v>
      </c>
      <c r="D937" s="7">
        <v>24</v>
      </c>
      <c r="E937" s="8">
        <f>DAY(TableAopCalendar[[#This Row],[Date]])</f>
        <v>22</v>
      </c>
      <c r="F937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37" s="8" t="str">
        <f t="shared" si="55"/>
        <v>Week 4</v>
      </c>
      <c r="H937" s="8" t="str">
        <f t="shared" si="56"/>
        <v>October 24 Week 4</v>
      </c>
      <c r="I937" s="8" t="str">
        <f>CONCATENATE(UPPER(TableAopCalendar[[#This Row],[Month]])," ",TableAopCalendar[[#This Row],[Year]])</f>
        <v>OCTOBER 24</v>
      </c>
      <c r="J937" s="8" t="s">
        <v>274</v>
      </c>
      <c r="K937" s="8" t="str">
        <f>CONCATENATE(TableAopCalendar[[#This Row],[Month for Plan]]," ",TableAopCalendar[[#This Row],[Plan]])</f>
        <v>OCTOBER 24 PLANNED</v>
      </c>
    </row>
    <row r="938" spans="1:11" x14ac:dyDescent="0.25">
      <c r="A938" s="8">
        <f t="shared" si="54"/>
        <v>2</v>
      </c>
      <c r="B938" s="6">
        <v>45588</v>
      </c>
      <c r="C938" s="7" t="s">
        <v>114</v>
      </c>
      <c r="D938" s="7">
        <v>24</v>
      </c>
      <c r="E938" s="8">
        <f>DAY(TableAopCalendar[[#This Row],[Date]])</f>
        <v>23</v>
      </c>
      <c r="F938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38" s="8" t="str">
        <f t="shared" si="55"/>
        <v>Week 4</v>
      </c>
      <c r="H938" s="8" t="str">
        <f t="shared" si="56"/>
        <v>October 24 Week 4</v>
      </c>
      <c r="I938" s="8" t="str">
        <f>CONCATENATE(UPPER(TableAopCalendar[[#This Row],[Month]])," ",TableAopCalendar[[#This Row],[Year]])</f>
        <v>OCTOBER 24</v>
      </c>
      <c r="J938" s="8" t="s">
        <v>274</v>
      </c>
      <c r="K938" s="8" t="str">
        <f>CONCATENATE(TableAopCalendar[[#This Row],[Month for Plan]]," ",TableAopCalendar[[#This Row],[Plan]])</f>
        <v>OCTOBER 24 PLANNED</v>
      </c>
    </row>
    <row r="939" spans="1:11" x14ac:dyDescent="0.25">
      <c r="A939" s="8">
        <f t="shared" si="54"/>
        <v>3</v>
      </c>
      <c r="B939" s="6">
        <v>45589</v>
      </c>
      <c r="C939" s="7" t="s">
        <v>114</v>
      </c>
      <c r="D939" s="7">
        <v>24</v>
      </c>
      <c r="E939" s="8">
        <f>DAY(TableAopCalendar[[#This Row],[Date]])</f>
        <v>24</v>
      </c>
      <c r="F939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39" s="8" t="str">
        <f t="shared" si="55"/>
        <v>Week 4</v>
      </c>
      <c r="H939" s="8" t="str">
        <f t="shared" si="56"/>
        <v>October 24 Week 4</v>
      </c>
      <c r="I939" s="8" t="str">
        <f>CONCATENATE(UPPER(TableAopCalendar[[#This Row],[Month]])," ",TableAopCalendar[[#This Row],[Year]])</f>
        <v>OCTOBER 24</v>
      </c>
      <c r="J939" s="8" t="s">
        <v>274</v>
      </c>
      <c r="K939" s="8" t="str">
        <f>CONCATENATE(TableAopCalendar[[#This Row],[Month for Plan]]," ",TableAopCalendar[[#This Row],[Plan]])</f>
        <v>OCTOBER 24 PLANNED</v>
      </c>
    </row>
    <row r="940" spans="1:11" x14ac:dyDescent="0.25">
      <c r="A940" s="8">
        <f t="shared" si="54"/>
        <v>4</v>
      </c>
      <c r="B940" s="6">
        <v>45590</v>
      </c>
      <c r="C940" s="7" t="s">
        <v>114</v>
      </c>
      <c r="D940" s="7">
        <v>24</v>
      </c>
      <c r="E940" s="8">
        <f>DAY(TableAopCalendar[[#This Row],[Date]])</f>
        <v>25</v>
      </c>
      <c r="F940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40" s="8" t="str">
        <f t="shared" si="55"/>
        <v>Week 4</v>
      </c>
      <c r="H940" s="8" t="str">
        <f t="shared" si="56"/>
        <v>October 24 Week 4</v>
      </c>
      <c r="I940" s="8" t="str">
        <f>CONCATENATE(UPPER(TableAopCalendar[[#This Row],[Month]])," ",TableAopCalendar[[#This Row],[Year]])</f>
        <v>OCTOBER 24</v>
      </c>
      <c r="J940" s="8" t="s">
        <v>274</v>
      </c>
      <c r="K940" s="8" t="str">
        <f>CONCATENATE(TableAopCalendar[[#This Row],[Month for Plan]]," ",TableAopCalendar[[#This Row],[Plan]])</f>
        <v>OCTOBER 24 PLANNED</v>
      </c>
    </row>
    <row r="941" spans="1:11" x14ac:dyDescent="0.25">
      <c r="A941" s="8">
        <f t="shared" si="54"/>
        <v>5</v>
      </c>
      <c r="B941" s="6">
        <v>45591</v>
      </c>
      <c r="C941" s="7" t="s">
        <v>114</v>
      </c>
      <c r="D941" s="7">
        <v>24</v>
      </c>
      <c r="E941" s="8">
        <f>DAY(TableAopCalendar[[#This Row],[Date]])</f>
        <v>26</v>
      </c>
      <c r="F941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41" s="8" t="str">
        <f t="shared" si="55"/>
        <v>Week 4</v>
      </c>
      <c r="H941" s="8" t="str">
        <f t="shared" si="56"/>
        <v>October 24 Week 4</v>
      </c>
      <c r="I941" s="8" t="str">
        <f>CONCATENATE(UPPER(TableAopCalendar[[#This Row],[Month]])," ",TableAopCalendar[[#This Row],[Year]])</f>
        <v>OCTOBER 24</v>
      </c>
      <c r="J941" s="8" t="s">
        <v>274</v>
      </c>
      <c r="K941" s="8" t="str">
        <f>CONCATENATE(TableAopCalendar[[#This Row],[Month for Plan]]," ",TableAopCalendar[[#This Row],[Plan]])</f>
        <v>OCTOBER 24 PLANNED</v>
      </c>
    </row>
    <row r="942" spans="1:11" x14ac:dyDescent="0.25">
      <c r="A942" s="8">
        <f t="shared" si="54"/>
        <v>6</v>
      </c>
      <c r="B942" s="6">
        <v>45592</v>
      </c>
      <c r="C942" s="7" t="s">
        <v>114</v>
      </c>
      <c r="D942" s="7">
        <v>24</v>
      </c>
      <c r="E942" s="8">
        <f>DAY(TableAopCalendar[[#This Row],[Date]])</f>
        <v>27</v>
      </c>
      <c r="F942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42" s="8" t="str">
        <f t="shared" si="55"/>
        <v>Week 4</v>
      </c>
      <c r="H942" s="8" t="str">
        <f t="shared" si="56"/>
        <v>October 24 Week 4</v>
      </c>
      <c r="I942" s="8" t="str">
        <f>CONCATENATE(UPPER(TableAopCalendar[[#This Row],[Month]])," ",TableAopCalendar[[#This Row],[Year]])</f>
        <v>OCTOBER 24</v>
      </c>
      <c r="J942" s="8" t="s">
        <v>274</v>
      </c>
      <c r="K942" s="8" t="str">
        <f>CONCATENATE(TableAopCalendar[[#This Row],[Month for Plan]]," ",TableAopCalendar[[#This Row],[Plan]])</f>
        <v>OCTOBER 24 PLANNED</v>
      </c>
    </row>
    <row r="943" spans="1:11" x14ac:dyDescent="0.25">
      <c r="A943" s="8">
        <f t="shared" si="54"/>
        <v>7</v>
      </c>
      <c r="B943" s="6">
        <v>45593</v>
      </c>
      <c r="C943" s="7" t="s">
        <v>114</v>
      </c>
      <c r="D943" s="7">
        <v>24</v>
      </c>
      <c r="E943" s="8">
        <f>DAY(TableAopCalendar[[#This Row],[Date]])</f>
        <v>28</v>
      </c>
      <c r="F943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43" s="8" t="str">
        <f t="shared" si="55"/>
        <v>Week 4</v>
      </c>
      <c r="H943" s="8" t="str">
        <f t="shared" si="56"/>
        <v>October 24 Week 4</v>
      </c>
      <c r="I943" s="8" t="str">
        <f>CONCATENATE(UPPER(TableAopCalendar[[#This Row],[Month]])," ",TableAopCalendar[[#This Row],[Year]])</f>
        <v>OCTOBER 24</v>
      </c>
      <c r="J943" s="8" t="s">
        <v>274</v>
      </c>
      <c r="K943" s="8" t="str">
        <f>CONCATENATE(TableAopCalendar[[#This Row],[Month for Plan]]," ",TableAopCalendar[[#This Row],[Plan]])</f>
        <v>OCTOBER 24 PLANNED</v>
      </c>
    </row>
    <row r="944" spans="1:11" x14ac:dyDescent="0.25">
      <c r="A944" s="8">
        <f t="shared" si="54"/>
        <v>1</v>
      </c>
      <c r="B944" s="6">
        <v>45594</v>
      </c>
      <c r="C944" s="7" t="s">
        <v>114</v>
      </c>
      <c r="D944" s="7">
        <v>24</v>
      </c>
      <c r="E944" s="8">
        <f>DAY(TableAopCalendar[[#This Row],[Date]])</f>
        <v>29</v>
      </c>
      <c r="F944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44" s="8" t="str">
        <f t="shared" si="55"/>
        <v>Week 5</v>
      </c>
      <c r="H944" s="8" t="str">
        <f t="shared" si="56"/>
        <v>October 24 Week 5</v>
      </c>
      <c r="I944" s="8" t="str">
        <f>CONCATENATE(UPPER(TableAopCalendar[[#This Row],[Month]])," ",TableAopCalendar[[#This Row],[Year]])</f>
        <v>OCTOBER 24</v>
      </c>
      <c r="J944" s="8" t="s">
        <v>274</v>
      </c>
      <c r="K944" s="8" t="str">
        <f>CONCATENATE(TableAopCalendar[[#This Row],[Month for Plan]]," ",TableAopCalendar[[#This Row],[Plan]])</f>
        <v>OCTOBER 24 PLANNED</v>
      </c>
    </row>
    <row r="945" spans="1:11" x14ac:dyDescent="0.25">
      <c r="A945" s="8">
        <f t="shared" si="54"/>
        <v>2</v>
      </c>
      <c r="B945" s="6">
        <v>45595</v>
      </c>
      <c r="C945" s="7" t="s">
        <v>114</v>
      </c>
      <c r="D945" s="7">
        <v>24</v>
      </c>
      <c r="E945" s="8">
        <f>DAY(TableAopCalendar[[#This Row],[Date]])</f>
        <v>30</v>
      </c>
      <c r="F945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45" s="8" t="str">
        <f t="shared" si="55"/>
        <v>Week 5</v>
      </c>
      <c r="H945" s="8" t="str">
        <f t="shared" si="56"/>
        <v>October 24 Week 5</v>
      </c>
      <c r="I945" s="8" t="str">
        <f>CONCATENATE(UPPER(TableAopCalendar[[#This Row],[Month]])," ",TableAopCalendar[[#This Row],[Year]])</f>
        <v>OCTOBER 24</v>
      </c>
      <c r="J945" s="8" t="s">
        <v>274</v>
      </c>
      <c r="K945" s="8" t="str">
        <f>CONCATENATE(TableAopCalendar[[#This Row],[Month for Plan]]," ",TableAopCalendar[[#This Row],[Plan]])</f>
        <v>OCTOBER 24 PLANNED</v>
      </c>
    </row>
    <row r="946" spans="1:11" x14ac:dyDescent="0.25">
      <c r="A946" s="8">
        <f t="shared" si="54"/>
        <v>3</v>
      </c>
      <c r="B946" s="6">
        <v>45596</v>
      </c>
      <c r="C946" s="7" t="s">
        <v>114</v>
      </c>
      <c r="D946" s="7">
        <v>24</v>
      </c>
      <c r="E946" s="8">
        <f>DAY(TableAopCalendar[[#This Row],[Date]])</f>
        <v>31</v>
      </c>
      <c r="F946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46" s="8" t="str">
        <f t="shared" si="55"/>
        <v>Week 5</v>
      </c>
      <c r="H946" s="8" t="str">
        <f t="shared" si="56"/>
        <v>October 24 Week 5</v>
      </c>
      <c r="I946" s="8" t="str">
        <f>CONCATENATE(UPPER(TableAopCalendar[[#This Row],[Month]])," ",TableAopCalendar[[#This Row],[Year]])</f>
        <v>OCTOBER 24</v>
      </c>
      <c r="J946" s="8" t="s">
        <v>274</v>
      </c>
      <c r="K946" s="8" t="str">
        <f>CONCATENATE(TableAopCalendar[[#This Row],[Month for Plan]]," ",TableAopCalendar[[#This Row],[Plan]])</f>
        <v>OCTOBER 24 PLANNED</v>
      </c>
    </row>
    <row r="947" spans="1:11" x14ac:dyDescent="0.25">
      <c r="A947" s="8">
        <f t="shared" si="54"/>
        <v>1</v>
      </c>
      <c r="B947" s="6">
        <v>45597</v>
      </c>
      <c r="C947" s="7" t="s">
        <v>117</v>
      </c>
      <c r="D947" s="7">
        <v>24</v>
      </c>
      <c r="E947" s="8">
        <f>DAY(TableAopCalendar[[#This Row],[Date]])</f>
        <v>1</v>
      </c>
      <c r="F947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47" s="8" t="str">
        <f t="shared" si="55"/>
        <v>Week 1</v>
      </c>
      <c r="H947" s="8" t="str">
        <f t="shared" si="56"/>
        <v>November 24 Week 1</v>
      </c>
      <c r="I947" s="8" t="str">
        <f>CONCATENATE(UPPER(TableAopCalendar[[#This Row],[Month]])," ",TableAopCalendar[[#This Row],[Year]])</f>
        <v>NOVEMBER 24</v>
      </c>
      <c r="J947" s="8" t="s">
        <v>274</v>
      </c>
      <c r="K947" s="8" t="str">
        <f>CONCATENATE(TableAopCalendar[[#This Row],[Month for Plan]]," ",TableAopCalendar[[#This Row],[Plan]])</f>
        <v>NOVEMBER 24 PLANNED</v>
      </c>
    </row>
    <row r="948" spans="1:11" x14ac:dyDescent="0.25">
      <c r="A948" s="8">
        <f t="shared" si="54"/>
        <v>2</v>
      </c>
      <c r="B948" s="6">
        <v>45598</v>
      </c>
      <c r="C948" s="7" t="s">
        <v>117</v>
      </c>
      <c r="D948" s="7">
        <v>24</v>
      </c>
      <c r="E948" s="8">
        <f>DAY(TableAopCalendar[[#This Row],[Date]])</f>
        <v>2</v>
      </c>
      <c r="F948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48" s="8" t="str">
        <f t="shared" si="55"/>
        <v>Week 1</v>
      </c>
      <c r="H948" s="8" t="str">
        <f t="shared" si="56"/>
        <v>November 24 Week 1</v>
      </c>
      <c r="I948" s="8" t="str">
        <f>CONCATENATE(UPPER(TableAopCalendar[[#This Row],[Month]])," ",TableAopCalendar[[#This Row],[Year]])</f>
        <v>NOVEMBER 24</v>
      </c>
      <c r="J948" s="8" t="s">
        <v>274</v>
      </c>
      <c r="K948" s="8" t="str">
        <f>CONCATENATE(TableAopCalendar[[#This Row],[Month for Plan]]," ",TableAopCalendar[[#This Row],[Plan]])</f>
        <v>NOVEMBER 24 PLANNED</v>
      </c>
    </row>
    <row r="949" spans="1:11" x14ac:dyDescent="0.25">
      <c r="A949" s="8">
        <f t="shared" ref="A949:A965" si="57">IF(G949=G948,A948+1,1)</f>
        <v>3</v>
      </c>
      <c r="B949" s="6">
        <v>45599</v>
      </c>
      <c r="C949" s="7" t="s">
        <v>117</v>
      </c>
      <c r="D949" s="7">
        <v>24</v>
      </c>
      <c r="E949" s="8">
        <f>DAY(TableAopCalendar[[#This Row],[Date]])</f>
        <v>3</v>
      </c>
      <c r="F949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49" s="8" t="str">
        <f t="shared" ref="G949:G965" si="58">"Week"&amp;" "&amp;F949</f>
        <v>Week 1</v>
      </c>
      <c r="H949" s="8" t="str">
        <f t="shared" ref="H949:H965" si="59">CONCATENATE(C949," ",D949," ",G949)</f>
        <v>November 24 Week 1</v>
      </c>
      <c r="I949" s="8" t="str">
        <f>CONCATENATE(UPPER(TableAopCalendar[[#This Row],[Month]])," ",TableAopCalendar[[#This Row],[Year]])</f>
        <v>NOVEMBER 24</v>
      </c>
      <c r="J949" s="8" t="s">
        <v>274</v>
      </c>
      <c r="K949" s="8" t="str">
        <f>CONCATENATE(TableAopCalendar[[#This Row],[Month for Plan]]," ",TableAopCalendar[[#This Row],[Plan]])</f>
        <v>NOVEMBER 24 PLANNED</v>
      </c>
    </row>
    <row r="950" spans="1:11" x14ac:dyDescent="0.25">
      <c r="A950" s="8">
        <f t="shared" si="57"/>
        <v>4</v>
      </c>
      <c r="B950" s="6">
        <v>45600</v>
      </c>
      <c r="C950" s="7" t="s">
        <v>117</v>
      </c>
      <c r="D950" s="7">
        <v>24</v>
      </c>
      <c r="E950" s="8">
        <f>DAY(TableAopCalendar[[#This Row],[Date]])</f>
        <v>4</v>
      </c>
      <c r="F950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50" s="8" t="str">
        <f t="shared" si="58"/>
        <v>Week 1</v>
      </c>
      <c r="H950" s="8" t="str">
        <f t="shared" si="59"/>
        <v>November 24 Week 1</v>
      </c>
      <c r="I950" s="8" t="str">
        <f>CONCATENATE(UPPER(TableAopCalendar[[#This Row],[Month]])," ",TableAopCalendar[[#This Row],[Year]])</f>
        <v>NOVEMBER 24</v>
      </c>
      <c r="J950" s="8" t="s">
        <v>274</v>
      </c>
      <c r="K950" s="8" t="str">
        <f>CONCATENATE(TableAopCalendar[[#This Row],[Month for Plan]]," ",TableAopCalendar[[#This Row],[Plan]])</f>
        <v>NOVEMBER 24 PLANNED</v>
      </c>
    </row>
    <row r="951" spans="1:11" x14ac:dyDescent="0.25">
      <c r="A951" s="8">
        <f t="shared" si="57"/>
        <v>5</v>
      </c>
      <c r="B951" s="6">
        <v>45601</v>
      </c>
      <c r="C951" s="7" t="s">
        <v>117</v>
      </c>
      <c r="D951" s="7">
        <v>24</v>
      </c>
      <c r="E951" s="8">
        <f>DAY(TableAopCalendar[[#This Row],[Date]])</f>
        <v>5</v>
      </c>
      <c r="F951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51" s="8" t="str">
        <f t="shared" si="58"/>
        <v>Week 1</v>
      </c>
      <c r="H951" s="8" t="str">
        <f t="shared" si="59"/>
        <v>November 24 Week 1</v>
      </c>
      <c r="I951" s="8" t="str">
        <f>CONCATENATE(UPPER(TableAopCalendar[[#This Row],[Month]])," ",TableAopCalendar[[#This Row],[Year]])</f>
        <v>NOVEMBER 24</v>
      </c>
      <c r="J951" s="8" t="s">
        <v>274</v>
      </c>
      <c r="K951" s="8" t="str">
        <f>CONCATENATE(TableAopCalendar[[#This Row],[Month for Plan]]," ",TableAopCalendar[[#This Row],[Plan]])</f>
        <v>NOVEMBER 24 PLANNED</v>
      </c>
    </row>
    <row r="952" spans="1:11" x14ac:dyDescent="0.25">
      <c r="A952" s="8">
        <f t="shared" si="57"/>
        <v>6</v>
      </c>
      <c r="B952" s="6">
        <v>45602</v>
      </c>
      <c r="C952" s="7" t="s">
        <v>117</v>
      </c>
      <c r="D952" s="7">
        <v>24</v>
      </c>
      <c r="E952" s="8">
        <f>DAY(TableAopCalendar[[#This Row],[Date]])</f>
        <v>6</v>
      </c>
      <c r="F952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52" s="8" t="str">
        <f t="shared" si="58"/>
        <v>Week 1</v>
      </c>
      <c r="H952" s="8" t="str">
        <f t="shared" si="59"/>
        <v>November 24 Week 1</v>
      </c>
      <c r="I952" s="8" t="str">
        <f>CONCATENATE(UPPER(TableAopCalendar[[#This Row],[Month]])," ",TableAopCalendar[[#This Row],[Year]])</f>
        <v>NOVEMBER 24</v>
      </c>
      <c r="J952" s="8" t="s">
        <v>274</v>
      </c>
      <c r="K952" s="8" t="str">
        <f>CONCATENATE(TableAopCalendar[[#This Row],[Month for Plan]]," ",TableAopCalendar[[#This Row],[Plan]])</f>
        <v>NOVEMBER 24 PLANNED</v>
      </c>
    </row>
    <row r="953" spans="1:11" x14ac:dyDescent="0.25">
      <c r="A953" s="8">
        <f t="shared" si="57"/>
        <v>7</v>
      </c>
      <c r="B953" s="6">
        <v>45603</v>
      </c>
      <c r="C953" s="7" t="s">
        <v>117</v>
      </c>
      <c r="D953" s="7">
        <v>24</v>
      </c>
      <c r="E953" s="8">
        <f>DAY(TableAopCalendar[[#This Row],[Date]])</f>
        <v>7</v>
      </c>
      <c r="F953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53" s="8" t="str">
        <f t="shared" si="58"/>
        <v>Week 1</v>
      </c>
      <c r="H953" s="8" t="str">
        <f t="shared" si="59"/>
        <v>November 24 Week 1</v>
      </c>
      <c r="I953" s="8" t="str">
        <f>CONCATENATE(UPPER(TableAopCalendar[[#This Row],[Month]])," ",TableAopCalendar[[#This Row],[Year]])</f>
        <v>NOVEMBER 24</v>
      </c>
      <c r="J953" s="8" t="s">
        <v>274</v>
      </c>
      <c r="K953" s="8" t="str">
        <f>CONCATENATE(TableAopCalendar[[#This Row],[Month for Plan]]," ",TableAopCalendar[[#This Row],[Plan]])</f>
        <v>NOVEMBER 24 PLANNED</v>
      </c>
    </row>
    <row r="954" spans="1:11" x14ac:dyDescent="0.25">
      <c r="A954" s="8">
        <f t="shared" si="57"/>
        <v>1</v>
      </c>
      <c r="B954" s="6">
        <v>45604</v>
      </c>
      <c r="C954" s="7" t="s">
        <v>117</v>
      </c>
      <c r="D954" s="7">
        <v>24</v>
      </c>
      <c r="E954" s="8">
        <f>DAY(TableAopCalendar[[#This Row],[Date]])</f>
        <v>8</v>
      </c>
      <c r="F954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54" s="8" t="str">
        <f t="shared" si="58"/>
        <v>Week 2</v>
      </c>
      <c r="H954" s="8" t="str">
        <f t="shared" si="59"/>
        <v>November 24 Week 2</v>
      </c>
      <c r="I954" s="8" t="str">
        <f>CONCATENATE(UPPER(TableAopCalendar[[#This Row],[Month]])," ",TableAopCalendar[[#This Row],[Year]])</f>
        <v>NOVEMBER 24</v>
      </c>
      <c r="J954" s="8" t="s">
        <v>274</v>
      </c>
      <c r="K954" s="8" t="str">
        <f>CONCATENATE(TableAopCalendar[[#This Row],[Month for Plan]]," ",TableAopCalendar[[#This Row],[Plan]])</f>
        <v>NOVEMBER 24 PLANNED</v>
      </c>
    </row>
    <row r="955" spans="1:11" x14ac:dyDescent="0.25">
      <c r="A955" s="8">
        <f t="shared" si="57"/>
        <v>2</v>
      </c>
      <c r="B955" s="6">
        <v>45605</v>
      </c>
      <c r="C955" s="7" t="s">
        <v>117</v>
      </c>
      <c r="D955" s="7">
        <v>24</v>
      </c>
      <c r="E955" s="8">
        <f>DAY(TableAopCalendar[[#This Row],[Date]])</f>
        <v>9</v>
      </c>
      <c r="F955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55" s="8" t="str">
        <f t="shared" si="58"/>
        <v>Week 2</v>
      </c>
      <c r="H955" s="8" t="str">
        <f t="shared" si="59"/>
        <v>November 24 Week 2</v>
      </c>
      <c r="I955" s="8" t="str">
        <f>CONCATENATE(UPPER(TableAopCalendar[[#This Row],[Month]])," ",TableAopCalendar[[#This Row],[Year]])</f>
        <v>NOVEMBER 24</v>
      </c>
      <c r="J955" s="8" t="s">
        <v>274</v>
      </c>
      <c r="K955" s="8" t="str">
        <f>CONCATENATE(TableAopCalendar[[#This Row],[Month for Plan]]," ",TableAopCalendar[[#This Row],[Plan]])</f>
        <v>NOVEMBER 24 PLANNED</v>
      </c>
    </row>
    <row r="956" spans="1:11" x14ac:dyDescent="0.25">
      <c r="A956" s="8">
        <f t="shared" si="57"/>
        <v>3</v>
      </c>
      <c r="B956" s="6">
        <v>45606</v>
      </c>
      <c r="C956" s="7" t="s">
        <v>117</v>
      </c>
      <c r="D956" s="7">
        <v>24</v>
      </c>
      <c r="E956" s="8">
        <f>DAY(TableAopCalendar[[#This Row],[Date]])</f>
        <v>10</v>
      </c>
      <c r="F956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56" s="8" t="str">
        <f t="shared" si="58"/>
        <v>Week 2</v>
      </c>
      <c r="H956" s="8" t="str">
        <f t="shared" si="59"/>
        <v>November 24 Week 2</v>
      </c>
      <c r="I956" s="8" t="str">
        <f>CONCATENATE(UPPER(TableAopCalendar[[#This Row],[Month]])," ",TableAopCalendar[[#This Row],[Year]])</f>
        <v>NOVEMBER 24</v>
      </c>
      <c r="J956" s="8" t="s">
        <v>274</v>
      </c>
      <c r="K956" s="8" t="str">
        <f>CONCATENATE(TableAopCalendar[[#This Row],[Month for Plan]]," ",TableAopCalendar[[#This Row],[Plan]])</f>
        <v>NOVEMBER 24 PLANNED</v>
      </c>
    </row>
    <row r="957" spans="1:11" x14ac:dyDescent="0.25">
      <c r="A957" s="8">
        <f t="shared" si="57"/>
        <v>4</v>
      </c>
      <c r="B957" s="6">
        <v>45607</v>
      </c>
      <c r="C957" s="7" t="s">
        <v>117</v>
      </c>
      <c r="D957" s="7">
        <v>24</v>
      </c>
      <c r="E957" s="8">
        <f>DAY(TableAopCalendar[[#This Row],[Date]])</f>
        <v>11</v>
      </c>
      <c r="F957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57" s="8" t="str">
        <f t="shared" si="58"/>
        <v>Week 2</v>
      </c>
      <c r="H957" s="8" t="str">
        <f t="shared" si="59"/>
        <v>November 24 Week 2</v>
      </c>
      <c r="I957" s="8" t="str">
        <f>CONCATENATE(UPPER(TableAopCalendar[[#This Row],[Month]])," ",TableAopCalendar[[#This Row],[Year]])</f>
        <v>NOVEMBER 24</v>
      </c>
      <c r="J957" s="8" t="s">
        <v>274</v>
      </c>
      <c r="K957" s="8" t="str">
        <f>CONCATENATE(TableAopCalendar[[#This Row],[Month for Plan]]," ",TableAopCalendar[[#This Row],[Plan]])</f>
        <v>NOVEMBER 24 PLANNED</v>
      </c>
    </row>
    <row r="958" spans="1:11" x14ac:dyDescent="0.25">
      <c r="A958" s="8">
        <f t="shared" si="57"/>
        <v>5</v>
      </c>
      <c r="B958" s="6">
        <v>45608</v>
      </c>
      <c r="C958" s="7" t="s">
        <v>117</v>
      </c>
      <c r="D958" s="7">
        <v>24</v>
      </c>
      <c r="E958" s="8">
        <f>DAY(TableAopCalendar[[#This Row],[Date]])</f>
        <v>12</v>
      </c>
      <c r="F958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58" s="8" t="str">
        <f t="shared" si="58"/>
        <v>Week 2</v>
      </c>
      <c r="H958" s="8" t="str">
        <f t="shared" si="59"/>
        <v>November 24 Week 2</v>
      </c>
      <c r="I958" s="8" t="str">
        <f>CONCATENATE(UPPER(TableAopCalendar[[#This Row],[Month]])," ",TableAopCalendar[[#This Row],[Year]])</f>
        <v>NOVEMBER 24</v>
      </c>
      <c r="J958" s="8" t="s">
        <v>274</v>
      </c>
      <c r="K958" s="8" t="str">
        <f>CONCATENATE(TableAopCalendar[[#This Row],[Month for Plan]]," ",TableAopCalendar[[#This Row],[Plan]])</f>
        <v>NOVEMBER 24 PLANNED</v>
      </c>
    </row>
    <row r="959" spans="1:11" x14ac:dyDescent="0.25">
      <c r="A959" s="8">
        <f t="shared" si="57"/>
        <v>6</v>
      </c>
      <c r="B959" s="6">
        <v>45609</v>
      </c>
      <c r="C959" s="7" t="s">
        <v>117</v>
      </c>
      <c r="D959" s="7">
        <v>24</v>
      </c>
      <c r="E959" s="8">
        <f>DAY(TableAopCalendar[[#This Row],[Date]])</f>
        <v>13</v>
      </c>
      <c r="F959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59" s="8" t="str">
        <f t="shared" si="58"/>
        <v>Week 2</v>
      </c>
      <c r="H959" s="8" t="str">
        <f t="shared" si="59"/>
        <v>November 24 Week 2</v>
      </c>
      <c r="I959" s="8" t="str">
        <f>CONCATENATE(UPPER(TableAopCalendar[[#This Row],[Month]])," ",TableAopCalendar[[#This Row],[Year]])</f>
        <v>NOVEMBER 24</v>
      </c>
      <c r="J959" s="8" t="s">
        <v>274</v>
      </c>
      <c r="K959" s="8" t="str">
        <f>CONCATENATE(TableAopCalendar[[#This Row],[Month for Plan]]," ",TableAopCalendar[[#This Row],[Plan]])</f>
        <v>NOVEMBER 24 PLANNED</v>
      </c>
    </row>
    <row r="960" spans="1:11" x14ac:dyDescent="0.25">
      <c r="A960" s="8">
        <f t="shared" si="57"/>
        <v>7</v>
      </c>
      <c r="B960" s="6">
        <v>45610</v>
      </c>
      <c r="C960" s="7" t="s">
        <v>117</v>
      </c>
      <c r="D960" s="7">
        <v>24</v>
      </c>
      <c r="E960" s="8">
        <f>DAY(TableAopCalendar[[#This Row],[Date]])</f>
        <v>14</v>
      </c>
      <c r="F960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60" s="8" t="str">
        <f t="shared" si="58"/>
        <v>Week 2</v>
      </c>
      <c r="H960" s="8" t="str">
        <f t="shared" si="59"/>
        <v>November 24 Week 2</v>
      </c>
      <c r="I960" s="8" t="str">
        <f>CONCATENATE(UPPER(TableAopCalendar[[#This Row],[Month]])," ",TableAopCalendar[[#This Row],[Year]])</f>
        <v>NOVEMBER 24</v>
      </c>
      <c r="J960" s="8" t="s">
        <v>274</v>
      </c>
      <c r="K960" s="8" t="str">
        <f>CONCATENATE(TableAopCalendar[[#This Row],[Month for Plan]]," ",TableAopCalendar[[#This Row],[Plan]])</f>
        <v>NOVEMBER 24 PLANNED</v>
      </c>
    </row>
    <row r="961" spans="1:11" x14ac:dyDescent="0.25">
      <c r="A961" s="8">
        <f t="shared" si="57"/>
        <v>1</v>
      </c>
      <c r="B961" s="6">
        <v>45611</v>
      </c>
      <c r="C961" s="7" t="s">
        <v>117</v>
      </c>
      <c r="D961" s="7">
        <v>24</v>
      </c>
      <c r="E961" s="8">
        <f>DAY(TableAopCalendar[[#This Row],[Date]])</f>
        <v>15</v>
      </c>
      <c r="F961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61" s="8" t="str">
        <f t="shared" si="58"/>
        <v>Week 3</v>
      </c>
      <c r="H961" s="8" t="str">
        <f t="shared" si="59"/>
        <v>November 24 Week 3</v>
      </c>
      <c r="I961" s="8" t="str">
        <f>CONCATENATE(UPPER(TableAopCalendar[[#This Row],[Month]])," ",TableAopCalendar[[#This Row],[Year]])</f>
        <v>NOVEMBER 24</v>
      </c>
      <c r="J961" s="8" t="s">
        <v>274</v>
      </c>
      <c r="K961" s="8" t="str">
        <f>CONCATENATE(TableAopCalendar[[#This Row],[Month for Plan]]," ",TableAopCalendar[[#This Row],[Plan]])</f>
        <v>NOVEMBER 24 PLANNED</v>
      </c>
    </row>
    <row r="962" spans="1:11" x14ac:dyDescent="0.25">
      <c r="A962" s="8">
        <f t="shared" si="57"/>
        <v>2</v>
      </c>
      <c r="B962" s="6">
        <v>45612</v>
      </c>
      <c r="C962" s="7" t="s">
        <v>117</v>
      </c>
      <c r="D962" s="7">
        <v>24</v>
      </c>
      <c r="E962" s="8">
        <f>DAY(TableAopCalendar[[#This Row],[Date]])</f>
        <v>16</v>
      </c>
      <c r="F962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62" s="8" t="str">
        <f t="shared" si="58"/>
        <v>Week 3</v>
      </c>
      <c r="H962" s="8" t="str">
        <f t="shared" si="59"/>
        <v>November 24 Week 3</v>
      </c>
      <c r="I962" s="8" t="str">
        <f>CONCATENATE(UPPER(TableAopCalendar[[#This Row],[Month]])," ",TableAopCalendar[[#This Row],[Year]])</f>
        <v>NOVEMBER 24</v>
      </c>
      <c r="J962" s="8" t="s">
        <v>274</v>
      </c>
      <c r="K962" s="8" t="str">
        <f>CONCATENATE(TableAopCalendar[[#This Row],[Month for Plan]]," ",TableAopCalendar[[#This Row],[Plan]])</f>
        <v>NOVEMBER 24 PLANNED</v>
      </c>
    </row>
    <row r="963" spans="1:11" x14ac:dyDescent="0.25">
      <c r="A963" s="8">
        <f t="shared" si="57"/>
        <v>3</v>
      </c>
      <c r="B963" s="6">
        <v>45613</v>
      </c>
      <c r="C963" s="7" t="s">
        <v>117</v>
      </c>
      <c r="D963" s="7">
        <v>24</v>
      </c>
      <c r="E963" s="8">
        <f>DAY(TableAopCalendar[[#This Row],[Date]])</f>
        <v>17</v>
      </c>
      <c r="F963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63" s="8" t="str">
        <f t="shared" si="58"/>
        <v>Week 3</v>
      </c>
      <c r="H963" s="8" t="str">
        <f t="shared" si="59"/>
        <v>November 24 Week 3</v>
      </c>
      <c r="I963" s="8" t="str">
        <f>CONCATENATE(UPPER(TableAopCalendar[[#This Row],[Month]])," ",TableAopCalendar[[#This Row],[Year]])</f>
        <v>NOVEMBER 24</v>
      </c>
      <c r="J963" s="8" t="s">
        <v>274</v>
      </c>
      <c r="K963" s="8" t="str">
        <f>CONCATENATE(TableAopCalendar[[#This Row],[Month for Plan]]," ",TableAopCalendar[[#This Row],[Plan]])</f>
        <v>NOVEMBER 24 PLANNED</v>
      </c>
    </row>
    <row r="964" spans="1:11" x14ac:dyDescent="0.25">
      <c r="A964" s="8">
        <f t="shared" si="57"/>
        <v>4</v>
      </c>
      <c r="B964" s="6">
        <v>45614</v>
      </c>
      <c r="C964" s="7" t="s">
        <v>117</v>
      </c>
      <c r="D964" s="7">
        <v>24</v>
      </c>
      <c r="E964" s="8">
        <f>DAY(TableAopCalendar[[#This Row],[Date]])</f>
        <v>18</v>
      </c>
      <c r="F964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64" s="8" t="str">
        <f t="shared" si="58"/>
        <v>Week 3</v>
      </c>
      <c r="H964" s="8" t="str">
        <f t="shared" si="59"/>
        <v>November 24 Week 3</v>
      </c>
      <c r="I964" s="8" t="str">
        <f>CONCATENATE(UPPER(TableAopCalendar[[#This Row],[Month]])," ",TableAopCalendar[[#This Row],[Year]])</f>
        <v>NOVEMBER 24</v>
      </c>
      <c r="J964" s="8" t="s">
        <v>274</v>
      </c>
      <c r="K964" s="8" t="str">
        <f>CONCATENATE(TableAopCalendar[[#This Row],[Month for Plan]]," ",TableAopCalendar[[#This Row],[Plan]])</f>
        <v>NOVEMBER 24 PLANNED</v>
      </c>
    </row>
    <row r="965" spans="1:11" x14ac:dyDescent="0.25">
      <c r="A965" s="8">
        <f t="shared" si="57"/>
        <v>5</v>
      </c>
      <c r="B965" s="6">
        <v>45615</v>
      </c>
      <c r="C965" s="7" t="s">
        <v>117</v>
      </c>
      <c r="D965" s="7">
        <v>24</v>
      </c>
      <c r="E965" s="8">
        <f>DAY(TableAopCalendar[[#This Row],[Date]])</f>
        <v>19</v>
      </c>
      <c r="F965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65" s="8" t="str">
        <f t="shared" si="58"/>
        <v>Week 3</v>
      </c>
      <c r="H965" s="8" t="str">
        <f t="shared" si="59"/>
        <v>November 24 Week 3</v>
      </c>
      <c r="I965" s="8" t="str">
        <f>CONCATENATE(UPPER(TableAopCalendar[[#This Row],[Month]])," ",TableAopCalendar[[#This Row],[Year]])</f>
        <v>NOVEMBER 24</v>
      </c>
      <c r="J965" s="8" t="s">
        <v>274</v>
      </c>
      <c r="K965" s="8" t="str">
        <f>CONCATENATE(TableAopCalendar[[#This Row],[Month for Plan]]," ",TableAopCalendar[[#This Row],[Plan]])</f>
        <v>NOVEMBER 24 PLANNED</v>
      </c>
    </row>
    <row r="966" spans="1:11" x14ac:dyDescent="0.25">
      <c r="A966" s="8">
        <f t="shared" ref="A966:A1029" si="60">IF(G966=G965,A965+1,1)</f>
        <v>6</v>
      </c>
      <c r="B966" s="6">
        <v>45616</v>
      </c>
      <c r="C966" s="7" t="s">
        <v>117</v>
      </c>
      <c r="D966" s="7">
        <v>24</v>
      </c>
      <c r="E966" s="8">
        <f>DAY(TableAopCalendar[[#This Row],[Date]])</f>
        <v>20</v>
      </c>
      <c r="F966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66" s="8" t="str">
        <f t="shared" ref="G966:G1029" si="61">"Week"&amp;" "&amp;F966</f>
        <v>Week 3</v>
      </c>
      <c r="H966" s="8" t="str">
        <f t="shared" ref="H966:H1029" si="62">CONCATENATE(C966," ",D966," ",G966)</f>
        <v>November 24 Week 3</v>
      </c>
      <c r="I966" s="8" t="str">
        <f>CONCATENATE(UPPER(TableAopCalendar[[#This Row],[Month]])," ",TableAopCalendar[[#This Row],[Year]])</f>
        <v>NOVEMBER 24</v>
      </c>
      <c r="J966" s="8" t="s">
        <v>274</v>
      </c>
      <c r="K966" s="8" t="str">
        <f>CONCATENATE(TableAopCalendar[[#This Row],[Month for Plan]]," ",TableAopCalendar[[#This Row],[Plan]])</f>
        <v>NOVEMBER 24 PLANNED</v>
      </c>
    </row>
    <row r="967" spans="1:11" x14ac:dyDescent="0.25">
      <c r="A967" s="8">
        <f t="shared" si="60"/>
        <v>7</v>
      </c>
      <c r="B967" s="6">
        <v>45617</v>
      </c>
      <c r="C967" s="7" t="s">
        <v>117</v>
      </c>
      <c r="D967" s="7">
        <v>24</v>
      </c>
      <c r="E967" s="8">
        <f>DAY(TableAopCalendar[[#This Row],[Date]])</f>
        <v>21</v>
      </c>
      <c r="F967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67" s="8" t="str">
        <f t="shared" si="61"/>
        <v>Week 3</v>
      </c>
      <c r="H967" s="8" t="str">
        <f t="shared" si="62"/>
        <v>November 24 Week 3</v>
      </c>
      <c r="I967" s="8" t="str">
        <f>CONCATENATE(UPPER(TableAopCalendar[[#This Row],[Month]])," ",TableAopCalendar[[#This Row],[Year]])</f>
        <v>NOVEMBER 24</v>
      </c>
      <c r="J967" s="8" t="s">
        <v>274</v>
      </c>
      <c r="K967" s="8" t="str">
        <f>CONCATENATE(TableAopCalendar[[#This Row],[Month for Plan]]," ",TableAopCalendar[[#This Row],[Plan]])</f>
        <v>NOVEMBER 24 PLANNED</v>
      </c>
    </row>
    <row r="968" spans="1:11" x14ac:dyDescent="0.25">
      <c r="A968" s="8">
        <f t="shared" si="60"/>
        <v>1</v>
      </c>
      <c r="B968" s="6">
        <v>45618</v>
      </c>
      <c r="C968" s="7" t="s">
        <v>117</v>
      </c>
      <c r="D968" s="7">
        <v>24</v>
      </c>
      <c r="E968" s="8">
        <f>DAY(TableAopCalendar[[#This Row],[Date]])</f>
        <v>22</v>
      </c>
      <c r="F968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68" s="8" t="str">
        <f t="shared" si="61"/>
        <v>Week 4</v>
      </c>
      <c r="H968" s="8" t="str">
        <f t="shared" si="62"/>
        <v>November 24 Week 4</v>
      </c>
      <c r="I968" s="8" t="str">
        <f>CONCATENATE(UPPER(TableAopCalendar[[#This Row],[Month]])," ",TableAopCalendar[[#This Row],[Year]])</f>
        <v>NOVEMBER 24</v>
      </c>
      <c r="J968" s="8" t="s">
        <v>274</v>
      </c>
      <c r="K968" s="8" t="str">
        <f>CONCATENATE(TableAopCalendar[[#This Row],[Month for Plan]]," ",TableAopCalendar[[#This Row],[Plan]])</f>
        <v>NOVEMBER 24 PLANNED</v>
      </c>
    </row>
    <row r="969" spans="1:11" x14ac:dyDescent="0.25">
      <c r="A969" s="8">
        <f t="shared" si="60"/>
        <v>2</v>
      </c>
      <c r="B969" s="6">
        <v>45619</v>
      </c>
      <c r="C969" s="7" t="s">
        <v>117</v>
      </c>
      <c r="D969" s="7">
        <v>24</v>
      </c>
      <c r="E969" s="8">
        <f>DAY(TableAopCalendar[[#This Row],[Date]])</f>
        <v>23</v>
      </c>
      <c r="F969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69" s="8" t="str">
        <f t="shared" si="61"/>
        <v>Week 4</v>
      </c>
      <c r="H969" s="8" t="str">
        <f t="shared" si="62"/>
        <v>November 24 Week 4</v>
      </c>
      <c r="I969" s="8" t="str">
        <f>CONCATENATE(UPPER(TableAopCalendar[[#This Row],[Month]])," ",TableAopCalendar[[#This Row],[Year]])</f>
        <v>NOVEMBER 24</v>
      </c>
      <c r="J969" s="8" t="s">
        <v>274</v>
      </c>
      <c r="K969" s="8" t="str">
        <f>CONCATENATE(TableAopCalendar[[#This Row],[Month for Plan]]," ",TableAopCalendar[[#This Row],[Plan]])</f>
        <v>NOVEMBER 24 PLANNED</v>
      </c>
    </row>
    <row r="970" spans="1:11" x14ac:dyDescent="0.25">
      <c r="A970" s="8">
        <f t="shared" si="60"/>
        <v>3</v>
      </c>
      <c r="B970" s="6">
        <v>45620</v>
      </c>
      <c r="C970" s="7" t="s">
        <v>117</v>
      </c>
      <c r="D970" s="7">
        <v>24</v>
      </c>
      <c r="E970" s="8">
        <f>DAY(TableAopCalendar[[#This Row],[Date]])</f>
        <v>24</v>
      </c>
      <c r="F970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70" s="8" t="str">
        <f t="shared" si="61"/>
        <v>Week 4</v>
      </c>
      <c r="H970" s="8" t="str">
        <f t="shared" si="62"/>
        <v>November 24 Week 4</v>
      </c>
      <c r="I970" s="8" t="str">
        <f>CONCATENATE(UPPER(TableAopCalendar[[#This Row],[Month]])," ",TableAopCalendar[[#This Row],[Year]])</f>
        <v>NOVEMBER 24</v>
      </c>
      <c r="J970" s="8" t="s">
        <v>274</v>
      </c>
      <c r="K970" s="8" t="str">
        <f>CONCATENATE(TableAopCalendar[[#This Row],[Month for Plan]]," ",TableAopCalendar[[#This Row],[Plan]])</f>
        <v>NOVEMBER 24 PLANNED</v>
      </c>
    </row>
    <row r="971" spans="1:11" x14ac:dyDescent="0.25">
      <c r="A971" s="8">
        <f t="shared" si="60"/>
        <v>4</v>
      </c>
      <c r="B971" s="6">
        <v>45621</v>
      </c>
      <c r="C971" s="7" t="s">
        <v>117</v>
      </c>
      <c r="D971" s="7">
        <v>24</v>
      </c>
      <c r="E971" s="8">
        <f>DAY(TableAopCalendar[[#This Row],[Date]])</f>
        <v>25</v>
      </c>
      <c r="F971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71" s="8" t="str">
        <f t="shared" si="61"/>
        <v>Week 4</v>
      </c>
      <c r="H971" s="8" t="str">
        <f t="shared" si="62"/>
        <v>November 24 Week 4</v>
      </c>
      <c r="I971" s="8" t="str">
        <f>CONCATENATE(UPPER(TableAopCalendar[[#This Row],[Month]])," ",TableAopCalendar[[#This Row],[Year]])</f>
        <v>NOVEMBER 24</v>
      </c>
      <c r="J971" s="8" t="s">
        <v>274</v>
      </c>
      <c r="K971" s="8" t="str">
        <f>CONCATENATE(TableAopCalendar[[#This Row],[Month for Plan]]," ",TableAopCalendar[[#This Row],[Plan]])</f>
        <v>NOVEMBER 24 PLANNED</v>
      </c>
    </row>
    <row r="972" spans="1:11" x14ac:dyDescent="0.25">
      <c r="A972" s="8">
        <f t="shared" si="60"/>
        <v>5</v>
      </c>
      <c r="B972" s="6">
        <v>45622</v>
      </c>
      <c r="C972" s="7" t="s">
        <v>117</v>
      </c>
      <c r="D972" s="7">
        <v>24</v>
      </c>
      <c r="E972" s="8">
        <f>DAY(TableAopCalendar[[#This Row],[Date]])</f>
        <v>26</v>
      </c>
      <c r="F972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72" s="8" t="str">
        <f t="shared" si="61"/>
        <v>Week 4</v>
      </c>
      <c r="H972" s="8" t="str">
        <f t="shared" si="62"/>
        <v>November 24 Week 4</v>
      </c>
      <c r="I972" s="8" t="str">
        <f>CONCATENATE(UPPER(TableAopCalendar[[#This Row],[Month]])," ",TableAopCalendar[[#This Row],[Year]])</f>
        <v>NOVEMBER 24</v>
      </c>
      <c r="J972" s="8" t="s">
        <v>274</v>
      </c>
      <c r="K972" s="8" t="str">
        <f>CONCATENATE(TableAopCalendar[[#This Row],[Month for Plan]]," ",TableAopCalendar[[#This Row],[Plan]])</f>
        <v>NOVEMBER 24 PLANNED</v>
      </c>
    </row>
    <row r="973" spans="1:11" x14ac:dyDescent="0.25">
      <c r="A973" s="8">
        <f t="shared" si="60"/>
        <v>6</v>
      </c>
      <c r="B973" s="6">
        <v>45623</v>
      </c>
      <c r="C973" s="7" t="s">
        <v>117</v>
      </c>
      <c r="D973" s="7">
        <v>24</v>
      </c>
      <c r="E973" s="8">
        <f>DAY(TableAopCalendar[[#This Row],[Date]])</f>
        <v>27</v>
      </c>
      <c r="F973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73" s="8" t="str">
        <f t="shared" si="61"/>
        <v>Week 4</v>
      </c>
      <c r="H973" s="8" t="str">
        <f t="shared" si="62"/>
        <v>November 24 Week 4</v>
      </c>
      <c r="I973" s="8" t="str">
        <f>CONCATENATE(UPPER(TableAopCalendar[[#This Row],[Month]])," ",TableAopCalendar[[#This Row],[Year]])</f>
        <v>NOVEMBER 24</v>
      </c>
      <c r="J973" s="8" t="s">
        <v>274</v>
      </c>
      <c r="K973" s="8" t="str">
        <f>CONCATENATE(TableAopCalendar[[#This Row],[Month for Plan]]," ",TableAopCalendar[[#This Row],[Plan]])</f>
        <v>NOVEMBER 24 PLANNED</v>
      </c>
    </row>
    <row r="974" spans="1:11" x14ac:dyDescent="0.25">
      <c r="A974" s="8">
        <f t="shared" si="60"/>
        <v>7</v>
      </c>
      <c r="B974" s="6">
        <v>45624</v>
      </c>
      <c r="C974" s="7" t="s">
        <v>117</v>
      </c>
      <c r="D974" s="7">
        <v>24</v>
      </c>
      <c r="E974" s="8">
        <f>DAY(TableAopCalendar[[#This Row],[Date]])</f>
        <v>28</v>
      </c>
      <c r="F974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74" s="8" t="str">
        <f t="shared" si="61"/>
        <v>Week 4</v>
      </c>
      <c r="H974" s="8" t="str">
        <f t="shared" si="62"/>
        <v>November 24 Week 4</v>
      </c>
      <c r="I974" s="8" t="str">
        <f>CONCATENATE(UPPER(TableAopCalendar[[#This Row],[Month]])," ",TableAopCalendar[[#This Row],[Year]])</f>
        <v>NOVEMBER 24</v>
      </c>
      <c r="J974" s="8" t="s">
        <v>274</v>
      </c>
      <c r="K974" s="8" t="str">
        <f>CONCATENATE(TableAopCalendar[[#This Row],[Month for Plan]]," ",TableAopCalendar[[#This Row],[Plan]])</f>
        <v>NOVEMBER 24 PLANNED</v>
      </c>
    </row>
    <row r="975" spans="1:11" x14ac:dyDescent="0.25">
      <c r="A975" s="8">
        <f t="shared" si="60"/>
        <v>1</v>
      </c>
      <c r="B975" s="6">
        <v>45625</v>
      </c>
      <c r="C975" s="7" t="s">
        <v>117</v>
      </c>
      <c r="D975" s="7">
        <v>24</v>
      </c>
      <c r="E975" s="8">
        <f>DAY(TableAopCalendar[[#This Row],[Date]])</f>
        <v>29</v>
      </c>
      <c r="F975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75" s="8" t="str">
        <f t="shared" si="61"/>
        <v>Week 5</v>
      </c>
      <c r="H975" s="8" t="str">
        <f t="shared" si="62"/>
        <v>November 24 Week 5</v>
      </c>
      <c r="I975" s="8" t="str">
        <f>CONCATENATE(UPPER(TableAopCalendar[[#This Row],[Month]])," ",TableAopCalendar[[#This Row],[Year]])</f>
        <v>NOVEMBER 24</v>
      </c>
      <c r="J975" s="8" t="s">
        <v>274</v>
      </c>
      <c r="K975" s="8" t="str">
        <f>CONCATENATE(TableAopCalendar[[#This Row],[Month for Plan]]," ",TableAopCalendar[[#This Row],[Plan]])</f>
        <v>NOVEMBER 24 PLANNED</v>
      </c>
    </row>
    <row r="976" spans="1:11" x14ac:dyDescent="0.25">
      <c r="A976" s="8">
        <f t="shared" si="60"/>
        <v>2</v>
      </c>
      <c r="B976" s="6">
        <v>45626</v>
      </c>
      <c r="C976" s="7" t="s">
        <v>117</v>
      </c>
      <c r="D976" s="7">
        <v>24</v>
      </c>
      <c r="E976" s="8">
        <f>DAY(TableAopCalendar[[#This Row],[Date]])</f>
        <v>30</v>
      </c>
      <c r="F976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976" s="8" t="str">
        <f t="shared" si="61"/>
        <v>Week 5</v>
      </c>
      <c r="H976" s="8" t="str">
        <f t="shared" si="62"/>
        <v>November 24 Week 5</v>
      </c>
      <c r="I976" s="8" t="str">
        <f>CONCATENATE(UPPER(TableAopCalendar[[#This Row],[Month]])," ",TableAopCalendar[[#This Row],[Year]])</f>
        <v>NOVEMBER 24</v>
      </c>
      <c r="J976" s="8" t="s">
        <v>274</v>
      </c>
      <c r="K976" s="8" t="str">
        <f>CONCATENATE(TableAopCalendar[[#This Row],[Month for Plan]]," ",TableAopCalendar[[#This Row],[Plan]])</f>
        <v>NOVEMBER 24 PLANNED</v>
      </c>
    </row>
    <row r="977" spans="1:11" x14ac:dyDescent="0.25">
      <c r="A977" s="8">
        <f t="shared" si="60"/>
        <v>1</v>
      </c>
      <c r="B977" s="6">
        <v>45627</v>
      </c>
      <c r="C977" s="7" t="s">
        <v>270</v>
      </c>
      <c r="D977" s="7">
        <v>24</v>
      </c>
      <c r="E977" s="8">
        <f>DAY(TableAopCalendar[[#This Row],[Date]])</f>
        <v>1</v>
      </c>
      <c r="F977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77" s="8" t="str">
        <f t="shared" si="61"/>
        <v>Week 1</v>
      </c>
      <c r="H977" s="8" t="str">
        <f t="shared" si="62"/>
        <v>December 24 Week 1</v>
      </c>
      <c r="I977" s="8" t="str">
        <f>CONCATENATE(UPPER(TableAopCalendar[[#This Row],[Month]])," ",TableAopCalendar[[#This Row],[Year]])</f>
        <v>DECEMBER 24</v>
      </c>
      <c r="J977" s="8" t="s">
        <v>274</v>
      </c>
      <c r="K977" s="8" t="str">
        <f>CONCATENATE(TableAopCalendar[[#This Row],[Month for Plan]]," ",TableAopCalendar[[#This Row],[Plan]])</f>
        <v>DECEMBER 24 PLANNED</v>
      </c>
    </row>
    <row r="978" spans="1:11" x14ac:dyDescent="0.25">
      <c r="A978" s="8">
        <f t="shared" si="60"/>
        <v>2</v>
      </c>
      <c r="B978" s="6">
        <v>45628</v>
      </c>
      <c r="C978" s="7" t="s">
        <v>270</v>
      </c>
      <c r="D978" s="7">
        <v>24</v>
      </c>
      <c r="E978" s="8">
        <f>DAY(TableAopCalendar[[#This Row],[Date]])</f>
        <v>2</v>
      </c>
      <c r="F978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78" s="8" t="str">
        <f t="shared" si="61"/>
        <v>Week 1</v>
      </c>
      <c r="H978" s="8" t="str">
        <f t="shared" si="62"/>
        <v>December 24 Week 1</v>
      </c>
      <c r="I978" s="8" t="str">
        <f>CONCATENATE(UPPER(TableAopCalendar[[#This Row],[Month]])," ",TableAopCalendar[[#This Row],[Year]])</f>
        <v>DECEMBER 24</v>
      </c>
      <c r="J978" s="8" t="s">
        <v>274</v>
      </c>
      <c r="K978" s="8" t="str">
        <f>CONCATENATE(TableAopCalendar[[#This Row],[Month for Plan]]," ",TableAopCalendar[[#This Row],[Plan]])</f>
        <v>DECEMBER 24 PLANNED</v>
      </c>
    </row>
    <row r="979" spans="1:11" x14ac:dyDescent="0.25">
      <c r="A979" s="8">
        <f t="shared" si="60"/>
        <v>3</v>
      </c>
      <c r="B979" s="6">
        <v>45629</v>
      </c>
      <c r="C979" s="7" t="s">
        <v>270</v>
      </c>
      <c r="D979" s="7">
        <v>24</v>
      </c>
      <c r="E979" s="8">
        <f>DAY(TableAopCalendar[[#This Row],[Date]])</f>
        <v>3</v>
      </c>
      <c r="F979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79" s="8" t="str">
        <f t="shared" si="61"/>
        <v>Week 1</v>
      </c>
      <c r="H979" s="8" t="str">
        <f t="shared" si="62"/>
        <v>December 24 Week 1</v>
      </c>
      <c r="I979" s="8" t="str">
        <f>CONCATENATE(UPPER(TableAopCalendar[[#This Row],[Month]])," ",TableAopCalendar[[#This Row],[Year]])</f>
        <v>DECEMBER 24</v>
      </c>
      <c r="J979" s="8" t="s">
        <v>274</v>
      </c>
      <c r="K979" s="8" t="str">
        <f>CONCATENATE(TableAopCalendar[[#This Row],[Month for Plan]]," ",TableAopCalendar[[#This Row],[Plan]])</f>
        <v>DECEMBER 24 PLANNED</v>
      </c>
    </row>
    <row r="980" spans="1:11" x14ac:dyDescent="0.25">
      <c r="A980" s="8">
        <f t="shared" si="60"/>
        <v>4</v>
      </c>
      <c r="B980" s="6">
        <v>45630</v>
      </c>
      <c r="C980" s="7" t="s">
        <v>270</v>
      </c>
      <c r="D980" s="7">
        <v>24</v>
      </c>
      <c r="E980" s="8">
        <f>DAY(TableAopCalendar[[#This Row],[Date]])</f>
        <v>4</v>
      </c>
      <c r="F980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80" s="8" t="str">
        <f t="shared" si="61"/>
        <v>Week 1</v>
      </c>
      <c r="H980" s="8" t="str">
        <f t="shared" si="62"/>
        <v>December 24 Week 1</v>
      </c>
      <c r="I980" s="8" t="str">
        <f>CONCATENATE(UPPER(TableAopCalendar[[#This Row],[Month]])," ",TableAopCalendar[[#This Row],[Year]])</f>
        <v>DECEMBER 24</v>
      </c>
      <c r="J980" s="8" t="s">
        <v>274</v>
      </c>
      <c r="K980" s="8" t="str">
        <f>CONCATENATE(TableAopCalendar[[#This Row],[Month for Plan]]," ",TableAopCalendar[[#This Row],[Plan]])</f>
        <v>DECEMBER 24 PLANNED</v>
      </c>
    </row>
    <row r="981" spans="1:11" x14ac:dyDescent="0.25">
      <c r="A981" s="8">
        <f t="shared" si="60"/>
        <v>5</v>
      </c>
      <c r="B981" s="6">
        <v>45631</v>
      </c>
      <c r="C981" s="7" t="s">
        <v>270</v>
      </c>
      <c r="D981" s="7">
        <v>24</v>
      </c>
      <c r="E981" s="8">
        <f>DAY(TableAopCalendar[[#This Row],[Date]])</f>
        <v>5</v>
      </c>
      <c r="F981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81" s="8" t="str">
        <f t="shared" si="61"/>
        <v>Week 1</v>
      </c>
      <c r="H981" s="8" t="str">
        <f t="shared" si="62"/>
        <v>December 24 Week 1</v>
      </c>
      <c r="I981" s="8" t="str">
        <f>CONCATENATE(UPPER(TableAopCalendar[[#This Row],[Month]])," ",TableAopCalendar[[#This Row],[Year]])</f>
        <v>DECEMBER 24</v>
      </c>
      <c r="J981" s="8" t="s">
        <v>274</v>
      </c>
      <c r="K981" s="8" t="str">
        <f>CONCATENATE(TableAopCalendar[[#This Row],[Month for Plan]]," ",TableAopCalendar[[#This Row],[Plan]])</f>
        <v>DECEMBER 24 PLANNED</v>
      </c>
    </row>
    <row r="982" spans="1:11" x14ac:dyDescent="0.25">
      <c r="A982" s="8">
        <f t="shared" si="60"/>
        <v>6</v>
      </c>
      <c r="B982" s="6">
        <v>45632</v>
      </c>
      <c r="C982" s="7" t="s">
        <v>270</v>
      </c>
      <c r="D982" s="7">
        <v>24</v>
      </c>
      <c r="E982" s="8">
        <f>DAY(TableAopCalendar[[#This Row],[Date]])</f>
        <v>6</v>
      </c>
      <c r="F982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82" s="8" t="str">
        <f t="shared" si="61"/>
        <v>Week 1</v>
      </c>
      <c r="H982" s="8" t="str">
        <f t="shared" si="62"/>
        <v>December 24 Week 1</v>
      </c>
      <c r="I982" s="8" t="str">
        <f>CONCATENATE(UPPER(TableAopCalendar[[#This Row],[Month]])," ",TableAopCalendar[[#This Row],[Year]])</f>
        <v>DECEMBER 24</v>
      </c>
      <c r="J982" s="8" t="s">
        <v>274</v>
      </c>
      <c r="K982" s="8" t="str">
        <f>CONCATENATE(TableAopCalendar[[#This Row],[Month for Plan]]," ",TableAopCalendar[[#This Row],[Plan]])</f>
        <v>DECEMBER 24 PLANNED</v>
      </c>
    </row>
    <row r="983" spans="1:11" x14ac:dyDescent="0.25">
      <c r="A983" s="8">
        <f t="shared" si="60"/>
        <v>7</v>
      </c>
      <c r="B983" s="6">
        <v>45633</v>
      </c>
      <c r="C983" s="7" t="s">
        <v>270</v>
      </c>
      <c r="D983" s="7">
        <v>24</v>
      </c>
      <c r="E983" s="8">
        <f>DAY(TableAopCalendar[[#This Row],[Date]])</f>
        <v>7</v>
      </c>
      <c r="F983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983" s="8" t="str">
        <f t="shared" si="61"/>
        <v>Week 1</v>
      </c>
      <c r="H983" s="8" t="str">
        <f t="shared" si="62"/>
        <v>December 24 Week 1</v>
      </c>
      <c r="I983" s="8" t="str">
        <f>CONCATENATE(UPPER(TableAopCalendar[[#This Row],[Month]])," ",TableAopCalendar[[#This Row],[Year]])</f>
        <v>DECEMBER 24</v>
      </c>
      <c r="J983" s="8" t="s">
        <v>274</v>
      </c>
      <c r="K983" s="8" t="str">
        <f>CONCATENATE(TableAopCalendar[[#This Row],[Month for Plan]]," ",TableAopCalendar[[#This Row],[Plan]])</f>
        <v>DECEMBER 24 PLANNED</v>
      </c>
    </row>
    <row r="984" spans="1:11" x14ac:dyDescent="0.25">
      <c r="A984" s="8">
        <f t="shared" si="60"/>
        <v>1</v>
      </c>
      <c r="B984" s="6">
        <v>45634</v>
      </c>
      <c r="C984" s="7" t="s">
        <v>270</v>
      </c>
      <c r="D984" s="7">
        <v>24</v>
      </c>
      <c r="E984" s="8">
        <f>DAY(TableAopCalendar[[#This Row],[Date]])</f>
        <v>8</v>
      </c>
      <c r="F984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84" s="8" t="str">
        <f t="shared" si="61"/>
        <v>Week 2</v>
      </c>
      <c r="H984" s="8" t="str">
        <f t="shared" si="62"/>
        <v>December 24 Week 2</v>
      </c>
      <c r="I984" s="8" t="str">
        <f>CONCATENATE(UPPER(TableAopCalendar[[#This Row],[Month]])," ",TableAopCalendar[[#This Row],[Year]])</f>
        <v>DECEMBER 24</v>
      </c>
      <c r="J984" s="8" t="s">
        <v>274</v>
      </c>
      <c r="K984" s="8" t="str">
        <f>CONCATENATE(TableAopCalendar[[#This Row],[Month for Plan]]," ",TableAopCalendar[[#This Row],[Plan]])</f>
        <v>DECEMBER 24 PLANNED</v>
      </c>
    </row>
    <row r="985" spans="1:11" x14ac:dyDescent="0.25">
      <c r="A985" s="8">
        <f t="shared" si="60"/>
        <v>2</v>
      </c>
      <c r="B985" s="6">
        <v>45635</v>
      </c>
      <c r="C985" s="7" t="s">
        <v>270</v>
      </c>
      <c r="D985" s="7">
        <v>24</v>
      </c>
      <c r="E985" s="8">
        <f>DAY(TableAopCalendar[[#This Row],[Date]])</f>
        <v>9</v>
      </c>
      <c r="F985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85" s="8" t="str">
        <f t="shared" si="61"/>
        <v>Week 2</v>
      </c>
      <c r="H985" s="8" t="str">
        <f t="shared" si="62"/>
        <v>December 24 Week 2</v>
      </c>
      <c r="I985" s="8" t="str">
        <f>CONCATENATE(UPPER(TableAopCalendar[[#This Row],[Month]])," ",TableAopCalendar[[#This Row],[Year]])</f>
        <v>DECEMBER 24</v>
      </c>
      <c r="J985" s="8" t="s">
        <v>274</v>
      </c>
      <c r="K985" s="8" t="str">
        <f>CONCATENATE(TableAopCalendar[[#This Row],[Month for Plan]]," ",TableAopCalendar[[#This Row],[Plan]])</f>
        <v>DECEMBER 24 PLANNED</v>
      </c>
    </row>
    <row r="986" spans="1:11" x14ac:dyDescent="0.25">
      <c r="A986" s="8">
        <f t="shared" si="60"/>
        <v>3</v>
      </c>
      <c r="B986" s="6">
        <v>45636</v>
      </c>
      <c r="C986" s="7" t="s">
        <v>270</v>
      </c>
      <c r="D986" s="7">
        <v>24</v>
      </c>
      <c r="E986" s="8">
        <f>DAY(TableAopCalendar[[#This Row],[Date]])</f>
        <v>10</v>
      </c>
      <c r="F986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86" s="8" t="str">
        <f t="shared" si="61"/>
        <v>Week 2</v>
      </c>
      <c r="H986" s="8" t="str">
        <f t="shared" si="62"/>
        <v>December 24 Week 2</v>
      </c>
      <c r="I986" s="8" t="str">
        <f>CONCATENATE(UPPER(TableAopCalendar[[#This Row],[Month]])," ",TableAopCalendar[[#This Row],[Year]])</f>
        <v>DECEMBER 24</v>
      </c>
      <c r="J986" s="8" t="s">
        <v>274</v>
      </c>
      <c r="K986" s="8" t="str">
        <f>CONCATENATE(TableAopCalendar[[#This Row],[Month for Plan]]," ",TableAopCalendar[[#This Row],[Plan]])</f>
        <v>DECEMBER 24 PLANNED</v>
      </c>
    </row>
    <row r="987" spans="1:11" x14ac:dyDescent="0.25">
      <c r="A987" s="8">
        <f t="shared" si="60"/>
        <v>4</v>
      </c>
      <c r="B987" s="6">
        <v>45637</v>
      </c>
      <c r="C987" s="7" t="s">
        <v>270</v>
      </c>
      <c r="D987" s="7">
        <v>24</v>
      </c>
      <c r="E987" s="8">
        <f>DAY(TableAopCalendar[[#This Row],[Date]])</f>
        <v>11</v>
      </c>
      <c r="F987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87" s="8" t="str">
        <f t="shared" si="61"/>
        <v>Week 2</v>
      </c>
      <c r="H987" s="8" t="str">
        <f t="shared" si="62"/>
        <v>December 24 Week 2</v>
      </c>
      <c r="I987" s="8" t="str">
        <f>CONCATENATE(UPPER(TableAopCalendar[[#This Row],[Month]])," ",TableAopCalendar[[#This Row],[Year]])</f>
        <v>DECEMBER 24</v>
      </c>
      <c r="J987" s="8" t="s">
        <v>274</v>
      </c>
      <c r="K987" s="8" t="str">
        <f>CONCATENATE(TableAopCalendar[[#This Row],[Month for Plan]]," ",TableAopCalendar[[#This Row],[Plan]])</f>
        <v>DECEMBER 24 PLANNED</v>
      </c>
    </row>
    <row r="988" spans="1:11" x14ac:dyDescent="0.25">
      <c r="A988" s="8">
        <f t="shared" si="60"/>
        <v>5</v>
      </c>
      <c r="B988" s="6">
        <v>45638</v>
      </c>
      <c r="C988" s="7" t="s">
        <v>270</v>
      </c>
      <c r="D988" s="7">
        <v>24</v>
      </c>
      <c r="E988" s="8">
        <f>DAY(TableAopCalendar[[#This Row],[Date]])</f>
        <v>12</v>
      </c>
      <c r="F988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88" s="8" t="str">
        <f t="shared" si="61"/>
        <v>Week 2</v>
      </c>
      <c r="H988" s="8" t="str">
        <f t="shared" si="62"/>
        <v>December 24 Week 2</v>
      </c>
      <c r="I988" s="8" t="str">
        <f>CONCATENATE(UPPER(TableAopCalendar[[#This Row],[Month]])," ",TableAopCalendar[[#This Row],[Year]])</f>
        <v>DECEMBER 24</v>
      </c>
      <c r="J988" s="8" t="s">
        <v>274</v>
      </c>
      <c r="K988" s="8" t="str">
        <f>CONCATENATE(TableAopCalendar[[#This Row],[Month for Plan]]," ",TableAopCalendar[[#This Row],[Plan]])</f>
        <v>DECEMBER 24 PLANNED</v>
      </c>
    </row>
    <row r="989" spans="1:11" x14ac:dyDescent="0.25">
      <c r="A989" s="8">
        <f t="shared" si="60"/>
        <v>6</v>
      </c>
      <c r="B989" s="6">
        <v>45639</v>
      </c>
      <c r="C989" s="7" t="s">
        <v>270</v>
      </c>
      <c r="D989" s="7">
        <v>24</v>
      </c>
      <c r="E989" s="8">
        <f>DAY(TableAopCalendar[[#This Row],[Date]])</f>
        <v>13</v>
      </c>
      <c r="F989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89" s="8" t="str">
        <f t="shared" si="61"/>
        <v>Week 2</v>
      </c>
      <c r="H989" s="8" t="str">
        <f t="shared" si="62"/>
        <v>December 24 Week 2</v>
      </c>
      <c r="I989" s="8" t="str">
        <f>CONCATENATE(UPPER(TableAopCalendar[[#This Row],[Month]])," ",TableAopCalendar[[#This Row],[Year]])</f>
        <v>DECEMBER 24</v>
      </c>
      <c r="J989" s="8" t="s">
        <v>274</v>
      </c>
      <c r="K989" s="8" t="str">
        <f>CONCATENATE(TableAopCalendar[[#This Row],[Month for Plan]]," ",TableAopCalendar[[#This Row],[Plan]])</f>
        <v>DECEMBER 24 PLANNED</v>
      </c>
    </row>
    <row r="990" spans="1:11" x14ac:dyDescent="0.25">
      <c r="A990" s="8">
        <f t="shared" si="60"/>
        <v>7</v>
      </c>
      <c r="B990" s="6">
        <v>45640</v>
      </c>
      <c r="C990" s="7" t="s">
        <v>270</v>
      </c>
      <c r="D990" s="7">
        <v>24</v>
      </c>
      <c r="E990" s="8">
        <f>DAY(TableAopCalendar[[#This Row],[Date]])</f>
        <v>14</v>
      </c>
      <c r="F990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990" s="8" t="str">
        <f t="shared" si="61"/>
        <v>Week 2</v>
      </c>
      <c r="H990" s="8" t="str">
        <f t="shared" si="62"/>
        <v>December 24 Week 2</v>
      </c>
      <c r="I990" s="8" t="str">
        <f>CONCATENATE(UPPER(TableAopCalendar[[#This Row],[Month]])," ",TableAopCalendar[[#This Row],[Year]])</f>
        <v>DECEMBER 24</v>
      </c>
      <c r="J990" s="8" t="s">
        <v>274</v>
      </c>
      <c r="K990" s="8" t="str">
        <f>CONCATENATE(TableAopCalendar[[#This Row],[Month for Plan]]," ",TableAopCalendar[[#This Row],[Plan]])</f>
        <v>DECEMBER 24 PLANNED</v>
      </c>
    </row>
    <row r="991" spans="1:11" x14ac:dyDescent="0.25">
      <c r="A991" s="8">
        <f t="shared" si="60"/>
        <v>1</v>
      </c>
      <c r="B991" s="6">
        <v>45641</v>
      </c>
      <c r="C991" s="7" t="s">
        <v>270</v>
      </c>
      <c r="D991" s="7">
        <v>24</v>
      </c>
      <c r="E991" s="8">
        <f>DAY(TableAopCalendar[[#This Row],[Date]])</f>
        <v>15</v>
      </c>
      <c r="F991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91" s="8" t="str">
        <f t="shared" si="61"/>
        <v>Week 3</v>
      </c>
      <c r="H991" s="8" t="str">
        <f t="shared" si="62"/>
        <v>December 24 Week 3</v>
      </c>
      <c r="I991" s="8" t="str">
        <f>CONCATENATE(UPPER(TableAopCalendar[[#This Row],[Month]])," ",TableAopCalendar[[#This Row],[Year]])</f>
        <v>DECEMBER 24</v>
      </c>
      <c r="J991" s="8" t="s">
        <v>274</v>
      </c>
      <c r="K991" s="8" t="str">
        <f>CONCATENATE(TableAopCalendar[[#This Row],[Month for Plan]]," ",TableAopCalendar[[#This Row],[Plan]])</f>
        <v>DECEMBER 24 PLANNED</v>
      </c>
    </row>
    <row r="992" spans="1:11" x14ac:dyDescent="0.25">
      <c r="A992" s="8">
        <f t="shared" si="60"/>
        <v>2</v>
      </c>
      <c r="B992" s="6">
        <v>45642</v>
      </c>
      <c r="C992" s="7" t="s">
        <v>270</v>
      </c>
      <c r="D992" s="7">
        <v>24</v>
      </c>
      <c r="E992" s="8">
        <f>DAY(TableAopCalendar[[#This Row],[Date]])</f>
        <v>16</v>
      </c>
      <c r="F992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92" s="8" t="str">
        <f t="shared" si="61"/>
        <v>Week 3</v>
      </c>
      <c r="H992" s="8" t="str">
        <f t="shared" si="62"/>
        <v>December 24 Week 3</v>
      </c>
      <c r="I992" s="8" t="str">
        <f>CONCATENATE(UPPER(TableAopCalendar[[#This Row],[Month]])," ",TableAopCalendar[[#This Row],[Year]])</f>
        <v>DECEMBER 24</v>
      </c>
      <c r="J992" s="8" t="s">
        <v>274</v>
      </c>
      <c r="K992" s="8" t="str">
        <f>CONCATENATE(TableAopCalendar[[#This Row],[Month for Plan]]," ",TableAopCalendar[[#This Row],[Plan]])</f>
        <v>DECEMBER 24 PLANNED</v>
      </c>
    </row>
    <row r="993" spans="1:11" x14ac:dyDescent="0.25">
      <c r="A993" s="8">
        <f t="shared" si="60"/>
        <v>3</v>
      </c>
      <c r="B993" s="6">
        <v>45643</v>
      </c>
      <c r="C993" s="7" t="s">
        <v>270</v>
      </c>
      <c r="D993" s="7">
        <v>24</v>
      </c>
      <c r="E993" s="8">
        <f>DAY(TableAopCalendar[[#This Row],[Date]])</f>
        <v>17</v>
      </c>
      <c r="F993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93" s="8" t="str">
        <f t="shared" si="61"/>
        <v>Week 3</v>
      </c>
      <c r="H993" s="8" t="str">
        <f t="shared" si="62"/>
        <v>December 24 Week 3</v>
      </c>
      <c r="I993" s="8" t="str">
        <f>CONCATENATE(UPPER(TableAopCalendar[[#This Row],[Month]])," ",TableAopCalendar[[#This Row],[Year]])</f>
        <v>DECEMBER 24</v>
      </c>
      <c r="J993" s="8" t="s">
        <v>274</v>
      </c>
      <c r="K993" s="8" t="str">
        <f>CONCATENATE(TableAopCalendar[[#This Row],[Month for Plan]]," ",TableAopCalendar[[#This Row],[Plan]])</f>
        <v>DECEMBER 24 PLANNED</v>
      </c>
    </row>
    <row r="994" spans="1:11" x14ac:dyDescent="0.25">
      <c r="A994" s="8">
        <f t="shared" si="60"/>
        <v>4</v>
      </c>
      <c r="B994" s="6">
        <v>45644</v>
      </c>
      <c r="C994" s="7" t="s">
        <v>270</v>
      </c>
      <c r="D994" s="7">
        <v>24</v>
      </c>
      <c r="E994" s="8">
        <f>DAY(TableAopCalendar[[#This Row],[Date]])</f>
        <v>18</v>
      </c>
      <c r="F994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94" s="8" t="str">
        <f t="shared" si="61"/>
        <v>Week 3</v>
      </c>
      <c r="H994" s="8" t="str">
        <f t="shared" si="62"/>
        <v>December 24 Week 3</v>
      </c>
      <c r="I994" s="8" t="str">
        <f>CONCATENATE(UPPER(TableAopCalendar[[#This Row],[Month]])," ",TableAopCalendar[[#This Row],[Year]])</f>
        <v>DECEMBER 24</v>
      </c>
      <c r="J994" s="8" t="s">
        <v>274</v>
      </c>
      <c r="K994" s="8" t="str">
        <f>CONCATENATE(TableAopCalendar[[#This Row],[Month for Plan]]," ",TableAopCalendar[[#This Row],[Plan]])</f>
        <v>DECEMBER 24 PLANNED</v>
      </c>
    </row>
    <row r="995" spans="1:11" x14ac:dyDescent="0.25">
      <c r="A995" s="8">
        <f t="shared" si="60"/>
        <v>5</v>
      </c>
      <c r="B995" s="6">
        <v>45645</v>
      </c>
      <c r="C995" s="7" t="s">
        <v>270</v>
      </c>
      <c r="D995" s="7">
        <v>24</v>
      </c>
      <c r="E995" s="8">
        <f>DAY(TableAopCalendar[[#This Row],[Date]])</f>
        <v>19</v>
      </c>
      <c r="F995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95" s="8" t="str">
        <f t="shared" si="61"/>
        <v>Week 3</v>
      </c>
      <c r="H995" s="8" t="str">
        <f t="shared" si="62"/>
        <v>December 24 Week 3</v>
      </c>
      <c r="I995" s="8" t="str">
        <f>CONCATENATE(UPPER(TableAopCalendar[[#This Row],[Month]])," ",TableAopCalendar[[#This Row],[Year]])</f>
        <v>DECEMBER 24</v>
      </c>
      <c r="J995" s="8" t="s">
        <v>274</v>
      </c>
      <c r="K995" s="8" t="str">
        <f>CONCATENATE(TableAopCalendar[[#This Row],[Month for Plan]]," ",TableAopCalendar[[#This Row],[Plan]])</f>
        <v>DECEMBER 24 PLANNED</v>
      </c>
    </row>
    <row r="996" spans="1:11" x14ac:dyDescent="0.25">
      <c r="A996" s="8">
        <f t="shared" si="60"/>
        <v>6</v>
      </c>
      <c r="B996" s="6">
        <v>45646</v>
      </c>
      <c r="C996" s="7" t="s">
        <v>270</v>
      </c>
      <c r="D996" s="7">
        <v>24</v>
      </c>
      <c r="E996" s="8">
        <f>DAY(TableAopCalendar[[#This Row],[Date]])</f>
        <v>20</v>
      </c>
      <c r="F996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96" s="8" t="str">
        <f t="shared" si="61"/>
        <v>Week 3</v>
      </c>
      <c r="H996" s="8" t="str">
        <f t="shared" si="62"/>
        <v>December 24 Week 3</v>
      </c>
      <c r="I996" s="8" t="str">
        <f>CONCATENATE(UPPER(TableAopCalendar[[#This Row],[Month]])," ",TableAopCalendar[[#This Row],[Year]])</f>
        <v>DECEMBER 24</v>
      </c>
      <c r="J996" s="8" t="s">
        <v>274</v>
      </c>
      <c r="K996" s="8" t="str">
        <f>CONCATENATE(TableAopCalendar[[#This Row],[Month for Plan]]," ",TableAopCalendar[[#This Row],[Plan]])</f>
        <v>DECEMBER 24 PLANNED</v>
      </c>
    </row>
    <row r="997" spans="1:11" x14ac:dyDescent="0.25">
      <c r="A997" s="8">
        <f t="shared" si="60"/>
        <v>7</v>
      </c>
      <c r="B997" s="6">
        <v>45647</v>
      </c>
      <c r="C997" s="7" t="s">
        <v>270</v>
      </c>
      <c r="D997" s="7">
        <v>24</v>
      </c>
      <c r="E997" s="8">
        <f>DAY(TableAopCalendar[[#This Row],[Date]])</f>
        <v>21</v>
      </c>
      <c r="F997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997" s="8" t="str">
        <f t="shared" si="61"/>
        <v>Week 3</v>
      </c>
      <c r="H997" s="8" t="str">
        <f t="shared" si="62"/>
        <v>December 24 Week 3</v>
      </c>
      <c r="I997" s="8" t="str">
        <f>CONCATENATE(UPPER(TableAopCalendar[[#This Row],[Month]])," ",TableAopCalendar[[#This Row],[Year]])</f>
        <v>DECEMBER 24</v>
      </c>
      <c r="J997" s="8" t="s">
        <v>274</v>
      </c>
      <c r="K997" s="8" t="str">
        <f>CONCATENATE(TableAopCalendar[[#This Row],[Month for Plan]]," ",TableAopCalendar[[#This Row],[Plan]])</f>
        <v>DECEMBER 24 PLANNED</v>
      </c>
    </row>
    <row r="998" spans="1:11" x14ac:dyDescent="0.25">
      <c r="A998" s="8">
        <f t="shared" si="60"/>
        <v>1</v>
      </c>
      <c r="B998" s="6">
        <v>45648</v>
      </c>
      <c r="C998" s="7" t="s">
        <v>270</v>
      </c>
      <c r="D998" s="7">
        <v>24</v>
      </c>
      <c r="E998" s="8">
        <f>DAY(TableAopCalendar[[#This Row],[Date]])</f>
        <v>22</v>
      </c>
      <c r="F998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98" s="8" t="str">
        <f t="shared" si="61"/>
        <v>Week 4</v>
      </c>
      <c r="H998" s="8" t="str">
        <f t="shared" si="62"/>
        <v>December 24 Week 4</v>
      </c>
      <c r="I998" s="8" t="str">
        <f>CONCATENATE(UPPER(TableAopCalendar[[#This Row],[Month]])," ",TableAopCalendar[[#This Row],[Year]])</f>
        <v>DECEMBER 24</v>
      </c>
      <c r="J998" s="8" t="s">
        <v>274</v>
      </c>
      <c r="K998" s="8" t="str">
        <f>CONCATENATE(TableAopCalendar[[#This Row],[Month for Plan]]," ",TableAopCalendar[[#This Row],[Plan]])</f>
        <v>DECEMBER 24 PLANNED</v>
      </c>
    </row>
    <row r="999" spans="1:11" x14ac:dyDescent="0.25">
      <c r="A999" s="8">
        <f t="shared" si="60"/>
        <v>2</v>
      </c>
      <c r="B999" s="6">
        <v>45649</v>
      </c>
      <c r="C999" s="7" t="s">
        <v>270</v>
      </c>
      <c r="D999" s="7">
        <v>24</v>
      </c>
      <c r="E999" s="8">
        <f>DAY(TableAopCalendar[[#This Row],[Date]])</f>
        <v>23</v>
      </c>
      <c r="F999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999" s="8" t="str">
        <f t="shared" si="61"/>
        <v>Week 4</v>
      </c>
      <c r="H999" s="8" t="str">
        <f t="shared" si="62"/>
        <v>December 24 Week 4</v>
      </c>
      <c r="I999" s="8" t="str">
        <f>CONCATENATE(UPPER(TableAopCalendar[[#This Row],[Month]])," ",TableAopCalendar[[#This Row],[Year]])</f>
        <v>DECEMBER 24</v>
      </c>
      <c r="J999" s="8" t="s">
        <v>274</v>
      </c>
      <c r="K999" s="8" t="str">
        <f>CONCATENATE(TableAopCalendar[[#This Row],[Month for Plan]]," ",TableAopCalendar[[#This Row],[Plan]])</f>
        <v>DECEMBER 24 PLANNED</v>
      </c>
    </row>
    <row r="1000" spans="1:11" x14ac:dyDescent="0.25">
      <c r="A1000" s="8">
        <f t="shared" si="60"/>
        <v>3</v>
      </c>
      <c r="B1000" s="6">
        <v>45650</v>
      </c>
      <c r="C1000" s="7" t="s">
        <v>270</v>
      </c>
      <c r="D1000" s="7">
        <v>24</v>
      </c>
      <c r="E1000" s="8">
        <f>DAY(TableAopCalendar[[#This Row],[Date]])</f>
        <v>24</v>
      </c>
      <c r="F1000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00" s="8" t="str">
        <f t="shared" si="61"/>
        <v>Week 4</v>
      </c>
      <c r="H1000" s="8" t="str">
        <f t="shared" si="62"/>
        <v>December 24 Week 4</v>
      </c>
      <c r="I1000" s="8" t="str">
        <f>CONCATENATE(UPPER(TableAopCalendar[[#This Row],[Month]])," ",TableAopCalendar[[#This Row],[Year]])</f>
        <v>DECEMBER 24</v>
      </c>
      <c r="J1000" s="8" t="s">
        <v>274</v>
      </c>
      <c r="K1000" s="8" t="str">
        <f>CONCATENATE(TableAopCalendar[[#This Row],[Month for Plan]]," ",TableAopCalendar[[#This Row],[Plan]])</f>
        <v>DECEMBER 24 PLANNED</v>
      </c>
    </row>
    <row r="1001" spans="1:11" x14ac:dyDescent="0.25">
      <c r="A1001" s="8">
        <f t="shared" si="60"/>
        <v>4</v>
      </c>
      <c r="B1001" s="6">
        <v>45651</v>
      </c>
      <c r="C1001" s="7" t="s">
        <v>270</v>
      </c>
      <c r="D1001" s="7">
        <v>24</v>
      </c>
      <c r="E1001" s="8">
        <f>DAY(TableAopCalendar[[#This Row],[Date]])</f>
        <v>25</v>
      </c>
      <c r="F1001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01" s="8" t="str">
        <f t="shared" si="61"/>
        <v>Week 4</v>
      </c>
      <c r="H1001" s="8" t="str">
        <f t="shared" si="62"/>
        <v>December 24 Week 4</v>
      </c>
      <c r="I1001" s="8" t="str">
        <f>CONCATENATE(UPPER(TableAopCalendar[[#This Row],[Month]])," ",TableAopCalendar[[#This Row],[Year]])</f>
        <v>DECEMBER 24</v>
      </c>
      <c r="J1001" s="8" t="s">
        <v>274</v>
      </c>
      <c r="K1001" s="8" t="str">
        <f>CONCATENATE(TableAopCalendar[[#This Row],[Month for Plan]]," ",TableAopCalendar[[#This Row],[Plan]])</f>
        <v>DECEMBER 24 PLANNED</v>
      </c>
    </row>
    <row r="1002" spans="1:11" x14ac:dyDescent="0.25">
      <c r="A1002" s="8">
        <f t="shared" si="60"/>
        <v>5</v>
      </c>
      <c r="B1002" s="6">
        <v>45652</v>
      </c>
      <c r="C1002" s="7" t="s">
        <v>270</v>
      </c>
      <c r="D1002" s="7">
        <v>24</v>
      </c>
      <c r="E1002" s="8">
        <f>DAY(TableAopCalendar[[#This Row],[Date]])</f>
        <v>26</v>
      </c>
      <c r="F1002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02" s="8" t="str">
        <f t="shared" si="61"/>
        <v>Week 4</v>
      </c>
      <c r="H1002" s="8" t="str">
        <f t="shared" si="62"/>
        <v>December 24 Week 4</v>
      </c>
      <c r="I1002" s="8" t="str">
        <f>CONCATENATE(UPPER(TableAopCalendar[[#This Row],[Month]])," ",TableAopCalendar[[#This Row],[Year]])</f>
        <v>DECEMBER 24</v>
      </c>
      <c r="J1002" s="8" t="s">
        <v>274</v>
      </c>
      <c r="K1002" s="8" t="str">
        <f>CONCATENATE(TableAopCalendar[[#This Row],[Month for Plan]]," ",TableAopCalendar[[#This Row],[Plan]])</f>
        <v>DECEMBER 24 PLANNED</v>
      </c>
    </row>
    <row r="1003" spans="1:11" x14ac:dyDescent="0.25">
      <c r="A1003" s="8">
        <f t="shared" si="60"/>
        <v>6</v>
      </c>
      <c r="B1003" s="6">
        <v>45653</v>
      </c>
      <c r="C1003" s="7" t="s">
        <v>270</v>
      </c>
      <c r="D1003" s="7">
        <v>24</v>
      </c>
      <c r="E1003" s="8">
        <f>DAY(TableAopCalendar[[#This Row],[Date]])</f>
        <v>27</v>
      </c>
      <c r="F1003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03" s="8" t="str">
        <f t="shared" si="61"/>
        <v>Week 4</v>
      </c>
      <c r="H1003" s="8" t="str">
        <f t="shared" si="62"/>
        <v>December 24 Week 4</v>
      </c>
      <c r="I1003" s="8" t="str">
        <f>CONCATENATE(UPPER(TableAopCalendar[[#This Row],[Month]])," ",TableAopCalendar[[#This Row],[Year]])</f>
        <v>DECEMBER 24</v>
      </c>
      <c r="J1003" s="8" t="s">
        <v>274</v>
      </c>
      <c r="K1003" s="8" t="str">
        <f>CONCATENATE(TableAopCalendar[[#This Row],[Month for Plan]]," ",TableAopCalendar[[#This Row],[Plan]])</f>
        <v>DECEMBER 24 PLANNED</v>
      </c>
    </row>
    <row r="1004" spans="1:11" x14ac:dyDescent="0.25">
      <c r="A1004" s="8">
        <f t="shared" si="60"/>
        <v>7</v>
      </c>
      <c r="B1004" s="6">
        <v>45654</v>
      </c>
      <c r="C1004" s="7" t="s">
        <v>270</v>
      </c>
      <c r="D1004" s="7">
        <v>24</v>
      </c>
      <c r="E1004" s="8">
        <f>DAY(TableAopCalendar[[#This Row],[Date]])</f>
        <v>28</v>
      </c>
      <c r="F1004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04" s="8" t="str">
        <f t="shared" si="61"/>
        <v>Week 4</v>
      </c>
      <c r="H1004" s="8" t="str">
        <f t="shared" si="62"/>
        <v>December 24 Week 4</v>
      </c>
      <c r="I1004" s="8" t="str">
        <f>CONCATENATE(UPPER(TableAopCalendar[[#This Row],[Month]])," ",TableAopCalendar[[#This Row],[Year]])</f>
        <v>DECEMBER 24</v>
      </c>
      <c r="J1004" s="8" t="s">
        <v>274</v>
      </c>
      <c r="K1004" s="8" t="str">
        <f>CONCATENATE(TableAopCalendar[[#This Row],[Month for Plan]]," ",TableAopCalendar[[#This Row],[Plan]])</f>
        <v>DECEMBER 24 PLANNED</v>
      </c>
    </row>
    <row r="1005" spans="1:11" x14ac:dyDescent="0.25">
      <c r="A1005" s="8">
        <f t="shared" si="60"/>
        <v>1</v>
      </c>
      <c r="B1005" s="6">
        <v>45655</v>
      </c>
      <c r="C1005" s="7" t="s">
        <v>270</v>
      </c>
      <c r="D1005" s="7">
        <v>24</v>
      </c>
      <c r="E1005" s="8">
        <f>DAY(TableAopCalendar[[#This Row],[Date]])</f>
        <v>29</v>
      </c>
      <c r="F1005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05" s="8" t="str">
        <f t="shared" si="61"/>
        <v>Week 5</v>
      </c>
      <c r="H1005" s="8" t="str">
        <f t="shared" si="62"/>
        <v>December 24 Week 5</v>
      </c>
      <c r="I1005" s="8" t="str">
        <f>CONCATENATE(UPPER(TableAopCalendar[[#This Row],[Month]])," ",TableAopCalendar[[#This Row],[Year]])</f>
        <v>DECEMBER 24</v>
      </c>
      <c r="J1005" s="8" t="s">
        <v>274</v>
      </c>
      <c r="K1005" s="8" t="str">
        <f>CONCATENATE(TableAopCalendar[[#This Row],[Month for Plan]]," ",TableAopCalendar[[#This Row],[Plan]])</f>
        <v>DECEMBER 24 PLANNED</v>
      </c>
    </row>
    <row r="1006" spans="1:11" x14ac:dyDescent="0.25">
      <c r="A1006" s="8">
        <f t="shared" si="60"/>
        <v>2</v>
      </c>
      <c r="B1006" s="6">
        <v>45656</v>
      </c>
      <c r="C1006" s="7" t="s">
        <v>270</v>
      </c>
      <c r="D1006" s="7">
        <v>24</v>
      </c>
      <c r="E1006" s="8">
        <f>DAY(TableAopCalendar[[#This Row],[Date]])</f>
        <v>30</v>
      </c>
      <c r="F1006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06" s="8" t="str">
        <f t="shared" si="61"/>
        <v>Week 5</v>
      </c>
      <c r="H1006" s="8" t="str">
        <f t="shared" si="62"/>
        <v>December 24 Week 5</v>
      </c>
      <c r="I1006" s="8" t="str">
        <f>CONCATENATE(UPPER(TableAopCalendar[[#This Row],[Month]])," ",TableAopCalendar[[#This Row],[Year]])</f>
        <v>DECEMBER 24</v>
      </c>
      <c r="J1006" s="8" t="s">
        <v>274</v>
      </c>
      <c r="K1006" s="8" t="str">
        <f>CONCATENATE(TableAopCalendar[[#This Row],[Month for Plan]]," ",TableAopCalendar[[#This Row],[Plan]])</f>
        <v>DECEMBER 24 PLANNED</v>
      </c>
    </row>
    <row r="1007" spans="1:11" x14ac:dyDescent="0.25">
      <c r="A1007" s="8">
        <f t="shared" si="60"/>
        <v>3</v>
      </c>
      <c r="B1007" s="6">
        <v>45657</v>
      </c>
      <c r="C1007" s="7" t="s">
        <v>270</v>
      </c>
      <c r="D1007" s="7">
        <v>24</v>
      </c>
      <c r="E1007" s="8">
        <f>DAY(TableAopCalendar[[#This Row],[Date]])</f>
        <v>31</v>
      </c>
      <c r="F1007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07" s="8" t="str">
        <f t="shared" si="61"/>
        <v>Week 5</v>
      </c>
      <c r="H1007" s="8" t="str">
        <f t="shared" si="62"/>
        <v>December 24 Week 5</v>
      </c>
      <c r="I1007" s="8" t="str">
        <f>CONCATENATE(UPPER(TableAopCalendar[[#This Row],[Month]])," ",TableAopCalendar[[#This Row],[Year]])</f>
        <v>DECEMBER 24</v>
      </c>
      <c r="J1007" s="8" t="s">
        <v>274</v>
      </c>
      <c r="K1007" s="8" t="str">
        <f>CONCATENATE(TableAopCalendar[[#This Row],[Month for Plan]]," ",TableAopCalendar[[#This Row],[Plan]])</f>
        <v>DECEMBER 24 PLANNED</v>
      </c>
    </row>
    <row r="1008" spans="1:11" x14ac:dyDescent="0.25">
      <c r="A1008" s="8">
        <f t="shared" si="60"/>
        <v>1</v>
      </c>
      <c r="B1008" s="6">
        <v>45658</v>
      </c>
      <c r="C1008" s="7" t="s">
        <v>271</v>
      </c>
      <c r="D1008" s="7">
        <v>25</v>
      </c>
      <c r="E1008" s="8">
        <f>DAY(TableAopCalendar[[#This Row],[Date]])</f>
        <v>1</v>
      </c>
      <c r="F1008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08" s="8" t="str">
        <f t="shared" si="61"/>
        <v>Week 1</v>
      </c>
      <c r="H1008" s="8" t="str">
        <f t="shared" si="62"/>
        <v>January 25 Week 1</v>
      </c>
      <c r="I1008" s="8" t="str">
        <f>CONCATENATE(UPPER(TableAopCalendar[[#This Row],[Month]])," ",TableAopCalendar[[#This Row],[Year]])</f>
        <v>JANUARY 25</v>
      </c>
      <c r="J1008" s="8" t="s">
        <v>274</v>
      </c>
      <c r="K1008" s="8" t="str">
        <f>CONCATENATE(TableAopCalendar[[#This Row],[Month for Plan]]," ",TableAopCalendar[[#This Row],[Plan]])</f>
        <v>JANUARY 25 PLANNED</v>
      </c>
    </row>
    <row r="1009" spans="1:11" x14ac:dyDescent="0.25">
      <c r="A1009" s="8">
        <f t="shared" si="60"/>
        <v>2</v>
      </c>
      <c r="B1009" s="6">
        <v>45659</v>
      </c>
      <c r="C1009" s="7" t="s">
        <v>271</v>
      </c>
      <c r="D1009" s="7">
        <v>25</v>
      </c>
      <c r="E1009" s="8">
        <f>DAY(TableAopCalendar[[#This Row],[Date]])</f>
        <v>2</v>
      </c>
      <c r="F1009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09" s="8" t="str">
        <f t="shared" si="61"/>
        <v>Week 1</v>
      </c>
      <c r="H1009" s="8" t="str">
        <f t="shared" si="62"/>
        <v>January 25 Week 1</v>
      </c>
      <c r="I1009" s="8" t="str">
        <f>CONCATENATE(UPPER(TableAopCalendar[[#This Row],[Month]])," ",TableAopCalendar[[#This Row],[Year]])</f>
        <v>JANUARY 25</v>
      </c>
      <c r="J1009" s="8" t="s">
        <v>274</v>
      </c>
      <c r="K1009" s="8" t="str">
        <f>CONCATENATE(TableAopCalendar[[#This Row],[Month for Plan]]," ",TableAopCalendar[[#This Row],[Plan]])</f>
        <v>JANUARY 25 PLANNED</v>
      </c>
    </row>
    <row r="1010" spans="1:11" x14ac:dyDescent="0.25">
      <c r="A1010" s="8">
        <f t="shared" si="60"/>
        <v>3</v>
      </c>
      <c r="B1010" s="6">
        <v>45660</v>
      </c>
      <c r="C1010" s="7" t="s">
        <v>271</v>
      </c>
      <c r="D1010" s="7">
        <v>25</v>
      </c>
      <c r="E1010" s="8">
        <f>DAY(TableAopCalendar[[#This Row],[Date]])</f>
        <v>3</v>
      </c>
      <c r="F1010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10" s="8" t="str">
        <f t="shared" si="61"/>
        <v>Week 1</v>
      </c>
      <c r="H1010" s="8" t="str">
        <f t="shared" si="62"/>
        <v>January 25 Week 1</v>
      </c>
      <c r="I1010" s="8" t="str">
        <f>CONCATENATE(UPPER(TableAopCalendar[[#This Row],[Month]])," ",TableAopCalendar[[#This Row],[Year]])</f>
        <v>JANUARY 25</v>
      </c>
      <c r="J1010" s="8" t="s">
        <v>274</v>
      </c>
      <c r="K1010" s="8" t="str">
        <f>CONCATENATE(TableAopCalendar[[#This Row],[Month for Plan]]," ",TableAopCalendar[[#This Row],[Plan]])</f>
        <v>JANUARY 25 PLANNED</v>
      </c>
    </row>
    <row r="1011" spans="1:11" x14ac:dyDescent="0.25">
      <c r="A1011" s="8">
        <f t="shared" si="60"/>
        <v>4</v>
      </c>
      <c r="B1011" s="6">
        <v>45661</v>
      </c>
      <c r="C1011" s="7" t="s">
        <v>271</v>
      </c>
      <c r="D1011" s="7">
        <v>25</v>
      </c>
      <c r="E1011" s="8">
        <f>DAY(TableAopCalendar[[#This Row],[Date]])</f>
        <v>4</v>
      </c>
      <c r="F1011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11" s="8" t="str">
        <f t="shared" si="61"/>
        <v>Week 1</v>
      </c>
      <c r="H1011" s="8" t="str">
        <f t="shared" si="62"/>
        <v>January 25 Week 1</v>
      </c>
      <c r="I1011" s="8" t="str">
        <f>CONCATENATE(UPPER(TableAopCalendar[[#This Row],[Month]])," ",TableAopCalendar[[#This Row],[Year]])</f>
        <v>JANUARY 25</v>
      </c>
      <c r="J1011" s="8" t="s">
        <v>274</v>
      </c>
      <c r="K1011" s="8" t="str">
        <f>CONCATENATE(TableAopCalendar[[#This Row],[Month for Plan]]," ",TableAopCalendar[[#This Row],[Plan]])</f>
        <v>JANUARY 25 PLANNED</v>
      </c>
    </row>
    <row r="1012" spans="1:11" x14ac:dyDescent="0.25">
      <c r="A1012" s="8">
        <f t="shared" si="60"/>
        <v>5</v>
      </c>
      <c r="B1012" s="6">
        <v>45662</v>
      </c>
      <c r="C1012" s="7" t="s">
        <v>271</v>
      </c>
      <c r="D1012" s="7">
        <v>25</v>
      </c>
      <c r="E1012" s="8">
        <f>DAY(TableAopCalendar[[#This Row],[Date]])</f>
        <v>5</v>
      </c>
      <c r="F1012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12" s="8" t="str">
        <f t="shared" si="61"/>
        <v>Week 1</v>
      </c>
      <c r="H1012" s="8" t="str">
        <f t="shared" si="62"/>
        <v>January 25 Week 1</v>
      </c>
      <c r="I1012" s="8" t="str">
        <f>CONCATENATE(UPPER(TableAopCalendar[[#This Row],[Month]])," ",TableAopCalendar[[#This Row],[Year]])</f>
        <v>JANUARY 25</v>
      </c>
      <c r="J1012" s="8" t="s">
        <v>274</v>
      </c>
      <c r="K1012" s="8" t="str">
        <f>CONCATENATE(TableAopCalendar[[#This Row],[Month for Plan]]," ",TableAopCalendar[[#This Row],[Plan]])</f>
        <v>JANUARY 25 PLANNED</v>
      </c>
    </row>
    <row r="1013" spans="1:11" x14ac:dyDescent="0.25">
      <c r="A1013" s="8">
        <f t="shared" si="60"/>
        <v>6</v>
      </c>
      <c r="B1013" s="6">
        <v>45663</v>
      </c>
      <c r="C1013" s="7" t="s">
        <v>271</v>
      </c>
      <c r="D1013" s="7">
        <v>25</v>
      </c>
      <c r="E1013" s="8">
        <f>DAY(TableAopCalendar[[#This Row],[Date]])</f>
        <v>6</v>
      </c>
      <c r="F1013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13" s="8" t="str">
        <f t="shared" si="61"/>
        <v>Week 1</v>
      </c>
      <c r="H1013" s="8" t="str">
        <f t="shared" si="62"/>
        <v>January 25 Week 1</v>
      </c>
      <c r="I1013" s="8" t="str">
        <f>CONCATENATE(UPPER(TableAopCalendar[[#This Row],[Month]])," ",TableAopCalendar[[#This Row],[Year]])</f>
        <v>JANUARY 25</v>
      </c>
      <c r="J1013" s="8" t="s">
        <v>274</v>
      </c>
      <c r="K1013" s="8" t="str">
        <f>CONCATENATE(TableAopCalendar[[#This Row],[Month for Plan]]," ",TableAopCalendar[[#This Row],[Plan]])</f>
        <v>JANUARY 25 PLANNED</v>
      </c>
    </row>
    <row r="1014" spans="1:11" x14ac:dyDescent="0.25">
      <c r="A1014" s="8">
        <f t="shared" si="60"/>
        <v>7</v>
      </c>
      <c r="B1014" s="6">
        <v>45664</v>
      </c>
      <c r="C1014" s="7" t="s">
        <v>271</v>
      </c>
      <c r="D1014" s="7">
        <v>25</v>
      </c>
      <c r="E1014" s="8">
        <f>DAY(TableAopCalendar[[#This Row],[Date]])</f>
        <v>7</v>
      </c>
      <c r="F1014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14" s="8" t="str">
        <f t="shared" si="61"/>
        <v>Week 1</v>
      </c>
      <c r="H1014" s="8" t="str">
        <f t="shared" si="62"/>
        <v>January 25 Week 1</v>
      </c>
      <c r="I1014" s="8" t="str">
        <f>CONCATENATE(UPPER(TableAopCalendar[[#This Row],[Month]])," ",TableAopCalendar[[#This Row],[Year]])</f>
        <v>JANUARY 25</v>
      </c>
      <c r="J1014" s="8" t="s">
        <v>274</v>
      </c>
      <c r="K1014" s="8" t="str">
        <f>CONCATENATE(TableAopCalendar[[#This Row],[Month for Plan]]," ",TableAopCalendar[[#This Row],[Plan]])</f>
        <v>JANUARY 25 PLANNED</v>
      </c>
    </row>
    <row r="1015" spans="1:11" x14ac:dyDescent="0.25">
      <c r="A1015" s="8">
        <f t="shared" si="60"/>
        <v>1</v>
      </c>
      <c r="B1015" s="6">
        <v>45665</v>
      </c>
      <c r="C1015" s="7" t="s">
        <v>271</v>
      </c>
      <c r="D1015" s="7">
        <v>25</v>
      </c>
      <c r="E1015" s="8">
        <f>DAY(TableAopCalendar[[#This Row],[Date]])</f>
        <v>8</v>
      </c>
      <c r="F1015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15" s="8" t="str">
        <f t="shared" si="61"/>
        <v>Week 2</v>
      </c>
      <c r="H1015" s="8" t="str">
        <f t="shared" si="62"/>
        <v>January 25 Week 2</v>
      </c>
      <c r="I1015" s="8" t="str">
        <f>CONCATENATE(UPPER(TableAopCalendar[[#This Row],[Month]])," ",TableAopCalendar[[#This Row],[Year]])</f>
        <v>JANUARY 25</v>
      </c>
      <c r="J1015" s="8" t="s">
        <v>274</v>
      </c>
      <c r="K1015" s="8" t="str">
        <f>CONCATENATE(TableAopCalendar[[#This Row],[Month for Plan]]," ",TableAopCalendar[[#This Row],[Plan]])</f>
        <v>JANUARY 25 PLANNED</v>
      </c>
    </row>
    <row r="1016" spans="1:11" x14ac:dyDescent="0.25">
      <c r="A1016" s="8">
        <f t="shared" si="60"/>
        <v>2</v>
      </c>
      <c r="B1016" s="6">
        <v>45666</v>
      </c>
      <c r="C1016" s="7" t="s">
        <v>271</v>
      </c>
      <c r="D1016" s="7">
        <v>25</v>
      </c>
      <c r="E1016" s="8">
        <f>DAY(TableAopCalendar[[#This Row],[Date]])</f>
        <v>9</v>
      </c>
      <c r="F1016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16" s="8" t="str">
        <f t="shared" si="61"/>
        <v>Week 2</v>
      </c>
      <c r="H1016" s="8" t="str">
        <f t="shared" si="62"/>
        <v>January 25 Week 2</v>
      </c>
      <c r="I1016" s="8" t="str">
        <f>CONCATENATE(UPPER(TableAopCalendar[[#This Row],[Month]])," ",TableAopCalendar[[#This Row],[Year]])</f>
        <v>JANUARY 25</v>
      </c>
      <c r="J1016" s="8" t="s">
        <v>274</v>
      </c>
      <c r="K1016" s="8" t="str">
        <f>CONCATENATE(TableAopCalendar[[#This Row],[Month for Plan]]," ",TableAopCalendar[[#This Row],[Plan]])</f>
        <v>JANUARY 25 PLANNED</v>
      </c>
    </row>
    <row r="1017" spans="1:11" x14ac:dyDescent="0.25">
      <c r="A1017" s="8">
        <f t="shared" si="60"/>
        <v>3</v>
      </c>
      <c r="B1017" s="6">
        <v>45667</v>
      </c>
      <c r="C1017" s="7" t="s">
        <v>271</v>
      </c>
      <c r="D1017" s="7">
        <v>25</v>
      </c>
      <c r="E1017" s="8">
        <f>DAY(TableAopCalendar[[#This Row],[Date]])</f>
        <v>10</v>
      </c>
      <c r="F1017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17" s="8" t="str">
        <f t="shared" si="61"/>
        <v>Week 2</v>
      </c>
      <c r="H1017" s="8" t="str">
        <f t="shared" si="62"/>
        <v>January 25 Week 2</v>
      </c>
      <c r="I1017" s="8" t="str">
        <f>CONCATENATE(UPPER(TableAopCalendar[[#This Row],[Month]])," ",TableAopCalendar[[#This Row],[Year]])</f>
        <v>JANUARY 25</v>
      </c>
      <c r="J1017" s="8" t="s">
        <v>274</v>
      </c>
      <c r="K1017" s="8" t="str">
        <f>CONCATENATE(TableAopCalendar[[#This Row],[Month for Plan]]," ",TableAopCalendar[[#This Row],[Plan]])</f>
        <v>JANUARY 25 PLANNED</v>
      </c>
    </row>
    <row r="1018" spans="1:11" x14ac:dyDescent="0.25">
      <c r="A1018" s="8">
        <f t="shared" si="60"/>
        <v>4</v>
      </c>
      <c r="B1018" s="6">
        <v>45668</v>
      </c>
      <c r="C1018" s="7" t="s">
        <v>271</v>
      </c>
      <c r="D1018" s="7">
        <v>25</v>
      </c>
      <c r="E1018" s="8">
        <f>DAY(TableAopCalendar[[#This Row],[Date]])</f>
        <v>11</v>
      </c>
      <c r="F1018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18" s="8" t="str">
        <f t="shared" si="61"/>
        <v>Week 2</v>
      </c>
      <c r="H1018" s="8" t="str">
        <f t="shared" si="62"/>
        <v>January 25 Week 2</v>
      </c>
      <c r="I1018" s="8" t="str">
        <f>CONCATENATE(UPPER(TableAopCalendar[[#This Row],[Month]])," ",TableAopCalendar[[#This Row],[Year]])</f>
        <v>JANUARY 25</v>
      </c>
      <c r="J1018" s="8" t="s">
        <v>274</v>
      </c>
      <c r="K1018" s="8" t="str">
        <f>CONCATENATE(TableAopCalendar[[#This Row],[Month for Plan]]," ",TableAopCalendar[[#This Row],[Plan]])</f>
        <v>JANUARY 25 PLANNED</v>
      </c>
    </row>
    <row r="1019" spans="1:11" x14ac:dyDescent="0.25">
      <c r="A1019" s="8">
        <f t="shared" si="60"/>
        <v>5</v>
      </c>
      <c r="B1019" s="6">
        <v>45669</v>
      </c>
      <c r="C1019" s="7" t="s">
        <v>271</v>
      </c>
      <c r="D1019" s="7">
        <v>25</v>
      </c>
      <c r="E1019" s="8">
        <f>DAY(TableAopCalendar[[#This Row],[Date]])</f>
        <v>12</v>
      </c>
      <c r="F1019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19" s="8" t="str">
        <f t="shared" si="61"/>
        <v>Week 2</v>
      </c>
      <c r="H1019" s="8" t="str">
        <f t="shared" si="62"/>
        <v>January 25 Week 2</v>
      </c>
      <c r="I1019" s="8" t="str">
        <f>CONCATENATE(UPPER(TableAopCalendar[[#This Row],[Month]])," ",TableAopCalendar[[#This Row],[Year]])</f>
        <v>JANUARY 25</v>
      </c>
      <c r="J1019" s="8" t="s">
        <v>274</v>
      </c>
      <c r="K1019" s="8" t="str">
        <f>CONCATENATE(TableAopCalendar[[#This Row],[Month for Plan]]," ",TableAopCalendar[[#This Row],[Plan]])</f>
        <v>JANUARY 25 PLANNED</v>
      </c>
    </row>
    <row r="1020" spans="1:11" x14ac:dyDescent="0.25">
      <c r="A1020" s="8">
        <f t="shared" si="60"/>
        <v>6</v>
      </c>
      <c r="B1020" s="6">
        <v>45670</v>
      </c>
      <c r="C1020" s="7" t="s">
        <v>271</v>
      </c>
      <c r="D1020" s="7">
        <v>25</v>
      </c>
      <c r="E1020" s="8">
        <f>DAY(TableAopCalendar[[#This Row],[Date]])</f>
        <v>13</v>
      </c>
      <c r="F1020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20" s="8" t="str">
        <f t="shared" si="61"/>
        <v>Week 2</v>
      </c>
      <c r="H1020" s="8" t="str">
        <f t="shared" si="62"/>
        <v>January 25 Week 2</v>
      </c>
      <c r="I1020" s="8" t="str">
        <f>CONCATENATE(UPPER(TableAopCalendar[[#This Row],[Month]])," ",TableAopCalendar[[#This Row],[Year]])</f>
        <v>JANUARY 25</v>
      </c>
      <c r="J1020" s="8" t="s">
        <v>274</v>
      </c>
      <c r="K1020" s="8" t="str">
        <f>CONCATENATE(TableAopCalendar[[#This Row],[Month for Plan]]," ",TableAopCalendar[[#This Row],[Plan]])</f>
        <v>JANUARY 25 PLANNED</v>
      </c>
    </row>
    <row r="1021" spans="1:11" x14ac:dyDescent="0.25">
      <c r="A1021" s="8">
        <f t="shared" si="60"/>
        <v>7</v>
      </c>
      <c r="B1021" s="6">
        <v>45671</v>
      </c>
      <c r="C1021" s="7" t="s">
        <v>271</v>
      </c>
      <c r="D1021" s="7">
        <v>25</v>
      </c>
      <c r="E1021" s="8">
        <f>DAY(TableAopCalendar[[#This Row],[Date]])</f>
        <v>14</v>
      </c>
      <c r="F1021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21" s="8" t="str">
        <f t="shared" si="61"/>
        <v>Week 2</v>
      </c>
      <c r="H1021" s="8" t="str">
        <f t="shared" si="62"/>
        <v>January 25 Week 2</v>
      </c>
      <c r="I1021" s="8" t="str">
        <f>CONCATENATE(UPPER(TableAopCalendar[[#This Row],[Month]])," ",TableAopCalendar[[#This Row],[Year]])</f>
        <v>JANUARY 25</v>
      </c>
      <c r="J1021" s="8" t="s">
        <v>274</v>
      </c>
      <c r="K1021" s="8" t="str">
        <f>CONCATENATE(TableAopCalendar[[#This Row],[Month for Plan]]," ",TableAopCalendar[[#This Row],[Plan]])</f>
        <v>JANUARY 25 PLANNED</v>
      </c>
    </row>
    <row r="1022" spans="1:11" x14ac:dyDescent="0.25">
      <c r="A1022" s="8">
        <f t="shared" si="60"/>
        <v>1</v>
      </c>
      <c r="B1022" s="6">
        <v>45672</v>
      </c>
      <c r="C1022" s="7" t="s">
        <v>271</v>
      </c>
      <c r="D1022" s="7">
        <v>25</v>
      </c>
      <c r="E1022" s="8">
        <f>DAY(TableAopCalendar[[#This Row],[Date]])</f>
        <v>15</v>
      </c>
      <c r="F1022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22" s="8" t="str">
        <f t="shared" si="61"/>
        <v>Week 3</v>
      </c>
      <c r="H1022" s="8" t="str">
        <f t="shared" si="62"/>
        <v>January 25 Week 3</v>
      </c>
      <c r="I1022" s="8" t="str">
        <f>CONCATENATE(UPPER(TableAopCalendar[[#This Row],[Month]])," ",TableAopCalendar[[#This Row],[Year]])</f>
        <v>JANUARY 25</v>
      </c>
      <c r="J1022" s="8" t="s">
        <v>274</v>
      </c>
      <c r="K1022" s="8" t="str">
        <f>CONCATENATE(TableAopCalendar[[#This Row],[Month for Plan]]," ",TableAopCalendar[[#This Row],[Plan]])</f>
        <v>JANUARY 25 PLANNED</v>
      </c>
    </row>
    <row r="1023" spans="1:11" x14ac:dyDescent="0.25">
      <c r="A1023" s="8">
        <f t="shared" si="60"/>
        <v>2</v>
      </c>
      <c r="B1023" s="6">
        <v>45673</v>
      </c>
      <c r="C1023" s="7" t="s">
        <v>271</v>
      </c>
      <c r="D1023" s="7">
        <v>25</v>
      </c>
      <c r="E1023" s="8">
        <f>DAY(TableAopCalendar[[#This Row],[Date]])</f>
        <v>16</v>
      </c>
      <c r="F1023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23" s="8" t="str">
        <f t="shared" si="61"/>
        <v>Week 3</v>
      </c>
      <c r="H1023" s="8" t="str">
        <f t="shared" si="62"/>
        <v>January 25 Week 3</v>
      </c>
      <c r="I1023" s="8" t="str">
        <f>CONCATENATE(UPPER(TableAopCalendar[[#This Row],[Month]])," ",TableAopCalendar[[#This Row],[Year]])</f>
        <v>JANUARY 25</v>
      </c>
      <c r="J1023" s="8" t="s">
        <v>274</v>
      </c>
      <c r="K1023" s="8" t="str">
        <f>CONCATENATE(TableAopCalendar[[#This Row],[Month for Plan]]," ",TableAopCalendar[[#This Row],[Plan]])</f>
        <v>JANUARY 25 PLANNED</v>
      </c>
    </row>
    <row r="1024" spans="1:11" x14ac:dyDescent="0.25">
      <c r="A1024" s="8">
        <f t="shared" si="60"/>
        <v>3</v>
      </c>
      <c r="B1024" s="6">
        <v>45674</v>
      </c>
      <c r="C1024" s="7" t="s">
        <v>271</v>
      </c>
      <c r="D1024" s="7">
        <v>25</v>
      </c>
      <c r="E1024" s="8">
        <f>DAY(TableAopCalendar[[#This Row],[Date]])</f>
        <v>17</v>
      </c>
      <c r="F1024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24" s="8" t="str">
        <f t="shared" si="61"/>
        <v>Week 3</v>
      </c>
      <c r="H1024" s="8" t="str">
        <f t="shared" si="62"/>
        <v>January 25 Week 3</v>
      </c>
      <c r="I1024" s="8" t="str">
        <f>CONCATENATE(UPPER(TableAopCalendar[[#This Row],[Month]])," ",TableAopCalendar[[#This Row],[Year]])</f>
        <v>JANUARY 25</v>
      </c>
      <c r="J1024" s="8" t="s">
        <v>274</v>
      </c>
      <c r="K1024" s="8" t="str">
        <f>CONCATENATE(TableAopCalendar[[#This Row],[Month for Plan]]," ",TableAopCalendar[[#This Row],[Plan]])</f>
        <v>JANUARY 25 PLANNED</v>
      </c>
    </row>
    <row r="1025" spans="1:11" x14ac:dyDescent="0.25">
      <c r="A1025" s="8">
        <f t="shared" si="60"/>
        <v>4</v>
      </c>
      <c r="B1025" s="6">
        <v>45675</v>
      </c>
      <c r="C1025" s="7" t="s">
        <v>271</v>
      </c>
      <c r="D1025" s="7">
        <v>25</v>
      </c>
      <c r="E1025" s="8">
        <f>DAY(TableAopCalendar[[#This Row],[Date]])</f>
        <v>18</v>
      </c>
      <c r="F1025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25" s="8" t="str">
        <f t="shared" si="61"/>
        <v>Week 3</v>
      </c>
      <c r="H1025" s="8" t="str">
        <f t="shared" si="62"/>
        <v>January 25 Week 3</v>
      </c>
      <c r="I1025" s="8" t="str">
        <f>CONCATENATE(UPPER(TableAopCalendar[[#This Row],[Month]])," ",TableAopCalendar[[#This Row],[Year]])</f>
        <v>JANUARY 25</v>
      </c>
      <c r="J1025" s="8" t="s">
        <v>274</v>
      </c>
      <c r="K1025" s="8" t="str">
        <f>CONCATENATE(TableAopCalendar[[#This Row],[Month for Plan]]," ",TableAopCalendar[[#This Row],[Plan]])</f>
        <v>JANUARY 25 PLANNED</v>
      </c>
    </row>
    <row r="1026" spans="1:11" x14ac:dyDescent="0.25">
      <c r="A1026" s="8">
        <f t="shared" si="60"/>
        <v>5</v>
      </c>
      <c r="B1026" s="6">
        <v>45676</v>
      </c>
      <c r="C1026" s="7" t="s">
        <v>271</v>
      </c>
      <c r="D1026" s="7">
        <v>25</v>
      </c>
      <c r="E1026" s="8">
        <f>DAY(TableAopCalendar[[#This Row],[Date]])</f>
        <v>19</v>
      </c>
      <c r="F1026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26" s="8" t="str">
        <f t="shared" si="61"/>
        <v>Week 3</v>
      </c>
      <c r="H1026" s="8" t="str">
        <f t="shared" si="62"/>
        <v>January 25 Week 3</v>
      </c>
      <c r="I1026" s="8" t="str">
        <f>CONCATENATE(UPPER(TableAopCalendar[[#This Row],[Month]])," ",TableAopCalendar[[#This Row],[Year]])</f>
        <v>JANUARY 25</v>
      </c>
      <c r="J1026" s="8" t="s">
        <v>274</v>
      </c>
      <c r="K1026" s="8" t="str">
        <f>CONCATENATE(TableAopCalendar[[#This Row],[Month for Plan]]," ",TableAopCalendar[[#This Row],[Plan]])</f>
        <v>JANUARY 25 PLANNED</v>
      </c>
    </row>
    <row r="1027" spans="1:11" x14ac:dyDescent="0.25">
      <c r="A1027" s="8">
        <f t="shared" si="60"/>
        <v>6</v>
      </c>
      <c r="B1027" s="6">
        <v>45677</v>
      </c>
      <c r="C1027" s="7" t="s">
        <v>271</v>
      </c>
      <c r="D1027" s="7">
        <v>25</v>
      </c>
      <c r="E1027" s="8">
        <f>DAY(TableAopCalendar[[#This Row],[Date]])</f>
        <v>20</v>
      </c>
      <c r="F1027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27" s="8" t="str">
        <f t="shared" si="61"/>
        <v>Week 3</v>
      </c>
      <c r="H1027" s="8" t="str">
        <f t="shared" si="62"/>
        <v>January 25 Week 3</v>
      </c>
      <c r="I1027" s="8" t="str">
        <f>CONCATENATE(UPPER(TableAopCalendar[[#This Row],[Month]])," ",TableAopCalendar[[#This Row],[Year]])</f>
        <v>JANUARY 25</v>
      </c>
      <c r="J1027" s="8" t="s">
        <v>274</v>
      </c>
      <c r="K1027" s="8" t="str">
        <f>CONCATENATE(TableAopCalendar[[#This Row],[Month for Plan]]," ",TableAopCalendar[[#This Row],[Plan]])</f>
        <v>JANUARY 25 PLANNED</v>
      </c>
    </row>
    <row r="1028" spans="1:11" x14ac:dyDescent="0.25">
      <c r="A1028" s="8">
        <f t="shared" si="60"/>
        <v>7</v>
      </c>
      <c r="B1028" s="6">
        <v>45678</v>
      </c>
      <c r="C1028" s="7" t="s">
        <v>271</v>
      </c>
      <c r="D1028" s="7">
        <v>25</v>
      </c>
      <c r="E1028" s="8">
        <f>DAY(TableAopCalendar[[#This Row],[Date]])</f>
        <v>21</v>
      </c>
      <c r="F1028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28" s="8" t="str">
        <f t="shared" si="61"/>
        <v>Week 3</v>
      </c>
      <c r="H1028" s="8" t="str">
        <f t="shared" si="62"/>
        <v>January 25 Week 3</v>
      </c>
      <c r="I1028" s="8" t="str">
        <f>CONCATENATE(UPPER(TableAopCalendar[[#This Row],[Month]])," ",TableAopCalendar[[#This Row],[Year]])</f>
        <v>JANUARY 25</v>
      </c>
      <c r="J1028" s="8" t="s">
        <v>274</v>
      </c>
      <c r="K1028" s="8" t="str">
        <f>CONCATENATE(TableAopCalendar[[#This Row],[Month for Plan]]," ",TableAopCalendar[[#This Row],[Plan]])</f>
        <v>JANUARY 25 PLANNED</v>
      </c>
    </row>
    <row r="1029" spans="1:11" x14ac:dyDescent="0.25">
      <c r="A1029" s="8">
        <f t="shared" si="60"/>
        <v>1</v>
      </c>
      <c r="B1029" s="6">
        <v>45679</v>
      </c>
      <c r="C1029" s="7" t="s">
        <v>271</v>
      </c>
      <c r="D1029" s="7">
        <v>25</v>
      </c>
      <c r="E1029" s="8">
        <f>DAY(TableAopCalendar[[#This Row],[Date]])</f>
        <v>22</v>
      </c>
      <c r="F1029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29" s="8" t="str">
        <f t="shared" si="61"/>
        <v>Week 4</v>
      </c>
      <c r="H1029" s="8" t="str">
        <f t="shared" si="62"/>
        <v>January 25 Week 4</v>
      </c>
      <c r="I1029" s="8" t="str">
        <f>CONCATENATE(UPPER(TableAopCalendar[[#This Row],[Month]])," ",TableAopCalendar[[#This Row],[Year]])</f>
        <v>JANUARY 25</v>
      </c>
      <c r="J1029" s="8" t="s">
        <v>274</v>
      </c>
      <c r="K1029" s="8" t="str">
        <f>CONCATENATE(TableAopCalendar[[#This Row],[Month for Plan]]," ",TableAopCalendar[[#This Row],[Plan]])</f>
        <v>JANUARY 25 PLANNED</v>
      </c>
    </row>
    <row r="1030" spans="1:11" x14ac:dyDescent="0.25">
      <c r="A1030" s="8">
        <f t="shared" ref="A1030:A1093" si="63">IF(G1030=G1029,A1029+1,1)</f>
        <v>2</v>
      </c>
      <c r="B1030" s="6">
        <v>45680</v>
      </c>
      <c r="C1030" s="7" t="s">
        <v>271</v>
      </c>
      <c r="D1030" s="7">
        <v>25</v>
      </c>
      <c r="E1030" s="8">
        <f>DAY(TableAopCalendar[[#This Row],[Date]])</f>
        <v>23</v>
      </c>
      <c r="F1030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30" s="8" t="str">
        <f t="shared" ref="G1030:G1093" si="64">"Week"&amp;" "&amp;F1030</f>
        <v>Week 4</v>
      </c>
      <c r="H1030" s="8" t="str">
        <f t="shared" ref="H1030:H1093" si="65">CONCATENATE(C1030," ",D1030," ",G1030)</f>
        <v>January 25 Week 4</v>
      </c>
      <c r="I1030" s="8" t="str">
        <f>CONCATENATE(UPPER(TableAopCalendar[[#This Row],[Month]])," ",TableAopCalendar[[#This Row],[Year]])</f>
        <v>JANUARY 25</v>
      </c>
      <c r="J1030" s="8" t="s">
        <v>274</v>
      </c>
      <c r="K1030" s="8" t="str">
        <f>CONCATENATE(TableAopCalendar[[#This Row],[Month for Plan]]," ",TableAopCalendar[[#This Row],[Plan]])</f>
        <v>JANUARY 25 PLANNED</v>
      </c>
    </row>
    <row r="1031" spans="1:11" x14ac:dyDescent="0.25">
      <c r="A1031" s="8">
        <f t="shared" si="63"/>
        <v>3</v>
      </c>
      <c r="B1031" s="6">
        <v>45681</v>
      </c>
      <c r="C1031" s="7" t="s">
        <v>271</v>
      </c>
      <c r="D1031" s="7">
        <v>25</v>
      </c>
      <c r="E1031" s="8">
        <f>DAY(TableAopCalendar[[#This Row],[Date]])</f>
        <v>24</v>
      </c>
      <c r="F1031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31" s="8" t="str">
        <f t="shared" si="64"/>
        <v>Week 4</v>
      </c>
      <c r="H1031" s="8" t="str">
        <f t="shared" si="65"/>
        <v>January 25 Week 4</v>
      </c>
      <c r="I1031" s="8" t="str">
        <f>CONCATENATE(UPPER(TableAopCalendar[[#This Row],[Month]])," ",TableAopCalendar[[#This Row],[Year]])</f>
        <v>JANUARY 25</v>
      </c>
      <c r="J1031" s="8" t="s">
        <v>274</v>
      </c>
      <c r="K1031" s="8" t="str">
        <f>CONCATENATE(TableAopCalendar[[#This Row],[Month for Plan]]," ",TableAopCalendar[[#This Row],[Plan]])</f>
        <v>JANUARY 25 PLANNED</v>
      </c>
    </row>
    <row r="1032" spans="1:11" x14ac:dyDescent="0.25">
      <c r="A1032" s="8">
        <f t="shared" si="63"/>
        <v>4</v>
      </c>
      <c r="B1032" s="6">
        <v>45682</v>
      </c>
      <c r="C1032" s="7" t="s">
        <v>271</v>
      </c>
      <c r="D1032" s="7">
        <v>25</v>
      </c>
      <c r="E1032" s="8">
        <f>DAY(TableAopCalendar[[#This Row],[Date]])</f>
        <v>25</v>
      </c>
      <c r="F1032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32" s="8" t="str">
        <f t="shared" si="64"/>
        <v>Week 4</v>
      </c>
      <c r="H1032" s="8" t="str">
        <f t="shared" si="65"/>
        <v>January 25 Week 4</v>
      </c>
      <c r="I1032" s="8" t="str">
        <f>CONCATENATE(UPPER(TableAopCalendar[[#This Row],[Month]])," ",TableAopCalendar[[#This Row],[Year]])</f>
        <v>JANUARY 25</v>
      </c>
      <c r="J1032" s="8" t="s">
        <v>274</v>
      </c>
      <c r="K1032" s="8" t="str">
        <f>CONCATENATE(TableAopCalendar[[#This Row],[Month for Plan]]," ",TableAopCalendar[[#This Row],[Plan]])</f>
        <v>JANUARY 25 PLANNED</v>
      </c>
    </row>
    <row r="1033" spans="1:11" x14ac:dyDescent="0.25">
      <c r="A1033" s="8">
        <f t="shared" si="63"/>
        <v>5</v>
      </c>
      <c r="B1033" s="6">
        <v>45683</v>
      </c>
      <c r="C1033" s="7" t="s">
        <v>271</v>
      </c>
      <c r="D1033" s="7">
        <v>25</v>
      </c>
      <c r="E1033" s="8">
        <f>DAY(TableAopCalendar[[#This Row],[Date]])</f>
        <v>26</v>
      </c>
      <c r="F1033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33" s="8" t="str">
        <f t="shared" si="64"/>
        <v>Week 4</v>
      </c>
      <c r="H1033" s="8" t="str">
        <f t="shared" si="65"/>
        <v>January 25 Week 4</v>
      </c>
      <c r="I1033" s="8" t="str">
        <f>CONCATENATE(UPPER(TableAopCalendar[[#This Row],[Month]])," ",TableAopCalendar[[#This Row],[Year]])</f>
        <v>JANUARY 25</v>
      </c>
      <c r="J1033" s="8" t="s">
        <v>274</v>
      </c>
      <c r="K1033" s="8" t="str">
        <f>CONCATENATE(TableAopCalendar[[#This Row],[Month for Plan]]," ",TableAopCalendar[[#This Row],[Plan]])</f>
        <v>JANUARY 25 PLANNED</v>
      </c>
    </row>
    <row r="1034" spans="1:11" x14ac:dyDescent="0.25">
      <c r="A1034" s="8">
        <f t="shared" si="63"/>
        <v>6</v>
      </c>
      <c r="B1034" s="6">
        <v>45684</v>
      </c>
      <c r="C1034" s="7" t="s">
        <v>271</v>
      </c>
      <c r="D1034" s="7">
        <v>25</v>
      </c>
      <c r="E1034" s="8">
        <f>DAY(TableAopCalendar[[#This Row],[Date]])</f>
        <v>27</v>
      </c>
      <c r="F1034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34" s="8" t="str">
        <f t="shared" si="64"/>
        <v>Week 4</v>
      </c>
      <c r="H1034" s="8" t="str">
        <f t="shared" si="65"/>
        <v>January 25 Week 4</v>
      </c>
      <c r="I1034" s="8" t="str">
        <f>CONCATENATE(UPPER(TableAopCalendar[[#This Row],[Month]])," ",TableAopCalendar[[#This Row],[Year]])</f>
        <v>JANUARY 25</v>
      </c>
      <c r="J1034" s="8" t="s">
        <v>274</v>
      </c>
      <c r="K1034" s="8" t="str">
        <f>CONCATENATE(TableAopCalendar[[#This Row],[Month for Plan]]," ",TableAopCalendar[[#This Row],[Plan]])</f>
        <v>JANUARY 25 PLANNED</v>
      </c>
    </row>
    <row r="1035" spans="1:11" x14ac:dyDescent="0.25">
      <c r="A1035" s="8">
        <f t="shared" si="63"/>
        <v>7</v>
      </c>
      <c r="B1035" s="6">
        <v>45685</v>
      </c>
      <c r="C1035" s="7" t="s">
        <v>271</v>
      </c>
      <c r="D1035" s="7">
        <v>25</v>
      </c>
      <c r="E1035" s="8">
        <f>DAY(TableAopCalendar[[#This Row],[Date]])</f>
        <v>28</v>
      </c>
      <c r="F1035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35" s="8" t="str">
        <f t="shared" si="64"/>
        <v>Week 4</v>
      </c>
      <c r="H1035" s="8" t="str">
        <f t="shared" si="65"/>
        <v>January 25 Week 4</v>
      </c>
      <c r="I1035" s="8" t="str">
        <f>CONCATENATE(UPPER(TableAopCalendar[[#This Row],[Month]])," ",TableAopCalendar[[#This Row],[Year]])</f>
        <v>JANUARY 25</v>
      </c>
      <c r="J1035" s="8" t="s">
        <v>274</v>
      </c>
      <c r="K1035" s="8" t="str">
        <f>CONCATENATE(TableAopCalendar[[#This Row],[Month for Plan]]," ",TableAopCalendar[[#This Row],[Plan]])</f>
        <v>JANUARY 25 PLANNED</v>
      </c>
    </row>
    <row r="1036" spans="1:11" x14ac:dyDescent="0.25">
      <c r="A1036" s="8">
        <f t="shared" si="63"/>
        <v>1</v>
      </c>
      <c r="B1036" s="6">
        <v>45686</v>
      </c>
      <c r="C1036" s="7" t="s">
        <v>271</v>
      </c>
      <c r="D1036" s="7">
        <v>25</v>
      </c>
      <c r="E1036" s="8">
        <f>DAY(TableAopCalendar[[#This Row],[Date]])</f>
        <v>29</v>
      </c>
      <c r="F1036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36" s="8" t="str">
        <f t="shared" si="64"/>
        <v>Week 5</v>
      </c>
      <c r="H1036" s="8" t="str">
        <f t="shared" si="65"/>
        <v>January 25 Week 5</v>
      </c>
      <c r="I1036" s="8" t="str">
        <f>CONCATENATE(UPPER(TableAopCalendar[[#This Row],[Month]])," ",TableAopCalendar[[#This Row],[Year]])</f>
        <v>JANUARY 25</v>
      </c>
      <c r="J1036" s="8" t="s">
        <v>274</v>
      </c>
      <c r="K1036" s="8" t="str">
        <f>CONCATENATE(TableAopCalendar[[#This Row],[Month for Plan]]," ",TableAopCalendar[[#This Row],[Plan]])</f>
        <v>JANUARY 25 PLANNED</v>
      </c>
    </row>
    <row r="1037" spans="1:11" x14ac:dyDescent="0.25">
      <c r="A1037" s="8">
        <f t="shared" si="63"/>
        <v>2</v>
      </c>
      <c r="B1037" s="6">
        <v>45687</v>
      </c>
      <c r="C1037" s="7" t="s">
        <v>271</v>
      </c>
      <c r="D1037" s="7">
        <v>25</v>
      </c>
      <c r="E1037" s="8">
        <f>DAY(TableAopCalendar[[#This Row],[Date]])</f>
        <v>30</v>
      </c>
      <c r="F1037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37" s="8" t="str">
        <f t="shared" si="64"/>
        <v>Week 5</v>
      </c>
      <c r="H1037" s="8" t="str">
        <f t="shared" si="65"/>
        <v>January 25 Week 5</v>
      </c>
      <c r="I1037" s="8" t="str">
        <f>CONCATENATE(UPPER(TableAopCalendar[[#This Row],[Month]])," ",TableAopCalendar[[#This Row],[Year]])</f>
        <v>JANUARY 25</v>
      </c>
      <c r="J1037" s="8" t="s">
        <v>274</v>
      </c>
      <c r="K1037" s="8" t="str">
        <f>CONCATENATE(TableAopCalendar[[#This Row],[Month for Plan]]," ",TableAopCalendar[[#This Row],[Plan]])</f>
        <v>JANUARY 25 PLANNED</v>
      </c>
    </row>
    <row r="1038" spans="1:11" x14ac:dyDescent="0.25">
      <c r="A1038" s="8">
        <f t="shared" si="63"/>
        <v>3</v>
      </c>
      <c r="B1038" s="6">
        <v>45688</v>
      </c>
      <c r="C1038" s="7" t="s">
        <v>271</v>
      </c>
      <c r="D1038" s="7">
        <v>25</v>
      </c>
      <c r="E1038" s="8">
        <f>DAY(TableAopCalendar[[#This Row],[Date]])</f>
        <v>31</v>
      </c>
      <c r="F1038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38" s="8" t="str">
        <f t="shared" si="64"/>
        <v>Week 5</v>
      </c>
      <c r="H1038" s="8" t="str">
        <f t="shared" si="65"/>
        <v>January 25 Week 5</v>
      </c>
      <c r="I1038" s="8" t="str">
        <f>CONCATENATE(UPPER(TableAopCalendar[[#This Row],[Month]])," ",TableAopCalendar[[#This Row],[Year]])</f>
        <v>JANUARY 25</v>
      </c>
      <c r="J1038" s="8" t="s">
        <v>274</v>
      </c>
      <c r="K1038" s="8" t="str">
        <f>CONCATENATE(TableAopCalendar[[#This Row],[Month for Plan]]," ",TableAopCalendar[[#This Row],[Plan]])</f>
        <v>JANUARY 25 PLANNED</v>
      </c>
    </row>
    <row r="1039" spans="1:11" x14ac:dyDescent="0.25">
      <c r="A1039" s="8">
        <f t="shared" si="63"/>
        <v>1</v>
      </c>
      <c r="B1039" s="6">
        <v>45689</v>
      </c>
      <c r="C1039" s="7" t="s">
        <v>272</v>
      </c>
      <c r="D1039" s="7">
        <v>25</v>
      </c>
      <c r="E1039" s="8">
        <f>DAY(TableAopCalendar[[#This Row],[Date]])</f>
        <v>1</v>
      </c>
      <c r="F1039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39" s="8" t="str">
        <f t="shared" si="64"/>
        <v>Week 1</v>
      </c>
      <c r="H1039" s="8" t="str">
        <f t="shared" si="65"/>
        <v>February 25 Week 1</v>
      </c>
      <c r="I1039" s="8" t="str">
        <f>CONCATENATE(UPPER(TableAopCalendar[[#This Row],[Month]])," ",TableAopCalendar[[#This Row],[Year]])</f>
        <v>FEBRUARY 25</v>
      </c>
      <c r="J1039" s="8" t="s">
        <v>274</v>
      </c>
      <c r="K1039" s="8" t="str">
        <f>CONCATENATE(TableAopCalendar[[#This Row],[Month for Plan]]," ",TableAopCalendar[[#This Row],[Plan]])</f>
        <v>FEBRUARY 25 PLANNED</v>
      </c>
    </row>
    <row r="1040" spans="1:11" x14ac:dyDescent="0.25">
      <c r="A1040" s="8">
        <f t="shared" si="63"/>
        <v>2</v>
      </c>
      <c r="B1040" s="6">
        <v>45690</v>
      </c>
      <c r="C1040" s="7" t="s">
        <v>272</v>
      </c>
      <c r="D1040" s="7">
        <v>25</v>
      </c>
      <c r="E1040" s="8">
        <f>DAY(TableAopCalendar[[#This Row],[Date]])</f>
        <v>2</v>
      </c>
      <c r="F1040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40" s="8" t="str">
        <f t="shared" si="64"/>
        <v>Week 1</v>
      </c>
      <c r="H1040" s="8" t="str">
        <f t="shared" si="65"/>
        <v>February 25 Week 1</v>
      </c>
      <c r="I1040" s="8" t="str">
        <f>CONCATENATE(UPPER(TableAopCalendar[[#This Row],[Month]])," ",TableAopCalendar[[#This Row],[Year]])</f>
        <v>FEBRUARY 25</v>
      </c>
      <c r="J1040" s="8" t="s">
        <v>274</v>
      </c>
      <c r="K1040" s="8" t="str">
        <f>CONCATENATE(TableAopCalendar[[#This Row],[Month for Plan]]," ",TableAopCalendar[[#This Row],[Plan]])</f>
        <v>FEBRUARY 25 PLANNED</v>
      </c>
    </row>
    <row r="1041" spans="1:11" x14ac:dyDescent="0.25">
      <c r="A1041" s="8">
        <f t="shared" si="63"/>
        <v>3</v>
      </c>
      <c r="B1041" s="6">
        <v>45691</v>
      </c>
      <c r="C1041" s="7" t="s">
        <v>272</v>
      </c>
      <c r="D1041" s="7">
        <v>25</v>
      </c>
      <c r="E1041" s="8">
        <f>DAY(TableAopCalendar[[#This Row],[Date]])</f>
        <v>3</v>
      </c>
      <c r="F1041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41" s="8" t="str">
        <f t="shared" si="64"/>
        <v>Week 1</v>
      </c>
      <c r="H1041" s="8" t="str">
        <f t="shared" si="65"/>
        <v>February 25 Week 1</v>
      </c>
      <c r="I1041" s="8" t="str">
        <f>CONCATENATE(UPPER(TableAopCalendar[[#This Row],[Month]])," ",TableAopCalendar[[#This Row],[Year]])</f>
        <v>FEBRUARY 25</v>
      </c>
      <c r="J1041" s="8" t="s">
        <v>274</v>
      </c>
      <c r="K1041" s="8" t="str">
        <f>CONCATENATE(TableAopCalendar[[#This Row],[Month for Plan]]," ",TableAopCalendar[[#This Row],[Plan]])</f>
        <v>FEBRUARY 25 PLANNED</v>
      </c>
    </row>
    <row r="1042" spans="1:11" x14ac:dyDescent="0.25">
      <c r="A1042" s="8">
        <f t="shared" si="63"/>
        <v>4</v>
      </c>
      <c r="B1042" s="6">
        <v>45692</v>
      </c>
      <c r="C1042" s="7" t="s">
        <v>272</v>
      </c>
      <c r="D1042" s="7">
        <v>25</v>
      </c>
      <c r="E1042" s="8">
        <f>DAY(TableAopCalendar[[#This Row],[Date]])</f>
        <v>4</v>
      </c>
      <c r="F1042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42" s="8" t="str">
        <f t="shared" si="64"/>
        <v>Week 1</v>
      </c>
      <c r="H1042" s="8" t="str">
        <f t="shared" si="65"/>
        <v>February 25 Week 1</v>
      </c>
      <c r="I1042" s="8" t="str">
        <f>CONCATENATE(UPPER(TableAopCalendar[[#This Row],[Month]])," ",TableAopCalendar[[#This Row],[Year]])</f>
        <v>FEBRUARY 25</v>
      </c>
      <c r="J1042" s="8" t="s">
        <v>274</v>
      </c>
      <c r="K1042" s="8" t="str">
        <f>CONCATENATE(TableAopCalendar[[#This Row],[Month for Plan]]," ",TableAopCalendar[[#This Row],[Plan]])</f>
        <v>FEBRUARY 25 PLANNED</v>
      </c>
    </row>
    <row r="1043" spans="1:11" x14ac:dyDescent="0.25">
      <c r="A1043" s="8">
        <f t="shared" si="63"/>
        <v>5</v>
      </c>
      <c r="B1043" s="6">
        <v>45693</v>
      </c>
      <c r="C1043" s="7" t="s">
        <v>272</v>
      </c>
      <c r="D1043" s="7">
        <v>25</v>
      </c>
      <c r="E1043" s="8">
        <f>DAY(TableAopCalendar[[#This Row],[Date]])</f>
        <v>5</v>
      </c>
      <c r="F1043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43" s="8" t="str">
        <f t="shared" si="64"/>
        <v>Week 1</v>
      </c>
      <c r="H1043" s="8" t="str">
        <f t="shared" si="65"/>
        <v>February 25 Week 1</v>
      </c>
      <c r="I1043" s="8" t="str">
        <f>CONCATENATE(UPPER(TableAopCalendar[[#This Row],[Month]])," ",TableAopCalendar[[#This Row],[Year]])</f>
        <v>FEBRUARY 25</v>
      </c>
      <c r="J1043" s="8" t="s">
        <v>274</v>
      </c>
      <c r="K1043" s="8" t="str">
        <f>CONCATENATE(TableAopCalendar[[#This Row],[Month for Plan]]," ",TableAopCalendar[[#This Row],[Plan]])</f>
        <v>FEBRUARY 25 PLANNED</v>
      </c>
    </row>
    <row r="1044" spans="1:11" x14ac:dyDescent="0.25">
      <c r="A1044" s="8">
        <f t="shared" si="63"/>
        <v>6</v>
      </c>
      <c r="B1044" s="6">
        <v>45694</v>
      </c>
      <c r="C1044" s="7" t="s">
        <v>272</v>
      </c>
      <c r="D1044" s="7">
        <v>25</v>
      </c>
      <c r="E1044" s="8">
        <f>DAY(TableAopCalendar[[#This Row],[Date]])</f>
        <v>6</v>
      </c>
      <c r="F1044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44" s="8" t="str">
        <f t="shared" si="64"/>
        <v>Week 1</v>
      </c>
      <c r="H1044" s="8" t="str">
        <f t="shared" si="65"/>
        <v>February 25 Week 1</v>
      </c>
      <c r="I1044" s="8" t="str">
        <f>CONCATENATE(UPPER(TableAopCalendar[[#This Row],[Month]])," ",TableAopCalendar[[#This Row],[Year]])</f>
        <v>FEBRUARY 25</v>
      </c>
      <c r="J1044" s="8" t="s">
        <v>274</v>
      </c>
      <c r="K1044" s="8" t="str">
        <f>CONCATENATE(TableAopCalendar[[#This Row],[Month for Plan]]," ",TableAopCalendar[[#This Row],[Plan]])</f>
        <v>FEBRUARY 25 PLANNED</v>
      </c>
    </row>
    <row r="1045" spans="1:11" x14ac:dyDescent="0.25">
      <c r="A1045" s="8">
        <f t="shared" si="63"/>
        <v>7</v>
      </c>
      <c r="B1045" s="6">
        <v>45695</v>
      </c>
      <c r="C1045" s="7" t="s">
        <v>272</v>
      </c>
      <c r="D1045" s="7">
        <v>25</v>
      </c>
      <c r="E1045" s="8">
        <f>DAY(TableAopCalendar[[#This Row],[Date]])</f>
        <v>7</v>
      </c>
      <c r="F1045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45" s="8" t="str">
        <f t="shared" si="64"/>
        <v>Week 1</v>
      </c>
      <c r="H1045" s="8" t="str">
        <f t="shared" si="65"/>
        <v>February 25 Week 1</v>
      </c>
      <c r="I1045" s="8" t="str">
        <f>CONCATENATE(UPPER(TableAopCalendar[[#This Row],[Month]])," ",TableAopCalendar[[#This Row],[Year]])</f>
        <v>FEBRUARY 25</v>
      </c>
      <c r="J1045" s="8" t="s">
        <v>274</v>
      </c>
      <c r="K1045" s="8" t="str">
        <f>CONCATENATE(TableAopCalendar[[#This Row],[Month for Plan]]," ",TableAopCalendar[[#This Row],[Plan]])</f>
        <v>FEBRUARY 25 PLANNED</v>
      </c>
    </row>
    <row r="1046" spans="1:11" x14ac:dyDescent="0.25">
      <c r="A1046" s="8">
        <f t="shared" si="63"/>
        <v>1</v>
      </c>
      <c r="B1046" s="6">
        <v>45696</v>
      </c>
      <c r="C1046" s="7" t="s">
        <v>272</v>
      </c>
      <c r="D1046" s="7">
        <v>25</v>
      </c>
      <c r="E1046" s="8">
        <f>DAY(TableAopCalendar[[#This Row],[Date]])</f>
        <v>8</v>
      </c>
      <c r="F1046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46" s="8" t="str">
        <f t="shared" si="64"/>
        <v>Week 2</v>
      </c>
      <c r="H1046" s="8" t="str">
        <f t="shared" si="65"/>
        <v>February 25 Week 2</v>
      </c>
      <c r="I1046" s="8" t="str">
        <f>CONCATENATE(UPPER(TableAopCalendar[[#This Row],[Month]])," ",TableAopCalendar[[#This Row],[Year]])</f>
        <v>FEBRUARY 25</v>
      </c>
      <c r="J1046" s="8" t="s">
        <v>274</v>
      </c>
      <c r="K1046" s="8" t="str">
        <f>CONCATENATE(TableAopCalendar[[#This Row],[Month for Plan]]," ",TableAopCalendar[[#This Row],[Plan]])</f>
        <v>FEBRUARY 25 PLANNED</v>
      </c>
    </row>
    <row r="1047" spans="1:11" x14ac:dyDescent="0.25">
      <c r="A1047" s="8">
        <f t="shared" si="63"/>
        <v>2</v>
      </c>
      <c r="B1047" s="6">
        <v>45697</v>
      </c>
      <c r="C1047" s="7" t="s">
        <v>272</v>
      </c>
      <c r="D1047" s="7">
        <v>25</v>
      </c>
      <c r="E1047" s="8">
        <f>DAY(TableAopCalendar[[#This Row],[Date]])</f>
        <v>9</v>
      </c>
      <c r="F1047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47" s="8" t="str">
        <f t="shared" si="64"/>
        <v>Week 2</v>
      </c>
      <c r="H1047" s="8" t="str">
        <f t="shared" si="65"/>
        <v>February 25 Week 2</v>
      </c>
      <c r="I1047" s="8" t="str">
        <f>CONCATENATE(UPPER(TableAopCalendar[[#This Row],[Month]])," ",TableAopCalendar[[#This Row],[Year]])</f>
        <v>FEBRUARY 25</v>
      </c>
      <c r="J1047" s="8" t="s">
        <v>274</v>
      </c>
      <c r="K1047" s="8" t="str">
        <f>CONCATENATE(TableAopCalendar[[#This Row],[Month for Plan]]," ",TableAopCalendar[[#This Row],[Plan]])</f>
        <v>FEBRUARY 25 PLANNED</v>
      </c>
    </row>
    <row r="1048" spans="1:11" x14ac:dyDescent="0.25">
      <c r="A1048" s="8">
        <f t="shared" si="63"/>
        <v>3</v>
      </c>
      <c r="B1048" s="6">
        <v>45698</v>
      </c>
      <c r="C1048" s="7" t="s">
        <v>272</v>
      </c>
      <c r="D1048" s="7">
        <v>25</v>
      </c>
      <c r="E1048" s="8">
        <f>DAY(TableAopCalendar[[#This Row],[Date]])</f>
        <v>10</v>
      </c>
      <c r="F1048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48" s="8" t="str">
        <f t="shared" si="64"/>
        <v>Week 2</v>
      </c>
      <c r="H1048" s="8" t="str">
        <f t="shared" si="65"/>
        <v>February 25 Week 2</v>
      </c>
      <c r="I1048" s="8" t="str">
        <f>CONCATENATE(UPPER(TableAopCalendar[[#This Row],[Month]])," ",TableAopCalendar[[#This Row],[Year]])</f>
        <v>FEBRUARY 25</v>
      </c>
      <c r="J1048" s="8" t="s">
        <v>274</v>
      </c>
      <c r="K1048" s="8" t="str">
        <f>CONCATENATE(TableAopCalendar[[#This Row],[Month for Plan]]," ",TableAopCalendar[[#This Row],[Plan]])</f>
        <v>FEBRUARY 25 PLANNED</v>
      </c>
    </row>
    <row r="1049" spans="1:11" x14ac:dyDescent="0.25">
      <c r="A1049" s="8">
        <f t="shared" si="63"/>
        <v>4</v>
      </c>
      <c r="B1049" s="6">
        <v>45699</v>
      </c>
      <c r="C1049" s="7" t="s">
        <v>272</v>
      </c>
      <c r="D1049" s="7">
        <v>25</v>
      </c>
      <c r="E1049" s="8">
        <f>DAY(TableAopCalendar[[#This Row],[Date]])</f>
        <v>11</v>
      </c>
      <c r="F1049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49" s="8" t="str">
        <f t="shared" si="64"/>
        <v>Week 2</v>
      </c>
      <c r="H1049" s="8" t="str">
        <f t="shared" si="65"/>
        <v>February 25 Week 2</v>
      </c>
      <c r="I1049" s="8" t="str">
        <f>CONCATENATE(UPPER(TableAopCalendar[[#This Row],[Month]])," ",TableAopCalendar[[#This Row],[Year]])</f>
        <v>FEBRUARY 25</v>
      </c>
      <c r="J1049" s="8" t="s">
        <v>274</v>
      </c>
      <c r="K1049" s="8" t="str">
        <f>CONCATENATE(TableAopCalendar[[#This Row],[Month for Plan]]," ",TableAopCalendar[[#This Row],[Plan]])</f>
        <v>FEBRUARY 25 PLANNED</v>
      </c>
    </row>
    <row r="1050" spans="1:11" x14ac:dyDescent="0.25">
      <c r="A1050" s="8">
        <f t="shared" si="63"/>
        <v>5</v>
      </c>
      <c r="B1050" s="6">
        <v>45700</v>
      </c>
      <c r="C1050" s="7" t="s">
        <v>272</v>
      </c>
      <c r="D1050" s="7">
        <v>25</v>
      </c>
      <c r="E1050" s="8">
        <f>DAY(TableAopCalendar[[#This Row],[Date]])</f>
        <v>12</v>
      </c>
      <c r="F1050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50" s="8" t="str">
        <f t="shared" si="64"/>
        <v>Week 2</v>
      </c>
      <c r="H1050" s="8" t="str">
        <f t="shared" si="65"/>
        <v>February 25 Week 2</v>
      </c>
      <c r="I1050" s="8" t="str">
        <f>CONCATENATE(UPPER(TableAopCalendar[[#This Row],[Month]])," ",TableAopCalendar[[#This Row],[Year]])</f>
        <v>FEBRUARY 25</v>
      </c>
      <c r="J1050" s="8" t="s">
        <v>274</v>
      </c>
      <c r="K1050" s="8" t="str">
        <f>CONCATENATE(TableAopCalendar[[#This Row],[Month for Plan]]," ",TableAopCalendar[[#This Row],[Plan]])</f>
        <v>FEBRUARY 25 PLANNED</v>
      </c>
    </row>
    <row r="1051" spans="1:11" x14ac:dyDescent="0.25">
      <c r="A1051" s="8">
        <f t="shared" si="63"/>
        <v>6</v>
      </c>
      <c r="B1051" s="6">
        <v>45701</v>
      </c>
      <c r="C1051" s="7" t="s">
        <v>272</v>
      </c>
      <c r="D1051" s="7">
        <v>25</v>
      </c>
      <c r="E1051" s="8">
        <f>DAY(TableAopCalendar[[#This Row],[Date]])</f>
        <v>13</v>
      </c>
      <c r="F1051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51" s="8" t="str">
        <f t="shared" si="64"/>
        <v>Week 2</v>
      </c>
      <c r="H1051" s="8" t="str">
        <f t="shared" si="65"/>
        <v>February 25 Week 2</v>
      </c>
      <c r="I1051" s="8" t="str">
        <f>CONCATENATE(UPPER(TableAopCalendar[[#This Row],[Month]])," ",TableAopCalendar[[#This Row],[Year]])</f>
        <v>FEBRUARY 25</v>
      </c>
      <c r="J1051" s="8" t="s">
        <v>274</v>
      </c>
      <c r="K1051" s="8" t="str">
        <f>CONCATENATE(TableAopCalendar[[#This Row],[Month for Plan]]," ",TableAopCalendar[[#This Row],[Plan]])</f>
        <v>FEBRUARY 25 PLANNED</v>
      </c>
    </row>
    <row r="1052" spans="1:11" x14ac:dyDescent="0.25">
      <c r="A1052" s="8">
        <f t="shared" si="63"/>
        <v>7</v>
      </c>
      <c r="B1052" s="6">
        <v>45702</v>
      </c>
      <c r="C1052" s="7" t="s">
        <v>272</v>
      </c>
      <c r="D1052" s="7">
        <v>25</v>
      </c>
      <c r="E1052" s="8">
        <f>DAY(TableAopCalendar[[#This Row],[Date]])</f>
        <v>14</v>
      </c>
      <c r="F1052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52" s="8" t="str">
        <f t="shared" si="64"/>
        <v>Week 2</v>
      </c>
      <c r="H1052" s="8" t="str">
        <f t="shared" si="65"/>
        <v>February 25 Week 2</v>
      </c>
      <c r="I1052" s="8" t="str">
        <f>CONCATENATE(UPPER(TableAopCalendar[[#This Row],[Month]])," ",TableAopCalendar[[#This Row],[Year]])</f>
        <v>FEBRUARY 25</v>
      </c>
      <c r="J1052" s="8" t="s">
        <v>274</v>
      </c>
      <c r="K1052" s="8" t="str">
        <f>CONCATENATE(TableAopCalendar[[#This Row],[Month for Plan]]," ",TableAopCalendar[[#This Row],[Plan]])</f>
        <v>FEBRUARY 25 PLANNED</v>
      </c>
    </row>
    <row r="1053" spans="1:11" x14ac:dyDescent="0.25">
      <c r="A1053" s="8">
        <f t="shared" si="63"/>
        <v>1</v>
      </c>
      <c r="B1053" s="6">
        <v>45703</v>
      </c>
      <c r="C1053" s="7" t="s">
        <v>272</v>
      </c>
      <c r="D1053" s="7">
        <v>25</v>
      </c>
      <c r="E1053" s="8">
        <f>DAY(TableAopCalendar[[#This Row],[Date]])</f>
        <v>15</v>
      </c>
      <c r="F1053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53" s="8" t="str">
        <f t="shared" si="64"/>
        <v>Week 3</v>
      </c>
      <c r="H1053" s="8" t="str">
        <f t="shared" si="65"/>
        <v>February 25 Week 3</v>
      </c>
      <c r="I1053" s="8" t="str">
        <f>CONCATENATE(UPPER(TableAopCalendar[[#This Row],[Month]])," ",TableAopCalendar[[#This Row],[Year]])</f>
        <v>FEBRUARY 25</v>
      </c>
      <c r="J1053" s="8" t="s">
        <v>274</v>
      </c>
      <c r="K1053" s="8" t="str">
        <f>CONCATENATE(TableAopCalendar[[#This Row],[Month for Plan]]," ",TableAopCalendar[[#This Row],[Plan]])</f>
        <v>FEBRUARY 25 PLANNED</v>
      </c>
    </row>
    <row r="1054" spans="1:11" x14ac:dyDescent="0.25">
      <c r="A1054" s="8">
        <f t="shared" si="63"/>
        <v>2</v>
      </c>
      <c r="B1054" s="6">
        <v>45704</v>
      </c>
      <c r="C1054" s="7" t="s">
        <v>272</v>
      </c>
      <c r="D1054" s="7">
        <v>25</v>
      </c>
      <c r="E1054" s="8">
        <f>DAY(TableAopCalendar[[#This Row],[Date]])</f>
        <v>16</v>
      </c>
      <c r="F1054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54" s="8" t="str">
        <f t="shared" si="64"/>
        <v>Week 3</v>
      </c>
      <c r="H1054" s="8" t="str">
        <f t="shared" si="65"/>
        <v>February 25 Week 3</v>
      </c>
      <c r="I1054" s="8" t="str">
        <f>CONCATENATE(UPPER(TableAopCalendar[[#This Row],[Month]])," ",TableAopCalendar[[#This Row],[Year]])</f>
        <v>FEBRUARY 25</v>
      </c>
      <c r="J1054" s="8" t="s">
        <v>274</v>
      </c>
      <c r="K1054" s="8" t="str">
        <f>CONCATENATE(TableAopCalendar[[#This Row],[Month for Plan]]," ",TableAopCalendar[[#This Row],[Plan]])</f>
        <v>FEBRUARY 25 PLANNED</v>
      </c>
    </row>
    <row r="1055" spans="1:11" x14ac:dyDescent="0.25">
      <c r="A1055" s="8">
        <f t="shared" si="63"/>
        <v>3</v>
      </c>
      <c r="B1055" s="6">
        <v>45705</v>
      </c>
      <c r="C1055" s="7" t="s">
        <v>272</v>
      </c>
      <c r="D1055" s="7">
        <v>25</v>
      </c>
      <c r="E1055" s="8">
        <f>DAY(TableAopCalendar[[#This Row],[Date]])</f>
        <v>17</v>
      </c>
      <c r="F1055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55" s="8" t="str">
        <f t="shared" si="64"/>
        <v>Week 3</v>
      </c>
      <c r="H1055" s="8" t="str">
        <f t="shared" si="65"/>
        <v>February 25 Week 3</v>
      </c>
      <c r="I1055" s="8" t="str">
        <f>CONCATENATE(UPPER(TableAopCalendar[[#This Row],[Month]])," ",TableAopCalendar[[#This Row],[Year]])</f>
        <v>FEBRUARY 25</v>
      </c>
      <c r="J1055" s="8" t="s">
        <v>274</v>
      </c>
      <c r="K1055" s="8" t="str">
        <f>CONCATENATE(TableAopCalendar[[#This Row],[Month for Plan]]," ",TableAopCalendar[[#This Row],[Plan]])</f>
        <v>FEBRUARY 25 PLANNED</v>
      </c>
    </row>
    <row r="1056" spans="1:11" x14ac:dyDescent="0.25">
      <c r="A1056" s="8">
        <f t="shared" si="63"/>
        <v>4</v>
      </c>
      <c r="B1056" s="6">
        <v>45706</v>
      </c>
      <c r="C1056" s="7" t="s">
        <v>272</v>
      </c>
      <c r="D1056" s="7">
        <v>25</v>
      </c>
      <c r="E1056" s="8">
        <f>DAY(TableAopCalendar[[#This Row],[Date]])</f>
        <v>18</v>
      </c>
      <c r="F1056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56" s="8" t="str">
        <f t="shared" si="64"/>
        <v>Week 3</v>
      </c>
      <c r="H1056" s="8" t="str">
        <f t="shared" si="65"/>
        <v>February 25 Week 3</v>
      </c>
      <c r="I1056" s="8" t="str">
        <f>CONCATENATE(UPPER(TableAopCalendar[[#This Row],[Month]])," ",TableAopCalendar[[#This Row],[Year]])</f>
        <v>FEBRUARY 25</v>
      </c>
      <c r="J1056" s="8" t="s">
        <v>274</v>
      </c>
      <c r="K1056" s="8" t="str">
        <f>CONCATENATE(TableAopCalendar[[#This Row],[Month for Plan]]," ",TableAopCalendar[[#This Row],[Plan]])</f>
        <v>FEBRUARY 25 PLANNED</v>
      </c>
    </row>
    <row r="1057" spans="1:11" x14ac:dyDescent="0.25">
      <c r="A1057" s="8">
        <f t="shared" si="63"/>
        <v>5</v>
      </c>
      <c r="B1057" s="6">
        <v>45707</v>
      </c>
      <c r="C1057" s="7" t="s">
        <v>272</v>
      </c>
      <c r="D1057" s="7">
        <v>25</v>
      </c>
      <c r="E1057" s="8">
        <f>DAY(TableAopCalendar[[#This Row],[Date]])</f>
        <v>19</v>
      </c>
      <c r="F1057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57" s="8" t="str">
        <f t="shared" si="64"/>
        <v>Week 3</v>
      </c>
      <c r="H1057" s="8" t="str">
        <f t="shared" si="65"/>
        <v>February 25 Week 3</v>
      </c>
      <c r="I1057" s="8" t="str">
        <f>CONCATENATE(UPPER(TableAopCalendar[[#This Row],[Month]])," ",TableAopCalendar[[#This Row],[Year]])</f>
        <v>FEBRUARY 25</v>
      </c>
      <c r="J1057" s="8" t="s">
        <v>274</v>
      </c>
      <c r="K1057" s="8" t="str">
        <f>CONCATENATE(TableAopCalendar[[#This Row],[Month for Plan]]," ",TableAopCalendar[[#This Row],[Plan]])</f>
        <v>FEBRUARY 25 PLANNED</v>
      </c>
    </row>
    <row r="1058" spans="1:11" x14ac:dyDescent="0.25">
      <c r="A1058" s="8">
        <f t="shared" si="63"/>
        <v>6</v>
      </c>
      <c r="B1058" s="6">
        <v>45708</v>
      </c>
      <c r="C1058" s="7" t="s">
        <v>272</v>
      </c>
      <c r="D1058" s="7">
        <v>25</v>
      </c>
      <c r="E1058" s="8">
        <f>DAY(TableAopCalendar[[#This Row],[Date]])</f>
        <v>20</v>
      </c>
      <c r="F1058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58" s="8" t="str">
        <f t="shared" si="64"/>
        <v>Week 3</v>
      </c>
      <c r="H1058" s="8" t="str">
        <f t="shared" si="65"/>
        <v>February 25 Week 3</v>
      </c>
      <c r="I1058" s="8" t="str">
        <f>CONCATENATE(UPPER(TableAopCalendar[[#This Row],[Month]])," ",TableAopCalendar[[#This Row],[Year]])</f>
        <v>FEBRUARY 25</v>
      </c>
      <c r="J1058" s="8" t="s">
        <v>274</v>
      </c>
      <c r="K1058" s="8" t="str">
        <f>CONCATENATE(TableAopCalendar[[#This Row],[Month for Plan]]," ",TableAopCalendar[[#This Row],[Plan]])</f>
        <v>FEBRUARY 25 PLANNED</v>
      </c>
    </row>
    <row r="1059" spans="1:11" x14ac:dyDescent="0.25">
      <c r="A1059" s="8">
        <f t="shared" si="63"/>
        <v>7</v>
      </c>
      <c r="B1059" s="6">
        <v>45709</v>
      </c>
      <c r="C1059" s="7" t="s">
        <v>272</v>
      </c>
      <c r="D1059" s="7">
        <v>25</v>
      </c>
      <c r="E1059" s="8">
        <f>DAY(TableAopCalendar[[#This Row],[Date]])</f>
        <v>21</v>
      </c>
      <c r="F1059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59" s="8" t="str">
        <f t="shared" si="64"/>
        <v>Week 3</v>
      </c>
      <c r="H1059" s="8" t="str">
        <f t="shared" si="65"/>
        <v>February 25 Week 3</v>
      </c>
      <c r="I1059" s="8" t="str">
        <f>CONCATENATE(UPPER(TableAopCalendar[[#This Row],[Month]])," ",TableAopCalendar[[#This Row],[Year]])</f>
        <v>FEBRUARY 25</v>
      </c>
      <c r="J1059" s="8" t="s">
        <v>274</v>
      </c>
      <c r="K1059" s="8" t="str">
        <f>CONCATENATE(TableAopCalendar[[#This Row],[Month for Plan]]," ",TableAopCalendar[[#This Row],[Plan]])</f>
        <v>FEBRUARY 25 PLANNED</v>
      </c>
    </row>
    <row r="1060" spans="1:11" x14ac:dyDescent="0.25">
      <c r="A1060" s="8">
        <f t="shared" si="63"/>
        <v>1</v>
      </c>
      <c r="B1060" s="6">
        <v>45710</v>
      </c>
      <c r="C1060" s="7" t="s">
        <v>272</v>
      </c>
      <c r="D1060" s="7">
        <v>25</v>
      </c>
      <c r="E1060" s="8">
        <f>DAY(TableAopCalendar[[#This Row],[Date]])</f>
        <v>22</v>
      </c>
      <c r="F1060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60" s="8" t="str">
        <f t="shared" si="64"/>
        <v>Week 4</v>
      </c>
      <c r="H1060" s="8" t="str">
        <f t="shared" si="65"/>
        <v>February 25 Week 4</v>
      </c>
      <c r="I1060" s="8" t="str">
        <f>CONCATENATE(UPPER(TableAopCalendar[[#This Row],[Month]])," ",TableAopCalendar[[#This Row],[Year]])</f>
        <v>FEBRUARY 25</v>
      </c>
      <c r="J1060" s="8" t="s">
        <v>274</v>
      </c>
      <c r="K1060" s="8" t="str">
        <f>CONCATENATE(TableAopCalendar[[#This Row],[Month for Plan]]," ",TableAopCalendar[[#This Row],[Plan]])</f>
        <v>FEBRUARY 25 PLANNED</v>
      </c>
    </row>
    <row r="1061" spans="1:11" x14ac:dyDescent="0.25">
      <c r="A1061" s="8">
        <f t="shared" si="63"/>
        <v>2</v>
      </c>
      <c r="B1061" s="6">
        <v>45711</v>
      </c>
      <c r="C1061" s="7" t="s">
        <v>272</v>
      </c>
      <c r="D1061" s="7">
        <v>25</v>
      </c>
      <c r="E1061" s="8">
        <f>DAY(TableAopCalendar[[#This Row],[Date]])</f>
        <v>23</v>
      </c>
      <c r="F1061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61" s="8" t="str">
        <f t="shared" si="64"/>
        <v>Week 4</v>
      </c>
      <c r="H1061" s="8" t="str">
        <f t="shared" si="65"/>
        <v>February 25 Week 4</v>
      </c>
      <c r="I1061" s="8" t="str">
        <f>CONCATENATE(UPPER(TableAopCalendar[[#This Row],[Month]])," ",TableAopCalendar[[#This Row],[Year]])</f>
        <v>FEBRUARY 25</v>
      </c>
      <c r="J1061" s="8" t="s">
        <v>274</v>
      </c>
      <c r="K1061" s="8" t="str">
        <f>CONCATENATE(TableAopCalendar[[#This Row],[Month for Plan]]," ",TableAopCalendar[[#This Row],[Plan]])</f>
        <v>FEBRUARY 25 PLANNED</v>
      </c>
    </row>
    <row r="1062" spans="1:11" x14ac:dyDescent="0.25">
      <c r="A1062" s="8">
        <f t="shared" si="63"/>
        <v>3</v>
      </c>
      <c r="B1062" s="6">
        <v>45712</v>
      </c>
      <c r="C1062" s="7" t="s">
        <v>272</v>
      </c>
      <c r="D1062" s="7">
        <v>25</v>
      </c>
      <c r="E1062" s="8">
        <f>DAY(TableAopCalendar[[#This Row],[Date]])</f>
        <v>24</v>
      </c>
      <c r="F1062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62" s="8" t="str">
        <f t="shared" si="64"/>
        <v>Week 4</v>
      </c>
      <c r="H1062" s="8" t="str">
        <f t="shared" si="65"/>
        <v>February 25 Week 4</v>
      </c>
      <c r="I1062" s="8" t="str">
        <f>CONCATENATE(UPPER(TableAopCalendar[[#This Row],[Month]])," ",TableAopCalendar[[#This Row],[Year]])</f>
        <v>FEBRUARY 25</v>
      </c>
      <c r="J1062" s="8" t="s">
        <v>274</v>
      </c>
      <c r="K1062" s="8" t="str">
        <f>CONCATENATE(TableAopCalendar[[#This Row],[Month for Plan]]," ",TableAopCalendar[[#This Row],[Plan]])</f>
        <v>FEBRUARY 25 PLANNED</v>
      </c>
    </row>
    <row r="1063" spans="1:11" x14ac:dyDescent="0.25">
      <c r="A1063" s="8">
        <f t="shared" si="63"/>
        <v>4</v>
      </c>
      <c r="B1063" s="6">
        <v>45713</v>
      </c>
      <c r="C1063" s="7" t="s">
        <v>272</v>
      </c>
      <c r="D1063" s="7">
        <v>25</v>
      </c>
      <c r="E1063" s="8">
        <f>DAY(TableAopCalendar[[#This Row],[Date]])</f>
        <v>25</v>
      </c>
      <c r="F1063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63" s="8" t="str">
        <f t="shared" si="64"/>
        <v>Week 4</v>
      </c>
      <c r="H1063" s="8" t="str">
        <f t="shared" si="65"/>
        <v>February 25 Week 4</v>
      </c>
      <c r="I1063" s="8" t="str">
        <f>CONCATENATE(UPPER(TableAopCalendar[[#This Row],[Month]])," ",TableAopCalendar[[#This Row],[Year]])</f>
        <v>FEBRUARY 25</v>
      </c>
      <c r="J1063" s="8" t="s">
        <v>274</v>
      </c>
      <c r="K1063" s="8" t="str">
        <f>CONCATENATE(TableAopCalendar[[#This Row],[Month for Plan]]," ",TableAopCalendar[[#This Row],[Plan]])</f>
        <v>FEBRUARY 25 PLANNED</v>
      </c>
    </row>
    <row r="1064" spans="1:11" x14ac:dyDescent="0.25">
      <c r="A1064" s="8">
        <f t="shared" si="63"/>
        <v>5</v>
      </c>
      <c r="B1064" s="6">
        <v>45714</v>
      </c>
      <c r="C1064" s="7" t="s">
        <v>272</v>
      </c>
      <c r="D1064" s="7">
        <v>25</v>
      </c>
      <c r="E1064" s="8">
        <f>DAY(TableAopCalendar[[#This Row],[Date]])</f>
        <v>26</v>
      </c>
      <c r="F1064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64" s="8" t="str">
        <f t="shared" si="64"/>
        <v>Week 4</v>
      </c>
      <c r="H1064" s="8" t="str">
        <f t="shared" si="65"/>
        <v>February 25 Week 4</v>
      </c>
      <c r="I1064" s="8" t="str">
        <f>CONCATENATE(UPPER(TableAopCalendar[[#This Row],[Month]])," ",TableAopCalendar[[#This Row],[Year]])</f>
        <v>FEBRUARY 25</v>
      </c>
      <c r="J1064" s="8" t="s">
        <v>274</v>
      </c>
      <c r="K1064" s="8" t="str">
        <f>CONCATENATE(TableAopCalendar[[#This Row],[Month for Plan]]," ",TableAopCalendar[[#This Row],[Plan]])</f>
        <v>FEBRUARY 25 PLANNED</v>
      </c>
    </row>
    <row r="1065" spans="1:11" x14ac:dyDescent="0.25">
      <c r="A1065" s="8">
        <f t="shared" si="63"/>
        <v>6</v>
      </c>
      <c r="B1065" s="6">
        <v>45715</v>
      </c>
      <c r="C1065" s="7" t="s">
        <v>272</v>
      </c>
      <c r="D1065" s="7">
        <v>25</v>
      </c>
      <c r="E1065" s="8">
        <f>DAY(TableAopCalendar[[#This Row],[Date]])</f>
        <v>27</v>
      </c>
      <c r="F1065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65" s="8" t="str">
        <f t="shared" si="64"/>
        <v>Week 4</v>
      </c>
      <c r="H1065" s="8" t="str">
        <f t="shared" si="65"/>
        <v>February 25 Week 4</v>
      </c>
      <c r="I1065" s="8" t="str">
        <f>CONCATENATE(UPPER(TableAopCalendar[[#This Row],[Month]])," ",TableAopCalendar[[#This Row],[Year]])</f>
        <v>FEBRUARY 25</v>
      </c>
      <c r="J1065" s="8" t="s">
        <v>274</v>
      </c>
      <c r="K1065" s="8" t="str">
        <f>CONCATENATE(TableAopCalendar[[#This Row],[Month for Plan]]," ",TableAopCalendar[[#This Row],[Plan]])</f>
        <v>FEBRUARY 25 PLANNED</v>
      </c>
    </row>
    <row r="1066" spans="1:11" x14ac:dyDescent="0.25">
      <c r="A1066" s="8">
        <f t="shared" si="63"/>
        <v>7</v>
      </c>
      <c r="B1066" s="6">
        <v>45716</v>
      </c>
      <c r="C1066" s="7" t="s">
        <v>272</v>
      </c>
      <c r="D1066" s="7">
        <v>25</v>
      </c>
      <c r="E1066" s="8">
        <f>DAY(TableAopCalendar[[#This Row],[Date]])</f>
        <v>28</v>
      </c>
      <c r="F1066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66" s="8" t="str">
        <f t="shared" si="64"/>
        <v>Week 4</v>
      </c>
      <c r="H1066" s="8" t="str">
        <f t="shared" si="65"/>
        <v>February 25 Week 4</v>
      </c>
      <c r="I1066" s="8" t="str">
        <f>CONCATENATE(UPPER(TableAopCalendar[[#This Row],[Month]])," ",TableAopCalendar[[#This Row],[Year]])</f>
        <v>FEBRUARY 25</v>
      </c>
      <c r="J1066" s="8" t="s">
        <v>274</v>
      </c>
      <c r="K1066" s="8" t="str">
        <f>CONCATENATE(TableAopCalendar[[#This Row],[Month for Plan]]," ",TableAopCalendar[[#This Row],[Plan]])</f>
        <v>FEBRUARY 25 PLANNED</v>
      </c>
    </row>
    <row r="1067" spans="1:11" x14ac:dyDescent="0.25">
      <c r="A1067" s="8">
        <f t="shared" si="63"/>
        <v>1</v>
      </c>
      <c r="B1067" s="6">
        <v>45717</v>
      </c>
      <c r="C1067" s="7" t="s">
        <v>273</v>
      </c>
      <c r="D1067" s="7">
        <v>25</v>
      </c>
      <c r="E1067" s="8">
        <f>DAY(TableAopCalendar[[#This Row],[Date]])</f>
        <v>1</v>
      </c>
      <c r="F1067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67" s="8" t="str">
        <f t="shared" si="64"/>
        <v>Week 1</v>
      </c>
      <c r="H1067" s="8" t="str">
        <f t="shared" si="65"/>
        <v>March 25 Week 1</v>
      </c>
      <c r="I1067" s="8" t="str">
        <f>CONCATENATE(UPPER(TableAopCalendar[[#This Row],[Month]])," ",TableAopCalendar[[#This Row],[Year]])</f>
        <v>MARCH 25</v>
      </c>
      <c r="J1067" s="8" t="s">
        <v>274</v>
      </c>
      <c r="K1067" s="8" t="str">
        <f>CONCATENATE(TableAopCalendar[[#This Row],[Month for Plan]]," ",TableAopCalendar[[#This Row],[Plan]])</f>
        <v>MARCH 25 PLANNED</v>
      </c>
    </row>
    <row r="1068" spans="1:11" x14ac:dyDescent="0.25">
      <c r="A1068" s="8">
        <f t="shared" si="63"/>
        <v>2</v>
      </c>
      <c r="B1068" s="6">
        <v>45718</v>
      </c>
      <c r="C1068" s="7" t="s">
        <v>273</v>
      </c>
      <c r="D1068" s="7">
        <v>25</v>
      </c>
      <c r="E1068" s="8">
        <f>DAY(TableAopCalendar[[#This Row],[Date]])</f>
        <v>2</v>
      </c>
      <c r="F1068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68" s="8" t="str">
        <f t="shared" si="64"/>
        <v>Week 1</v>
      </c>
      <c r="H1068" s="8" t="str">
        <f t="shared" si="65"/>
        <v>March 25 Week 1</v>
      </c>
      <c r="I1068" s="8" t="str">
        <f>CONCATENATE(UPPER(TableAopCalendar[[#This Row],[Month]])," ",TableAopCalendar[[#This Row],[Year]])</f>
        <v>MARCH 25</v>
      </c>
      <c r="J1068" s="8" t="s">
        <v>274</v>
      </c>
      <c r="K1068" s="8" t="str">
        <f>CONCATENATE(TableAopCalendar[[#This Row],[Month for Plan]]," ",TableAopCalendar[[#This Row],[Plan]])</f>
        <v>MARCH 25 PLANNED</v>
      </c>
    </row>
    <row r="1069" spans="1:11" x14ac:dyDescent="0.25">
      <c r="A1069" s="8">
        <f t="shared" si="63"/>
        <v>3</v>
      </c>
      <c r="B1069" s="6">
        <v>45719</v>
      </c>
      <c r="C1069" s="7" t="s">
        <v>273</v>
      </c>
      <c r="D1069" s="7">
        <v>25</v>
      </c>
      <c r="E1069" s="8">
        <f>DAY(TableAopCalendar[[#This Row],[Date]])</f>
        <v>3</v>
      </c>
      <c r="F1069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69" s="8" t="str">
        <f t="shared" si="64"/>
        <v>Week 1</v>
      </c>
      <c r="H1069" s="8" t="str">
        <f t="shared" si="65"/>
        <v>March 25 Week 1</v>
      </c>
      <c r="I1069" s="8" t="str">
        <f>CONCATENATE(UPPER(TableAopCalendar[[#This Row],[Month]])," ",TableAopCalendar[[#This Row],[Year]])</f>
        <v>MARCH 25</v>
      </c>
      <c r="J1069" s="8" t="s">
        <v>274</v>
      </c>
      <c r="K1069" s="8" t="str">
        <f>CONCATENATE(TableAopCalendar[[#This Row],[Month for Plan]]," ",TableAopCalendar[[#This Row],[Plan]])</f>
        <v>MARCH 25 PLANNED</v>
      </c>
    </row>
    <row r="1070" spans="1:11" x14ac:dyDescent="0.25">
      <c r="A1070" s="8">
        <f t="shared" si="63"/>
        <v>4</v>
      </c>
      <c r="B1070" s="6">
        <v>45720</v>
      </c>
      <c r="C1070" s="7" t="s">
        <v>273</v>
      </c>
      <c r="D1070" s="7">
        <v>25</v>
      </c>
      <c r="E1070" s="8">
        <f>DAY(TableAopCalendar[[#This Row],[Date]])</f>
        <v>4</v>
      </c>
      <c r="F1070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70" s="8" t="str">
        <f t="shared" si="64"/>
        <v>Week 1</v>
      </c>
      <c r="H1070" s="8" t="str">
        <f t="shared" si="65"/>
        <v>March 25 Week 1</v>
      </c>
      <c r="I1070" s="8" t="str">
        <f>CONCATENATE(UPPER(TableAopCalendar[[#This Row],[Month]])," ",TableAopCalendar[[#This Row],[Year]])</f>
        <v>MARCH 25</v>
      </c>
      <c r="J1070" s="8" t="s">
        <v>274</v>
      </c>
      <c r="K1070" s="8" t="str">
        <f>CONCATENATE(TableAopCalendar[[#This Row],[Month for Plan]]," ",TableAopCalendar[[#This Row],[Plan]])</f>
        <v>MARCH 25 PLANNED</v>
      </c>
    </row>
    <row r="1071" spans="1:11" x14ac:dyDescent="0.25">
      <c r="A1071" s="8">
        <f t="shared" si="63"/>
        <v>5</v>
      </c>
      <c r="B1071" s="6">
        <v>45721</v>
      </c>
      <c r="C1071" s="7" t="s">
        <v>273</v>
      </c>
      <c r="D1071" s="7">
        <v>25</v>
      </c>
      <c r="E1071" s="8">
        <f>DAY(TableAopCalendar[[#This Row],[Date]])</f>
        <v>5</v>
      </c>
      <c r="F1071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71" s="8" t="str">
        <f t="shared" si="64"/>
        <v>Week 1</v>
      </c>
      <c r="H1071" s="8" t="str">
        <f t="shared" si="65"/>
        <v>March 25 Week 1</v>
      </c>
      <c r="I1071" s="8" t="str">
        <f>CONCATENATE(UPPER(TableAopCalendar[[#This Row],[Month]])," ",TableAopCalendar[[#This Row],[Year]])</f>
        <v>MARCH 25</v>
      </c>
      <c r="J1071" s="8" t="s">
        <v>274</v>
      </c>
      <c r="K1071" s="8" t="str">
        <f>CONCATENATE(TableAopCalendar[[#This Row],[Month for Plan]]," ",TableAopCalendar[[#This Row],[Plan]])</f>
        <v>MARCH 25 PLANNED</v>
      </c>
    </row>
    <row r="1072" spans="1:11" x14ac:dyDescent="0.25">
      <c r="A1072" s="8">
        <f t="shared" si="63"/>
        <v>6</v>
      </c>
      <c r="B1072" s="6">
        <v>45722</v>
      </c>
      <c r="C1072" s="7" t="s">
        <v>273</v>
      </c>
      <c r="D1072" s="7">
        <v>25</v>
      </c>
      <c r="E1072" s="8">
        <f>DAY(TableAopCalendar[[#This Row],[Date]])</f>
        <v>6</v>
      </c>
      <c r="F1072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72" s="8" t="str">
        <f t="shared" si="64"/>
        <v>Week 1</v>
      </c>
      <c r="H1072" s="8" t="str">
        <f t="shared" si="65"/>
        <v>March 25 Week 1</v>
      </c>
      <c r="I1072" s="8" t="str">
        <f>CONCATENATE(UPPER(TableAopCalendar[[#This Row],[Month]])," ",TableAopCalendar[[#This Row],[Year]])</f>
        <v>MARCH 25</v>
      </c>
      <c r="J1072" s="8" t="s">
        <v>274</v>
      </c>
      <c r="K1072" s="8" t="str">
        <f>CONCATENATE(TableAopCalendar[[#This Row],[Month for Plan]]," ",TableAopCalendar[[#This Row],[Plan]])</f>
        <v>MARCH 25 PLANNED</v>
      </c>
    </row>
    <row r="1073" spans="1:11" x14ac:dyDescent="0.25">
      <c r="A1073" s="8">
        <f t="shared" si="63"/>
        <v>7</v>
      </c>
      <c r="B1073" s="6">
        <v>45723</v>
      </c>
      <c r="C1073" s="7" t="s">
        <v>273</v>
      </c>
      <c r="D1073" s="7">
        <v>25</v>
      </c>
      <c r="E1073" s="8">
        <f>DAY(TableAopCalendar[[#This Row],[Date]])</f>
        <v>7</v>
      </c>
      <c r="F1073" s="8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73" s="8" t="str">
        <f t="shared" si="64"/>
        <v>Week 1</v>
      </c>
      <c r="H1073" s="8" t="str">
        <f t="shared" si="65"/>
        <v>March 25 Week 1</v>
      </c>
      <c r="I1073" s="8" t="str">
        <f>CONCATENATE(UPPER(TableAopCalendar[[#This Row],[Month]])," ",TableAopCalendar[[#This Row],[Year]])</f>
        <v>MARCH 25</v>
      </c>
      <c r="J1073" s="8" t="s">
        <v>274</v>
      </c>
      <c r="K1073" s="8" t="str">
        <f>CONCATENATE(TableAopCalendar[[#This Row],[Month for Plan]]," ",TableAopCalendar[[#This Row],[Plan]])</f>
        <v>MARCH 25 PLANNED</v>
      </c>
    </row>
    <row r="1074" spans="1:11" x14ac:dyDescent="0.25">
      <c r="A1074" s="8">
        <f t="shared" si="63"/>
        <v>1</v>
      </c>
      <c r="B1074" s="6">
        <v>45724</v>
      </c>
      <c r="C1074" s="7" t="s">
        <v>273</v>
      </c>
      <c r="D1074" s="7">
        <v>25</v>
      </c>
      <c r="E1074" s="8">
        <f>DAY(TableAopCalendar[[#This Row],[Date]])</f>
        <v>8</v>
      </c>
      <c r="F1074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74" s="8" t="str">
        <f t="shared" si="64"/>
        <v>Week 2</v>
      </c>
      <c r="H1074" s="8" t="str">
        <f t="shared" si="65"/>
        <v>March 25 Week 2</v>
      </c>
      <c r="I1074" s="8" t="str">
        <f>CONCATENATE(UPPER(TableAopCalendar[[#This Row],[Month]])," ",TableAopCalendar[[#This Row],[Year]])</f>
        <v>MARCH 25</v>
      </c>
      <c r="J1074" s="8" t="s">
        <v>274</v>
      </c>
      <c r="K1074" s="8" t="str">
        <f>CONCATENATE(TableAopCalendar[[#This Row],[Month for Plan]]," ",TableAopCalendar[[#This Row],[Plan]])</f>
        <v>MARCH 25 PLANNED</v>
      </c>
    </row>
    <row r="1075" spans="1:11" x14ac:dyDescent="0.25">
      <c r="A1075" s="8">
        <f t="shared" si="63"/>
        <v>2</v>
      </c>
      <c r="B1075" s="6">
        <v>45725</v>
      </c>
      <c r="C1075" s="7" t="s">
        <v>273</v>
      </c>
      <c r="D1075" s="7">
        <v>25</v>
      </c>
      <c r="E1075" s="8">
        <f>DAY(TableAopCalendar[[#This Row],[Date]])</f>
        <v>9</v>
      </c>
      <c r="F1075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75" s="8" t="str">
        <f t="shared" si="64"/>
        <v>Week 2</v>
      </c>
      <c r="H1075" s="8" t="str">
        <f t="shared" si="65"/>
        <v>March 25 Week 2</v>
      </c>
      <c r="I1075" s="8" t="str">
        <f>CONCATENATE(UPPER(TableAopCalendar[[#This Row],[Month]])," ",TableAopCalendar[[#This Row],[Year]])</f>
        <v>MARCH 25</v>
      </c>
      <c r="J1075" s="8" t="s">
        <v>274</v>
      </c>
      <c r="K1075" s="8" t="str">
        <f>CONCATENATE(TableAopCalendar[[#This Row],[Month for Plan]]," ",TableAopCalendar[[#This Row],[Plan]])</f>
        <v>MARCH 25 PLANNED</v>
      </c>
    </row>
    <row r="1076" spans="1:11" x14ac:dyDescent="0.25">
      <c r="A1076" s="8">
        <f t="shared" si="63"/>
        <v>3</v>
      </c>
      <c r="B1076" s="6">
        <v>45726</v>
      </c>
      <c r="C1076" s="7" t="s">
        <v>273</v>
      </c>
      <c r="D1076" s="7">
        <v>25</v>
      </c>
      <c r="E1076" s="8">
        <f>DAY(TableAopCalendar[[#This Row],[Date]])</f>
        <v>10</v>
      </c>
      <c r="F1076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76" s="8" t="str">
        <f t="shared" si="64"/>
        <v>Week 2</v>
      </c>
      <c r="H1076" s="8" t="str">
        <f t="shared" si="65"/>
        <v>March 25 Week 2</v>
      </c>
      <c r="I1076" s="8" t="str">
        <f>CONCATENATE(UPPER(TableAopCalendar[[#This Row],[Month]])," ",TableAopCalendar[[#This Row],[Year]])</f>
        <v>MARCH 25</v>
      </c>
      <c r="J1076" s="8" t="s">
        <v>274</v>
      </c>
      <c r="K1076" s="8" t="str">
        <f>CONCATENATE(TableAopCalendar[[#This Row],[Month for Plan]]," ",TableAopCalendar[[#This Row],[Plan]])</f>
        <v>MARCH 25 PLANNED</v>
      </c>
    </row>
    <row r="1077" spans="1:11" x14ac:dyDescent="0.25">
      <c r="A1077" s="8">
        <f t="shared" si="63"/>
        <v>4</v>
      </c>
      <c r="B1077" s="6">
        <v>45727</v>
      </c>
      <c r="C1077" s="7" t="s">
        <v>273</v>
      </c>
      <c r="D1077" s="7">
        <v>25</v>
      </c>
      <c r="E1077" s="8">
        <f>DAY(TableAopCalendar[[#This Row],[Date]])</f>
        <v>11</v>
      </c>
      <c r="F1077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77" s="8" t="str">
        <f t="shared" si="64"/>
        <v>Week 2</v>
      </c>
      <c r="H1077" s="8" t="str">
        <f t="shared" si="65"/>
        <v>March 25 Week 2</v>
      </c>
      <c r="I1077" s="8" t="str">
        <f>CONCATENATE(UPPER(TableAopCalendar[[#This Row],[Month]])," ",TableAopCalendar[[#This Row],[Year]])</f>
        <v>MARCH 25</v>
      </c>
      <c r="J1077" s="8" t="s">
        <v>274</v>
      </c>
      <c r="K1077" s="8" t="str">
        <f>CONCATENATE(TableAopCalendar[[#This Row],[Month for Plan]]," ",TableAopCalendar[[#This Row],[Plan]])</f>
        <v>MARCH 25 PLANNED</v>
      </c>
    </row>
    <row r="1078" spans="1:11" x14ac:dyDescent="0.25">
      <c r="A1078" s="8">
        <f t="shared" si="63"/>
        <v>5</v>
      </c>
      <c r="B1078" s="6">
        <v>45728</v>
      </c>
      <c r="C1078" s="7" t="s">
        <v>273</v>
      </c>
      <c r="D1078" s="7">
        <v>25</v>
      </c>
      <c r="E1078" s="8">
        <f>DAY(TableAopCalendar[[#This Row],[Date]])</f>
        <v>12</v>
      </c>
      <c r="F1078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78" s="8" t="str">
        <f t="shared" si="64"/>
        <v>Week 2</v>
      </c>
      <c r="H1078" s="8" t="str">
        <f t="shared" si="65"/>
        <v>March 25 Week 2</v>
      </c>
      <c r="I1078" s="8" t="str">
        <f>CONCATENATE(UPPER(TableAopCalendar[[#This Row],[Month]])," ",TableAopCalendar[[#This Row],[Year]])</f>
        <v>MARCH 25</v>
      </c>
      <c r="J1078" s="8" t="s">
        <v>274</v>
      </c>
      <c r="K1078" s="8" t="str">
        <f>CONCATENATE(TableAopCalendar[[#This Row],[Month for Plan]]," ",TableAopCalendar[[#This Row],[Plan]])</f>
        <v>MARCH 25 PLANNED</v>
      </c>
    </row>
    <row r="1079" spans="1:11" x14ac:dyDescent="0.25">
      <c r="A1079" s="8">
        <f t="shared" si="63"/>
        <v>6</v>
      </c>
      <c r="B1079" s="6">
        <v>45729</v>
      </c>
      <c r="C1079" s="7" t="s">
        <v>273</v>
      </c>
      <c r="D1079" s="7">
        <v>25</v>
      </c>
      <c r="E1079" s="8">
        <f>DAY(TableAopCalendar[[#This Row],[Date]])</f>
        <v>13</v>
      </c>
      <c r="F1079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79" s="8" t="str">
        <f t="shared" si="64"/>
        <v>Week 2</v>
      </c>
      <c r="H1079" s="8" t="str">
        <f t="shared" si="65"/>
        <v>March 25 Week 2</v>
      </c>
      <c r="I1079" s="8" t="str">
        <f>CONCATENATE(UPPER(TableAopCalendar[[#This Row],[Month]])," ",TableAopCalendar[[#This Row],[Year]])</f>
        <v>MARCH 25</v>
      </c>
      <c r="J1079" s="8" t="s">
        <v>274</v>
      </c>
      <c r="K1079" s="8" t="str">
        <f>CONCATENATE(TableAopCalendar[[#This Row],[Month for Plan]]," ",TableAopCalendar[[#This Row],[Plan]])</f>
        <v>MARCH 25 PLANNED</v>
      </c>
    </row>
    <row r="1080" spans="1:11" x14ac:dyDescent="0.25">
      <c r="A1080" s="8">
        <f t="shared" si="63"/>
        <v>7</v>
      </c>
      <c r="B1080" s="6">
        <v>45730</v>
      </c>
      <c r="C1080" s="7" t="s">
        <v>273</v>
      </c>
      <c r="D1080" s="7">
        <v>25</v>
      </c>
      <c r="E1080" s="8">
        <f>DAY(TableAopCalendar[[#This Row],[Date]])</f>
        <v>14</v>
      </c>
      <c r="F1080" s="8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080" s="8" t="str">
        <f t="shared" si="64"/>
        <v>Week 2</v>
      </c>
      <c r="H1080" s="8" t="str">
        <f t="shared" si="65"/>
        <v>March 25 Week 2</v>
      </c>
      <c r="I1080" s="8" t="str">
        <f>CONCATENATE(UPPER(TableAopCalendar[[#This Row],[Month]])," ",TableAopCalendar[[#This Row],[Year]])</f>
        <v>MARCH 25</v>
      </c>
      <c r="J1080" s="8" t="s">
        <v>274</v>
      </c>
      <c r="K1080" s="8" t="str">
        <f>CONCATENATE(TableAopCalendar[[#This Row],[Month for Plan]]," ",TableAopCalendar[[#This Row],[Plan]])</f>
        <v>MARCH 25 PLANNED</v>
      </c>
    </row>
    <row r="1081" spans="1:11" x14ac:dyDescent="0.25">
      <c r="A1081" s="8">
        <f t="shared" si="63"/>
        <v>1</v>
      </c>
      <c r="B1081" s="6">
        <v>45731</v>
      </c>
      <c r="C1081" s="7" t="s">
        <v>273</v>
      </c>
      <c r="D1081" s="7">
        <v>25</v>
      </c>
      <c r="E1081" s="8">
        <f>DAY(TableAopCalendar[[#This Row],[Date]])</f>
        <v>15</v>
      </c>
      <c r="F1081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1" s="8" t="str">
        <f t="shared" si="64"/>
        <v>Week 3</v>
      </c>
      <c r="H1081" s="8" t="str">
        <f t="shared" si="65"/>
        <v>March 25 Week 3</v>
      </c>
      <c r="I1081" s="8" t="str">
        <f>CONCATENATE(UPPER(TableAopCalendar[[#This Row],[Month]])," ",TableAopCalendar[[#This Row],[Year]])</f>
        <v>MARCH 25</v>
      </c>
      <c r="J1081" s="8" t="s">
        <v>274</v>
      </c>
      <c r="K1081" s="8" t="str">
        <f>CONCATENATE(TableAopCalendar[[#This Row],[Month for Plan]]," ",TableAopCalendar[[#This Row],[Plan]])</f>
        <v>MARCH 25 PLANNED</v>
      </c>
    </row>
    <row r="1082" spans="1:11" x14ac:dyDescent="0.25">
      <c r="A1082" s="8">
        <f t="shared" si="63"/>
        <v>2</v>
      </c>
      <c r="B1082" s="6">
        <v>45732</v>
      </c>
      <c r="C1082" s="7" t="s">
        <v>273</v>
      </c>
      <c r="D1082" s="7">
        <v>25</v>
      </c>
      <c r="E1082" s="8">
        <f>DAY(TableAopCalendar[[#This Row],[Date]])</f>
        <v>16</v>
      </c>
      <c r="F1082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2" s="8" t="str">
        <f t="shared" si="64"/>
        <v>Week 3</v>
      </c>
      <c r="H1082" s="8" t="str">
        <f t="shared" si="65"/>
        <v>March 25 Week 3</v>
      </c>
      <c r="I1082" s="8" t="str">
        <f>CONCATENATE(UPPER(TableAopCalendar[[#This Row],[Month]])," ",TableAopCalendar[[#This Row],[Year]])</f>
        <v>MARCH 25</v>
      </c>
      <c r="J1082" s="8" t="s">
        <v>274</v>
      </c>
      <c r="K1082" s="8" t="str">
        <f>CONCATENATE(TableAopCalendar[[#This Row],[Month for Plan]]," ",TableAopCalendar[[#This Row],[Plan]])</f>
        <v>MARCH 25 PLANNED</v>
      </c>
    </row>
    <row r="1083" spans="1:11" x14ac:dyDescent="0.25">
      <c r="A1083" s="8">
        <f t="shared" si="63"/>
        <v>3</v>
      </c>
      <c r="B1083" s="6">
        <v>45733</v>
      </c>
      <c r="C1083" s="7" t="s">
        <v>273</v>
      </c>
      <c r="D1083" s="7">
        <v>25</v>
      </c>
      <c r="E1083" s="8">
        <f>DAY(TableAopCalendar[[#This Row],[Date]])</f>
        <v>17</v>
      </c>
      <c r="F1083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3" s="8" t="str">
        <f t="shared" si="64"/>
        <v>Week 3</v>
      </c>
      <c r="H1083" s="8" t="str">
        <f t="shared" si="65"/>
        <v>March 25 Week 3</v>
      </c>
      <c r="I1083" s="8" t="str">
        <f>CONCATENATE(UPPER(TableAopCalendar[[#This Row],[Month]])," ",TableAopCalendar[[#This Row],[Year]])</f>
        <v>MARCH 25</v>
      </c>
      <c r="J1083" s="8" t="s">
        <v>274</v>
      </c>
      <c r="K1083" s="8" t="str">
        <f>CONCATENATE(TableAopCalendar[[#This Row],[Month for Plan]]," ",TableAopCalendar[[#This Row],[Plan]])</f>
        <v>MARCH 25 PLANNED</v>
      </c>
    </row>
    <row r="1084" spans="1:11" x14ac:dyDescent="0.25">
      <c r="A1084" s="8">
        <f t="shared" si="63"/>
        <v>4</v>
      </c>
      <c r="B1084" s="6">
        <v>45734</v>
      </c>
      <c r="C1084" s="7" t="s">
        <v>273</v>
      </c>
      <c r="D1084" s="7">
        <v>25</v>
      </c>
      <c r="E1084" s="8">
        <f>DAY(TableAopCalendar[[#This Row],[Date]])</f>
        <v>18</v>
      </c>
      <c r="F1084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4" s="8" t="str">
        <f t="shared" si="64"/>
        <v>Week 3</v>
      </c>
      <c r="H1084" s="8" t="str">
        <f t="shared" si="65"/>
        <v>March 25 Week 3</v>
      </c>
      <c r="I1084" s="8" t="str">
        <f>CONCATENATE(UPPER(TableAopCalendar[[#This Row],[Month]])," ",TableAopCalendar[[#This Row],[Year]])</f>
        <v>MARCH 25</v>
      </c>
      <c r="J1084" s="8" t="s">
        <v>274</v>
      </c>
      <c r="K1084" s="8" t="str">
        <f>CONCATENATE(TableAopCalendar[[#This Row],[Month for Plan]]," ",TableAopCalendar[[#This Row],[Plan]])</f>
        <v>MARCH 25 PLANNED</v>
      </c>
    </row>
    <row r="1085" spans="1:11" x14ac:dyDescent="0.25">
      <c r="A1085" s="8">
        <f t="shared" si="63"/>
        <v>5</v>
      </c>
      <c r="B1085" s="6">
        <v>45735</v>
      </c>
      <c r="C1085" s="7" t="s">
        <v>273</v>
      </c>
      <c r="D1085" s="7">
        <v>25</v>
      </c>
      <c r="E1085" s="8">
        <f>DAY(TableAopCalendar[[#This Row],[Date]])</f>
        <v>19</v>
      </c>
      <c r="F1085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5" s="8" t="str">
        <f t="shared" si="64"/>
        <v>Week 3</v>
      </c>
      <c r="H1085" s="8" t="str">
        <f t="shared" si="65"/>
        <v>March 25 Week 3</v>
      </c>
      <c r="I1085" s="8" t="str">
        <f>CONCATENATE(UPPER(TableAopCalendar[[#This Row],[Month]])," ",TableAopCalendar[[#This Row],[Year]])</f>
        <v>MARCH 25</v>
      </c>
      <c r="J1085" s="8" t="s">
        <v>274</v>
      </c>
      <c r="K1085" s="8" t="str">
        <f>CONCATENATE(TableAopCalendar[[#This Row],[Month for Plan]]," ",TableAopCalendar[[#This Row],[Plan]])</f>
        <v>MARCH 25 PLANNED</v>
      </c>
    </row>
    <row r="1086" spans="1:11" x14ac:dyDescent="0.25">
      <c r="A1086" s="8">
        <f t="shared" si="63"/>
        <v>6</v>
      </c>
      <c r="B1086" s="6">
        <v>45736</v>
      </c>
      <c r="C1086" s="7" t="s">
        <v>273</v>
      </c>
      <c r="D1086" s="7">
        <v>25</v>
      </c>
      <c r="E1086" s="8">
        <f>DAY(TableAopCalendar[[#This Row],[Date]])</f>
        <v>20</v>
      </c>
      <c r="F1086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6" s="8" t="str">
        <f t="shared" si="64"/>
        <v>Week 3</v>
      </c>
      <c r="H1086" s="8" t="str">
        <f t="shared" si="65"/>
        <v>March 25 Week 3</v>
      </c>
      <c r="I1086" s="8" t="str">
        <f>CONCATENATE(UPPER(TableAopCalendar[[#This Row],[Month]])," ",TableAopCalendar[[#This Row],[Year]])</f>
        <v>MARCH 25</v>
      </c>
      <c r="J1086" s="8" t="s">
        <v>274</v>
      </c>
      <c r="K1086" s="8" t="str">
        <f>CONCATENATE(TableAopCalendar[[#This Row],[Month for Plan]]," ",TableAopCalendar[[#This Row],[Plan]])</f>
        <v>MARCH 25 PLANNED</v>
      </c>
    </row>
    <row r="1087" spans="1:11" x14ac:dyDescent="0.25">
      <c r="A1087" s="8">
        <f t="shared" si="63"/>
        <v>7</v>
      </c>
      <c r="B1087" s="6">
        <v>45737</v>
      </c>
      <c r="C1087" s="7" t="s">
        <v>273</v>
      </c>
      <c r="D1087" s="7">
        <v>25</v>
      </c>
      <c r="E1087" s="8">
        <f>DAY(TableAopCalendar[[#This Row],[Date]])</f>
        <v>21</v>
      </c>
      <c r="F1087" s="8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087" s="8" t="str">
        <f t="shared" si="64"/>
        <v>Week 3</v>
      </c>
      <c r="H1087" s="8" t="str">
        <f t="shared" si="65"/>
        <v>March 25 Week 3</v>
      </c>
      <c r="I1087" s="8" t="str">
        <f>CONCATENATE(UPPER(TableAopCalendar[[#This Row],[Month]])," ",TableAopCalendar[[#This Row],[Year]])</f>
        <v>MARCH 25</v>
      </c>
      <c r="J1087" s="8" t="s">
        <v>274</v>
      </c>
      <c r="K1087" s="8" t="str">
        <f>CONCATENATE(TableAopCalendar[[#This Row],[Month for Plan]]," ",TableAopCalendar[[#This Row],[Plan]])</f>
        <v>MARCH 25 PLANNED</v>
      </c>
    </row>
    <row r="1088" spans="1:11" x14ac:dyDescent="0.25">
      <c r="A1088" s="8">
        <f t="shared" si="63"/>
        <v>1</v>
      </c>
      <c r="B1088" s="6">
        <v>45738</v>
      </c>
      <c r="C1088" s="7" t="s">
        <v>273</v>
      </c>
      <c r="D1088" s="7">
        <v>25</v>
      </c>
      <c r="E1088" s="8">
        <f>DAY(TableAopCalendar[[#This Row],[Date]])</f>
        <v>22</v>
      </c>
      <c r="F1088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88" s="8" t="str">
        <f t="shared" si="64"/>
        <v>Week 4</v>
      </c>
      <c r="H1088" s="8" t="str">
        <f t="shared" si="65"/>
        <v>March 25 Week 4</v>
      </c>
      <c r="I1088" s="8" t="str">
        <f>CONCATENATE(UPPER(TableAopCalendar[[#This Row],[Month]])," ",TableAopCalendar[[#This Row],[Year]])</f>
        <v>MARCH 25</v>
      </c>
      <c r="J1088" s="8" t="s">
        <v>274</v>
      </c>
      <c r="K1088" s="8" t="str">
        <f>CONCATENATE(TableAopCalendar[[#This Row],[Month for Plan]]," ",TableAopCalendar[[#This Row],[Plan]])</f>
        <v>MARCH 25 PLANNED</v>
      </c>
    </row>
    <row r="1089" spans="1:11" x14ac:dyDescent="0.25">
      <c r="A1089" s="8">
        <f t="shared" si="63"/>
        <v>2</v>
      </c>
      <c r="B1089" s="6">
        <v>45739</v>
      </c>
      <c r="C1089" s="7" t="s">
        <v>273</v>
      </c>
      <c r="D1089" s="7">
        <v>25</v>
      </c>
      <c r="E1089" s="8">
        <f>DAY(TableAopCalendar[[#This Row],[Date]])</f>
        <v>23</v>
      </c>
      <c r="F1089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89" s="8" t="str">
        <f t="shared" si="64"/>
        <v>Week 4</v>
      </c>
      <c r="H1089" s="8" t="str">
        <f t="shared" si="65"/>
        <v>March 25 Week 4</v>
      </c>
      <c r="I1089" s="8" t="str">
        <f>CONCATENATE(UPPER(TableAopCalendar[[#This Row],[Month]])," ",TableAopCalendar[[#This Row],[Year]])</f>
        <v>MARCH 25</v>
      </c>
      <c r="J1089" s="8" t="s">
        <v>274</v>
      </c>
      <c r="K1089" s="8" t="str">
        <f>CONCATENATE(TableAopCalendar[[#This Row],[Month for Plan]]," ",TableAopCalendar[[#This Row],[Plan]])</f>
        <v>MARCH 25 PLANNED</v>
      </c>
    </row>
    <row r="1090" spans="1:11" x14ac:dyDescent="0.25">
      <c r="A1090" s="8">
        <f t="shared" si="63"/>
        <v>3</v>
      </c>
      <c r="B1090" s="6">
        <v>45740</v>
      </c>
      <c r="C1090" s="7" t="s">
        <v>273</v>
      </c>
      <c r="D1090" s="7">
        <v>25</v>
      </c>
      <c r="E1090" s="8">
        <f>DAY(TableAopCalendar[[#This Row],[Date]])</f>
        <v>24</v>
      </c>
      <c r="F1090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90" s="8" t="str">
        <f t="shared" si="64"/>
        <v>Week 4</v>
      </c>
      <c r="H1090" s="8" t="str">
        <f t="shared" si="65"/>
        <v>March 25 Week 4</v>
      </c>
      <c r="I1090" s="8" t="str">
        <f>CONCATENATE(UPPER(TableAopCalendar[[#This Row],[Month]])," ",TableAopCalendar[[#This Row],[Year]])</f>
        <v>MARCH 25</v>
      </c>
      <c r="J1090" s="8" t="s">
        <v>274</v>
      </c>
      <c r="K1090" s="8" t="str">
        <f>CONCATENATE(TableAopCalendar[[#This Row],[Month for Plan]]," ",TableAopCalendar[[#This Row],[Plan]])</f>
        <v>MARCH 25 PLANNED</v>
      </c>
    </row>
    <row r="1091" spans="1:11" x14ac:dyDescent="0.25">
      <c r="A1091" s="8">
        <f t="shared" si="63"/>
        <v>4</v>
      </c>
      <c r="B1091" s="6">
        <v>45741</v>
      </c>
      <c r="C1091" s="7" t="s">
        <v>273</v>
      </c>
      <c r="D1091" s="7">
        <v>25</v>
      </c>
      <c r="E1091" s="8">
        <f>DAY(TableAopCalendar[[#This Row],[Date]])</f>
        <v>25</v>
      </c>
      <c r="F1091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91" s="8" t="str">
        <f t="shared" si="64"/>
        <v>Week 4</v>
      </c>
      <c r="H1091" s="8" t="str">
        <f t="shared" si="65"/>
        <v>March 25 Week 4</v>
      </c>
      <c r="I1091" s="8" t="str">
        <f>CONCATENATE(UPPER(TableAopCalendar[[#This Row],[Month]])," ",TableAopCalendar[[#This Row],[Year]])</f>
        <v>MARCH 25</v>
      </c>
      <c r="J1091" s="8" t="s">
        <v>274</v>
      </c>
      <c r="K1091" s="8" t="str">
        <f>CONCATENATE(TableAopCalendar[[#This Row],[Month for Plan]]," ",TableAopCalendar[[#This Row],[Plan]])</f>
        <v>MARCH 25 PLANNED</v>
      </c>
    </row>
    <row r="1092" spans="1:11" x14ac:dyDescent="0.25">
      <c r="A1092" s="8">
        <f t="shared" si="63"/>
        <v>5</v>
      </c>
      <c r="B1092" s="6">
        <v>45742</v>
      </c>
      <c r="C1092" s="7" t="s">
        <v>273</v>
      </c>
      <c r="D1092" s="7">
        <v>25</v>
      </c>
      <c r="E1092" s="8">
        <f>DAY(TableAopCalendar[[#This Row],[Date]])</f>
        <v>26</v>
      </c>
      <c r="F1092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92" s="8" t="str">
        <f t="shared" si="64"/>
        <v>Week 4</v>
      </c>
      <c r="H1092" s="8" t="str">
        <f t="shared" si="65"/>
        <v>March 25 Week 4</v>
      </c>
      <c r="I1092" s="8" t="str">
        <f>CONCATENATE(UPPER(TableAopCalendar[[#This Row],[Month]])," ",TableAopCalendar[[#This Row],[Year]])</f>
        <v>MARCH 25</v>
      </c>
      <c r="J1092" s="8" t="s">
        <v>274</v>
      </c>
      <c r="K1092" s="8" t="str">
        <f>CONCATENATE(TableAopCalendar[[#This Row],[Month for Plan]]," ",TableAopCalendar[[#This Row],[Plan]])</f>
        <v>MARCH 25 PLANNED</v>
      </c>
    </row>
    <row r="1093" spans="1:11" x14ac:dyDescent="0.25">
      <c r="A1093" s="8">
        <f t="shared" si="63"/>
        <v>6</v>
      </c>
      <c r="B1093" s="6">
        <v>45743</v>
      </c>
      <c r="C1093" s="7" t="s">
        <v>273</v>
      </c>
      <c r="D1093" s="7">
        <v>25</v>
      </c>
      <c r="E1093" s="8">
        <f>DAY(TableAopCalendar[[#This Row],[Date]])</f>
        <v>27</v>
      </c>
      <c r="F1093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93" s="8" t="str">
        <f t="shared" si="64"/>
        <v>Week 4</v>
      </c>
      <c r="H1093" s="8" t="str">
        <f t="shared" si="65"/>
        <v>March 25 Week 4</v>
      </c>
      <c r="I1093" s="8" t="str">
        <f>CONCATENATE(UPPER(TableAopCalendar[[#This Row],[Month]])," ",TableAopCalendar[[#This Row],[Year]])</f>
        <v>MARCH 25</v>
      </c>
      <c r="J1093" s="8" t="s">
        <v>274</v>
      </c>
      <c r="K1093" s="8" t="str">
        <f>CONCATENATE(TableAopCalendar[[#This Row],[Month for Plan]]," ",TableAopCalendar[[#This Row],[Plan]])</f>
        <v>MARCH 25 PLANNED</v>
      </c>
    </row>
    <row r="1094" spans="1:11" x14ac:dyDescent="0.25">
      <c r="A1094" s="8">
        <f>IF(G1094=G1093,A1093+1,1)</f>
        <v>7</v>
      </c>
      <c r="B1094" s="6">
        <v>45744</v>
      </c>
      <c r="C1094" s="7" t="s">
        <v>273</v>
      </c>
      <c r="D1094" s="7">
        <v>25</v>
      </c>
      <c r="E1094" s="8">
        <f>DAY(TableAopCalendar[[#This Row],[Date]])</f>
        <v>28</v>
      </c>
      <c r="F1094" s="8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094" s="8" t="str">
        <f>"Week"&amp;" "&amp;F1094</f>
        <v>Week 4</v>
      </c>
      <c r="H1094" s="8" t="str">
        <f>CONCATENATE(C1094," ",D1094," ",G1094)</f>
        <v>March 25 Week 4</v>
      </c>
      <c r="I1094" s="8" t="str">
        <f>CONCATENATE(UPPER(TableAopCalendar[[#This Row],[Month]])," ",TableAopCalendar[[#This Row],[Year]])</f>
        <v>MARCH 25</v>
      </c>
      <c r="J1094" s="8" t="s">
        <v>274</v>
      </c>
      <c r="K1094" s="8" t="str">
        <f>CONCATENATE(TableAopCalendar[[#This Row],[Month for Plan]]," ",TableAopCalendar[[#This Row],[Plan]])</f>
        <v>MARCH 25 PLANNED</v>
      </c>
    </row>
    <row r="1095" spans="1:11" x14ac:dyDescent="0.25">
      <c r="A1095" s="8">
        <f>IF(G1095=G1094,A1094+1,1)</f>
        <v>1</v>
      </c>
      <c r="B1095" s="6">
        <v>45745</v>
      </c>
      <c r="C1095" s="7" t="s">
        <v>273</v>
      </c>
      <c r="D1095" s="7">
        <v>25</v>
      </c>
      <c r="E1095" s="8">
        <f>DAY(TableAopCalendar[[#This Row],[Date]])</f>
        <v>29</v>
      </c>
      <c r="F1095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95" s="8" t="str">
        <f>"Week"&amp;" "&amp;F1095</f>
        <v>Week 5</v>
      </c>
      <c r="H1095" s="8" t="str">
        <f>CONCATENATE(C1095," ",D1095," ",G1095)</f>
        <v>March 25 Week 5</v>
      </c>
      <c r="I1095" s="8" t="str">
        <f>CONCATENATE(UPPER(TableAopCalendar[[#This Row],[Month]])," ",TableAopCalendar[[#This Row],[Year]])</f>
        <v>MARCH 25</v>
      </c>
      <c r="J1095" s="8" t="s">
        <v>274</v>
      </c>
      <c r="K1095" s="8" t="str">
        <f>CONCATENATE(TableAopCalendar[[#This Row],[Month for Plan]]," ",TableAopCalendar[[#This Row],[Plan]])</f>
        <v>MARCH 25 PLANNED</v>
      </c>
    </row>
    <row r="1096" spans="1:11" x14ac:dyDescent="0.25">
      <c r="A1096" s="8">
        <f>IF(G1096=G1095,A1095+1,1)</f>
        <v>2</v>
      </c>
      <c r="B1096" s="6">
        <v>45746</v>
      </c>
      <c r="C1096" s="7" t="s">
        <v>273</v>
      </c>
      <c r="D1096" s="7">
        <v>25</v>
      </c>
      <c r="E1096" s="8">
        <f>DAY(TableAopCalendar[[#This Row],[Date]])</f>
        <v>30</v>
      </c>
      <c r="F1096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96" s="8" t="str">
        <f>"Week"&amp;" "&amp;F1096</f>
        <v>Week 5</v>
      </c>
      <c r="H1096" s="8" t="str">
        <f>CONCATENATE(C1096," ",D1096," ",G1096)</f>
        <v>March 25 Week 5</v>
      </c>
      <c r="I1096" s="8" t="str">
        <f>CONCATENATE(UPPER(TableAopCalendar[[#This Row],[Month]])," ",TableAopCalendar[[#This Row],[Year]])</f>
        <v>MARCH 25</v>
      </c>
      <c r="J1096" s="8" t="s">
        <v>274</v>
      </c>
      <c r="K1096" s="8" t="str">
        <f>CONCATENATE(TableAopCalendar[[#This Row],[Month for Plan]]," ",TableAopCalendar[[#This Row],[Plan]])</f>
        <v>MARCH 25 PLANNED</v>
      </c>
    </row>
    <row r="1097" spans="1:11" x14ac:dyDescent="0.25">
      <c r="A1097" s="8">
        <f>IF(G1097=G1096,A1096+1,1)</f>
        <v>3</v>
      </c>
      <c r="B1097" s="6">
        <v>45747</v>
      </c>
      <c r="C1097" s="7" t="s">
        <v>273</v>
      </c>
      <c r="D1097" s="7">
        <v>25</v>
      </c>
      <c r="E1097" s="8">
        <f>DAY(TableAopCalendar[[#This Row],[Date]])</f>
        <v>31</v>
      </c>
      <c r="F1097" s="8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097" s="8" t="str">
        <f>"Week"&amp;" "&amp;F1097</f>
        <v>Week 5</v>
      </c>
      <c r="H1097" s="8" t="str">
        <f>CONCATENATE(C1097," ",D1097," ",G1097)</f>
        <v>March 25 Week 5</v>
      </c>
      <c r="I1097" s="8" t="str">
        <f>CONCATENATE(UPPER(TableAopCalendar[[#This Row],[Month]])," ",TableAopCalendar[[#This Row],[Year]])</f>
        <v>MARCH 25</v>
      </c>
      <c r="J1097" s="8" t="s">
        <v>274</v>
      </c>
      <c r="K1097" s="8" t="str">
        <f>CONCATENATE(TableAopCalendar[[#This Row],[Month for Plan]]," ",TableAopCalendar[[#This Row],[Plan]])</f>
        <v>MARCH 25 PLANNED</v>
      </c>
    </row>
    <row r="1098" spans="1:11" x14ac:dyDescent="0.25">
      <c r="A1098" s="33">
        <f>IF(G1098=G1097,A1097+1,1)</f>
        <v>1</v>
      </c>
      <c r="B1098" s="34">
        <v>45748</v>
      </c>
      <c r="C1098" s="7" t="s">
        <v>264</v>
      </c>
      <c r="D1098" s="7">
        <v>25</v>
      </c>
      <c r="E1098" s="33">
        <f>DAY(TableAopCalendar[[#This Row],[Date]])</f>
        <v>1</v>
      </c>
      <c r="F109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98" s="33" t="str">
        <f>"Week"&amp;" "&amp;F1098</f>
        <v>Week 1</v>
      </c>
      <c r="H1098" s="33" t="str">
        <f>CONCATENATE(C1098," ",D1098," ",G1098)</f>
        <v>April 25 Week 1</v>
      </c>
      <c r="I1098" s="33" t="str">
        <f>CONCATENATE(UPPER(TableAopCalendar[[#This Row],[Month]])," ",TableAopCalendar[[#This Row],[Year]])</f>
        <v>APRIL 25</v>
      </c>
      <c r="J1098" s="8" t="s">
        <v>274</v>
      </c>
      <c r="K1098" s="33" t="str">
        <f>CONCATENATE(TableAopCalendar[[#This Row],[Month for Plan]]," ",TableAopCalendar[[#This Row],[Plan]])</f>
        <v>APRIL 25 PLANNED</v>
      </c>
    </row>
    <row r="1099" spans="1:11" x14ac:dyDescent="0.25">
      <c r="A1099" s="33">
        <f t="shared" ref="A1099:A1162" si="66">IF(G1099=G1098,A1098+1,1)</f>
        <v>2</v>
      </c>
      <c r="B1099" s="34">
        <v>45749</v>
      </c>
      <c r="C1099" s="7" t="s">
        <v>264</v>
      </c>
      <c r="D1099" s="7">
        <v>25</v>
      </c>
      <c r="E1099" s="33">
        <f>DAY(TableAopCalendar[[#This Row],[Date]])</f>
        <v>2</v>
      </c>
      <c r="F109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099" s="33" t="str">
        <f t="shared" ref="G1099:G1162" si="67">"Week"&amp;" "&amp;F1099</f>
        <v>Week 1</v>
      </c>
      <c r="H1099" s="33" t="str">
        <f t="shared" ref="H1099:H1162" si="68">CONCATENATE(C1099," ",D1099," ",G1099)</f>
        <v>April 25 Week 1</v>
      </c>
      <c r="I1099" s="33" t="str">
        <f>CONCATENATE(UPPER(TableAopCalendar[[#This Row],[Month]])," ",TableAopCalendar[[#This Row],[Year]])</f>
        <v>APRIL 25</v>
      </c>
      <c r="J1099" s="8" t="s">
        <v>274</v>
      </c>
      <c r="K1099" s="33" t="str">
        <f>CONCATENATE(TableAopCalendar[[#This Row],[Month for Plan]]," ",TableAopCalendar[[#This Row],[Plan]])</f>
        <v>APRIL 25 PLANNED</v>
      </c>
    </row>
    <row r="1100" spans="1:11" x14ac:dyDescent="0.25">
      <c r="A1100" s="33">
        <f t="shared" si="66"/>
        <v>3</v>
      </c>
      <c r="B1100" s="34">
        <v>45750</v>
      </c>
      <c r="C1100" s="7" t="s">
        <v>264</v>
      </c>
      <c r="D1100" s="7">
        <v>25</v>
      </c>
      <c r="E1100" s="33">
        <f>DAY(TableAopCalendar[[#This Row],[Date]])</f>
        <v>3</v>
      </c>
      <c r="F110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00" s="33" t="str">
        <f t="shared" si="67"/>
        <v>Week 1</v>
      </c>
      <c r="H1100" s="33" t="str">
        <f t="shared" si="68"/>
        <v>April 25 Week 1</v>
      </c>
      <c r="I1100" s="33" t="str">
        <f>CONCATENATE(UPPER(TableAopCalendar[[#This Row],[Month]])," ",TableAopCalendar[[#This Row],[Year]])</f>
        <v>APRIL 25</v>
      </c>
      <c r="J1100" s="8" t="s">
        <v>274</v>
      </c>
      <c r="K1100" s="33" t="str">
        <f>CONCATENATE(TableAopCalendar[[#This Row],[Month for Plan]]," ",TableAopCalendar[[#This Row],[Plan]])</f>
        <v>APRIL 25 PLANNED</v>
      </c>
    </row>
    <row r="1101" spans="1:11" x14ac:dyDescent="0.25">
      <c r="A1101" s="33">
        <f t="shared" si="66"/>
        <v>4</v>
      </c>
      <c r="B1101" s="34">
        <v>45751</v>
      </c>
      <c r="C1101" s="7" t="s">
        <v>264</v>
      </c>
      <c r="D1101" s="7">
        <v>25</v>
      </c>
      <c r="E1101" s="33">
        <f>DAY(TableAopCalendar[[#This Row],[Date]])</f>
        <v>4</v>
      </c>
      <c r="F110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01" s="33" t="str">
        <f t="shared" si="67"/>
        <v>Week 1</v>
      </c>
      <c r="H1101" s="33" t="str">
        <f t="shared" si="68"/>
        <v>April 25 Week 1</v>
      </c>
      <c r="I1101" s="33" t="str">
        <f>CONCATENATE(UPPER(TableAopCalendar[[#This Row],[Month]])," ",TableAopCalendar[[#This Row],[Year]])</f>
        <v>APRIL 25</v>
      </c>
      <c r="J1101" s="8" t="s">
        <v>274</v>
      </c>
      <c r="K1101" s="33" t="str">
        <f>CONCATENATE(TableAopCalendar[[#This Row],[Month for Plan]]," ",TableAopCalendar[[#This Row],[Plan]])</f>
        <v>APRIL 25 PLANNED</v>
      </c>
    </row>
    <row r="1102" spans="1:11" x14ac:dyDescent="0.25">
      <c r="A1102" s="33">
        <f t="shared" si="66"/>
        <v>5</v>
      </c>
      <c r="B1102" s="34">
        <v>45752</v>
      </c>
      <c r="C1102" s="7" t="s">
        <v>264</v>
      </c>
      <c r="D1102" s="7">
        <v>25</v>
      </c>
      <c r="E1102" s="33">
        <f>DAY(TableAopCalendar[[#This Row],[Date]])</f>
        <v>5</v>
      </c>
      <c r="F110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02" s="33" t="str">
        <f t="shared" si="67"/>
        <v>Week 1</v>
      </c>
      <c r="H1102" s="33" t="str">
        <f t="shared" si="68"/>
        <v>April 25 Week 1</v>
      </c>
      <c r="I1102" s="33" t="str">
        <f>CONCATENATE(UPPER(TableAopCalendar[[#This Row],[Month]])," ",TableAopCalendar[[#This Row],[Year]])</f>
        <v>APRIL 25</v>
      </c>
      <c r="J1102" s="8" t="s">
        <v>274</v>
      </c>
      <c r="K1102" s="33" t="str">
        <f>CONCATENATE(TableAopCalendar[[#This Row],[Month for Plan]]," ",TableAopCalendar[[#This Row],[Plan]])</f>
        <v>APRIL 25 PLANNED</v>
      </c>
    </row>
    <row r="1103" spans="1:11" x14ac:dyDescent="0.25">
      <c r="A1103" s="33">
        <f t="shared" si="66"/>
        <v>6</v>
      </c>
      <c r="B1103" s="34">
        <v>45753</v>
      </c>
      <c r="C1103" s="7" t="s">
        <v>264</v>
      </c>
      <c r="D1103" s="7">
        <v>25</v>
      </c>
      <c r="E1103" s="33">
        <f>DAY(TableAopCalendar[[#This Row],[Date]])</f>
        <v>6</v>
      </c>
      <c r="F110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03" s="33" t="str">
        <f t="shared" si="67"/>
        <v>Week 1</v>
      </c>
      <c r="H1103" s="33" t="str">
        <f t="shared" si="68"/>
        <v>April 25 Week 1</v>
      </c>
      <c r="I1103" s="33" t="str">
        <f>CONCATENATE(UPPER(TableAopCalendar[[#This Row],[Month]])," ",TableAopCalendar[[#This Row],[Year]])</f>
        <v>APRIL 25</v>
      </c>
      <c r="J1103" s="8" t="s">
        <v>274</v>
      </c>
      <c r="K1103" s="33" t="str">
        <f>CONCATENATE(TableAopCalendar[[#This Row],[Month for Plan]]," ",TableAopCalendar[[#This Row],[Plan]])</f>
        <v>APRIL 25 PLANNED</v>
      </c>
    </row>
    <row r="1104" spans="1:11" x14ac:dyDescent="0.25">
      <c r="A1104" s="33">
        <f t="shared" si="66"/>
        <v>7</v>
      </c>
      <c r="B1104" s="34">
        <v>45754</v>
      </c>
      <c r="C1104" s="7" t="s">
        <v>264</v>
      </c>
      <c r="D1104" s="7">
        <v>25</v>
      </c>
      <c r="E1104" s="33">
        <f>DAY(TableAopCalendar[[#This Row],[Date]])</f>
        <v>7</v>
      </c>
      <c r="F110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04" s="33" t="str">
        <f t="shared" si="67"/>
        <v>Week 1</v>
      </c>
      <c r="H1104" s="33" t="str">
        <f t="shared" si="68"/>
        <v>April 25 Week 1</v>
      </c>
      <c r="I1104" s="33" t="str">
        <f>CONCATENATE(UPPER(TableAopCalendar[[#This Row],[Month]])," ",TableAopCalendar[[#This Row],[Year]])</f>
        <v>APRIL 25</v>
      </c>
      <c r="J1104" s="8" t="s">
        <v>274</v>
      </c>
      <c r="K1104" s="33" t="str">
        <f>CONCATENATE(TableAopCalendar[[#This Row],[Month for Plan]]," ",TableAopCalendar[[#This Row],[Plan]])</f>
        <v>APRIL 25 PLANNED</v>
      </c>
    </row>
    <row r="1105" spans="1:11" x14ac:dyDescent="0.25">
      <c r="A1105" s="33">
        <f t="shared" si="66"/>
        <v>1</v>
      </c>
      <c r="B1105" s="34">
        <v>45755</v>
      </c>
      <c r="C1105" s="7" t="s">
        <v>264</v>
      </c>
      <c r="D1105" s="7">
        <v>25</v>
      </c>
      <c r="E1105" s="33">
        <f>DAY(TableAopCalendar[[#This Row],[Date]])</f>
        <v>8</v>
      </c>
      <c r="F110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05" s="33" t="str">
        <f t="shared" si="67"/>
        <v>Week 2</v>
      </c>
      <c r="H1105" s="33" t="str">
        <f t="shared" si="68"/>
        <v>April 25 Week 2</v>
      </c>
      <c r="I1105" s="33" t="str">
        <f>CONCATENATE(UPPER(TableAopCalendar[[#This Row],[Month]])," ",TableAopCalendar[[#This Row],[Year]])</f>
        <v>APRIL 25</v>
      </c>
      <c r="J1105" s="8" t="s">
        <v>274</v>
      </c>
      <c r="K1105" s="33" t="str">
        <f>CONCATENATE(TableAopCalendar[[#This Row],[Month for Plan]]," ",TableAopCalendar[[#This Row],[Plan]])</f>
        <v>APRIL 25 PLANNED</v>
      </c>
    </row>
    <row r="1106" spans="1:11" x14ac:dyDescent="0.25">
      <c r="A1106" s="33">
        <f t="shared" si="66"/>
        <v>2</v>
      </c>
      <c r="B1106" s="34">
        <v>45756</v>
      </c>
      <c r="C1106" s="7" t="s">
        <v>264</v>
      </c>
      <c r="D1106" s="7">
        <v>25</v>
      </c>
      <c r="E1106" s="33">
        <f>DAY(TableAopCalendar[[#This Row],[Date]])</f>
        <v>9</v>
      </c>
      <c r="F110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06" s="33" t="str">
        <f t="shared" si="67"/>
        <v>Week 2</v>
      </c>
      <c r="H1106" s="33" t="str">
        <f t="shared" si="68"/>
        <v>April 25 Week 2</v>
      </c>
      <c r="I1106" s="33" t="str">
        <f>CONCATENATE(UPPER(TableAopCalendar[[#This Row],[Month]])," ",TableAopCalendar[[#This Row],[Year]])</f>
        <v>APRIL 25</v>
      </c>
      <c r="J1106" s="8" t="s">
        <v>274</v>
      </c>
      <c r="K1106" s="33" t="str">
        <f>CONCATENATE(TableAopCalendar[[#This Row],[Month for Plan]]," ",TableAopCalendar[[#This Row],[Plan]])</f>
        <v>APRIL 25 PLANNED</v>
      </c>
    </row>
    <row r="1107" spans="1:11" x14ac:dyDescent="0.25">
      <c r="A1107" s="33">
        <f t="shared" si="66"/>
        <v>3</v>
      </c>
      <c r="B1107" s="34">
        <v>45757</v>
      </c>
      <c r="C1107" s="7" t="s">
        <v>264</v>
      </c>
      <c r="D1107" s="7">
        <v>25</v>
      </c>
      <c r="E1107" s="33">
        <f>DAY(TableAopCalendar[[#This Row],[Date]])</f>
        <v>10</v>
      </c>
      <c r="F110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07" s="33" t="str">
        <f t="shared" si="67"/>
        <v>Week 2</v>
      </c>
      <c r="H1107" s="33" t="str">
        <f t="shared" si="68"/>
        <v>April 25 Week 2</v>
      </c>
      <c r="I1107" s="33" t="str">
        <f>CONCATENATE(UPPER(TableAopCalendar[[#This Row],[Month]])," ",TableAopCalendar[[#This Row],[Year]])</f>
        <v>APRIL 25</v>
      </c>
      <c r="J1107" s="8" t="s">
        <v>274</v>
      </c>
      <c r="K1107" s="33" t="str">
        <f>CONCATENATE(TableAopCalendar[[#This Row],[Month for Plan]]," ",TableAopCalendar[[#This Row],[Plan]])</f>
        <v>APRIL 25 PLANNED</v>
      </c>
    </row>
    <row r="1108" spans="1:11" x14ac:dyDescent="0.25">
      <c r="A1108" s="33">
        <f t="shared" si="66"/>
        <v>4</v>
      </c>
      <c r="B1108" s="34">
        <v>45758</v>
      </c>
      <c r="C1108" s="7" t="s">
        <v>264</v>
      </c>
      <c r="D1108" s="7">
        <v>25</v>
      </c>
      <c r="E1108" s="33">
        <f>DAY(TableAopCalendar[[#This Row],[Date]])</f>
        <v>11</v>
      </c>
      <c r="F110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08" s="33" t="str">
        <f t="shared" si="67"/>
        <v>Week 2</v>
      </c>
      <c r="H1108" s="33" t="str">
        <f t="shared" si="68"/>
        <v>April 25 Week 2</v>
      </c>
      <c r="I1108" s="33" t="str">
        <f>CONCATENATE(UPPER(TableAopCalendar[[#This Row],[Month]])," ",TableAopCalendar[[#This Row],[Year]])</f>
        <v>APRIL 25</v>
      </c>
      <c r="J1108" s="8" t="s">
        <v>274</v>
      </c>
      <c r="K1108" s="33" t="str">
        <f>CONCATENATE(TableAopCalendar[[#This Row],[Month for Plan]]," ",TableAopCalendar[[#This Row],[Plan]])</f>
        <v>APRIL 25 PLANNED</v>
      </c>
    </row>
    <row r="1109" spans="1:11" x14ac:dyDescent="0.25">
      <c r="A1109" s="33">
        <f t="shared" si="66"/>
        <v>5</v>
      </c>
      <c r="B1109" s="34">
        <v>45759</v>
      </c>
      <c r="C1109" s="7" t="s">
        <v>264</v>
      </c>
      <c r="D1109" s="7">
        <v>25</v>
      </c>
      <c r="E1109" s="33">
        <f>DAY(TableAopCalendar[[#This Row],[Date]])</f>
        <v>12</v>
      </c>
      <c r="F110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09" s="33" t="str">
        <f t="shared" si="67"/>
        <v>Week 2</v>
      </c>
      <c r="H1109" s="33" t="str">
        <f t="shared" si="68"/>
        <v>April 25 Week 2</v>
      </c>
      <c r="I1109" s="33" t="str">
        <f>CONCATENATE(UPPER(TableAopCalendar[[#This Row],[Month]])," ",TableAopCalendar[[#This Row],[Year]])</f>
        <v>APRIL 25</v>
      </c>
      <c r="J1109" s="8" t="s">
        <v>274</v>
      </c>
      <c r="K1109" s="33" t="str">
        <f>CONCATENATE(TableAopCalendar[[#This Row],[Month for Plan]]," ",TableAopCalendar[[#This Row],[Plan]])</f>
        <v>APRIL 25 PLANNED</v>
      </c>
    </row>
    <row r="1110" spans="1:11" x14ac:dyDescent="0.25">
      <c r="A1110" s="33">
        <f t="shared" si="66"/>
        <v>6</v>
      </c>
      <c r="B1110" s="34">
        <v>45760</v>
      </c>
      <c r="C1110" s="7" t="s">
        <v>264</v>
      </c>
      <c r="D1110" s="7">
        <v>25</v>
      </c>
      <c r="E1110" s="33">
        <f>DAY(TableAopCalendar[[#This Row],[Date]])</f>
        <v>13</v>
      </c>
      <c r="F111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10" s="33" t="str">
        <f t="shared" si="67"/>
        <v>Week 2</v>
      </c>
      <c r="H1110" s="33" t="str">
        <f t="shared" si="68"/>
        <v>April 25 Week 2</v>
      </c>
      <c r="I1110" s="33" t="str">
        <f>CONCATENATE(UPPER(TableAopCalendar[[#This Row],[Month]])," ",TableAopCalendar[[#This Row],[Year]])</f>
        <v>APRIL 25</v>
      </c>
      <c r="J1110" s="8" t="s">
        <v>274</v>
      </c>
      <c r="K1110" s="33" t="str">
        <f>CONCATENATE(TableAopCalendar[[#This Row],[Month for Plan]]," ",TableAopCalendar[[#This Row],[Plan]])</f>
        <v>APRIL 25 PLANNED</v>
      </c>
    </row>
    <row r="1111" spans="1:11" x14ac:dyDescent="0.25">
      <c r="A1111" s="33">
        <f t="shared" si="66"/>
        <v>7</v>
      </c>
      <c r="B1111" s="34">
        <v>45761</v>
      </c>
      <c r="C1111" s="7" t="s">
        <v>264</v>
      </c>
      <c r="D1111" s="7">
        <v>25</v>
      </c>
      <c r="E1111" s="33">
        <f>DAY(TableAopCalendar[[#This Row],[Date]])</f>
        <v>14</v>
      </c>
      <c r="F111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11" s="33" t="str">
        <f t="shared" si="67"/>
        <v>Week 2</v>
      </c>
      <c r="H1111" s="33" t="str">
        <f t="shared" si="68"/>
        <v>April 25 Week 2</v>
      </c>
      <c r="I1111" s="33" t="str">
        <f>CONCATENATE(UPPER(TableAopCalendar[[#This Row],[Month]])," ",TableAopCalendar[[#This Row],[Year]])</f>
        <v>APRIL 25</v>
      </c>
      <c r="J1111" s="8" t="s">
        <v>274</v>
      </c>
      <c r="K1111" s="33" t="str">
        <f>CONCATENATE(TableAopCalendar[[#This Row],[Month for Plan]]," ",TableAopCalendar[[#This Row],[Plan]])</f>
        <v>APRIL 25 PLANNED</v>
      </c>
    </row>
    <row r="1112" spans="1:11" x14ac:dyDescent="0.25">
      <c r="A1112" s="33">
        <f t="shared" si="66"/>
        <v>1</v>
      </c>
      <c r="B1112" s="34">
        <v>45762</v>
      </c>
      <c r="C1112" s="7" t="s">
        <v>264</v>
      </c>
      <c r="D1112" s="7">
        <v>25</v>
      </c>
      <c r="E1112" s="33">
        <f>DAY(TableAopCalendar[[#This Row],[Date]])</f>
        <v>15</v>
      </c>
      <c r="F111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2" s="33" t="str">
        <f t="shared" si="67"/>
        <v>Week 3</v>
      </c>
      <c r="H1112" s="33" t="str">
        <f t="shared" si="68"/>
        <v>April 25 Week 3</v>
      </c>
      <c r="I1112" s="33" t="str">
        <f>CONCATENATE(UPPER(TableAopCalendar[[#This Row],[Month]])," ",TableAopCalendar[[#This Row],[Year]])</f>
        <v>APRIL 25</v>
      </c>
      <c r="J1112" s="8" t="s">
        <v>274</v>
      </c>
      <c r="K1112" s="33" t="str">
        <f>CONCATENATE(TableAopCalendar[[#This Row],[Month for Plan]]," ",TableAopCalendar[[#This Row],[Plan]])</f>
        <v>APRIL 25 PLANNED</v>
      </c>
    </row>
    <row r="1113" spans="1:11" x14ac:dyDescent="0.25">
      <c r="A1113" s="33">
        <f t="shared" si="66"/>
        <v>2</v>
      </c>
      <c r="B1113" s="34">
        <v>45763</v>
      </c>
      <c r="C1113" s="7" t="s">
        <v>264</v>
      </c>
      <c r="D1113" s="7">
        <v>25</v>
      </c>
      <c r="E1113" s="33">
        <f>DAY(TableAopCalendar[[#This Row],[Date]])</f>
        <v>16</v>
      </c>
      <c r="F111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3" s="33" t="str">
        <f t="shared" si="67"/>
        <v>Week 3</v>
      </c>
      <c r="H1113" s="33" t="str">
        <f t="shared" si="68"/>
        <v>April 25 Week 3</v>
      </c>
      <c r="I1113" s="33" t="str">
        <f>CONCATENATE(UPPER(TableAopCalendar[[#This Row],[Month]])," ",TableAopCalendar[[#This Row],[Year]])</f>
        <v>APRIL 25</v>
      </c>
      <c r="J1113" s="8" t="s">
        <v>274</v>
      </c>
      <c r="K1113" s="33" t="str">
        <f>CONCATENATE(TableAopCalendar[[#This Row],[Month for Plan]]," ",TableAopCalendar[[#This Row],[Plan]])</f>
        <v>APRIL 25 PLANNED</v>
      </c>
    </row>
    <row r="1114" spans="1:11" x14ac:dyDescent="0.25">
      <c r="A1114" s="33">
        <f t="shared" si="66"/>
        <v>3</v>
      </c>
      <c r="B1114" s="34">
        <v>45764</v>
      </c>
      <c r="C1114" s="7" t="s">
        <v>264</v>
      </c>
      <c r="D1114" s="7">
        <v>25</v>
      </c>
      <c r="E1114" s="33">
        <f>DAY(TableAopCalendar[[#This Row],[Date]])</f>
        <v>17</v>
      </c>
      <c r="F111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4" s="33" t="str">
        <f t="shared" si="67"/>
        <v>Week 3</v>
      </c>
      <c r="H1114" s="33" t="str">
        <f t="shared" si="68"/>
        <v>April 25 Week 3</v>
      </c>
      <c r="I1114" s="33" t="str">
        <f>CONCATENATE(UPPER(TableAopCalendar[[#This Row],[Month]])," ",TableAopCalendar[[#This Row],[Year]])</f>
        <v>APRIL 25</v>
      </c>
      <c r="J1114" s="8" t="s">
        <v>274</v>
      </c>
      <c r="K1114" s="33" t="str">
        <f>CONCATENATE(TableAopCalendar[[#This Row],[Month for Plan]]," ",TableAopCalendar[[#This Row],[Plan]])</f>
        <v>APRIL 25 PLANNED</v>
      </c>
    </row>
    <row r="1115" spans="1:11" x14ac:dyDescent="0.25">
      <c r="A1115" s="33">
        <f t="shared" si="66"/>
        <v>4</v>
      </c>
      <c r="B1115" s="34">
        <v>45765</v>
      </c>
      <c r="C1115" s="7" t="s">
        <v>264</v>
      </c>
      <c r="D1115" s="7">
        <v>25</v>
      </c>
      <c r="E1115" s="33">
        <f>DAY(TableAopCalendar[[#This Row],[Date]])</f>
        <v>18</v>
      </c>
      <c r="F111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5" s="33" t="str">
        <f t="shared" si="67"/>
        <v>Week 3</v>
      </c>
      <c r="H1115" s="33" t="str">
        <f t="shared" si="68"/>
        <v>April 25 Week 3</v>
      </c>
      <c r="I1115" s="33" t="str">
        <f>CONCATENATE(UPPER(TableAopCalendar[[#This Row],[Month]])," ",TableAopCalendar[[#This Row],[Year]])</f>
        <v>APRIL 25</v>
      </c>
      <c r="J1115" s="8" t="s">
        <v>274</v>
      </c>
      <c r="K1115" s="33" t="str">
        <f>CONCATENATE(TableAopCalendar[[#This Row],[Month for Plan]]," ",TableAopCalendar[[#This Row],[Plan]])</f>
        <v>APRIL 25 PLANNED</v>
      </c>
    </row>
    <row r="1116" spans="1:11" x14ac:dyDescent="0.25">
      <c r="A1116" s="33">
        <f t="shared" si="66"/>
        <v>5</v>
      </c>
      <c r="B1116" s="34">
        <v>45766</v>
      </c>
      <c r="C1116" s="7" t="s">
        <v>264</v>
      </c>
      <c r="D1116" s="7">
        <v>25</v>
      </c>
      <c r="E1116" s="33">
        <f>DAY(TableAopCalendar[[#This Row],[Date]])</f>
        <v>19</v>
      </c>
      <c r="F111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6" s="33" t="str">
        <f t="shared" si="67"/>
        <v>Week 3</v>
      </c>
      <c r="H1116" s="33" t="str">
        <f t="shared" si="68"/>
        <v>April 25 Week 3</v>
      </c>
      <c r="I1116" s="33" t="str">
        <f>CONCATENATE(UPPER(TableAopCalendar[[#This Row],[Month]])," ",TableAopCalendar[[#This Row],[Year]])</f>
        <v>APRIL 25</v>
      </c>
      <c r="J1116" s="8" t="s">
        <v>274</v>
      </c>
      <c r="K1116" s="33" t="str">
        <f>CONCATENATE(TableAopCalendar[[#This Row],[Month for Plan]]," ",TableAopCalendar[[#This Row],[Plan]])</f>
        <v>APRIL 25 PLANNED</v>
      </c>
    </row>
    <row r="1117" spans="1:11" x14ac:dyDescent="0.25">
      <c r="A1117" s="33">
        <f t="shared" si="66"/>
        <v>6</v>
      </c>
      <c r="B1117" s="34">
        <v>45767</v>
      </c>
      <c r="C1117" s="7" t="s">
        <v>264</v>
      </c>
      <c r="D1117" s="7">
        <v>25</v>
      </c>
      <c r="E1117" s="33">
        <f>DAY(TableAopCalendar[[#This Row],[Date]])</f>
        <v>20</v>
      </c>
      <c r="F111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7" s="33" t="str">
        <f t="shared" si="67"/>
        <v>Week 3</v>
      </c>
      <c r="H1117" s="33" t="str">
        <f t="shared" si="68"/>
        <v>April 25 Week 3</v>
      </c>
      <c r="I1117" s="33" t="str">
        <f>CONCATENATE(UPPER(TableAopCalendar[[#This Row],[Month]])," ",TableAopCalendar[[#This Row],[Year]])</f>
        <v>APRIL 25</v>
      </c>
      <c r="J1117" s="8" t="s">
        <v>274</v>
      </c>
      <c r="K1117" s="33" t="str">
        <f>CONCATENATE(TableAopCalendar[[#This Row],[Month for Plan]]," ",TableAopCalendar[[#This Row],[Plan]])</f>
        <v>APRIL 25 PLANNED</v>
      </c>
    </row>
    <row r="1118" spans="1:11" x14ac:dyDescent="0.25">
      <c r="A1118" s="33">
        <f t="shared" si="66"/>
        <v>7</v>
      </c>
      <c r="B1118" s="34">
        <v>45768</v>
      </c>
      <c r="C1118" s="7" t="s">
        <v>264</v>
      </c>
      <c r="D1118" s="7">
        <v>25</v>
      </c>
      <c r="E1118" s="33">
        <f>DAY(TableAopCalendar[[#This Row],[Date]])</f>
        <v>21</v>
      </c>
      <c r="F111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18" s="33" t="str">
        <f t="shared" si="67"/>
        <v>Week 3</v>
      </c>
      <c r="H1118" s="33" t="str">
        <f t="shared" si="68"/>
        <v>April 25 Week 3</v>
      </c>
      <c r="I1118" s="33" t="str">
        <f>CONCATENATE(UPPER(TableAopCalendar[[#This Row],[Month]])," ",TableAopCalendar[[#This Row],[Year]])</f>
        <v>APRIL 25</v>
      </c>
      <c r="J1118" s="8" t="s">
        <v>274</v>
      </c>
      <c r="K1118" s="33" t="str">
        <f>CONCATENATE(TableAopCalendar[[#This Row],[Month for Plan]]," ",TableAopCalendar[[#This Row],[Plan]])</f>
        <v>APRIL 25 PLANNED</v>
      </c>
    </row>
    <row r="1119" spans="1:11" x14ac:dyDescent="0.25">
      <c r="A1119" s="33">
        <f t="shared" si="66"/>
        <v>1</v>
      </c>
      <c r="B1119" s="34">
        <v>45769</v>
      </c>
      <c r="C1119" s="7" t="s">
        <v>264</v>
      </c>
      <c r="D1119" s="7">
        <v>25</v>
      </c>
      <c r="E1119" s="33">
        <f>DAY(TableAopCalendar[[#This Row],[Date]])</f>
        <v>22</v>
      </c>
      <c r="F111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19" s="33" t="str">
        <f t="shared" si="67"/>
        <v>Week 4</v>
      </c>
      <c r="H1119" s="33" t="str">
        <f t="shared" si="68"/>
        <v>April 25 Week 4</v>
      </c>
      <c r="I1119" s="33" t="str">
        <f>CONCATENATE(UPPER(TableAopCalendar[[#This Row],[Month]])," ",TableAopCalendar[[#This Row],[Year]])</f>
        <v>APRIL 25</v>
      </c>
      <c r="J1119" s="8" t="s">
        <v>274</v>
      </c>
      <c r="K1119" s="33" t="str">
        <f>CONCATENATE(TableAopCalendar[[#This Row],[Month for Plan]]," ",TableAopCalendar[[#This Row],[Plan]])</f>
        <v>APRIL 25 PLANNED</v>
      </c>
    </row>
    <row r="1120" spans="1:11" x14ac:dyDescent="0.25">
      <c r="A1120" s="33">
        <f t="shared" si="66"/>
        <v>2</v>
      </c>
      <c r="B1120" s="34">
        <v>45770</v>
      </c>
      <c r="C1120" s="7" t="s">
        <v>264</v>
      </c>
      <c r="D1120" s="7">
        <v>25</v>
      </c>
      <c r="E1120" s="33">
        <f>DAY(TableAopCalendar[[#This Row],[Date]])</f>
        <v>23</v>
      </c>
      <c r="F112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20" s="33" t="str">
        <f t="shared" si="67"/>
        <v>Week 4</v>
      </c>
      <c r="H1120" s="33" t="str">
        <f t="shared" si="68"/>
        <v>April 25 Week 4</v>
      </c>
      <c r="I1120" s="33" t="str">
        <f>CONCATENATE(UPPER(TableAopCalendar[[#This Row],[Month]])," ",TableAopCalendar[[#This Row],[Year]])</f>
        <v>APRIL 25</v>
      </c>
      <c r="J1120" s="8" t="s">
        <v>274</v>
      </c>
      <c r="K1120" s="33" t="str">
        <f>CONCATENATE(TableAopCalendar[[#This Row],[Month for Plan]]," ",TableAopCalendar[[#This Row],[Plan]])</f>
        <v>APRIL 25 PLANNED</v>
      </c>
    </row>
    <row r="1121" spans="1:11" x14ac:dyDescent="0.25">
      <c r="A1121" s="33">
        <f t="shared" si="66"/>
        <v>3</v>
      </c>
      <c r="B1121" s="34">
        <v>45771</v>
      </c>
      <c r="C1121" s="7" t="s">
        <v>264</v>
      </c>
      <c r="D1121" s="7">
        <v>25</v>
      </c>
      <c r="E1121" s="33">
        <f>DAY(TableAopCalendar[[#This Row],[Date]])</f>
        <v>24</v>
      </c>
      <c r="F112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21" s="33" t="str">
        <f t="shared" si="67"/>
        <v>Week 4</v>
      </c>
      <c r="H1121" s="33" t="str">
        <f t="shared" si="68"/>
        <v>April 25 Week 4</v>
      </c>
      <c r="I1121" s="33" t="str">
        <f>CONCATENATE(UPPER(TableAopCalendar[[#This Row],[Month]])," ",TableAopCalendar[[#This Row],[Year]])</f>
        <v>APRIL 25</v>
      </c>
      <c r="J1121" s="8" t="s">
        <v>274</v>
      </c>
      <c r="K1121" s="33" t="str">
        <f>CONCATENATE(TableAopCalendar[[#This Row],[Month for Plan]]," ",TableAopCalendar[[#This Row],[Plan]])</f>
        <v>APRIL 25 PLANNED</v>
      </c>
    </row>
    <row r="1122" spans="1:11" x14ac:dyDescent="0.25">
      <c r="A1122" s="33">
        <f t="shared" si="66"/>
        <v>4</v>
      </c>
      <c r="B1122" s="34">
        <v>45772</v>
      </c>
      <c r="C1122" s="7" t="s">
        <v>264</v>
      </c>
      <c r="D1122" s="7">
        <v>25</v>
      </c>
      <c r="E1122" s="33">
        <f>DAY(TableAopCalendar[[#This Row],[Date]])</f>
        <v>25</v>
      </c>
      <c r="F112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22" s="33" t="str">
        <f t="shared" si="67"/>
        <v>Week 4</v>
      </c>
      <c r="H1122" s="33" t="str">
        <f t="shared" si="68"/>
        <v>April 25 Week 4</v>
      </c>
      <c r="I1122" s="33" t="str">
        <f>CONCATENATE(UPPER(TableAopCalendar[[#This Row],[Month]])," ",TableAopCalendar[[#This Row],[Year]])</f>
        <v>APRIL 25</v>
      </c>
      <c r="J1122" s="8" t="s">
        <v>274</v>
      </c>
      <c r="K1122" s="33" t="str">
        <f>CONCATENATE(TableAopCalendar[[#This Row],[Month for Plan]]," ",TableAopCalendar[[#This Row],[Plan]])</f>
        <v>APRIL 25 PLANNED</v>
      </c>
    </row>
    <row r="1123" spans="1:11" x14ac:dyDescent="0.25">
      <c r="A1123" s="33">
        <f t="shared" si="66"/>
        <v>5</v>
      </c>
      <c r="B1123" s="34">
        <v>45773</v>
      </c>
      <c r="C1123" s="7" t="s">
        <v>264</v>
      </c>
      <c r="D1123" s="7">
        <v>25</v>
      </c>
      <c r="E1123" s="33">
        <f>DAY(TableAopCalendar[[#This Row],[Date]])</f>
        <v>26</v>
      </c>
      <c r="F112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23" s="33" t="str">
        <f t="shared" si="67"/>
        <v>Week 4</v>
      </c>
      <c r="H1123" s="33" t="str">
        <f t="shared" si="68"/>
        <v>April 25 Week 4</v>
      </c>
      <c r="I1123" s="33" t="str">
        <f>CONCATENATE(UPPER(TableAopCalendar[[#This Row],[Month]])," ",TableAopCalendar[[#This Row],[Year]])</f>
        <v>APRIL 25</v>
      </c>
      <c r="J1123" s="8" t="s">
        <v>274</v>
      </c>
      <c r="K1123" s="33" t="str">
        <f>CONCATENATE(TableAopCalendar[[#This Row],[Month for Plan]]," ",TableAopCalendar[[#This Row],[Plan]])</f>
        <v>APRIL 25 PLANNED</v>
      </c>
    </row>
    <row r="1124" spans="1:11" x14ac:dyDescent="0.25">
      <c r="A1124" s="33">
        <f t="shared" si="66"/>
        <v>6</v>
      </c>
      <c r="B1124" s="34">
        <v>45774</v>
      </c>
      <c r="C1124" s="7" t="s">
        <v>264</v>
      </c>
      <c r="D1124" s="7">
        <v>25</v>
      </c>
      <c r="E1124" s="33">
        <f>DAY(TableAopCalendar[[#This Row],[Date]])</f>
        <v>27</v>
      </c>
      <c r="F112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24" s="33" t="str">
        <f t="shared" si="67"/>
        <v>Week 4</v>
      </c>
      <c r="H1124" s="33" t="str">
        <f t="shared" si="68"/>
        <v>April 25 Week 4</v>
      </c>
      <c r="I1124" s="33" t="str">
        <f>CONCATENATE(UPPER(TableAopCalendar[[#This Row],[Month]])," ",TableAopCalendar[[#This Row],[Year]])</f>
        <v>APRIL 25</v>
      </c>
      <c r="J1124" s="8" t="s">
        <v>274</v>
      </c>
      <c r="K1124" s="33" t="str">
        <f>CONCATENATE(TableAopCalendar[[#This Row],[Month for Plan]]," ",TableAopCalendar[[#This Row],[Plan]])</f>
        <v>APRIL 25 PLANNED</v>
      </c>
    </row>
    <row r="1125" spans="1:11" x14ac:dyDescent="0.25">
      <c r="A1125" s="33">
        <f t="shared" si="66"/>
        <v>7</v>
      </c>
      <c r="B1125" s="34">
        <v>45775</v>
      </c>
      <c r="C1125" s="7" t="s">
        <v>264</v>
      </c>
      <c r="D1125" s="7">
        <v>25</v>
      </c>
      <c r="E1125" s="33">
        <f>DAY(TableAopCalendar[[#This Row],[Date]])</f>
        <v>28</v>
      </c>
      <c r="F112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25" s="33" t="str">
        <f t="shared" si="67"/>
        <v>Week 4</v>
      </c>
      <c r="H1125" s="33" t="str">
        <f t="shared" si="68"/>
        <v>April 25 Week 4</v>
      </c>
      <c r="I1125" s="33" t="str">
        <f>CONCATENATE(UPPER(TableAopCalendar[[#This Row],[Month]])," ",TableAopCalendar[[#This Row],[Year]])</f>
        <v>APRIL 25</v>
      </c>
      <c r="J1125" s="8" t="s">
        <v>274</v>
      </c>
      <c r="K1125" s="33" t="str">
        <f>CONCATENATE(TableAopCalendar[[#This Row],[Month for Plan]]," ",TableAopCalendar[[#This Row],[Plan]])</f>
        <v>APRIL 25 PLANNED</v>
      </c>
    </row>
    <row r="1126" spans="1:11" x14ac:dyDescent="0.25">
      <c r="A1126" s="33">
        <f t="shared" si="66"/>
        <v>1</v>
      </c>
      <c r="B1126" s="34">
        <v>45776</v>
      </c>
      <c r="C1126" s="7" t="s">
        <v>264</v>
      </c>
      <c r="D1126" s="7">
        <v>25</v>
      </c>
      <c r="E1126" s="33">
        <f>DAY(TableAopCalendar[[#This Row],[Date]])</f>
        <v>29</v>
      </c>
      <c r="F1126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126" s="33" t="str">
        <f t="shared" si="67"/>
        <v>Week 5</v>
      </c>
      <c r="H1126" s="33" t="str">
        <f t="shared" si="68"/>
        <v>April 25 Week 5</v>
      </c>
      <c r="I1126" s="33" t="str">
        <f>CONCATENATE(UPPER(TableAopCalendar[[#This Row],[Month]])," ",TableAopCalendar[[#This Row],[Year]])</f>
        <v>APRIL 25</v>
      </c>
      <c r="J1126" s="8" t="s">
        <v>274</v>
      </c>
      <c r="K1126" s="33" t="str">
        <f>CONCATENATE(TableAopCalendar[[#This Row],[Month for Plan]]," ",TableAopCalendar[[#This Row],[Plan]])</f>
        <v>APRIL 25 PLANNED</v>
      </c>
    </row>
    <row r="1127" spans="1:11" x14ac:dyDescent="0.25">
      <c r="A1127" s="33">
        <f t="shared" si="66"/>
        <v>2</v>
      </c>
      <c r="B1127" s="34">
        <v>45777</v>
      </c>
      <c r="C1127" s="7" t="s">
        <v>264</v>
      </c>
      <c r="D1127" s="7">
        <v>25</v>
      </c>
      <c r="E1127" s="33">
        <f>DAY(TableAopCalendar[[#This Row],[Date]])</f>
        <v>30</v>
      </c>
      <c r="F112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127" s="33" t="str">
        <f t="shared" si="67"/>
        <v>Week 5</v>
      </c>
      <c r="H1127" s="33" t="str">
        <f t="shared" si="68"/>
        <v>April 25 Week 5</v>
      </c>
      <c r="I1127" s="33" t="str">
        <f>CONCATENATE(UPPER(TableAopCalendar[[#This Row],[Month]])," ",TableAopCalendar[[#This Row],[Year]])</f>
        <v>APRIL 25</v>
      </c>
      <c r="J1127" s="8" t="s">
        <v>274</v>
      </c>
      <c r="K1127" s="33" t="str">
        <f>CONCATENATE(TableAopCalendar[[#This Row],[Month for Plan]]," ",TableAopCalendar[[#This Row],[Plan]])</f>
        <v>APRIL 25 PLANNED</v>
      </c>
    </row>
    <row r="1128" spans="1:11" x14ac:dyDescent="0.25">
      <c r="A1128" s="33">
        <f t="shared" si="66"/>
        <v>1</v>
      </c>
      <c r="B1128" s="34">
        <v>45778</v>
      </c>
      <c r="C1128" s="7" t="s">
        <v>265</v>
      </c>
      <c r="D1128" s="7">
        <v>25</v>
      </c>
      <c r="E1128" s="33">
        <f>DAY(TableAopCalendar[[#This Row],[Date]])</f>
        <v>1</v>
      </c>
      <c r="F112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28" s="33" t="str">
        <f t="shared" si="67"/>
        <v>Week 1</v>
      </c>
      <c r="H1128" s="33" t="str">
        <f t="shared" si="68"/>
        <v>May 25 Week 1</v>
      </c>
      <c r="I1128" s="33" t="str">
        <f>CONCATENATE(UPPER(TableAopCalendar[[#This Row],[Month]])," ",TableAopCalendar[[#This Row],[Year]])</f>
        <v>MAY 25</v>
      </c>
      <c r="J1128" s="8" t="s">
        <v>274</v>
      </c>
      <c r="K1128" s="33" t="str">
        <f>CONCATENATE(TableAopCalendar[[#This Row],[Month for Plan]]," ",TableAopCalendar[[#This Row],[Plan]])</f>
        <v>MAY 25 PLANNED</v>
      </c>
    </row>
    <row r="1129" spans="1:11" x14ac:dyDescent="0.25">
      <c r="A1129" s="33">
        <f t="shared" si="66"/>
        <v>2</v>
      </c>
      <c r="B1129" s="34">
        <v>45779</v>
      </c>
      <c r="C1129" s="7" t="s">
        <v>265</v>
      </c>
      <c r="D1129" s="7">
        <v>25</v>
      </c>
      <c r="E1129" s="33">
        <f>DAY(TableAopCalendar[[#This Row],[Date]])</f>
        <v>2</v>
      </c>
      <c r="F112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29" s="33" t="str">
        <f t="shared" si="67"/>
        <v>Week 1</v>
      </c>
      <c r="H1129" s="33" t="str">
        <f t="shared" si="68"/>
        <v>May 25 Week 1</v>
      </c>
      <c r="I1129" s="33" t="str">
        <f>CONCATENATE(UPPER(TableAopCalendar[[#This Row],[Month]])," ",TableAopCalendar[[#This Row],[Year]])</f>
        <v>MAY 25</v>
      </c>
      <c r="J1129" s="8" t="s">
        <v>274</v>
      </c>
      <c r="K1129" s="33" t="str">
        <f>CONCATENATE(TableAopCalendar[[#This Row],[Month for Plan]]," ",TableAopCalendar[[#This Row],[Plan]])</f>
        <v>MAY 25 PLANNED</v>
      </c>
    </row>
    <row r="1130" spans="1:11" x14ac:dyDescent="0.25">
      <c r="A1130" s="33">
        <f t="shared" si="66"/>
        <v>3</v>
      </c>
      <c r="B1130" s="34">
        <v>45780</v>
      </c>
      <c r="C1130" s="7" t="s">
        <v>265</v>
      </c>
      <c r="D1130" s="7">
        <v>25</v>
      </c>
      <c r="E1130" s="33">
        <f>DAY(TableAopCalendar[[#This Row],[Date]])</f>
        <v>3</v>
      </c>
      <c r="F113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30" s="33" t="str">
        <f t="shared" si="67"/>
        <v>Week 1</v>
      </c>
      <c r="H1130" s="33" t="str">
        <f t="shared" si="68"/>
        <v>May 25 Week 1</v>
      </c>
      <c r="I1130" s="33" t="str">
        <f>CONCATENATE(UPPER(TableAopCalendar[[#This Row],[Month]])," ",TableAopCalendar[[#This Row],[Year]])</f>
        <v>MAY 25</v>
      </c>
      <c r="J1130" s="8" t="s">
        <v>274</v>
      </c>
      <c r="K1130" s="33" t="str">
        <f>CONCATENATE(TableAopCalendar[[#This Row],[Month for Plan]]," ",TableAopCalendar[[#This Row],[Plan]])</f>
        <v>MAY 25 PLANNED</v>
      </c>
    </row>
    <row r="1131" spans="1:11" x14ac:dyDescent="0.25">
      <c r="A1131" s="33">
        <f t="shared" si="66"/>
        <v>4</v>
      </c>
      <c r="B1131" s="34">
        <v>45781</v>
      </c>
      <c r="C1131" s="7" t="s">
        <v>265</v>
      </c>
      <c r="D1131" s="7">
        <v>25</v>
      </c>
      <c r="E1131" s="33">
        <f>DAY(TableAopCalendar[[#This Row],[Date]])</f>
        <v>4</v>
      </c>
      <c r="F113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31" s="33" t="str">
        <f t="shared" si="67"/>
        <v>Week 1</v>
      </c>
      <c r="H1131" s="33" t="str">
        <f t="shared" si="68"/>
        <v>May 25 Week 1</v>
      </c>
      <c r="I1131" s="33" t="str">
        <f>CONCATENATE(UPPER(TableAopCalendar[[#This Row],[Month]])," ",TableAopCalendar[[#This Row],[Year]])</f>
        <v>MAY 25</v>
      </c>
      <c r="J1131" s="8" t="s">
        <v>274</v>
      </c>
      <c r="K1131" s="33" t="str">
        <f>CONCATENATE(TableAopCalendar[[#This Row],[Month for Plan]]," ",TableAopCalendar[[#This Row],[Plan]])</f>
        <v>MAY 25 PLANNED</v>
      </c>
    </row>
    <row r="1132" spans="1:11" x14ac:dyDescent="0.25">
      <c r="A1132" s="33">
        <f t="shared" si="66"/>
        <v>5</v>
      </c>
      <c r="B1132" s="34">
        <v>45782</v>
      </c>
      <c r="C1132" s="7" t="s">
        <v>265</v>
      </c>
      <c r="D1132" s="7">
        <v>25</v>
      </c>
      <c r="E1132" s="33">
        <f>DAY(TableAopCalendar[[#This Row],[Date]])</f>
        <v>5</v>
      </c>
      <c r="F113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32" s="33" t="str">
        <f t="shared" si="67"/>
        <v>Week 1</v>
      </c>
      <c r="H1132" s="33" t="str">
        <f t="shared" si="68"/>
        <v>May 25 Week 1</v>
      </c>
      <c r="I1132" s="33" t="str">
        <f>CONCATENATE(UPPER(TableAopCalendar[[#This Row],[Month]])," ",TableAopCalendar[[#This Row],[Year]])</f>
        <v>MAY 25</v>
      </c>
      <c r="J1132" s="8" t="s">
        <v>274</v>
      </c>
      <c r="K1132" s="33" t="str">
        <f>CONCATENATE(TableAopCalendar[[#This Row],[Month for Plan]]," ",TableAopCalendar[[#This Row],[Plan]])</f>
        <v>MAY 25 PLANNED</v>
      </c>
    </row>
    <row r="1133" spans="1:11" x14ac:dyDescent="0.25">
      <c r="A1133" s="33">
        <f t="shared" si="66"/>
        <v>6</v>
      </c>
      <c r="B1133" s="34">
        <v>45783</v>
      </c>
      <c r="C1133" s="7" t="s">
        <v>265</v>
      </c>
      <c r="D1133" s="7">
        <v>25</v>
      </c>
      <c r="E1133" s="33">
        <f>DAY(TableAopCalendar[[#This Row],[Date]])</f>
        <v>6</v>
      </c>
      <c r="F113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33" s="33" t="str">
        <f t="shared" si="67"/>
        <v>Week 1</v>
      </c>
      <c r="H1133" s="33" t="str">
        <f t="shared" si="68"/>
        <v>May 25 Week 1</v>
      </c>
      <c r="I1133" s="33" t="str">
        <f>CONCATENATE(UPPER(TableAopCalendar[[#This Row],[Month]])," ",TableAopCalendar[[#This Row],[Year]])</f>
        <v>MAY 25</v>
      </c>
      <c r="J1133" s="8" t="s">
        <v>274</v>
      </c>
      <c r="K1133" s="33" t="str">
        <f>CONCATENATE(TableAopCalendar[[#This Row],[Month for Plan]]," ",TableAopCalendar[[#This Row],[Plan]])</f>
        <v>MAY 25 PLANNED</v>
      </c>
    </row>
    <row r="1134" spans="1:11" x14ac:dyDescent="0.25">
      <c r="A1134" s="33">
        <f t="shared" si="66"/>
        <v>7</v>
      </c>
      <c r="B1134" s="34">
        <v>45784</v>
      </c>
      <c r="C1134" s="7" t="s">
        <v>265</v>
      </c>
      <c r="D1134" s="7">
        <v>25</v>
      </c>
      <c r="E1134" s="33">
        <f>DAY(TableAopCalendar[[#This Row],[Date]])</f>
        <v>7</v>
      </c>
      <c r="F113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34" s="33" t="str">
        <f t="shared" si="67"/>
        <v>Week 1</v>
      </c>
      <c r="H1134" s="33" t="str">
        <f t="shared" si="68"/>
        <v>May 25 Week 1</v>
      </c>
      <c r="I1134" s="33" t="str">
        <f>CONCATENATE(UPPER(TableAopCalendar[[#This Row],[Month]])," ",TableAopCalendar[[#This Row],[Year]])</f>
        <v>MAY 25</v>
      </c>
      <c r="J1134" s="8" t="s">
        <v>274</v>
      </c>
      <c r="K1134" s="33" t="str">
        <f>CONCATENATE(TableAopCalendar[[#This Row],[Month for Plan]]," ",TableAopCalendar[[#This Row],[Plan]])</f>
        <v>MAY 25 PLANNED</v>
      </c>
    </row>
    <row r="1135" spans="1:11" x14ac:dyDescent="0.25">
      <c r="A1135" s="33">
        <f t="shared" si="66"/>
        <v>1</v>
      </c>
      <c r="B1135" s="34">
        <v>45785</v>
      </c>
      <c r="C1135" s="7" t="s">
        <v>265</v>
      </c>
      <c r="D1135" s="7">
        <v>25</v>
      </c>
      <c r="E1135" s="33">
        <f>DAY(TableAopCalendar[[#This Row],[Date]])</f>
        <v>8</v>
      </c>
      <c r="F113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35" s="33" t="str">
        <f t="shared" si="67"/>
        <v>Week 2</v>
      </c>
      <c r="H1135" s="33" t="str">
        <f t="shared" si="68"/>
        <v>May 25 Week 2</v>
      </c>
      <c r="I1135" s="33" t="str">
        <f>CONCATENATE(UPPER(TableAopCalendar[[#This Row],[Month]])," ",TableAopCalendar[[#This Row],[Year]])</f>
        <v>MAY 25</v>
      </c>
      <c r="J1135" s="8" t="s">
        <v>274</v>
      </c>
      <c r="K1135" s="33" t="str">
        <f>CONCATENATE(TableAopCalendar[[#This Row],[Month for Plan]]," ",TableAopCalendar[[#This Row],[Plan]])</f>
        <v>MAY 25 PLANNED</v>
      </c>
    </row>
    <row r="1136" spans="1:11" x14ac:dyDescent="0.25">
      <c r="A1136" s="33">
        <f t="shared" si="66"/>
        <v>2</v>
      </c>
      <c r="B1136" s="34">
        <v>45786</v>
      </c>
      <c r="C1136" s="7" t="s">
        <v>265</v>
      </c>
      <c r="D1136" s="7">
        <v>25</v>
      </c>
      <c r="E1136" s="33">
        <f>DAY(TableAopCalendar[[#This Row],[Date]])</f>
        <v>9</v>
      </c>
      <c r="F113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36" s="33" t="str">
        <f t="shared" si="67"/>
        <v>Week 2</v>
      </c>
      <c r="H1136" s="33" t="str">
        <f t="shared" si="68"/>
        <v>May 25 Week 2</v>
      </c>
      <c r="I1136" s="33" t="str">
        <f>CONCATENATE(UPPER(TableAopCalendar[[#This Row],[Month]])," ",TableAopCalendar[[#This Row],[Year]])</f>
        <v>MAY 25</v>
      </c>
      <c r="J1136" s="8" t="s">
        <v>274</v>
      </c>
      <c r="K1136" s="33" t="str">
        <f>CONCATENATE(TableAopCalendar[[#This Row],[Month for Plan]]," ",TableAopCalendar[[#This Row],[Plan]])</f>
        <v>MAY 25 PLANNED</v>
      </c>
    </row>
    <row r="1137" spans="1:11" x14ac:dyDescent="0.25">
      <c r="A1137" s="33">
        <f t="shared" si="66"/>
        <v>3</v>
      </c>
      <c r="B1137" s="34">
        <v>45787</v>
      </c>
      <c r="C1137" s="7" t="s">
        <v>265</v>
      </c>
      <c r="D1137" s="7">
        <v>25</v>
      </c>
      <c r="E1137" s="33">
        <f>DAY(TableAopCalendar[[#This Row],[Date]])</f>
        <v>10</v>
      </c>
      <c r="F113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37" s="33" t="str">
        <f t="shared" si="67"/>
        <v>Week 2</v>
      </c>
      <c r="H1137" s="33" t="str">
        <f t="shared" si="68"/>
        <v>May 25 Week 2</v>
      </c>
      <c r="I1137" s="33" t="str">
        <f>CONCATENATE(UPPER(TableAopCalendar[[#This Row],[Month]])," ",TableAopCalendar[[#This Row],[Year]])</f>
        <v>MAY 25</v>
      </c>
      <c r="J1137" s="8" t="s">
        <v>274</v>
      </c>
      <c r="K1137" s="33" t="str">
        <f>CONCATENATE(TableAopCalendar[[#This Row],[Month for Plan]]," ",TableAopCalendar[[#This Row],[Plan]])</f>
        <v>MAY 25 PLANNED</v>
      </c>
    </row>
    <row r="1138" spans="1:11" x14ac:dyDescent="0.25">
      <c r="A1138" s="33">
        <f t="shared" si="66"/>
        <v>4</v>
      </c>
      <c r="B1138" s="34">
        <v>45788</v>
      </c>
      <c r="C1138" s="7" t="s">
        <v>265</v>
      </c>
      <c r="D1138" s="7">
        <v>25</v>
      </c>
      <c r="E1138" s="33">
        <f>DAY(TableAopCalendar[[#This Row],[Date]])</f>
        <v>11</v>
      </c>
      <c r="F113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38" s="33" t="str">
        <f t="shared" si="67"/>
        <v>Week 2</v>
      </c>
      <c r="H1138" s="33" t="str">
        <f t="shared" si="68"/>
        <v>May 25 Week 2</v>
      </c>
      <c r="I1138" s="33" t="str">
        <f>CONCATENATE(UPPER(TableAopCalendar[[#This Row],[Month]])," ",TableAopCalendar[[#This Row],[Year]])</f>
        <v>MAY 25</v>
      </c>
      <c r="J1138" s="8" t="s">
        <v>274</v>
      </c>
      <c r="K1138" s="33" t="str">
        <f>CONCATENATE(TableAopCalendar[[#This Row],[Month for Plan]]," ",TableAopCalendar[[#This Row],[Plan]])</f>
        <v>MAY 25 PLANNED</v>
      </c>
    </row>
    <row r="1139" spans="1:11" x14ac:dyDescent="0.25">
      <c r="A1139" s="33">
        <f t="shared" si="66"/>
        <v>5</v>
      </c>
      <c r="B1139" s="34">
        <v>45789</v>
      </c>
      <c r="C1139" s="7" t="s">
        <v>265</v>
      </c>
      <c r="D1139" s="7">
        <v>25</v>
      </c>
      <c r="E1139" s="33">
        <f>DAY(TableAopCalendar[[#This Row],[Date]])</f>
        <v>12</v>
      </c>
      <c r="F113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39" s="33" t="str">
        <f t="shared" si="67"/>
        <v>Week 2</v>
      </c>
      <c r="H1139" s="33" t="str">
        <f t="shared" si="68"/>
        <v>May 25 Week 2</v>
      </c>
      <c r="I1139" s="33" t="str">
        <f>CONCATENATE(UPPER(TableAopCalendar[[#This Row],[Month]])," ",TableAopCalendar[[#This Row],[Year]])</f>
        <v>MAY 25</v>
      </c>
      <c r="J1139" s="8" t="s">
        <v>274</v>
      </c>
      <c r="K1139" s="33" t="str">
        <f>CONCATENATE(TableAopCalendar[[#This Row],[Month for Plan]]," ",TableAopCalendar[[#This Row],[Plan]])</f>
        <v>MAY 25 PLANNED</v>
      </c>
    </row>
    <row r="1140" spans="1:11" x14ac:dyDescent="0.25">
      <c r="A1140" s="33">
        <f t="shared" si="66"/>
        <v>6</v>
      </c>
      <c r="B1140" s="34">
        <v>45790</v>
      </c>
      <c r="C1140" s="7" t="s">
        <v>265</v>
      </c>
      <c r="D1140" s="7">
        <v>25</v>
      </c>
      <c r="E1140" s="33">
        <f>DAY(TableAopCalendar[[#This Row],[Date]])</f>
        <v>13</v>
      </c>
      <c r="F114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40" s="33" t="str">
        <f t="shared" si="67"/>
        <v>Week 2</v>
      </c>
      <c r="H1140" s="33" t="str">
        <f t="shared" si="68"/>
        <v>May 25 Week 2</v>
      </c>
      <c r="I1140" s="33" t="str">
        <f>CONCATENATE(UPPER(TableAopCalendar[[#This Row],[Month]])," ",TableAopCalendar[[#This Row],[Year]])</f>
        <v>MAY 25</v>
      </c>
      <c r="J1140" s="8" t="s">
        <v>274</v>
      </c>
      <c r="K1140" s="33" t="str">
        <f>CONCATENATE(TableAopCalendar[[#This Row],[Month for Plan]]," ",TableAopCalendar[[#This Row],[Plan]])</f>
        <v>MAY 25 PLANNED</v>
      </c>
    </row>
    <row r="1141" spans="1:11" x14ac:dyDescent="0.25">
      <c r="A1141" s="33">
        <f t="shared" si="66"/>
        <v>7</v>
      </c>
      <c r="B1141" s="34">
        <v>45791</v>
      </c>
      <c r="C1141" s="7" t="s">
        <v>265</v>
      </c>
      <c r="D1141" s="7">
        <v>25</v>
      </c>
      <c r="E1141" s="33">
        <f>DAY(TableAopCalendar[[#This Row],[Date]])</f>
        <v>14</v>
      </c>
      <c r="F114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41" s="33" t="str">
        <f t="shared" si="67"/>
        <v>Week 2</v>
      </c>
      <c r="H1141" s="33" t="str">
        <f t="shared" si="68"/>
        <v>May 25 Week 2</v>
      </c>
      <c r="I1141" s="33" t="str">
        <f>CONCATENATE(UPPER(TableAopCalendar[[#This Row],[Month]])," ",TableAopCalendar[[#This Row],[Year]])</f>
        <v>MAY 25</v>
      </c>
      <c r="J1141" s="8" t="s">
        <v>274</v>
      </c>
      <c r="K1141" s="33" t="str">
        <f>CONCATENATE(TableAopCalendar[[#This Row],[Month for Plan]]," ",TableAopCalendar[[#This Row],[Plan]])</f>
        <v>MAY 25 PLANNED</v>
      </c>
    </row>
    <row r="1142" spans="1:11" x14ac:dyDescent="0.25">
      <c r="A1142" s="33">
        <f t="shared" si="66"/>
        <v>1</v>
      </c>
      <c r="B1142" s="34">
        <v>45792</v>
      </c>
      <c r="C1142" s="7" t="s">
        <v>265</v>
      </c>
      <c r="D1142" s="7">
        <v>25</v>
      </c>
      <c r="E1142" s="33">
        <f>DAY(TableAopCalendar[[#This Row],[Date]])</f>
        <v>15</v>
      </c>
      <c r="F114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42" s="33" t="str">
        <f t="shared" si="67"/>
        <v>Week 3</v>
      </c>
      <c r="H1142" s="33" t="str">
        <f t="shared" si="68"/>
        <v>May 25 Week 3</v>
      </c>
      <c r="I1142" s="33" t="str">
        <f>CONCATENATE(UPPER(TableAopCalendar[[#This Row],[Month]])," ",TableAopCalendar[[#This Row],[Year]])</f>
        <v>MAY 25</v>
      </c>
      <c r="J1142" s="8" t="s">
        <v>274</v>
      </c>
      <c r="K1142" s="33" t="str">
        <f>CONCATENATE(TableAopCalendar[[#This Row],[Month for Plan]]," ",TableAopCalendar[[#This Row],[Plan]])</f>
        <v>MAY 25 PLANNED</v>
      </c>
    </row>
    <row r="1143" spans="1:11" x14ac:dyDescent="0.25">
      <c r="A1143" s="33">
        <f t="shared" si="66"/>
        <v>2</v>
      </c>
      <c r="B1143" s="34">
        <v>45793</v>
      </c>
      <c r="C1143" s="7" t="s">
        <v>265</v>
      </c>
      <c r="D1143" s="7">
        <v>25</v>
      </c>
      <c r="E1143" s="33">
        <f>DAY(TableAopCalendar[[#This Row],[Date]])</f>
        <v>16</v>
      </c>
      <c r="F114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43" s="33" t="str">
        <f t="shared" si="67"/>
        <v>Week 3</v>
      </c>
      <c r="H1143" s="33" t="str">
        <f t="shared" si="68"/>
        <v>May 25 Week 3</v>
      </c>
      <c r="I1143" s="33" t="str">
        <f>CONCATENATE(UPPER(TableAopCalendar[[#This Row],[Month]])," ",TableAopCalendar[[#This Row],[Year]])</f>
        <v>MAY 25</v>
      </c>
      <c r="J1143" s="8" t="s">
        <v>274</v>
      </c>
      <c r="K1143" s="33" t="str">
        <f>CONCATENATE(TableAopCalendar[[#This Row],[Month for Plan]]," ",TableAopCalendar[[#This Row],[Plan]])</f>
        <v>MAY 25 PLANNED</v>
      </c>
    </row>
    <row r="1144" spans="1:11" x14ac:dyDescent="0.25">
      <c r="A1144" s="33">
        <f t="shared" si="66"/>
        <v>3</v>
      </c>
      <c r="B1144" s="34">
        <v>45794</v>
      </c>
      <c r="C1144" s="7" t="s">
        <v>265</v>
      </c>
      <c r="D1144" s="7">
        <v>25</v>
      </c>
      <c r="E1144" s="33">
        <f>DAY(TableAopCalendar[[#This Row],[Date]])</f>
        <v>17</v>
      </c>
      <c r="F114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44" s="33" t="str">
        <f t="shared" si="67"/>
        <v>Week 3</v>
      </c>
      <c r="H1144" s="33" t="str">
        <f t="shared" si="68"/>
        <v>May 25 Week 3</v>
      </c>
      <c r="I1144" s="33" t="str">
        <f>CONCATENATE(UPPER(TableAopCalendar[[#This Row],[Month]])," ",TableAopCalendar[[#This Row],[Year]])</f>
        <v>MAY 25</v>
      </c>
      <c r="J1144" s="8" t="s">
        <v>274</v>
      </c>
      <c r="K1144" s="33" t="str">
        <f>CONCATENATE(TableAopCalendar[[#This Row],[Month for Plan]]," ",TableAopCalendar[[#This Row],[Plan]])</f>
        <v>MAY 25 PLANNED</v>
      </c>
    </row>
    <row r="1145" spans="1:11" x14ac:dyDescent="0.25">
      <c r="A1145" s="33">
        <f t="shared" si="66"/>
        <v>4</v>
      </c>
      <c r="B1145" s="34">
        <v>45795</v>
      </c>
      <c r="C1145" s="7" t="s">
        <v>265</v>
      </c>
      <c r="D1145" s="7">
        <v>25</v>
      </c>
      <c r="E1145" s="33">
        <f>DAY(TableAopCalendar[[#This Row],[Date]])</f>
        <v>18</v>
      </c>
      <c r="F114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45" s="33" t="str">
        <f t="shared" si="67"/>
        <v>Week 3</v>
      </c>
      <c r="H1145" s="33" t="str">
        <f t="shared" si="68"/>
        <v>May 25 Week 3</v>
      </c>
      <c r="I1145" s="33" t="str">
        <f>CONCATENATE(UPPER(TableAopCalendar[[#This Row],[Month]])," ",TableAopCalendar[[#This Row],[Year]])</f>
        <v>MAY 25</v>
      </c>
      <c r="J1145" s="8" t="s">
        <v>274</v>
      </c>
      <c r="K1145" s="33" t="str">
        <f>CONCATENATE(TableAopCalendar[[#This Row],[Month for Plan]]," ",TableAopCalendar[[#This Row],[Plan]])</f>
        <v>MAY 25 PLANNED</v>
      </c>
    </row>
    <row r="1146" spans="1:11" x14ac:dyDescent="0.25">
      <c r="A1146" s="33">
        <f t="shared" si="66"/>
        <v>5</v>
      </c>
      <c r="B1146" s="34">
        <v>45796</v>
      </c>
      <c r="C1146" s="7" t="s">
        <v>265</v>
      </c>
      <c r="D1146" s="7">
        <v>25</v>
      </c>
      <c r="E1146" s="33">
        <f>DAY(TableAopCalendar[[#This Row],[Date]])</f>
        <v>19</v>
      </c>
      <c r="F114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46" s="33" t="str">
        <f t="shared" si="67"/>
        <v>Week 3</v>
      </c>
      <c r="H1146" s="33" t="str">
        <f t="shared" si="68"/>
        <v>May 25 Week 3</v>
      </c>
      <c r="I1146" s="33" t="str">
        <f>CONCATENATE(UPPER(TableAopCalendar[[#This Row],[Month]])," ",TableAopCalendar[[#This Row],[Year]])</f>
        <v>MAY 25</v>
      </c>
      <c r="J1146" s="8" t="s">
        <v>274</v>
      </c>
      <c r="K1146" s="33" t="str">
        <f>CONCATENATE(TableAopCalendar[[#This Row],[Month for Plan]]," ",TableAopCalendar[[#This Row],[Plan]])</f>
        <v>MAY 25 PLANNED</v>
      </c>
    </row>
    <row r="1147" spans="1:11" x14ac:dyDescent="0.25">
      <c r="A1147" s="33">
        <f t="shared" si="66"/>
        <v>6</v>
      </c>
      <c r="B1147" s="34">
        <v>45797</v>
      </c>
      <c r="C1147" s="7" t="s">
        <v>265</v>
      </c>
      <c r="D1147" s="7">
        <v>25</v>
      </c>
      <c r="E1147" s="33">
        <f>DAY(TableAopCalendar[[#This Row],[Date]])</f>
        <v>20</v>
      </c>
      <c r="F114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47" s="33" t="str">
        <f t="shared" si="67"/>
        <v>Week 3</v>
      </c>
      <c r="H1147" s="33" t="str">
        <f t="shared" si="68"/>
        <v>May 25 Week 3</v>
      </c>
      <c r="I1147" s="33" t="str">
        <f>CONCATENATE(UPPER(TableAopCalendar[[#This Row],[Month]])," ",TableAopCalendar[[#This Row],[Year]])</f>
        <v>MAY 25</v>
      </c>
      <c r="J1147" s="8" t="s">
        <v>274</v>
      </c>
      <c r="K1147" s="33" t="str">
        <f>CONCATENATE(TableAopCalendar[[#This Row],[Month for Plan]]," ",TableAopCalendar[[#This Row],[Plan]])</f>
        <v>MAY 25 PLANNED</v>
      </c>
    </row>
    <row r="1148" spans="1:11" x14ac:dyDescent="0.25">
      <c r="A1148" s="33">
        <f t="shared" si="66"/>
        <v>7</v>
      </c>
      <c r="B1148" s="34">
        <v>45798</v>
      </c>
      <c r="C1148" s="7" t="s">
        <v>265</v>
      </c>
      <c r="D1148" s="7">
        <v>25</v>
      </c>
      <c r="E1148" s="33">
        <f>DAY(TableAopCalendar[[#This Row],[Date]])</f>
        <v>21</v>
      </c>
      <c r="F114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48" s="33" t="str">
        <f t="shared" si="67"/>
        <v>Week 3</v>
      </c>
      <c r="H1148" s="33" t="str">
        <f t="shared" si="68"/>
        <v>May 25 Week 3</v>
      </c>
      <c r="I1148" s="33" t="str">
        <f>CONCATENATE(UPPER(TableAopCalendar[[#This Row],[Month]])," ",TableAopCalendar[[#This Row],[Year]])</f>
        <v>MAY 25</v>
      </c>
      <c r="J1148" s="8" t="s">
        <v>274</v>
      </c>
      <c r="K1148" s="33" t="str">
        <f>CONCATENATE(TableAopCalendar[[#This Row],[Month for Plan]]," ",TableAopCalendar[[#This Row],[Plan]])</f>
        <v>MAY 25 PLANNED</v>
      </c>
    </row>
    <row r="1149" spans="1:11" x14ac:dyDescent="0.25">
      <c r="A1149" s="33">
        <f t="shared" si="66"/>
        <v>1</v>
      </c>
      <c r="B1149" s="34">
        <v>45799</v>
      </c>
      <c r="C1149" s="7" t="s">
        <v>265</v>
      </c>
      <c r="D1149" s="7">
        <v>25</v>
      </c>
      <c r="E1149" s="33">
        <f>DAY(TableAopCalendar[[#This Row],[Date]])</f>
        <v>22</v>
      </c>
      <c r="F114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49" s="33" t="str">
        <f t="shared" si="67"/>
        <v>Week 4</v>
      </c>
      <c r="H1149" s="33" t="str">
        <f t="shared" si="68"/>
        <v>May 25 Week 4</v>
      </c>
      <c r="I1149" s="33" t="str">
        <f>CONCATENATE(UPPER(TableAopCalendar[[#This Row],[Month]])," ",TableAopCalendar[[#This Row],[Year]])</f>
        <v>MAY 25</v>
      </c>
      <c r="J1149" s="8" t="s">
        <v>274</v>
      </c>
      <c r="K1149" s="33" t="str">
        <f>CONCATENATE(TableAopCalendar[[#This Row],[Month for Plan]]," ",TableAopCalendar[[#This Row],[Plan]])</f>
        <v>MAY 25 PLANNED</v>
      </c>
    </row>
    <row r="1150" spans="1:11" x14ac:dyDescent="0.25">
      <c r="A1150" s="33">
        <f t="shared" si="66"/>
        <v>2</v>
      </c>
      <c r="B1150" s="34">
        <v>45800</v>
      </c>
      <c r="C1150" s="7" t="s">
        <v>265</v>
      </c>
      <c r="D1150" s="7">
        <v>25</v>
      </c>
      <c r="E1150" s="33">
        <f>DAY(TableAopCalendar[[#This Row],[Date]])</f>
        <v>23</v>
      </c>
      <c r="F115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50" s="33" t="str">
        <f t="shared" si="67"/>
        <v>Week 4</v>
      </c>
      <c r="H1150" s="33" t="str">
        <f t="shared" si="68"/>
        <v>May 25 Week 4</v>
      </c>
      <c r="I1150" s="33" t="str">
        <f>CONCATENATE(UPPER(TableAopCalendar[[#This Row],[Month]])," ",TableAopCalendar[[#This Row],[Year]])</f>
        <v>MAY 25</v>
      </c>
      <c r="J1150" s="8" t="s">
        <v>274</v>
      </c>
      <c r="K1150" s="33" t="str">
        <f>CONCATENATE(TableAopCalendar[[#This Row],[Month for Plan]]," ",TableAopCalendar[[#This Row],[Plan]])</f>
        <v>MAY 25 PLANNED</v>
      </c>
    </row>
    <row r="1151" spans="1:11" x14ac:dyDescent="0.25">
      <c r="A1151" s="33">
        <f t="shared" si="66"/>
        <v>3</v>
      </c>
      <c r="B1151" s="34">
        <v>45801</v>
      </c>
      <c r="C1151" s="7" t="s">
        <v>265</v>
      </c>
      <c r="D1151" s="7">
        <v>25</v>
      </c>
      <c r="E1151" s="33">
        <f>DAY(TableAopCalendar[[#This Row],[Date]])</f>
        <v>24</v>
      </c>
      <c r="F115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51" s="33" t="str">
        <f t="shared" si="67"/>
        <v>Week 4</v>
      </c>
      <c r="H1151" s="33" t="str">
        <f t="shared" si="68"/>
        <v>May 25 Week 4</v>
      </c>
      <c r="I1151" s="33" t="str">
        <f>CONCATENATE(UPPER(TableAopCalendar[[#This Row],[Month]])," ",TableAopCalendar[[#This Row],[Year]])</f>
        <v>MAY 25</v>
      </c>
      <c r="J1151" s="8" t="s">
        <v>274</v>
      </c>
      <c r="K1151" s="33" t="str">
        <f>CONCATENATE(TableAopCalendar[[#This Row],[Month for Plan]]," ",TableAopCalendar[[#This Row],[Plan]])</f>
        <v>MAY 25 PLANNED</v>
      </c>
    </row>
    <row r="1152" spans="1:11" x14ac:dyDescent="0.25">
      <c r="A1152" s="33">
        <f t="shared" si="66"/>
        <v>4</v>
      </c>
      <c r="B1152" s="34">
        <v>45802</v>
      </c>
      <c r="C1152" s="7" t="s">
        <v>265</v>
      </c>
      <c r="D1152" s="7">
        <v>25</v>
      </c>
      <c r="E1152" s="33">
        <f>DAY(TableAopCalendar[[#This Row],[Date]])</f>
        <v>25</v>
      </c>
      <c r="F115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52" s="33" t="str">
        <f t="shared" si="67"/>
        <v>Week 4</v>
      </c>
      <c r="H1152" s="33" t="str">
        <f t="shared" si="68"/>
        <v>May 25 Week 4</v>
      </c>
      <c r="I1152" s="33" t="str">
        <f>CONCATENATE(UPPER(TableAopCalendar[[#This Row],[Month]])," ",TableAopCalendar[[#This Row],[Year]])</f>
        <v>MAY 25</v>
      </c>
      <c r="J1152" s="8" t="s">
        <v>274</v>
      </c>
      <c r="K1152" s="33" t="str">
        <f>CONCATENATE(TableAopCalendar[[#This Row],[Month for Plan]]," ",TableAopCalendar[[#This Row],[Plan]])</f>
        <v>MAY 25 PLANNED</v>
      </c>
    </row>
    <row r="1153" spans="1:11" x14ac:dyDescent="0.25">
      <c r="A1153" s="33">
        <f t="shared" si="66"/>
        <v>5</v>
      </c>
      <c r="B1153" s="34">
        <v>45803</v>
      </c>
      <c r="C1153" s="7" t="s">
        <v>265</v>
      </c>
      <c r="D1153" s="7">
        <v>25</v>
      </c>
      <c r="E1153" s="33">
        <f>DAY(TableAopCalendar[[#This Row],[Date]])</f>
        <v>26</v>
      </c>
      <c r="F115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53" s="33" t="str">
        <f t="shared" si="67"/>
        <v>Week 4</v>
      </c>
      <c r="H1153" s="33" t="str">
        <f t="shared" si="68"/>
        <v>May 25 Week 4</v>
      </c>
      <c r="I1153" s="33" t="str">
        <f>CONCATENATE(UPPER(TableAopCalendar[[#This Row],[Month]])," ",TableAopCalendar[[#This Row],[Year]])</f>
        <v>MAY 25</v>
      </c>
      <c r="J1153" s="8" t="s">
        <v>274</v>
      </c>
      <c r="K1153" s="33" t="str">
        <f>CONCATENATE(TableAopCalendar[[#This Row],[Month for Plan]]," ",TableAopCalendar[[#This Row],[Plan]])</f>
        <v>MAY 25 PLANNED</v>
      </c>
    </row>
    <row r="1154" spans="1:11" x14ac:dyDescent="0.25">
      <c r="A1154" s="33">
        <f t="shared" si="66"/>
        <v>6</v>
      </c>
      <c r="B1154" s="34">
        <v>45804</v>
      </c>
      <c r="C1154" s="7" t="s">
        <v>265</v>
      </c>
      <c r="D1154" s="7">
        <v>25</v>
      </c>
      <c r="E1154" s="33">
        <f>DAY(TableAopCalendar[[#This Row],[Date]])</f>
        <v>27</v>
      </c>
      <c r="F115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54" s="33" t="str">
        <f t="shared" si="67"/>
        <v>Week 4</v>
      </c>
      <c r="H1154" s="33" t="str">
        <f t="shared" si="68"/>
        <v>May 25 Week 4</v>
      </c>
      <c r="I1154" s="33" t="str">
        <f>CONCATENATE(UPPER(TableAopCalendar[[#This Row],[Month]])," ",TableAopCalendar[[#This Row],[Year]])</f>
        <v>MAY 25</v>
      </c>
      <c r="J1154" s="8" t="s">
        <v>274</v>
      </c>
      <c r="K1154" s="33" t="str">
        <f>CONCATENATE(TableAopCalendar[[#This Row],[Month for Plan]]," ",TableAopCalendar[[#This Row],[Plan]])</f>
        <v>MAY 25 PLANNED</v>
      </c>
    </row>
    <row r="1155" spans="1:11" x14ac:dyDescent="0.25">
      <c r="A1155" s="33">
        <f t="shared" si="66"/>
        <v>7</v>
      </c>
      <c r="B1155" s="34">
        <v>45805</v>
      </c>
      <c r="C1155" s="7" t="s">
        <v>265</v>
      </c>
      <c r="D1155" s="7">
        <v>25</v>
      </c>
      <c r="E1155" s="33">
        <f>DAY(TableAopCalendar[[#This Row],[Date]])</f>
        <v>28</v>
      </c>
      <c r="F115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55" s="33" t="str">
        <f t="shared" si="67"/>
        <v>Week 4</v>
      </c>
      <c r="H1155" s="33" t="str">
        <f t="shared" si="68"/>
        <v>May 25 Week 4</v>
      </c>
      <c r="I1155" s="33" t="str">
        <f>CONCATENATE(UPPER(TableAopCalendar[[#This Row],[Month]])," ",TableAopCalendar[[#This Row],[Year]])</f>
        <v>MAY 25</v>
      </c>
      <c r="J1155" s="8" t="s">
        <v>274</v>
      </c>
      <c r="K1155" s="33" t="str">
        <f>CONCATENATE(TableAopCalendar[[#This Row],[Month for Plan]]," ",TableAopCalendar[[#This Row],[Plan]])</f>
        <v>MAY 25 PLANNED</v>
      </c>
    </row>
    <row r="1156" spans="1:11" x14ac:dyDescent="0.25">
      <c r="A1156" s="33">
        <f t="shared" si="66"/>
        <v>1</v>
      </c>
      <c r="B1156" s="34">
        <v>45806</v>
      </c>
      <c r="C1156" s="7" t="s">
        <v>265</v>
      </c>
      <c r="D1156" s="7">
        <v>25</v>
      </c>
      <c r="E1156" s="33">
        <f>DAY(TableAopCalendar[[#This Row],[Date]])</f>
        <v>29</v>
      </c>
      <c r="F1156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156" s="33" t="str">
        <f t="shared" si="67"/>
        <v>Week 5</v>
      </c>
      <c r="H1156" s="33" t="str">
        <f t="shared" si="68"/>
        <v>May 25 Week 5</v>
      </c>
      <c r="I1156" s="33" t="str">
        <f>CONCATENATE(UPPER(TableAopCalendar[[#This Row],[Month]])," ",TableAopCalendar[[#This Row],[Year]])</f>
        <v>MAY 25</v>
      </c>
      <c r="J1156" s="8" t="s">
        <v>274</v>
      </c>
      <c r="K1156" s="33" t="str">
        <f>CONCATENATE(TableAopCalendar[[#This Row],[Month for Plan]]," ",TableAopCalendar[[#This Row],[Plan]])</f>
        <v>MAY 25 PLANNED</v>
      </c>
    </row>
    <row r="1157" spans="1:11" x14ac:dyDescent="0.25">
      <c r="A1157" s="33">
        <f t="shared" si="66"/>
        <v>2</v>
      </c>
      <c r="B1157" s="34">
        <v>45807</v>
      </c>
      <c r="C1157" s="7" t="s">
        <v>265</v>
      </c>
      <c r="D1157" s="7">
        <v>25</v>
      </c>
      <c r="E1157" s="33">
        <f>DAY(TableAopCalendar[[#This Row],[Date]])</f>
        <v>30</v>
      </c>
      <c r="F115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157" s="33" t="str">
        <f t="shared" si="67"/>
        <v>Week 5</v>
      </c>
      <c r="H1157" s="33" t="str">
        <f t="shared" si="68"/>
        <v>May 25 Week 5</v>
      </c>
      <c r="I1157" s="33" t="str">
        <f>CONCATENATE(UPPER(TableAopCalendar[[#This Row],[Month]])," ",TableAopCalendar[[#This Row],[Year]])</f>
        <v>MAY 25</v>
      </c>
      <c r="J1157" s="8" t="s">
        <v>274</v>
      </c>
      <c r="K1157" s="33" t="str">
        <f>CONCATENATE(TableAopCalendar[[#This Row],[Month for Plan]]," ",TableAopCalendar[[#This Row],[Plan]])</f>
        <v>MAY 25 PLANNED</v>
      </c>
    </row>
    <row r="1158" spans="1:11" x14ac:dyDescent="0.25">
      <c r="A1158" s="33">
        <f t="shared" si="66"/>
        <v>3</v>
      </c>
      <c r="B1158" s="34">
        <v>45808</v>
      </c>
      <c r="C1158" s="7" t="s">
        <v>265</v>
      </c>
      <c r="D1158" s="7">
        <v>25</v>
      </c>
      <c r="E1158" s="33">
        <f>DAY(TableAopCalendar[[#This Row],[Date]])</f>
        <v>31</v>
      </c>
      <c r="F115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158" s="33" t="str">
        <f t="shared" si="67"/>
        <v>Week 5</v>
      </c>
      <c r="H1158" s="33" t="str">
        <f t="shared" si="68"/>
        <v>May 25 Week 5</v>
      </c>
      <c r="I1158" s="33" t="str">
        <f>CONCATENATE(UPPER(TableAopCalendar[[#This Row],[Month]])," ",TableAopCalendar[[#This Row],[Year]])</f>
        <v>MAY 25</v>
      </c>
      <c r="J1158" s="8" t="s">
        <v>274</v>
      </c>
      <c r="K1158" s="33" t="str">
        <f>CONCATENATE(TableAopCalendar[[#This Row],[Month for Plan]]," ",TableAopCalendar[[#This Row],[Plan]])</f>
        <v>MAY 25 PLANNED</v>
      </c>
    </row>
    <row r="1159" spans="1:11" x14ac:dyDescent="0.25">
      <c r="A1159" s="33">
        <f t="shared" si="66"/>
        <v>1</v>
      </c>
      <c r="B1159" s="34">
        <v>45809</v>
      </c>
      <c r="C1159" s="7" t="s">
        <v>266</v>
      </c>
      <c r="D1159" s="7">
        <v>25</v>
      </c>
      <c r="E1159" s="33">
        <f>DAY(TableAopCalendar[[#This Row],[Date]])</f>
        <v>1</v>
      </c>
      <c r="F115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59" s="33" t="str">
        <f t="shared" si="67"/>
        <v>Week 1</v>
      </c>
      <c r="H1159" s="33" t="str">
        <f t="shared" si="68"/>
        <v>June 25 Week 1</v>
      </c>
      <c r="I1159" s="33" t="str">
        <f>CONCATENATE(UPPER(TableAopCalendar[[#This Row],[Month]])," ",TableAopCalendar[[#This Row],[Year]])</f>
        <v>JUNE 25</v>
      </c>
      <c r="J1159" s="8" t="s">
        <v>274</v>
      </c>
      <c r="K1159" s="33" t="str">
        <f>CONCATENATE(TableAopCalendar[[#This Row],[Month for Plan]]," ",TableAopCalendar[[#This Row],[Plan]])</f>
        <v>JUNE 25 PLANNED</v>
      </c>
    </row>
    <row r="1160" spans="1:11" x14ac:dyDescent="0.25">
      <c r="A1160" s="33">
        <f t="shared" si="66"/>
        <v>2</v>
      </c>
      <c r="B1160" s="34">
        <v>45810</v>
      </c>
      <c r="C1160" s="7" t="s">
        <v>266</v>
      </c>
      <c r="D1160" s="7">
        <v>25</v>
      </c>
      <c r="E1160" s="33">
        <f>DAY(TableAopCalendar[[#This Row],[Date]])</f>
        <v>2</v>
      </c>
      <c r="F116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60" s="33" t="str">
        <f t="shared" si="67"/>
        <v>Week 1</v>
      </c>
      <c r="H1160" s="33" t="str">
        <f t="shared" si="68"/>
        <v>June 25 Week 1</v>
      </c>
      <c r="I1160" s="33" t="str">
        <f>CONCATENATE(UPPER(TableAopCalendar[[#This Row],[Month]])," ",TableAopCalendar[[#This Row],[Year]])</f>
        <v>JUNE 25</v>
      </c>
      <c r="J1160" s="8" t="s">
        <v>274</v>
      </c>
      <c r="K1160" s="33" t="str">
        <f>CONCATENATE(TableAopCalendar[[#This Row],[Month for Plan]]," ",TableAopCalendar[[#This Row],[Plan]])</f>
        <v>JUNE 25 PLANNED</v>
      </c>
    </row>
    <row r="1161" spans="1:11" x14ac:dyDescent="0.25">
      <c r="A1161" s="33">
        <f t="shared" si="66"/>
        <v>3</v>
      </c>
      <c r="B1161" s="34">
        <v>45811</v>
      </c>
      <c r="C1161" s="7" t="s">
        <v>266</v>
      </c>
      <c r="D1161" s="7">
        <v>25</v>
      </c>
      <c r="E1161" s="33">
        <f>DAY(TableAopCalendar[[#This Row],[Date]])</f>
        <v>3</v>
      </c>
      <c r="F116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61" s="33" t="str">
        <f t="shared" si="67"/>
        <v>Week 1</v>
      </c>
      <c r="H1161" s="33" t="str">
        <f t="shared" si="68"/>
        <v>June 25 Week 1</v>
      </c>
      <c r="I1161" s="33" t="str">
        <f>CONCATENATE(UPPER(TableAopCalendar[[#This Row],[Month]])," ",TableAopCalendar[[#This Row],[Year]])</f>
        <v>JUNE 25</v>
      </c>
      <c r="J1161" s="8" t="s">
        <v>274</v>
      </c>
      <c r="K1161" s="33" t="str">
        <f>CONCATENATE(TableAopCalendar[[#This Row],[Month for Plan]]," ",TableAopCalendar[[#This Row],[Plan]])</f>
        <v>JUNE 25 PLANNED</v>
      </c>
    </row>
    <row r="1162" spans="1:11" x14ac:dyDescent="0.25">
      <c r="A1162" s="33">
        <f t="shared" si="66"/>
        <v>4</v>
      </c>
      <c r="B1162" s="34">
        <v>45812</v>
      </c>
      <c r="C1162" s="7" t="s">
        <v>266</v>
      </c>
      <c r="D1162" s="7">
        <v>25</v>
      </c>
      <c r="E1162" s="33">
        <f>DAY(TableAopCalendar[[#This Row],[Date]])</f>
        <v>4</v>
      </c>
      <c r="F116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62" s="33" t="str">
        <f t="shared" si="67"/>
        <v>Week 1</v>
      </c>
      <c r="H1162" s="33" t="str">
        <f t="shared" si="68"/>
        <v>June 25 Week 1</v>
      </c>
      <c r="I1162" s="33" t="str">
        <f>CONCATENATE(UPPER(TableAopCalendar[[#This Row],[Month]])," ",TableAopCalendar[[#This Row],[Year]])</f>
        <v>JUNE 25</v>
      </c>
      <c r="J1162" s="8" t="s">
        <v>274</v>
      </c>
      <c r="K1162" s="33" t="str">
        <f>CONCATENATE(TableAopCalendar[[#This Row],[Month for Plan]]," ",TableAopCalendar[[#This Row],[Plan]])</f>
        <v>JUNE 25 PLANNED</v>
      </c>
    </row>
    <row r="1163" spans="1:11" x14ac:dyDescent="0.25">
      <c r="A1163" s="33">
        <f t="shared" ref="A1163:A1226" si="69">IF(G1163=G1162,A1162+1,1)</f>
        <v>5</v>
      </c>
      <c r="B1163" s="34">
        <v>45813</v>
      </c>
      <c r="C1163" s="7" t="s">
        <v>266</v>
      </c>
      <c r="D1163" s="7">
        <v>25</v>
      </c>
      <c r="E1163" s="33">
        <f>DAY(TableAopCalendar[[#This Row],[Date]])</f>
        <v>5</v>
      </c>
      <c r="F116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63" s="33" t="str">
        <f t="shared" ref="G1163:G1226" si="70">"Week"&amp;" "&amp;F1163</f>
        <v>Week 1</v>
      </c>
      <c r="H1163" s="33" t="str">
        <f t="shared" ref="H1163:H1226" si="71">CONCATENATE(C1163," ",D1163," ",G1163)</f>
        <v>June 25 Week 1</v>
      </c>
      <c r="I1163" s="33" t="str">
        <f>CONCATENATE(UPPER(TableAopCalendar[[#This Row],[Month]])," ",TableAopCalendar[[#This Row],[Year]])</f>
        <v>JUNE 25</v>
      </c>
      <c r="J1163" s="8" t="s">
        <v>274</v>
      </c>
      <c r="K1163" s="33" t="str">
        <f>CONCATENATE(TableAopCalendar[[#This Row],[Month for Plan]]," ",TableAopCalendar[[#This Row],[Plan]])</f>
        <v>JUNE 25 PLANNED</v>
      </c>
    </row>
    <row r="1164" spans="1:11" x14ac:dyDescent="0.25">
      <c r="A1164" s="33">
        <f t="shared" si="69"/>
        <v>6</v>
      </c>
      <c r="B1164" s="34">
        <v>45814</v>
      </c>
      <c r="C1164" s="7" t="s">
        <v>266</v>
      </c>
      <c r="D1164" s="7">
        <v>25</v>
      </c>
      <c r="E1164" s="33">
        <f>DAY(TableAopCalendar[[#This Row],[Date]])</f>
        <v>6</v>
      </c>
      <c r="F116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64" s="33" t="str">
        <f t="shared" si="70"/>
        <v>Week 1</v>
      </c>
      <c r="H1164" s="33" t="str">
        <f t="shared" si="71"/>
        <v>June 25 Week 1</v>
      </c>
      <c r="I1164" s="33" t="str">
        <f>CONCATENATE(UPPER(TableAopCalendar[[#This Row],[Month]])," ",TableAopCalendar[[#This Row],[Year]])</f>
        <v>JUNE 25</v>
      </c>
      <c r="J1164" s="8" t="s">
        <v>274</v>
      </c>
      <c r="K1164" s="33" t="str">
        <f>CONCATENATE(TableAopCalendar[[#This Row],[Month for Plan]]," ",TableAopCalendar[[#This Row],[Plan]])</f>
        <v>JUNE 25 PLANNED</v>
      </c>
    </row>
    <row r="1165" spans="1:11" x14ac:dyDescent="0.25">
      <c r="A1165" s="33">
        <f t="shared" si="69"/>
        <v>7</v>
      </c>
      <c r="B1165" s="34">
        <v>45815</v>
      </c>
      <c r="C1165" s="7" t="s">
        <v>266</v>
      </c>
      <c r="D1165" s="7">
        <v>25</v>
      </c>
      <c r="E1165" s="33">
        <f>DAY(TableAopCalendar[[#This Row],[Date]])</f>
        <v>7</v>
      </c>
      <c r="F116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65" s="33" t="str">
        <f t="shared" si="70"/>
        <v>Week 1</v>
      </c>
      <c r="H1165" s="33" t="str">
        <f t="shared" si="71"/>
        <v>June 25 Week 1</v>
      </c>
      <c r="I1165" s="33" t="str">
        <f>CONCATENATE(UPPER(TableAopCalendar[[#This Row],[Month]])," ",TableAopCalendar[[#This Row],[Year]])</f>
        <v>JUNE 25</v>
      </c>
      <c r="J1165" s="8" t="s">
        <v>274</v>
      </c>
      <c r="K1165" s="33" t="str">
        <f>CONCATENATE(TableAopCalendar[[#This Row],[Month for Plan]]," ",TableAopCalendar[[#This Row],[Plan]])</f>
        <v>JUNE 25 PLANNED</v>
      </c>
    </row>
    <row r="1166" spans="1:11" x14ac:dyDescent="0.25">
      <c r="A1166" s="33">
        <f t="shared" si="69"/>
        <v>1</v>
      </c>
      <c r="B1166" s="34">
        <v>45816</v>
      </c>
      <c r="C1166" s="7" t="s">
        <v>266</v>
      </c>
      <c r="D1166" s="7">
        <v>25</v>
      </c>
      <c r="E1166" s="33">
        <f>DAY(TableAopCalendar[[#This Row],[Date]])</f>
        <v>8</v>
      </c>
      <c r="F116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66" s="33" t="str">
        <f t="shared" si="70"/>
        <v>Week 2</v>
      </c>
      <c r="H1166" s="33" t="str">
        <f t="shared" si="71"/>
        <v>June 25 Week 2</v>
      </c>
      <c r="I1166" s="33" t="str">
        <f>CONCATENATE(UPPER(TableAopCalendar[[#This Row],[Month]])," ",TableAopCalendar[[#This Row],[Year]])</f>
        <v>JUNE 25</v>
      </c>
      <c r="J1166" s="8" t="s">
        <v>274</v>
      </c>
      <c r="K1166" s="33" t="str">
        <f>CONCATENATE(TableAopCalendar[[#This Row],[Month for Plan]]," ",TableAopCalendar[[#This Row],[Plan]])</f>
        <v>JUNE 25 PLANNED</v>
      </c>
    </row>
    <row r="1167" spans="1:11" x14ac:dyDescent="0.25">
      <c r="A1167" s="33">
        <f t="shared" si="69"/>
        <v>2</v>
      </c>
      <c r="B1167" s="34">
        <v>45817</v>
      </c>
      <c r="C1167" s="7" t="s">
        <v>266</v>
      </c>
      <c r="D1167" s="7">
        <v>25</v>
      </c>
      <c r="E1167" s="33">
        <f>DAY(TableAopCalendar[[#This Row],[Date]])</f>
        <v>9</v>
      </c>
      <c r="F116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67" s="33" t="str">
        <f t="shared" si="70"/>
        <v>Week 2</v>
      </c>
      <c r="H1167" s="33" t="str">
        <f t="shared" si="71"/>
        <v>June 25 Week 2</v>
      </c>
      <c r="I1167" s="33" t="str">
        <f>CONCATENATE(UPPER(TableAopCalendar[[#This Row],[Month]])," ",TableAopCalendar[[#This Row],[Year]])</f>
        <v>JUNE 25</v>
      </c>
      <c r="J1167" s="8" t="s">
        <v>274</v>
      </c>
      <c r="K1167" s="33" t="str">
        <f>CONCATENATE(TableAopCalendar[[#This Row],[Month for Plan]]," ",TableAopCalendar[[#This Row],[Plan]])</f>
        <v>JUNE 25 PLANNED</v>
      </c>
    </row>
    <row r="1168" spans="1:11" x14ac:dyDescent="0.25">
      <c r="A1168" s="33">
        <f t="shared" si="69"/>
        <v>3</v>
      </c>
      <c r="B1168" s="34">
        <v>45818</v>
      </c>
      <c r="C1168" s="7" t="s">
        <v>266</v>
      </c>
      <c r="D1168" s="7">
        <v>25</v>
      </c>
      <c r="E1168" s="33">
        <f>DAY(TableAopCalendar[[#This Row],[Date]])</f>
        <v>10</v>
      </c>
      <c r="F116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68" s="33" t="str">
        <f t="shared" si="70"/>
        <v>Week 2</v>
      </c>
      <c r="H1168" s="33" t="str">
        <f t="shared" si="71"/>
        <v>June 25 Week 2</v>
      </c>
      <c r="I1168" s="33" t="str">
        <f>CONCATENATE(UPPER(TableAopCalendar[[#This Row],[Month]])," ",TableAopCalendar[[#This Row],[Year]])</f>
        <v>JUNE 25</v>
      </c>
      <c r="J1168" s="8" t="s">
        <v>274</v>
      </c>
      <c r="K1168" s="33" t="str">
        <f>CONCATENATE(TableAopCalendar[[#This Row],[Month for Plan]]," ",TableAopCalendar[[#This Row],[Plan]])</f>
        <v>JUNE 25 PLANNED</v>
      </c>
    </row>
    <row r="1169" spans="1:11" x14ac:dyDescent="0.25">
      <c r="A1169" s="33">
        <f t="shared" si="69"/>
        <v>4</v>
      </c>
      <c r="B1169" s="34">
        <v>45819</v>
      </c>
      <c r="C1169" s="7" t="s">
        <v>266</v>
      </c>
      <c r="D1169" s="7">
        <v>25</v>
      </c>
      <c r="E1169" s="33">
        <f>DAY(TableAopCalendar[[#This Row],[Date]])</f>
        <v>11</v>
      </c>
      <c r="F116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69" s="33" t="str">
        <f t="shared" si="70"/>
        <v>Week 2</v>
      </c>
      <c r="H1169" s="33" t="str">
        <f t="shared" si="71"/>
        <v>June 25 Week 2</v>
      </c>
      <c r="I1169" s="33" t="str">
        <f>CONCATENATE(UPPER(TableAopCalendar[[#This Row],[Month]])," ",TableAopCalendar[[#This Row],[Year]])</f>
        <v>JUNE 25</v>
      </c>
      <c r="J1169" s="8" t="s">
        <v>274</v>
      </c>
      <c r="K1169" s="33" t="str">
        <f>CONCATENATE(TableAopCalendar[[#This Row],[Month for Plan]]," ",TableAopCalendar[[#This Row],[Plan]])</f>
        <v>JUNE 25 PLANNED</v>
      </c>
    </row>
    <row r="1170" spans="1:11" x14ac:dyDescent="0.25">
      <c r="A1170" s="33">
        <f t="shared" si="69"/>
        <v>5</v>
      </c>
      <c r="B1170" s="34">
        <v>45820</v>
      </c>
      <c r="C1170" s="7" t="s">
        <v>266</v>
      </c>
      <c r="D1170" s="7">
        <v>25</v>
      </c>
      <c r="E1170" s="33">
        <f>DAY(TableAopCalendar[[#This Row],[Date]])</f>
        <v>12</v>
      </c>
      <c r="F117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70" s="33" t="str">
        <f t="shared" si="70"/>
        <v>Week 2</v>
      </c>
      <c r="H1170" s="33" t="str">
        <f t="shared" si="71"/>
        <v>June 25 Week 2</v>
      </c>
      <c r="I1170" s="33" t="str">
        <f>CONCATENATE(UPPER(TableAopCalendar[[#This Row],[Month]])," ",TableAopCalendar[[#This Row],[Year]])</f>
        <v>JUNE 25</v>
      </c>
      <c r="J1170" s="8" t="s">
        <v>274</v>
      </c>
      <c r="K1170" s="33" t="str">
        <f>CONCATENATE(TableAopCalendar[[#This Row],[Month for Plan]]," ",TableAopCalendar[[#This Row],[Plan]])</f>
        <v>JUNE 25 PLANNED</v>
      </c>
    </row>
    <row r="1171" spans="1:11" x14ac:dyDescent="0.25">
      <c r="A1171" s="33">
        <f t="shared" si="69"/>
        <v>6</v>
      </c>
      <c r="B1171" s="34">
        <v>45821</v>
      </c>
      <c r="C1171" s="7" t="s">
        <v>266</v>
      </c>
      <c r="D1171" s="7">
        <v>25</v>
      </c>
      <c r="E1171" s="33">
        <f>DAY(TableAopCalendar[[#This Row],[Date]])</f>
        <v>13</v>
      </c>
      <c r="F117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71" s="33" t="str">
        <f t="shared" si="70"/>
        <v>Week 2</v>
      </c>
      <c r="H1171" s="33" t="str">
        <f t="shared" si="71"/>
        <v>June 25 Week 2</v>
      </c>
      <c r="I1171" s="33" t="str">
        <f>CONCATENATE(UPPER(TableAopCalendar[[#This Row],[Month]])," ",TableAopCalendar[[#This Row],[Year]])</f>
        <v>JUNE 25</v>
      </c>
      <c r="J1171" s="8" t="s">
        <v>274</v>
      </c>
      <c r="K1171" s="33" t="str">
        <f>CONCATENATE(TableAopCalendar[[#This Row],[Month for Plan]]," ",TableAopCalendar[[#This Row],[Plan]])</f>
        <v>JUNE 25 PLANNED</v>
      </c>
    </row>
    <row r="1172" spans="1:11" x14ac:dyDescent="0.25">
      <c r="A1172" s="33">
        <f t="shared" si="69"/>
        <v>7</v>
      </c>
      <c r="B1172" s="34">
        <v>45822</v>
      </c>
      <c r="C1172" s="7" t="s">
        <v>266</v>
      </c>
      <c r="D1172" s="7">
        <v>25</v>
      </c>
      <c r="E1172" s="33">
        <f>DAY(TableAopCalendar[[#This Row],[Date]])</f>
        <v>14</v>
      </c>
      <c r="F117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72" s="33" t="str">
        <f t="shared" si="70"/>
        <v>Week 2</v>
      </c>
      <c r="H1172" s="33" t="str">
        <f t="shared" si="71"/>
        <v>June 25 Week 2</v>
      </c>
      <c r="I1172" s="33" t="str">
        <f>CONCATENATE(UPPER(TableAopCalendar[[#This Row],[Month]])," ",TableAopCalendar[[#This Row],[Year]])</f>
        <v>JUNE 25</v>
      </c>
      <c r="J1172" s="8" t="s">
        <v>274</v>
      </c>
      <c r="K1172" s="33" t="str">
        <f>CONCATENATE(TableAopCalendar[[#This Row],[Month for Plan]]," ",TableAopCalendar[[#This Row],[Plan]])</f>
        <v>JUNE 25 PLANNED</v>
      </c>
    </row>
    <row r="1173" spans="1:11" x14ac:dyDescent="0.25">
      <c r="A1173" s="33">
        <f t="shared" si="69"/>
        <v>1</v>
      </c>
      <c r="B1173" s="34">
        <v>45823</v>
      </c>
      <c r="C1173" s="7" t="s">
        <v>266</v>
      </c>
      <c r="D1173" s="7">
        <v>25</v>
      </c>
      <c r="E1173" s="33">
        <f>DAY(TableAopCalendar[[#This Row],[Date]])</f>
        <v>15</v>
      </c>
      <c r="F117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73" s="33" t="str">
        <f t="shared" si="70"/>
        <v>Week 3</v>
      </c>
      <c r="H1173" s="33" t="str">
        <f t="shared" si="71"/>
        <v>June 25 Week 3</v>
      </c>
      <c r="I1173" s="33" t="str">
        <f>CONCATENATE(UPPER(TableAopCalendar[[#This Row],[Month]])," ",TableAopCalendar[[#This Row],[Year]])</f>
        <v>JUNE 25</v>
      </c>
      <c r="J1173" s="8" t="s">
        <v>274</v>
      </c>
      <c r="K1173" s="33" t="str">
        <f>CONCATENATE(TableAopCalendar[[#This Row],[Month for Plan]]," ",TableAopCalendar[[#This Row],[Plan]])</f>
        <v>JUNE 25 PLANNED</v>
      </c>
    </row>
    <row r="1174" spans="1:11" x14ac:dyDescent="0.25">
      <c r="A1174" s="33">
        <f t="shared" si="69"/>
        <v>2</v>
      </c>
      <c r="B1174" s="34">
        <v>45824</v>
      </c>
      <c r="C1174" s="7" t="s">
        <v>266</v>
      </c>
      <c r="D1174" s="7">
        <v>25</v>
      </c>
      <c r="E1174" s="33">
        <f>DAY(TableAopCalendar[[#This Row],[Date]])</f>
        <v>16</v>
      </c>
      <c r="F117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74" s="33" t="str">
        <f t="shared" si="70"/>
        <v>Week 3</v>
      </c>
      <c r="H1174" s="33" t="str">
        <f t="shared" si="71"/>
        <v>June 25 Week 3</v>
      </c>
      <c r="I1174" s="33" t="str">
        <f>CONCATENATE(UPPER(TableAopCalendar[[#This Row],[Month]])," ",TableAopCalendar[[#This Row],[Year]])</f>
        <v>JUNE 25</v>
      </c>
      <c r="J1174" s="8" t="s">
        <v>274</v>
      </c>
      <c r="K1174" s="33" t="str">
        <f>CONCATENATE(TableAopCalendar[[#This Row],[Month for Plan]]," ",TableAopCalendar[[#This Row],[Plan]])</f>
        <v>JUNE 25 PLANNED</v>
      </c>
    </row>
    <row r="1175" spans="1:11" x14ac:dyDescent="0.25">
      <c r="A1175" s="33">
        <f t="shared" si="69"/>
        <v>3</v>
      </c>
      <c r="B1175" s="34">
        <v>45825</v>
      </c>
      <c r="C1175" s="7" t="s">
        <v>266</v>
      </c>
      <c r="D1175" s="7">
        <v>25</v>
      </c>
      <c r="E1175" s="33">
        <f>DAY(TableAopCalendar[[#This Row],[Date]])</f>
        <v>17</v>
      </c>
      <c r="F117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75" s="33" t="str">
        <f t="shared" si="70"/>
        <v>Week 3</v>
      </c>
      <c r="H1175" s="33" t="str">
        <f t="shared" si="71"/>
        <v>June 25 Week 3</v>
      </c>
      <c r="I1175" s="33" t="str">
        <f>CONCATENATE(UPPER(TableAopCalendar[[#This Row],[Month]])," ",TableAopCalendar[[#This Row],[Year]])</f>
        <v>JUNE 25</v>
      </c>
      <c r="J1175" s="8" t="s">
        <v>274</v>
      </c>
      <c r="K1175" s="33" t="str">
        <f>CONCATENATE(TableAopCalendar[[#This Row],[Month for Plan]]," ",TableAopCalendar[[#This Row],[Plan]])</f>
        <v>JUNE 25 PLANNED</v>
      </c>
    </row>
    <row r="1176" spans="1:11" x14ac:dyDescent="0.25">
      <c r="A1176" s="33">
        <f t="shared" si="69"/>
        <v>4</v>
      </c>
      <c r="B1176" s="34">
        <v>45826</v>
      </c>
      <c r="C1176" s="7" t="s">
        <v>266</v>
      </c>
      <c r="D1176" s="7">
        <v>25</v>
      </c>
      <c r="E1176" s="33">
        <f>DAY(TableAopCalendar[[#This Row],[Date]])</f>
        <v>18</v>
      </c>
      <c r="F117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76" s="33" t="str">
        <f t="shared" si="70"/>
        <v>Week 3</v>
      </c>
      <c r="H1176" s="33" t="str">
        <f t="shared" si="71"/>
        <v>June 25 Week 3</v>
      </c>
      <c r="I1176" s="33" t="str">
        <f>CONCATENATE(UPPER(TableAopCalendar[[#This Row],[Month]])," ",TableAopCalendar[[#This Row],[Year]])</f>
        <v>JUNE 25</v>
      </c>
      <c r="J1176" s="8" t="s">
        <v>274</v>
      </c>
      <c r="K1176" s="33" t="str">
        <f>CONCATENATE(TableAopCalendar[[#This Row],[Month for Plan]]," ",TableAopCalendar[[#This Row],[Plan]])</f>
        <v>JUNE 25 PLANNED</v>
      </c>
    </row>
    <row r="1177" spans="1:11" x14ac:dyDescent="0.25">
      <c r="A1177" s="33">
        <f t="shared" si="69"/>
        <v>5</v>
      </c>
      <c r="B1177" s="34">
        <v>45827</v>
      </c>
      <c r="C1177" s="7" t="s">
        <v>266</v>
      </c>
      <c r="D1177" s="7">
        <v>25</v>
      </c>
      <c r="E1177" s="33">
        <f>DAY(TableAopCalendar[[#This Row],[Date]])</f>
        <v>19</v>
      </c>
      <c r="F117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77" s="33" t="str">
        <f t="shared" si="70"/>
        <v>Week 3</v>
      </c>
      <c r="H1177" s="33" t="str">
        <f t="shared" si="71"/>
        <v>June 25 Week 3</v>
      </c>
      <c r="I1177" s="33" t="str">
        <f>CONCATENATE(UPPER(TableAopCalendar[[#This Row],[Month]])," ",TableAopCalendar[[#This Row],[Year]])</f>
        <v>JUNE 25</v>
      </c>
      <c r="J1177" s="8" t="s">
        <v>274</v>
      </c>
      <c r="K1177" s="33" t="str">
        <f>CONCATENATE(TableAopCalendar[[#This Row],[Month for Plan]]," ",TableAopCalendar[[#This Row],[Plan]])</f>
        <v>JUNE 25 PLANNED</v>
      </c>
    </row>
    <row r="1178" spans="1:11" x14ac:dyDescent="0.25">
      <c r="A1178" s="33">
        <f t="shared" si="69"/>
        <v>6</v>
      </c>
      <c r="B1178" s="34">
        <v>45828</v>
      </c>
      <c r="C1178" s="7" t="s">
        <v>266</v>
      </c>
      <c r="D1178" s="7">
        <v>25</v>
      </c>
      <c r="E1178" s="33">
        <f>DAY(TableAopCalendar[[#This Row],[Date]])</f>
        <v>20</v>
      </c>
      <c r="F117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78" s="33" t="str">
        <f t="shared" si="70"/>
        <v>Week 3</v>
      </c>
      <c r="H1178" s="33" t="str">
        <f t="shared" si="71"/>
        <v>June 25 Week 3</v>
      </c>
      <c r="I1178" s="33" t="str">
        <f>CONCATENATE(UPPER(TableAopCalendar[[#This Row],[Month]])," ",TableAopCalendar[[#This Row],[Year]])</f>
        <v>JUNE 25</v>
      </c>
      <c r="J1178" s="8" t="s">
        <v>274</v>
      </c>
      <c r="K1178" s="33" t="str">
        <f>CONCATENATE(TableAopCalendar[[#This Row],[Month for Plan]]," ",TableAopCalendar[[#This Row],[Plan]])</f>
        <v>JUNE 25 PLANNED</v>
      </c>
    </row>
    <row r="1179" spans="1:11" x14ac:dyDescent="0.25">
      <c r="A1179" s="33">
        <f t="shared" si="69"/>
        <v>7</v>
      </c>
      <c r="B1179" s="34">
        <v>45829</v>
      </c>
      <c r="C1179" s="7" t="s">
        <v>266</v>
      </c>
      <c r="D1179" s="7">
        <v>25</v>
      </c>
      <c r="E1179" s="33">
        <f>DAY(TableAopCalendar[[#This Row],[Date]])</f>
        <v>21</v>
      </c>
      <c r="F117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179" s="33" t="str">
        <f t="shared" si="70"/>
        <v>Week 3</v>
      </c>
      <c r="H1179" s="33" t="str">
        <f t="shared" si="71"/>
        <v>June 25 Week 3</v>
      </c>
      <c r="I1179" s="33" t="str">
        <f>CONCATENATE(UPPER(TableAopCalendar[[#This Row],[Month]])," ",TableAopCalendar[[#This Row],[Year]])</f>
        <v>JUNE 25</v>
      </c>
      <c r="J1179" s="8" t="s">
        <v>274</v>
      </c>
      <c r="K1179" s="33" t="str">
        <f>CONCATENATE(TableAopCalendar[[#This Row],[Month for Plan]]," ",TableAopCalendar[[#This Row],[Plan]])</f>
        <v>JUNE 25 PLANNED</v>
      </c>
    </row>
    <row r="1180" spans="1:11" x14ac:dyDescent="0.25">
      <c r="A1180" s="33">
        <f t="shared" si="69"/>
        <v>1</v>
      </c>
      <c r="B1180" s="34">
        <v>45830</v>
      </c>
      <c r="C1180" s="7" t="s">
        <v>266</v>
      </c>
      <c r="D1180" s="7">
        <v>25</v>
      </c>
      <c r="E1180" s="33">
        <f>DAY(TableAopCalendar[[#This Row],[Date]])</f>
        <v>22</v>
      </c>
      <c r="F118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0" s="33" t="str">
        <f t="shared" si="70"/>
        <v>Week 4</v>
      </c>
      <c r="H1180" s="33" t="str">
        <f t="shared" si="71"/>
        <v>June 25 Week 4</v>
      </c>
      <c r="I1180" s="33" t="str">
        <f>CONCATENATE(UPPER(TableAopCalendar[[#This Row],[Month]])," ",TableAopCalendar[[#This Row],[Year]])</f>
        <v>JUNE 25</v>
      </c>
      <c r="J1180" s="8" t="s">
        <v>274</v>
      </c>
      <c r="K1180" s="33" t="str">
        <f>CONCATENATE(TableAopCalendar[[#This Row],[Month for Plan]]," ",TableAopCalendar[[#This Row],[Plan]])</f>
        <v>JUNE 25 PLANNED</v>
      </c>
    </row>
    <row r="1181" spans="1:11" x14ac:dyDescent="0.25">
      <c r="A1181" s="33">
        <f t="shared" si="69"/>
        <v>2</v>
      </c>
      <c r="B1181" s="34">
        <v>45831</v>
      </c>
      <c r="C1181" s="7" t="s">
        <v>266</v>
      </c>
      <c r="D1181" s="7">
        <v>25</v>
      </c>
      <c r="E1181" s="33">
        <f>DAY(TableAopCalendar[[#This Row],[Date]])</f>
        <v>23</v>
      </c>
      <c r="F118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1" s="33" t="str">
        <f t="shared" si="70"/>
        <v>Week 4</v>
      </c>
      <c r="H1181" s="33" t="str">
        <f t="shared" si="71"/>
        <v>June 25 Week 4</v>
      </c>
      <c r="I1181" s="33" t="str">
        <f>CONCATENATE(UPPER(TableAopCalendar[[#This Row],[Month]])," ",TableAopCalendar[[#This Row],[Year]])</f>
        <v>JUNE 25</v>
      </c>
      <c r="J1181" s="8" t="s">
        <v>274</v>
      </c>
      <c r="K1181" s="33" t="str">
        <f>CONCATENATE(TableAopCalendar[[#This Row],[Month for Plan]]," ",TableAopCalendar[[#This Row],[Plan]])</f>
        <v>JUNE 25 PLANNED</v>
      </c>
    </row>
    <row r="1182" spans="1:11" x14ac:dyDescent="0.25">
      <c r="A1182" s="33">
        <f t="shared" si="69"/>
        <v>3</v>
      </c>
      <c r="B1182" s="34">
        <v>45832</v>
      </c>
      <c r="C1182" s="7" t="s">
        <v>266</v>
      </c>
      <c r="D1182" s="7">
        <v>25</v>
      </c>
      <c r="E1182" s="33">
        <f>DAY(TableAopCalendar[[#This Row],[Date]])</f>
        <v>24</v>
      </c>
      <c r="F118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2" s="33" t="str">
        <f t="shared" si="70"/>
        <v>Week 4</v>
      </c>
      <c r="H1182" s="33" t="str">
        <f t="shared" si="71"/>
        <v>June 25 Week 4</v>
      </c>
      <c r="I1182" s="33" t="str">
        <f>CONCATENATE(UPPER(TableAopCalendar[[#This Row],[Month]])," ",TableAopCalendar[[#This Row],[Year]])</f>
        <v>JUNE 25</v>
      </c>
      <c r="J1182" s="8" t="s">
        <v>274</v>
      </c>
      <c r="K1182" s="33" t="str">
        <f>CONCATENATE(TableAopCalendar[[#This Row],[Month for Plan]]," ",TableAopCalendar[[#This Row],[Plan]])</f>
        <v>JUNE 25 PLANNED</v>
      </c>
    </row>
    <row r="1183" spans="1:11" x14ac:dyDescent="0.25">
      <c r="A1183" s="33">
        <f t="shared" si="69"/>
        <v>4</v>
      </c>
      <c r="B1183" s="34">
        <v>45833</v>
      </c>
      <c r="C1183" s="7" t="s">
        <v>266</v>
      </c>
      <c r="D1183" s="7">
        <v>25</v>
      </c>
      <c r="E1183" s="33">
        <f>DAY(TableAopCalendar[[#This Row],[Date]])</f>
        <v>25</v>
      </c>
      <c r="F118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3" s="33" t="str">
        <f t="shared" si="70"/>
        <v>Week 4</v>
      </c>
      <c r="H1183" s="33" t="str">
        <f t="shared" si="71"/>
        <v>June 25 Week 4</v>
      </c>
      <c r="I1183" s="33" t="str">
        <f>CONCATENATE(UPPER(TableAopCalendar[[#This Row],[Month]])," ",TableAopCalendar[[#This Row],[Year]])</f>
        <v>JUNE 25</v>
      </c>
      <c r="J1183" s="8" t="s">
        <v>274</v>
      </c>
      <c r="K1183" s="33" t="str">
        <f>CONCATENATE(TableAopCalendar[[#This Row],[Month for Plan]]," ",TableAopCalendar[[#This Row],[Plan]])</f>
        <v>JUNE 25 PLANNED</v>
      </c>
    </row>
    <row r="1184" spans="1:11" x14ac:dyDescent="0.25">
      <c r="A1184" s="33">
        <f t="shared" si="69"/>
        <v>5</v>
      </c>
      <c r="B1184" s="34">
        <v>45834</v>
      </c>
      <c r="C1184" s="7" t="s">
        <v>266</v>
      </c>
      <c r="D1184" s="7">
        <v>25</v>
      </c>
      <c r="E1184" s="33">
        <f>DAY(TableAopCalendar[[#This Row],[Date]])</f>
        <v>26</v>
      </c>
      <c r="F118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4" s="33" t="str">
        <f t="shared" si="70"/>
        <v>Week 4</v>
      </c>
      <c r="H1184" s="33" t="str">
        <f t="shared" si="71"/>
        <v>June 25 Week 4</v>
      </c>
      <c r="I1184" s="33" t="str">
        <f>CONCATENATE(UPPER(TableAopCalendar[[#This Row],[Month]])," ",TableAopCalendar[[#This Row],[Year]])</f>
        <v>JUNE 25</v>
      </c>
      <c r="J1184" s="8" t="s">
        <v>274</v>
      </c>
      <c r="K1184" s="33" t="str">
        <f>CONCATENATE(TableAopCalendar[[#This Row],[Month for Plan]]," ",TableAopCalendar[[#This Row],[Plan]])</f>
        <v>JUNE 25 PLANNED</v>
      </c>
    </row>
    <row r="1185" spans="1:11" x14ac:dyDescent="0.25">
      <c r="A1185" s="33">
        <f t="shared" si="69"/>
        <v>6</v>
      </c>
      <c r="B1185" s="34">
        <v>45835</v>
      </c>
      <c r="C1185" s="7" t="s">
        <v>266</v>
      </c>
      <c r="D1185" s="7">
        <v>25</v>
      </c>
      <c r="E1185" s="33">
        <f>DAY(TableAopCalendar[[#This Row],[Date]])</f>
        <v>27</v>
      </c>
      <c r="F118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5" s="33" t="str">
        <f t="shared" si="70"/>
        <v>Week 4</v>
      </c>
      <c r="H1185" s="33" t="str">
        <f t="shared" si="71"/>
        <v>June 25 Week 4</v>
      </c>
      <c r="I1185" s="33" t="str">
        <f>CONCATENATE(UPPER(TableAopCalendar[[#This Row],[Month]])," ",TableAopCalendar[[#This Row],[Year]])</f>
        <v>JUNE 25</v>
      </c>
      <c r="J1185" s="8" t="s">
        <v>274</v>
      </c>
      <c r="K1185" s="33" t="str">
        <f>CONCATENATE(TableAopCalendar[[#This Row],[Month for Plan]]," ",TableAopCalendar[[#This Row],[Plan]])</f>
        <v>JUNE 25 PLANNED</v>
      </c>
    </row>
    <row r="1186" spans="1:11" x14ac:dyDescent="0.25">
      <c r="A1186" s="33">
        <f t="shared" si="69"/>
        <v>7</v>
      </c>
      <c r="B1186" s="34">
        <v>45836</v>
      </c>
      <c r="C1186" s="7" t="s">
        <v>266</v>
      </c>
      <c r="D1186" s="7">
        <v>25</v>
      </c>
      <c r="E1186" s="33">
        <f>DAY(TableAopCalendar[[#This Row],[Date]])</f>
        <v>28</v>
      </c>
      <c r="F118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186" s="33" t="str">
        <f t="shared" si="70"/>
        <v>Week 4</v>
      </c>
      <c r="H1186" s="33" t="str">
        <f t="shared" si="71"/>
        <v>June 25 Week 4</v>
      </c>
      <c r="I1186" s="33" t="str">
        <f>CONCATENATE(UPPER(TableAopCalendar[[#This Row],[Month]])," ",TableAopCalendar[[#This Row],[Year]])</f>
        <v>JUNE 25</v>
      </c>
      <c r="J1186" s="8" t="s">
        <v>274</v>
      </c>
      <c r="K1186" s="33" t="str">
        <f>CONCATENATE(TableAopCalendar[[#This Row],[Month for Plan]]," ",TableAopCalendar[[#This Row],[Plan]])</f>
        <v>JUNE 25 PLANNED</v>
      </c>
    </row>
    <row r="1187" spans="1:11" x14ac:dyDescent="0.25">
      <c r="A1187" s="33">
        <f t="shared" si="69"/>
        <v>1</v>
      </c>
      <c r="B1187" s="34">
        <v>45837</v>
      </c>
      <c r="C1187" s="7" t="s">
        <v>266</v>
      </c>
      <c r="D1187" s="7">
        <v>25</v>
      </c>
      <c r="E1187" s="33">
        <f>DAY(TableAopCalendar[[#This Row],[Date]])</f>
        <v>29</v>
      </c>
      <c r="F118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187" s="33" t="str">
        <f t="shared" si="70"/>
        <v>Week 5</v>
      </c>
      <c r="H1187" s="33" t="str">
        <f t="shared" si="71"/>
        <v>June 25 Week 5</v>
      </c>
      <c r="I1187" s="33" t="str">
        <f>CONCATENATE(UPPER(TableAopCalendar[[#This Row],[Month]])," ",TableAopCalendar[[#This Row],[Year]])</f>
        <v>JUNE 25</v>
      </c>
      <c r="J1187" s="8" t="s">
        <v>274</v>
      </c>
      <c r="K1187" s="33" t="str">
        <f>CONCATENATE(TableAopCalendar[[#This Row],[Month for Plan]]," ",TableAopCalendar[[#This Row],[Plan]])</f>
        <v>JUNE 25 PLANNED</v>
      </c>
    </row>
    <row r="1188" spans="1:11" x14ac:dyDescent="0.25">
      <c r="A1188" s="33">
        <f t="shared" si="69"/>
        <v>2</v>
      </c>
      <c r="B1188" s="34">
        <v>45838</v>
      </c>
      <c r="C1188" s="7" t="s">
        <v>266</v>
      </c>
      <c r="D1188" s="7">
        <v>25</v>
      </c>
      <c r="E1188" s="33">
        <f>DAY(TableAopCalendar[[#This Row],[Date]])</f>
        <v>30</v>
      </c>
      <c r="F118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188" s="33" t="str">
        <f t="shared" si="70"/>
        <v>Week 5</v>
      </c>
      <c r="H1188" s="33" t="str">
        <f t="shared" si="71"/>
        <v>June 25 Week 5</v>
      </c>
      <c r="I1188" s="33" t="str">
        <f>CONCATENATE(UPPER(TableAopCalendar[[#This Row],[Month]])," ",TableAopCalendar[[#This Row],[Year]])</f>
        <v>JUNE 25</v>
      </c>
      <c r="J1188" s="8" t="s">
        <v>274</v>
      </c>
      <c r="K1188" s="33" t="str">
        <f>CONCATENATE(TableAopCalendar[[#This Row],[Month for Plan]]," ",TableAopCalendar[[#This Row],[Plan]])</f>
        <v>JUNE 25 PLANNED</v>
      </c>
    </row>
    <row r="1189" spans="1:11" x14ac:dyDescent="0.25">
      <c r="A1189" s="33">
        <f t="shared" si="69"/>
        <v>1</v>
      </c>
      <c r="B1189" s="34">
        <v>45839</v>
      </c>
      <c r="C1189" s="7" t="s">
        <v>267</v>
      </c>
      <c r="D1189" s="7">
        <v>25</v>
      </c>
      <c r="E1189" s="33">
        <f>DAY(TableAopCalendar[[#This Row],[Date]])</f>
        <v>1</v>
      </c>
      <c r="F118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89" s="33" t="str">
        <f t="shared" si="70"/>
        <v>Week 1</v>
      </c>
      <c r="H1189" s="33" t="str">
        <f t="shared" si="71"/>
        <v>July 25 Week 1</v>
      </c>
      <c r="I1189" s="33" t="str">
        <f>CONCATENATE(UPPER(TableAopCalendar[[#This Row],[Month]])," ",TableAopCalendar[[#This Row],[Year]])</f>
        <v>JULY 25</v>
      </c>
      <c r="J1189" s="8" t="s">
        <v>274</v>
      </c>
      <c r="K1189" s="33" t="str">
        <f>CONCATENATE(TableAopCalendar[[#This Row],[Month for Plan]]," ",TableAopCalendar[[#This Row],[Plan]])</f>
        <v>JULY 25 PLANNED</v>
      </c>
    </row>
    <row r="1190" spans="1:11" x14ac:dyDescent="0.25">
      <c r="A1190" s="33">
        <f t="shared" si="69"/>
        <v>2</v>
      </c>
      <c r="B1190" s="34">
        <v>45840</v>
      </c>
      <c r="C1190" s="7" t="s">
        <v>267</v>
      </c>
      <c r="D1190" s="7">
        <v>25</v>
      </c>
      <c r="E1190" s="33">
        <f>DAY(TableAopCalendar[[#This Row],[Date]])</f>
        <v>2</v>
      </c>
      <c r="F119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90" s="33" t="str">
        <f t="shared" si="70"/>
        <v>Week 1</v>
      </c>
      <c r="H1190" s="33" t="str">
        <f t="shared" si="71"/>
        <v>July 25 Week 1</v>
      </c>
      <c r="I1190" s="33" t="str">
        <f>CONCATENATE(UPPER(TableAopCalendar[[#This Row],[Month]])," ",TableAopCalendar[[#This Row],[Year]])</f>
        <v>JULY 25</v>
      </c>
      <c r="J1190" s="8" t="s">
        <v>274</v>
      </c>
      <c r="K1190" s="33" t="str">
        <f>CONCATENATE(TableAopCalendar[[#This Row],[Month for Plan]]," ",TableAopCalendar[[#This Row],[Plan]])</f>
        <v>JULY 25 PLANNED</v>
      </c>
    </row>
    <row r="1191" spans="1:11" x14ac:dyDescent="0.25">
      <c r="A1191" s="33">
        <f t="shared" si="69"/>
        <v>3</v>
      </c>
      <c r="B1191" s="34">
        <v>45841</v>
      </c>
      <c r="C1191" s="7" t="s">
        <v>267</v>
      </c>
      <c r="D1191" s="7">
        <v>25</v>
      </c>
      <c r="E1191" s="33">
        <f>DAY(TableAopCalendar[[#This Row],[Date]])</f>
        <v>3</v>
      </c>
      <c r="F119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91" s="33" t="str">
        <f t="shared" si="70"/>
        <v>Week 1</v>
      </c>
      <c r="H1191" s="33" t="str">
        <f t="shared" si="71"/>
        <v>July 25 Week 1</v>
      </c>
      <c r="I1191" s="33" t="str">
        <f>CONCATENATE(UPPER(TableAopCalendar[[#This Row],[Month]])," ",TableAopCalendar[[#This Row],[Year]])</f>
        <v>JULY 25</v>
      </c>
      <c r="J1191" s="8" t="s">
        <v>274</v>
      </c>
      <c r="K1191" s="33" t="str">
        <f>CONCATENATE(TableAopCalendar[[#This Row],[Month for Plan]]," ",TableAopCalendar[[#This Row],[Plan]])</f>
        <v>JULY 25 PLANNED</v>
      </c>
    </row>
    <row r="1192" spans="1:11" x14ac:dyDescent="0.25">
      <c r="A1192" s="33">
        <f t="shared" si="69"/>
        <v>4</v>
      </c>
      <c r="B1192" s="34">
        <v>45842</v>
      </c>
      <c r="C1192" s="7" t="s">
        <v>267</v>
      </c>
      <c r="D1192" s="7">
        <v>25</v>
      </c>
      <c r="E1192" s="33">
        <f>DAY(TableAopCalendar[[#This Row],[Date]])</f>
        <v>4</v>
      </c>
      <c r="F119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92" s="33" t="str">
        <f t="shared" si="70"/>
        <v>Week 1</v>
      </c>
      <c r="H1192" s="33" t="str">
        <f t="shared" si="71"/>
        <v>July 25 Week 1</v>
      </c>
      <c r="I1192" s="33" t="str">
        <f>CONCATENATE(UPPER(TableAopCalendar[[#This Row],[Month]])," ",TableAopCalendar[[#This Row],[Year]])</f>
        <v>JULY 25</v>
      </c>
      <c r="J1192" s="8" t="s">
        <v>274</v>
      </c>
      <c r="K1192" s="33" t="str">
        <f>CONCATENATE(TableAopCalendar[[#This Row],[Month for Plan]]," ",TableAopCalendar[[#This Row],[Plan]])</f>
        <v>JULY 25 PLANNED</v>
      </c>
    </row>
    <row r="1193" spans="1:11" x14ac:dyDescent="0.25">
      <c r="A1193" s="33">
        <f t="shared" si="69"/>
        <v>5</v>
      </c>
      <c r="B1193" s="34">
        <v>45843</v>
      </c>
      <c r="C1193" s="7" t="s">
        <v>267</v>
      </c>
      <c r="D1193" s="7">
        <v>25</v>
      </c>
      <c r="E1193" s="33">
        <f>DAY(TableAopCalendar[[#This Row],[Date]])</f>
        <v>5</v>
      </c>
      <c r="F119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93" s="33" t="str">
        <f t="shared" si="70"/>
        <v>Week 1</v>
      </c>
      <c r="H1193" s="33" t="str">
        <f t="shared" si="71"/>
        <v>July 25 Week 1</v>
      </c>
      <c r="I1193" s="33" t="str">
        <f>CONCATENATE(UPPER(TableAopCalendar[[#This Row],[Month]])," ",TableAopCalendar[[#This Row],[Year]])</f>
        <v>JULY 25</v>
      </c>
      <c r="J1193" s="8" t="s">
        <v>274</v>
      </c>
      <c r="K1193" s="33" t="str">
        <f>CONCATENATE(TableAopCalendar[[#This Row],[Month for Plan]]," ",TableAopCalendar[[#This Row],[Plan]])</f>
        <v>JULY 25 PLANNED</v>
      </c>
    </row>
    <row r="1194" spans="1:11" x14ac:dyDescent="0.25">
      <c r="A1194" s="33">
        <f t="shared" si="69"/>
        <v>6</v>
      </c>
      <c r="B1194" s="34">
        <v>45844</v>
      </c>
      <c r="C1194" s="7" t="s">
        <v>267</v>
      </c>
      <c r="D1194" s="7">
        <v>25</v>
      </c>
      <c r="E1194" s="33">
        <f>DAY(TableAopCalendar[[#This Row],[Date]])</f>
        <v>6</v>
      </c>
      <c r="F119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94" s="33" t="str">
        <f t="shared" si="70"/>
        <v>Week 1</v>
      </c>
      <c r="H1194" s="33" t="str">
        <f t="shared" si="71"/>
        <v>July 25 Week 1</v>
      </c>
      <c r="I1194" s="33" t="str">
        <f>CONCATENATE(UPPER(TableAopCalendar[[#This Row],[Month]])," ",TableAopCalendar[[#This Row],[Year]])</f>
        <v>JULY 25</v>
      </c>
      <c r="J1194" s="8" t="s">
        <v>274</v>
      </c>
      <c r="K1194" s="33" t="str">
        <f>CONCATENATE(TableAopCalendar[[#This Row],[Month for Plan]]," ",TableAopCalendar[[#This Row],[Plan]])</f>
        <v>JULY 25 PLANNED</v>
      </c>
    </row>
    <row r="1195" spans="1:11" x14ac:dyDescent="0.25">
      <c r="A1195" s="33">
        <f t="shared" si="69"/>
        <v>7</v>
      </c>
      <c r="B1195" s="34">
        <v>45845</v>
      </c>
      <c r="C1195" s="7" t="s">
        <v>267</v>
      </c>
      <c r="D1195" s="7">
        <v>25</v>
      </c>
      <c r="E1195" s="33">
        <f>DAY(TableAopCalendar[[#This Row],[Date]])</f>
        <v>7</v>
      </c>
      <c r="F119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195" s="33" t="str">
        <f t="shared" si="70"/>
        <v>Week 1</v>
      </c>
      <c r="H1195" s="33" t="str">
        <f t="shared" si="71"/>
        <v>July 25 Week 1</v>
      </c>
      <c r="I1195" s="33" t="str">
        <f>CONCATENATE(UPPER(TableAopCalendar[[#This Row],[Month]])," ",TableAopCalendar[[#This Row],[Year]])</f>
        <v>JULY 25</v>
      </c>
      <c r="J1195" s="8" t="s">
        <v>274</v>
      </c>
      <c r="K1195" s="33" t="str">
        <f>CONCATENATE(TableAopCalendar[[#This Row],[Month for Plan]]," ",TableAopCalendar[[#This Row],[Plan]])</f>
        <v>JULY 25 PLANNED</v>
      </c>
    </row>
    <row r="1196" spans="1:11" x14ac:dyDescent="0.25">
      <c r="A1196" s="33">
        <f t="shared" si="69"/>
        <v>1</v>
      </c>
      <c r="B1196" s="34">
        <v>45846</v>
      </c>
      <c r="C1196" s="7" t="s">
        <v>267</v>
      </c>
      <c r="D1196" s="7">
        <v>25</v>
      </c>
      <c r="E1196" s="33">
        <f>DAY(TableAopCalendar[[#This Row],[Date]])</f>
        <v>8</v>
      </c>
      <c r="F119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96" s="33" t="str">
        <f t="shared" si="70"/>
        <v>Week 2</v>
      </c>
      <c r="H1196" s="33" t="str">
        <f t="shared" si="71"/>
        <v>July 25 Week 2</v>
      </c>
      <c r="I1196" s="33" t="str">
        <f>CONCATENATE(UPPER(TableAopCalendar[[#This Row],[Month]])," ",TableAopCalendar[[#This Row],[Year]])</f>
        <v>JULY 25</v>
      </c>
      <c r="J1196" s="8" t="s">
        <v>274</v>
      </c>
      <c r="K1196" s="33" t="str">
        <f>CONCATENATE(TableAopCalendar[[#This Row],[Month for Plan]]," ",TableAopCalendar[[#This Row],[Plan]])</f>
        <v>JULY 25 PLANNED</v>
      </c>
    </row>
    <row r="1197" spans="1:11" x14ac:dyDescent="0.25">
      <c r="A1197" s="33">
        <f t="shared" si="69"/>
        <v>2</v>
      </c>
      <c r="B1197" s="34">
        <v>45847</v>
      </c>
      <c r="C1197" s="7" t="s">
        <v>267</v>
      </c>
      <c r="D1197" s="7">
        <v>25</v>
      </c>
      <c r="E1197" s="33">
        <f>DAY(TableAopCalendar[[#This Row],[Date]])</f>
        <v>9</v>
      </c>
      <c r="F119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97" s="33" t="str">
        <f t="shared" si="70"/>
        <v>Week 2</v>
      </c>
      <c r="H1197" s="33" t="str">
        <f t="shared" si="71"/>
        <v>July 25 Week 2</v>
      </c>
      <c r="I1197" s="33" t="str">
        <f>CONCATENATE(UPPER(TableAopCalendar[[#This Row],[Month]])," ",TableAopCalendar[[#This Row],[Year]])</f>
        <v>JULY 25</v>
      </c>
      <c r="J1197" s="8" t="s">
        <v>274</v>
      </c>
      <c r="K1197" s="33" t="str">
        <f>CONCATENATE(TableAopCalendar[[#This Row],[Month for Plan]]," ",TableAopCalendar[[#This Row],[Plan]])</f>
        <v>JULY 25 PLANNED</v>
      </c>
    </row>
    <row r="1198" spans="1:11" x14ac:dyDescent="0.25">
      <c r="A1198" s="33">
        <f t="shared" si="69"/>
        <v>3</v>
      </c>
      <c r="B1198" s="34">
        <v>45848</v>
      </c>
      <c r="C1198" s="7" t="s">
        <v>267</v>
      </c>
      <c r="D1198" s="7">
        <v>25</v>
      </c>
      <c r="E1198" s="33">
        <f>DAY(TableAopCalendar[[#This Row],[Date]])</f>
        <v>10</v>
      </c>
      <c r="F119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98" s="33" t="str">
        <f t="shared" si="70"/>
        <v>Week 2</v>
      </c>
      <c r="H1198" s="33" t="str">
        <f t="shared" si="71"/>
        <v>July 25 Week 2</v>
      </c>
      <c r="I1198" s="33" t="str">
        <f>CONCATENATE(UPPER(TableAopCalendar[[#This Row],[Month]])," ",TableAopCalendar[[#This Row],[Year]])</f>
        <v>JULY 25</v>
      </c>
      <c r="J1198" s="8" t="s">
        <v>274</v>
      </c>
      <c r="K1198" s="33" t="str">
        <f>CONCATENATE(TableAopCalendar[[#This Row],[Month for Plan]]," ",TableAopCalendar[[#This Row],[Plan]])</f>
        <v>JULY 25 PLANNED</v>
      </c>
    </row>
    <row r="1199" spans="1:11" x14ac:dyDescent="0.25">
      <c r="A1199" s="33">
        <f t="shared" si="69"/>
        <v>4</v>
      </c>
      <c r="B1199" s="34">
        <v>45849</v>
      </c>
      <c r="C1199" s="7" t="s">
        <v>267</v>
      </c>
      <c r="D1199" s="7">
        <v>25</v>
      </c>
      <c r="E1199" s="33">
        <f>DAY(TableAopCalendar[[#This Row],[Date]])</f>
        <v>11</v>
      </c>
      <c r="F119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199" s="33" t="str">
        <f t="shared" si="70"/>
        <v>Week 2</v>
      </c>
      <c r="H1199" s="33" t="str">
        <f t="shared" si="71"/>
        <v>July 25 Week 2</v>
      </c>
      <c r="I1199" s="33" t="str">
        <f>CONCATENATE(UPPER(TableAopCalendar[[#This Row],[Month]])," ",TableAopCalendar[[#This Row],[Year]])</f>
        <v>JULY 25</v>
      </c>
      <c r="J1199" s="8" t="s">
        <v>274</v>
      </c>
      <c r="K1199" s="33" t="str">
        <f>CONCATENATE(TableAopCalendar[[#This Row],[Month for Plan]]," ",TableAopCalendar[[#This Row],[Plan]])</f>
        <v>JULY 25 PLANNED</v>
      </c>
    </row>
    <row r="1200" spans="1:11" x14ac:dyDescent="0.25">
      <c r="A1200" s="33">
        <f t="shared" si="69"/>
        <v>5</v>
      </c>
      <c r="B1200" s="34">
        <v>45850</v>
      </c>
      <c r="C1200" s="7" t="s">
        <v>267</v>
      </c>
      <c r="D1200" s="7">
        <v>25</v>
      </c>
      <c r="E1200" s="33">
        <f>DAY(TableAopCalendar[[#This Row],[Date]])</f>
        <v>12</v>
      </c>
      <c r="F120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00" s="33" t="str">
        <f t="shared" si="70"/>
        <v>Week 2</v>
      </c>
      <c r="H1200" s="33" t="str">
        <f t="shared" si="71"/>
        <v>July 25 Week 2</v>
      </c>
      <c r="I1200" s="33" t="str">
        <f>CONCATENATE(UPPER(TableAopCalendar[[#This Row],[Month]])," ",TableAopCalendar[[#This Row],[Year]])</f>
        <v>JULY 25</v>
      </c>
      <c r="J1200" s="8" t="s">
        <v>274</v>
      </c>
      <c r="K1200" s="33" t="str">
        <f>CONCATENATE(TableAopCalendar[[#This Row],[Month for Plan]]," ",TableAopCalendar[[#This Row],[Plan]])</f>
        <v>JULY 25 PLANNED</v>
      </c>
    </row>
    <row r="1201" spans="1:11" x14ac:dyDescent="0.25">
      <c r="A1201" s="33">
        <f t="shared" si="69"/>
        <v>6</v>
      </c>
      <c r="B1201" s="34">
        <v>45851</v>
      </c>
      <c r="C1201" s="7" t="s">
        <v>267</v>
      </c>
      <c r="D1201" s="7">
        <v>25</v>
      </c>
      <c r="E1201" s="33">
        <f>DAY(TableAopCalendar[[#This Row],[Date]])</f>
        <v>13</v>
      </c>
      <c r="F120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01" s="33" t="str">
        <f t="shared" si="70"/>
        <v>Week 2</v>
      </c>
      <c r="H1201" s="33" t="str">
        <f t="shared" si="71"/>
        <v>July 25 Week 2</v>
      </c>
      <c r="I1201" s="33" t="str">
        <f>CONCATENATE(UPPER(TableAopCalendar[[#This Row],[Month]])," ",TableAopCalendar[[#This Row],[Year]])</f>
        <v>JULY 25</v>
      </c>
      <c r="J1201" s="8" t="s">
        <v>274</v>
      </c>
      <c r="K1201" s="33" t="str">
        <f>CONCATENATE(TableAopCalendar[[#This Row],[Month for Plan]]," ",TableAopCalendar[[#This Row],[Plan]])</f>
        <v>JULY 25 PLANNED</v>
      </c>
    </row>
    <row r="1202" spans="1:11" x14ac:dyDescent="0.25">
      <c r="A1202" s="33">
        <f t="shared" si="69"/>
        <v>7</v>
      </c>
      <c r="B1202" s="34">
        <v>45852</v>
      </c>
      <c r="C1202" s="7" t="s">
        <v>267</v>
      </c>
      <c r="D1202" s="7">
        <v>25</v>
      </c>
      <c r="E1202" s="33">
        <f>DAY(TableAopCalendar[[#This Row],[Date]])</f>
        <v>14</v>
      </c>
      <c r="F120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02" s="33" t="str">
        <f t="shared" si="70"/>
        <v>Week 2</v>
      </c>
      <c r="H1202" s="33" t="str">
        <f t="shared" si="71"/>
        <v>July 25 Week 2</v>
      </c>
      <c r="I1202" s="33" t="str">
        <f>CONCATENATE(UPPER(TableAopCalendar[[#This Row],[Month]])," ",TableAopCalendar[[#This Row],[Year]])</f>
        <v>JULY 25</v>
      </c>
      <c r="J1202" s="8" t="s">
        <v>274</v>
      </c>
      <c r="K1202" s="33" t="str">
        <f>CONCATENATE(TableAopCalendar[[#This Row],[Month for Plan]]," ",TableAopCalendar[[#This Row],[Plan]])</f>
        <v>JULY 25 PLANNED</v>
      </c>
    </row>
    <row r="1203" spans="1:11" x14ac:dyDescent="0.25">
      <c r="A1203" s="33">
        <f t="shared" si="69"/>
        <v>1</v>
      </c>
      <c r="B1203" s="34">
        <v>45853</v>
      </c>
      <c r="C1203" s="7" t="s">
        <v>267</v>
      </c>
      <c r="D1203" s="7">
        <v>25</v>
      </c>
      <c r="E1203" s="33">
        <f>DAY(TableAopCalendar[[#This Row],[Date]])</f>
        <v>15</v>
      </c>
      <c r="F120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03" s="33" t="str">
        <f t="shared" si="70"/>
        <v>Week 3</v>
      </c>
      <c r="H1203" s="33" t="str">
        <f t="shared" si="71"/>
        <v>July 25 Week 3</v>
      </c>
      <c r="I1203" s="33" t="str">
        <f>CONCATENATE(UPPER(TableAopCalendar[[#This Row],[Month]])," ",TableAopCalendar[[#This Row],[Year]])</f>
        <v>JULY 25</v>
      </c>
      <c r="J1203" s="8" t="s">
        <v>274</v>
      </c>
      <c r="K1203" s="33" t="str">
        <f>CONCATENATE(TableAopCalendar[[#This Row],[Month for Plan]]," ",TableAopCalendar[[#This Row],[Plan]])</f>
        <v>JULY 25 PLANNED</v>
      </c>
    </row>
    <row r="1204" spans="1:11" x14ac:dyDescent="0.25">
      <c r="A1204" s="33">
        <f t="shared" si="69"/>
        <v>2</v>
      </c>
      <c r="B1204" s="34">
        <v>45854</v>
      </c>
      <c r="C1204" s="7" t="s">
        <v>267</v>
      </c>
      <c r="D1204" s="7">
        <v>25</v>
      </c>
      <c r="E1204" s="33">
        <f>DAY(TableAopCalendar[[#This Row],[Date]])</f>
        <v>16</v>
      </c>
      <c r="F120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04" s="33" t="str">
        <f t="shared" si="70"/>
        <v>Week 3</v>
      </c>
      <c r="H1204" s="33" t="str">
        <f t="shared" si="71"/>
        <v>July 25 Week 3</v>
      </c>
      <c r="I1204" s="33" t="str">
        <f>CONCATENATE(UPPER(TableAopCalendar[[#This Row],[Month]])," ",TableAopCalendar[[#This Row],[Year]])</f>
        <v>JULY 25</v>
      </c>
      <c r="J1204" s="8" t="s">
        <v>274</v>
      </c>
      <c r="K1204" s="33" t="str">
        <f>CONCATENATE(TableAopCalendar[[#This Row],[Month for Plan]]," ",TableAopCalendar[[#This Row],[Plan]])</f>
        <v>JULY 25 PLANNED</v>
      </c>
    </row>
    <row r="1205" spans="1:11" x14ac:dyDescent="0.25">
      <c r="A1205" s="33">
        <f t="shared" si="69"/>
        <v>3</v>
      </c>
      <c r="B1205" s="34">
        <v>45855</v>
      </c>
      <c r="C1205" s="7" t="s">
        <v>267</v>
      </c>
      <c r="D1205" s="7">
        <v>25</v>
      </c>
      <c r="E1205" s="33">
        <f>DAY(TableAopCalendar[[#This Row],[Date]])</f>
        <v>17</v>
      </c>
      <c r="F120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05" s="33" t="str">
        <f t="shared" si="70"/>
        <v>Week 3</v>
      </c>
      <c r="H1205" s="33" t="str">
        <f t="shared" si="71"/>
        <v>July 25 Week 3</v>
      </c>
      <c r="I1205" s="33" t="str">
        <f>CONCATENATE(UPPER(TableAopCalendar[[#This Row],[Month]])," ",TableAopCalendar[[#This Row],[Year]])</f>
        <v>JULY 25</v>
      </c>
      <c r="J1205" s="8" t="s">
        <v>274</v>
      </c>
      <c r="K1205" s="33" t="str">
        <f>CONCATENATE(TableAopCalendar[[#This Row],[Month for Plan]]," ",TableAopCalendar[[#This Row],[Plan]])</f>
        <v>JULY 25 PLANNED</v>
      </c>
    </row>
    <row r="1206" spans="1:11" x14ac:dyDescent="0.25">
      <c r="A1206" s="33">
        <f t="shared" si="69"/>
        <v>4</v>
      </c>
      <c r="B1206" s="34">
        <v>45856</v>
      </c>
      <c r="C1206" s="7" t="s">
        <v>267</v>
      </c>
      <c r="D1206" s="7">
        <v>25</v>
      </c>
      <c r="E1206" s="33">
        <f>DAY(TableAopCalendar[[#This Row],[Date]])</f>
        <v>18</v>
      </c>
      <c r="F120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06" s="33" t="str">
        <f t="shared" si="70"/>
        <v>Week 3</v>
      </c>
      <c r="H1206" s="33" t="str">
        <f t="shared" si="71"/>
        <v>July 25 Week 3</v>
      </c>
      <c r="I1206" s="33" t="str">
        <f>CONCATENATE(UPPER(TableAopCalendar[[#This Row],[Month]])," ",TableAopCalendar[[#This Row],[Year]])</f>
        <v>JULY 25</v>
      </c>
      <c r="J1206" s="8" t="s">
        <v>274</v>
      </c>
      <c r="K1206" s="33" t="str">
        <f>CONCATENATE(TableAopCalendar[[#This Row],[Month for Plan]]," ",TableAopCalendar[[#This Row],[Plan]])</f>
        <v>JULY 25 PLANNED</v>
      </c>
    </row>
    <row r="1207" spans="1:11" x14ac:dyDescent="0.25">
      <c r="A1207" s="33">
        <f t="shared" si="69"/>
        <v>5</v>
      </c>
      <c r="B1207" s="34">
        <v>45857</v>
      </c>
      <c r="C1207" s="7" t="s">
        <v>267</v>
      </c>
      <c r="D1207" s="7">
        <v>25</v>
      </c>
      <c r="E1207" s="33">
        <f>DAY(TableAopCalendar[[#This Row],[Date]])</f>
        <v>19</v>
      </c>
      <c r="F120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07" s="33" t="str">
        <f t="shared" si="70"/>
        <v>Week 3</v>
      </c>
      <c r="H1207" s="33" t="str">
        <f t="shared" si="71"/>
        <v>July 25 Week 3</v>
      </c>
      <c r="I1207" s="33" t="str">
        <f>CONCATENATE(UPPER(TableAopCalendar[[#This Row],[Month]])," ",TableAopCalendar[[#This Row],[Year]])</f>
        <v>JULY 25</v>
      </c>
      <c r="J1207" s="8" t="s">
        <v>274</v>
      </c>
      <c r="K1207" s="33" t="str">
        <f>CONCATENATE(TableAopCalendar[[#This Row],[Month for Plan]]," ",TableAopCalendar[[#This Row],[Plan]])</f>
        <v>JULY 25 PLANNED</v>
      </c>
    </row>
    <row r="1208" spans="1:11" x14ac:dyDescent="0.25">
      <c r="A1208" s="33">
        <f t="shared" si="69"/>
        <v>6</v>
      </c>
      <c r="B1208" s="34">
        <v>45858</v>
      </c>
      <c r="C1208" s="7" t="s">
        <v>267</v>
      </c>
      <c r="D1208" s="7">
        <v>25</v>
      </c>
      <c r="E1208" s="33">
        <f>DAY(TableAopCalendar[[#This Row],[Date]])</f>
        <v>20</v>
      </c>
      <c r="F120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08" s="33" t="str">
        <f t="shared" si="70"/>
        <v>Week 3</v>
      </c>
      <c r="H1208" s="33" t="str">
        <f t="shared" si="71"/>
        <v>July 25 Week 3</v>
      </c>
      <c r="I1208" s="33" t="str">
        <f>CONCATENATE(UPPER(TableAopCalendar[[#This Row],[Month]])," ",TableAopCalendar[[#This Row],[Year]])</f>
        <v>JULY 25</v>
      </c>
      <c r="J1208" s="8" t="s">
        <v>274</v>
      </c>
      <c r="K1208" s="33" t="str">
        <f>CONCATENATE(TableAopCalendar[[#This Row],[Month for Plan]]," ",TableAopCalendar[[#This Row],[Plan]])</f>
        <v>JULY 25 PLANNED</v>
      </c>
    </row>
    <row r="1209" spans="1:11" x14ac:dyDescent="0.25">
      <c r="A1209" s="33">
        <f t="shared" si="69"/>
        <v>7</v>
      </c>
      <c r="B1209" s="34">
        <v>45859</v>
      </c>
      <c r="C1209" s="7" t="s">
        <v>267</v>
      </c>
      <c r="D1209" s="7">
        <v>25</v>
      </c>
      <c r="E1209" s="33">
        <f>DAY(TableAopCalendar[[#This Row],[Date]])</f>
        <v>21</v>
      </c>
      <c r="F120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09" s="33" t="str">
        <f t="shared" si="70"/>
        <v>Week 3</v>
      </c>
      <c r="H1209" s="33" t="str">
        <f t="shared" si="71"/>
        <v>July 25 Week 3</v>
      </c>
      <c r="I1209" s="33" t="str">
        <f>CONCATENATE(UPPER(TableAopCalendar[[#This Row],[Month]])," ",TableAopCalendar[[#This Row],[Year]])</f>
        <v>JULY 25</v>
      </c>
      <c r="J1209" s="8" t="s">
        <v>274</v>
      </c>
      <c r="K1209" s="33" t="str">
        <f>CONCATENATE(TableAopCalendar[[#This Row],[Month for Plan]]," ",TableAopCalendar[[#This Row],[Plan]])</f>
        <v>JULY 25 PLANNED</v>
      </c>
    </row>
    <row r="1210" spans="1:11" x14ac:dyDescent="0.25">
      <c r="A1210" s="33">
        <f t="shared" si="69"/>
        <v>1</v>
      </c>
      <c r="B1210" s="34">
        <v>45860</v>
      </c>
      <c r="C1210" s="7" t="s">
        <v>267</v>
      </c>
      <c r="D1210" s="7">
        <v>25</v>
      </c>
      <c r="E1210" s="33">
        <f>DAY(TableAopCalendar[[#This Row],[Date]])</f>
        <v>22</v>
      </c>
      <c r="F121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10" s="33" t="str">
        <f t="shared" si="70"/>
        <v>Week 4</v>
      </c>
      <c r="H1210" s="33" t="str">
        <f t="shared" si="71"/>
        <v>July 25 Week 4</v>
      </c>
      <c r="I1210" s="33" t="str">
        <f>CONCATENATE(UPPER(TableAopCalendar[[#This Row],[Month]])," ",TableAopCalendar[[#This Row],[Year]])</f>
        <v>JULY 25</v>
      </c>
      <c r="J1210" s="8" t="s">
        <v>274</v>
      </c>
      <c r="K1210" s="33" t="str">
        <f>CONCATENATE(TableAopCalendar[[#This Row],[Month for Plan]]," ",TableAopCalendar[[#This Row],[Plan]])</f>
        <v>JULY 25 PLANNED</v>
      </c>
    </row>
    <row r="1211" spans="1:11" x14ac:dyDescent="0.25">
      <c r="A1211" s="33">
        <f t="shared" si="69"/>
        <v>2</v>
      </c>
      <c r="B1211" s="34">
        <v>45861</v>
      </c>
      <c r="C1211" s="7" t="s">
        <v>267</v>
      </c>
      <c r="D1211" s="7">
        <v>25</v>
      </c>
      <c r="E1211" s="33">
        <f>DAY(TableAopCalendar[[#This Row],[Date]])</f>
        <v>23</v>
      </c>
      <c r="F121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11" s="33" t="str">
        <f t="shared" si="70"/>
        <v>Week 4</v>
      </c>
      <c r="H1211" s="33" t="str">
        <f t="shared" si="71"/>
        <v>July 25 Week 4</v>
      </c>
      <c r="I1211" s="33" t="str">
        <f>CONCATENATE(UPPER(TableAopCalendar[[#This Row],[Month]])," ",TableAopCalendar[[#This Row],[Year]])</f>
        <v>JULY 25</v>
      </c>
      <c r="J1211" s="8" t="s">
        <v>274</v>
      </c>
      <c r="K1211" s="33" t="str">
        <f>CONCATENATE(TableAopCalendar[[#This Row],[Month for Plan]]," ",TableAopCalendar[[#This Row],[Plan]])</f>
        <v>JULY 25 PLANNED</v>
      </c>
    </row>
    <row r="1212" spans="1:11" x14ac:dyDescent="0.25">
      <c r="A1212" s="33">
        <f t="shared" si="69"/>
        <v>3</v>
      </c>
      <c r="B1212" s="34">
        <v>45862</v>
      </c>
      <c r="C1212" s="7" t="s">
        <v>267</v>
      </c>
      <c r="D1212" s="7">
        <v>25</v>
      </c>
      <c r="E1212" s="33">
        <f>DAY(TableAopCalendar[[#This Row],[Date]])</f>
        <v>24</v>
      </c>
      <c r="F121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12" s="33" t="str">
        <f t="shared" si="70"/>
        <v>Week 4</v>
      </c>
      <c r="H1212" s="33" t="str">
        <f t="shared" si="71"/>
        <v>July 25 Week 4</v>
      </c>
      <c r="I1212" s="33" t="str">
        <f>CONCATENATE(UPPER(TableAopCalendar[[#This Row],[Month]])," ",TableAopCalendar[[#This Row],[Year]])</f>
        <v>JULY 25</v>
      </c>
      <c r="J1212" s="8" t="s">
        <v>274</v>
      </c>
      <c r="K1212" s="33" t="str">
        <f>CONCATENATE(TableAopCalendar[[#This Row],[Month for Plan]]," ",TableAopCalendar[[#This Row],[Plan]])</f>
        <v>JULY 25 PLANNED</v>
      </c>
    </row>
    <row r="1213" spans="1:11" x14ac:dyDescent="0.25">
      <c r="A1213" s="33">
        <f t="shared" si="69"/>
        <v>4</v>
      </c>
      <c r="B1213" s="34">
        <v>45863</v>
      </c>
      <c r="C1213" s="7" t="s">
        <v>267</v>
      </c>
      <c r="D1213" s="7">
        <v>25</v>
      </c>
      <c r="E1213" s="33">
        <f>DAY(TableAopCalendar[[#This Row],[Date]])</f>
        <v>25</v>
      </c>
      <c r="F121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13" s="33" t="str">
        <f t="shared" si="70"/>
        <v>Week 4</v>
      </c>
      <c r="H1213" s="33" t="str">
        <f t="shared" si="71"/>
        <v>July 25 Week 4</v>
      </c>
      <c r="I1213" s="33" t="str">
        <f>CONCATENATE(UPPER(TableAopCalendar[[#This Row],[Month]])," ",TableAopCalendar[[#This Row],[Year]])</f>
        <v>JULY 25</v>
      </c>
      <c r="J1213" s="8" t="s">
        <v>274</v>
      </c>
      <c r="K1213" s="33" t="str">
        <f>CONCATENATE(TableAopCalendar[[#This Row],[Month for Plan]]," ",TableAopCalendar[[#This Row],[Plan]])</f>
        <v>JULY 25 PLANNED</v>
      </c>
    </row>
    <row r="1214" spans="1:11" x14ac:dyDescent="0.25">
      <c r="A1214" s="33">
        <f t="shared" si="69"/>
        <v>5</v>
      </c>
      <c r="B1214" s="34">
        <v>45864</v>
      </c>
      <c r="C1214" s="7" t="s">
        <v>267</v>
      </c>
      <c r="D1214" s="7">
        <v>25</v>
      </c>
      <c r="E1214" s="33">
        <f>DAY(TableAopCalendar[[#This Row],[Date]])</f>
        <v>26</v>
      </c>
      <c r="F121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14" s="33" t="str">
        <f t="shared" si="70"/>
        <v>Week 4</v>
      </c>
      <c r="H1214" s="33" t="str">
        <f t="shared" si="71"/>
        <v>July 25 Week 4</v>
      </c>
      <c r="I1214" s="33" t="str">
        <f>CONCATENATE(UPPER(TableAopCalendar[[#This Row],[Month]])," ",TableAopCalendar[[#This Row],[Year]])</f>
        <v>JULY 25</v>
      </c>
      <c r="J1214" s="8" t="s">
        <v>274</v>
      </c>
      <c r="K1214" s="33" t="str">
        <f>CONCATENATE(TableAopCalendar[[#This Row],[Month for Plan]]," ",TableAopCalendar[[#This Row],[Plan]])</f>
        <v>JULY 25 PLANNED</v>
      </c>
    </row>
    <row r="1215" spans="1:11" x14ac:dyDescent="0.25">
      <c r="A1215" s="33">
        <f t="shared" si="69"/>
        <v>6</v>
      </c>
      <c r="B1215" s="34">
        <v>45865</v>
      </c>
      <c r="C1215" s="7" t="s">
        <v>267</v>
      </c>
      <c r="D1215" s="7">
        <v>25</v>
      </c>
      <c r="E1215" s="33">
        <f>DAY(TableAopCalendar[[#This Row],[Date]])</f>
        <v>27</v>
      </c>
      <c r="F121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15" s="33" t="str">
        <f t="shared" si="70"/>
        <v>Week 4</v>
      </c>
      <c r="H1215" s="33" t="str">
        <f t="shared" si="71"/>
        <v>July 25 Week 4</v>
      </c>
      <c r="I1215" s="33" t="str">
        <f>CONCATENATE(UPPER(TableAopCalendar[[#This Row],[Month]])," ",TableAopCalendar[[#This Row],[Year]])</f>
        <v>JULY 25</v>
      </c>
      <c r="J1215" s="8" t="s">
        <v>274</v>
      </c>
      <c r="K1215" s="33" t="str">
        <f>CONCATENATE(TableAopCalendar[[#This Row],[Month for Plan]]," ",TableAopCalendar[[#This Row],[Plan]])</f>
        <v>JULY 25 PLANNED</v>
      </c>
    </row>
    <row r="1216" spans="1:11" x14ac:dyDescent="0.25">
      <c r="A1216" s="33">
        <f t="shared" si="69"/>
        <v>7</v>
      </c>
      <c r="B1216" s="34">
        <v>45866</v>
      </c>
      <c r="C1216" s="7" t="s">
        <v>267</v>
      </c>
      <c r="D1216" s="7">
        <v>25</v>
      </c>
      <c r="E1216" s="33">
        <f>DAY(TableAopCalendar[[#This Row],[Date]])</f>
        <v>28</v>
      </c>
      <c r="F121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16" s="33" t="str">
        <f t="shared" si="70"/>
        <v>Week 4</v>
      </c>
      <c r="H1216" s="33" t="str">
        <f t="shared" si="71"/>
        <v>July 25 Week 4</v>
      </c>
      <c r="I1216" s="33" t="str">
        <f>CONCATENATE(UPPER(TableAopCalendar[[#This Row],[Month]])," ",TableAopCalendar[[#This Row],[Year]])</f>
        <v>JULY 25</v>
      </c>
      <c r="J1216" s="8" t="s">
        <v>274</v>
      </c>
      <c r="K1216" s="33" t="str">
        <f>CONCATENATE(TableAopCalendar[[#This Row],[Month for Plan]]," ",TableAopCalendar[[#This Row],[Plan]])</f>
        <v>JULY 25 PLANNED</v>
      </c>
    </row>
    <row r="1217" spans="1:11" x14ac:dyDescent="0.25">
      <c r="A1217" s="33">
        <f t="shared" si="69"/>
        <v>1</v>
      </c>
      <c r="B1217" s="34">
        <v>45867</v>
      </c>
      <c r="C1217" s="7" t="s">
        <v>267</v>
      </c>
      <c r="D1217" s="7">
        <v>25</v>
      </c>
      <c r="E1217" s="33">
        <f>DAY(TableAopCalendar[[#This Row],[Date]])</f>
        <v>29</v>
      </c>
      <c r="F121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17" s="33" t="str">
        <f t="shared" si="70"/>
        <v>Week 5</v>
      </c>
      <c r="H1217" s="33" t="str">
        <f t="shared" si="71"/>
        <v>July 25 Week 5</v>
      </c>
      <c r="I1217" s="33" t="str">
        <f>CONCATENATE(UPPER(TableAopCalendar[[#This Row],[Month]])," ",TableAopCalendar[[#This Row],[Year]])</f>
        <v>JULY 25</v>
      </c>
      <c r="J1217" s="8" t="s">
        <v>274</v>
      </c>
      <c r="K1217" s="33" t="str">
        <f>CONCATENATE(TableAopCalendar[[#This Row],[Month for Plan]]," ",TableAopCalendar[[#This Row],[Plan]])</f>
        <v>JULY 25 PLANNED</v>
      </c>
    </row>
    <row r="1218" spans="1:11" x14ac:dyDescent="0.25">
      <c r="A1218" s="33">
        <f t="shared" si="69"/>
        <v>2</v>
      </c>
      <c r="B1218" s="34">
        <v>45868</v>
      </c>
      <c r="C1218" s="7" t="s">
        <v>267</v>
      </c>
      <c r="D1218" s="7">
        <v>25</v>
      </c>
      <c r="E1218" s="33">
        <f>DAY(TableAopCalendar[[#This Row],[Date]])</f>
        <v>30</v>
      </c>
      <c r="F121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18" s="33" t="str">
        <f t="shared" si="70"/>
        <v>Week 5</v>
      </c>
      <c r="H1218" s="33" t="str">
        <f t="shared" si="71"/>
        <v>July 25 Week 5</v>
      </c>
      <c r="I1218" s="33" t="str">
        <f>CONCATENATE(UPPER(TableAopCalendar[[#This Row],[Month]])," ",TableAopCalendar[[#This Row],[Year]])</f>
        <v>JULY 25</v>
      </c>
      <c r="J1218" s="8" t="s">
        <v>274</v>
      </c>
      <c r="K1218" s="33" t="str">
        <f>CONCATENATE(TableAopCalendar[[#This Row],[Month for Plan]]," ",TableAopCalendar[[#This Row],[Plan]])</f>
        <v>JULY 25 PLANNED</v>
      </c>
    </row>
    <row r="1219" spans="1:11" x14ac:dyDescent="0.25">
      <c r="A1219" s="33">
        <f t="shared" si="69"/>
        <v>3</v>
      </c>
      <c r="B1219" s="34">
        <v>45869</v>
      </c>
      <c r="C1219" s="7" t="s">
        <v>267</v>
      </c>
      <c r="D1219" s="7">
        <v>25</v>
      </c>
      <c r="E1219" s="33">
        <f>DAY(TableAopCalendar[[#This Row],[Date]])</f>
        <v>31</v>
      </c>
      <c r="F1219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19" s="33" t="str">
        <f t="shared" si="70"/>
        <v>Week 5</v>
      </c>
      <c r="H1219" s="33" t="str">
        <f t="shared" si="71"/>
        <v>July 25 Week 5</v>
      </c>
      <c r="I1219" s="33" t="str">
        <f>CONCATENATE(UPPER(TableAopCalendar[[#This Row],[Month]])," ",TableAopCalendar[[#This Row],[Year]])</f>
        <v>JULY 25</v>
      </c>
      <c r="J1219" s="8" t="s">
        <v>274</v>
      </c>
      <c r="K1219" s="33" t="str">
        <f>CONCATENATE(TableAopCalendar[[#This Row],[Month for Plan]]," ",TableAopCalendar[[#This Row],[Plan]])</f>
        <v>JULY 25 PLANNED</v>
      </c>
    </row>
    <row r="1220" spans="1:11" x14ac:dyDescent="0.25">
      <c r="A1220" s="33">
        <f t="shared" si="69"/>
        <v>1</v>
      </c>
      <c r="B1220" s="34">
        <v>45870</v>
      </c>
      <c r="C1220" s="7" t="s">
        <v>268</v>
      </c>
      <c r="D1220" s="7">
        <v>25</v>
      </c>
      <c r="E1220" s="33">
        <f>DAY(TableAopCalendar[[#This Row],[Date]])</f>
        <v>1</v>
      </c>
      <c r="F122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20" s="33" t="str">
        <f t="shared" si="70"/>
        <v>Week 1</v>
      </c>
      <c r="H1220" s="33" t="str">
        <f t="shared" si="71"/>
        <v>August 25 Week 1</v>
      </c>
      <c r="I1220" s="33" t="str">
        <f>CONCATENATE(UPPER(TableAopCalendar[[#This Row],[Month]])," ",TableAopCalendar[[#This Row],[Year]])</f>
        <v>AUGUST 25</v>
      </c>
      <c r="J1220" s="8" t="s">
        <v>274</v>
      </c>
      <c r="K1220" s="33" t="str">
        <f>CONCATENATE(TableAopCalendar[[#This Row],[Month for Plan]]," ",TableAopCalendar[[#This Row],[Plan]])</f>
        <v>AUGUST 25 PLANNED</v>
      </c>
    </row>
    <row r="1221" spans="1:11" x14ac:dyDescent="0.25">
      <c r="A1221" s="33">
        <f t="shared" si="69"/>
        <v>2</v>
      </c>
      <c r="B1221" s="34">
        <v>45871</v>
      </c>
      <c r="C1221" s="7" t="s">
        <v>268</v>
      </c>
      <c r="D1221" s="7">
        <v>25</v>
      </c>
      <c r="E1221" s="33">
        <f>DAY(TableAopCalendar[[#This Row],[Date]])</f>
        <v>2</v>
      </c>
      <c r="F122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21" s="33" t="str">
        <f t="shared" si="70"/>
        <v>Week 1</v>
      </c>
      <c r="H1221" s="33" t="str">
        <f t="shared" si="71"/>
        <v>August 25 Week 1</v>
      </c>
      <c r="I1221" s="33" t="str">
        <f>CONCATENATE(UPPER(TableAopCalendar[[#This Row],[Month]])," ",TableAopCalendar[[#This Row],[Year]])</f>
        <v>AUGUST 25</v>
      </c>
      <c r="J1221" s="8" t="s">
        <v>274</v>
      </c>
      <c r="K1221" s="33" t="str">
        <f>CONCATENATE(TableAopCalendar[[#This Row],[Month for Plan]]," ",TableAopCalendar[[#This Row],[Plan]])</f>
        <v>AUGUST 25 PLANNED</v>
      </c>
    </row>
    <row r="1222" spans="1:11" x14ac:dyDescent="0.25">
      <c r="A1222" s="33">
        <f t="shared" si="69"/>
        <v>3</v>
      </c>
      <c r="B1222" s="34">
        <v>45872</v>
      </c>
      <c r="C1222" s="7" t="s">
        <v>268</v>
      </c>
      <c r="D1222" s="7">
        <v>25</v>
      </c>
      <c r="E1222" s="33">
        <f>DAY(TableAopCalendar[[#This Row],[Date]])</f>
        <v>3</v>
      </c>
      <c r="F122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22" s="33" t="str">
        <f t="shared" si="70"/>
        <v>Week 1</v>
      </c>
      <c r="H1222" s="33" t="str">
        <f t="shared" si="71"/>
        <v>August 25 Week 1</v>
      </c>
      <c r="I1222" s="33" t="str">
        <f>CONCATENATE(UPPER(TableAopCalendar[[#This Row],[Month]])," ",TableAopCalendar[[#This Row],[Year]])</f>
        <v>AUGUST 25</v>
      </c>
      <c r="J1222" s="8" t="s">
        <v>274</v>
      </c>
      <c r="K1222" s="33" t="str">
        <f>CONCATENATE(TableAopCalendar[[#This Row],[Month for Plan]]," ",TableAopCalendar[[#This Row],[Plan]])</f>
        <v>AUGUST 25 PLANNED</v>
      </c>
    </row>
    <row r="1223" spans="1:11" x14ac:dyDescent="0.25">
      <c r="A1223" s="33">
        <f t="shared" si="69"/>
        <v>4</v>
      </c>
      <c r="B1223" s="34">
        <v>45873</v>
      </c>
      <c r="C1223" s="7" t="s">
        <v>268</v>
      </c>
      <c r="D1223" s="7">
        <v>25</v>
      </c>
      <c r="E1223" s="33">
        <f>DAY(TableAopCalendar[[#This Row],[Date]])</f>
        <v>4</v>
      </c>
      <c r="F122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23" s="33" t="str">
        <f t="shared" si="70"/>
        <v>Week 1</v>
      </c>
      <c r="H1223" s="33" t="str">
        <f t="shared" si="71"/>
        <v>August 25 Week 1</v>
      </c>
      <c r="I1223" s="33" t="str">
        <f>CONCATENATE(UPPER(TableAopCalendar[[#This Row],[Month]])," ",TableAopCalendar[[#This Row],[Year]])</f>
        <v>AUGUST 25</v>
      </c>
      <c r="J1223" s="8" t="s">
        <v>274</v>
      </c>
      <c r="K1223" s="33" t="str">
        <f>CONCATENATE(TableAopCalendar[[#This Row],[Month for Plan]]," ",TableAopCalendar[[#This Row],[Plan]])</f>
        <v>AUGUST 25 PLANNED</v>
      </c>
    </row>
    <row r="1224" spans="1:11" x14ac:dyDescent="0.25">
      <c r="A1224" s="33">
        <f t="shared" si="69"/>
        <v>5</v>
      </c>
      <c r="B1224" s="34">
        <v>45874</v>
      </c>
      <c r="C1224" s="7" t="s">
        <v>268</v>
      </c>
      <c r="D1224" s="7">
        <v>25</v>
      </c>
      <c r="E1224" s="33">
        <f>DAY(TableAopCalendar[[#This Row],[Date]])</f>
        <v>5</v>
      </c>
      <c r="F122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24" s="33" t="str">
        <f t="shared" si="70"/>
        <v>Week 1</v>
      </c>
      <c r="H1224" s="33" t="str">
        <f t="shared" si="71"/>
        <v>August 25 Week 1</v>
      </c>
      <c r="I1224" s="33" t="str">
        <f>CONCATENATE(UPPER(TableAopCalendar[[#This Row],[Month]])," ",TableAopCalendar[[#This Row],[Year]])</f>
        <v>AUGUST 25</v>
      </c>
      <c r="J1224" s="8" t="s">
        <v>274</v>
      </c>
      <c r="K1224" s="33" t="str">
        <f>CONCATENATE(TableAopCalendar[[#This Row],[Month for Plan]]," ",TableAopCalendar[[#This Row],[Plan]])</f>
        <v>AUGUST 25 PLANNED</v>
      </c>
    </row>
    <row r="1225" spans="1:11" x14ac:dyDescent="0.25">
      <c r="A1225" s="33">
        <f t="shared" si="69"/>
        <v>6</v>
      </c>
      <c r="B1225" s="34">
        <v>45875</v>
      </c>
      <c r="C1225" s="7" t="s">
        <v>268</v>
      </c>
      <c r="D1225" s="7">
        <v>25</v>
      </c>
      <c r="E1225" s="33">
        <f>DAY(TableAopCalendar[[#This Row],[Date]])</f>
        <v>6</v>
      </c>
      <c r="F122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25" s="33" t="str">
        <f t="shared" si="70"/>
        <v>Week 1</v>
      </c>
      <c r="H1225" s="33" t="str">
        <f t="shared" si="71"/>
        <v>August 25 Week 1</v>
      </c>
      <c r="I1225" s="33" t="str">
        <f>CONCATENATE(UPPER(TableAopCalendar[[#This Row],[Month]])," ",TableAopCalendar[[#This Row],[Year]])</f>
        <v>AUGUST 25</v>
      </c>
      <c r="J1225" s="8" t="s">
        <v>274</v>
      </c>
      <c r="K1225" s="33" t="str">
        <f>CONCATENATE(TableAopCalendar[[#This Row],[Month for Plan]]," ",TableAopCalendar[[#This Row],[Plan]])</f>
        <v>AUGUST 25 PLANNED</v>
      </c>
    </row>
    <row r="1226" spans="1:11" x14ac:dyDescent="0.25">
      <c r="A1226" s="33">
        <f t="shared" si="69"/>
        <v>7</v>
      </c>
      <c r="B1226" s="34">
        <v>45876</v>
      </c>
      <c r="C1226" s="7" t="s">
        <v>268</v>
      </c>
      <c r="D1226" s="7">
        <v>25</v>
      </c>
      <c r="E1226" s="33">
        <f>DAY(TableAopCalendar[[#This Row],[Date]])</f>
        <v>7</v>
      </c>
      <c r="F122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26" s="33" t="str">
        <f t="shared" si="70"/>
        <v>Week 1</v>
      </c>
      <c r="H1226" s="33" t="str">
        <f t="shared" si="71"/>
        <v>August 25 Week 1</v>
      </c>
      <c r="I1226" s="33" t="str">
        <f>CONCATENATE(UPPER(TableAopCalendar[[#This Row],[Month]])," ",TableAopCalendar[[#This Row],[Year]])</f>
        <v>AUGUST 25</v>
      </c>
      <c r="J1226" s="8" t="s">
        <v>274</v>
      </c>
      <c r="K1226" s="33" t="str">
        <f>CONCATENATE(TableAopCalendar[[#This Row],[Month for Plan]]," ",TableAopCalendar[[#This Row],[Plan]])</f>
        <v>AUGUST 25 PLANNED</v>
      </c>
    </row>
    <row r="1227" spans="1:11" x14ac:dyDescent="0.25">
      <c r="A1227" s="33">
        <f t="shared" ref="A1227:A1290" si="72">IF(G1227=G1226,A1226+1,1)</f>
        <v>1</v>
      </c>
      <c r="B1227" s="34">
        <v>45877</v>
      </c>
      <c r="C1227" s="7" t="s">
        <v>268</v>
      </c>
      <c r="D1227" s="7">
        <v>25</v>
      </c>
      <c r="E1227" s="33">
        <f>DAY(TableAopCalendar[[#This Row],[Date]])</f>
        <v>8</v>
      </c>
      <c r="F122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27" s="33" t="str">
        <f t="shared" ref="G1227:G1290" si="73">"Week"&amp;" "&amp;F1227</f>
        <v>Week 2</v>
      </c>
      <c r="H1227" s="33" t="str">
        <f t="shared" ref="H1227:H1290" si="74">CONCATENATE(C1227," ",D1227," ",G1227)</f>
        <v>August 25 Week 2</v>
      </c>
      <c r="I1227" s="33" t="str">
        <f>CONCATENATE(UPPER(TableAopCalendar[[#This Row],[Month]])," ",TableAopCalendar[[#This Row],[Year]])</f>
        <v>AUGUST 25</v>
      </c>
      <c r="J1227" s="8" t="s">
        <v>274</v>
      </c>
      <c r="K1227" s="33" t="str">
        <f>CONCATENATE(TableAopCalendar[[#This Row],[Month for Plan]]," ",TableAopCalendar[[#This Row],[Plan]])</f>
        <v>AUGUST 25 PLANNED</v>
      </c>
    </row>
    <row r="1228" spans="1:11" x14ac:dyDescent="0.25">
      <c r="A1228" s="33">
        <f t="shared" si="72"/>
        <v>2</v>
      </c>
      <c r="B1228" s="34">
        <v>45878</v>
      </c>
      <c r="C1228" s="7" t="s">
        <v>268</v>
      </c>
      <c r="D1228" s="7">
        <v>25</v>
      </c>
      <c r="E1228" s="33">
        <f>DAY(TableAopCalendar[[#This Row],[Date]])</f>
        <v>9</v>
      </c>
      <c r="F122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28" s="33" t="str">
        <f t="shared" si="73"/>
        <v>Week 2</v>
      </c>
      <c r="H1228" s="33" t="str">
        <f t="shared" si="74"/>
        <v>August 25 Week 2</v>
      </c>
      <c r="I1228" s="33" t="str">
        <f>CONCATENATE(UPPER(TableAopCalendar[[#This Row],[Month]])," ",TableAopCalendar[[#This Row],[Year]])</f>
        <v>AUGUST 25</v>
      </c>
      <c r="J1228" s="8" t="s">
        <v>274</v>
      </c>
      <c r="K1228" s="33" t="str">
        <f>CONCATENATE(TableAopCalendar[[#This Row],[Month for Plan]]," ",TableAopCalendar[[#This Row],[Plan]])</f>
        <v>AUGUST 25 PLANNED</v>
      </c>
    </row>
    <row r="1229" spans="1:11" x14ac:dyDescent="0.25">
      <c r="A1229" s="33">
        <f t="shared" si="72"/>
        <v>3</v>
      </c>
      <c r="B1229" s="34">
        <v>45879</v>
      </c>
      <c r="C1229" s="7" t="s">
        <v>268</v>
      </c>
      <c r="D1229" s="7">
        <v>25</v>
      </c>
      <c r="E1229" s="33">
        <f>DAY(TableAopCalendar[[#This Row],[Date]])</f>
        <v>10</v>
      </c>
      <c r="F122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29" s="33" t="str">
        <f t="shared" si="73"/>
        <v>Week 2</v>
      </c>
      <c r="H1229" s="33" t="str">
        <f t="shared" si="74"/>
        <v>August 25 Week 2</v>
      </c>
      <c r="I1229" s="33" t="str">
        <f>CONCATENATE(UPPER(TableAopCalendar[[#This Row],[Month]])," ",TableAopCalendar[[#This Row],[Year]])</f>
        <v>AUGUST 25</v>
      </c>
      <c r="J1229" s="8" t="s">
        <v>274</v>
      </c>
      <c r="K1229" s="33" t="str">
        <f>CONCATENATE(TableAopCalendar[[#This Row],[Month for Plan]]," ",TableAopCalendar[[#This Row],[Plan]])</f>
        <v>AUGUST 25 PLANNED</v>
      </c>
    </row>
    <row r="1230" spans="1:11" x14ac:dyDescent="0.25">
      <c r="A1230" s="33">
        <f t="shared" si="72"/>
        <v>4</v>
      </c>
      <c r="B1230" s="34">
        <v>45880</v>
      </c>
      <c r="C1230" s="7" t="s">
        <v>268</v>
      </c>
      <c r="D1230" s="7">
        <v>25</v>
      </c>
      <c r="E1230" s="33">
        <f>DAY(TableAopCalendar[[#This Row],[Date]])</f>
        <v>11</v>
      </c>
      <c r="F123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30" s="33" t="str">
        <f t="shared" si="73"/>
        <v>Week 2</v>
      </c>
      <c r="H1230" s="33" t="str">
        <f t="shared" si="74"/>
        <v>August 25 Week 2</v>
      </c>
      <c r="I1230" s="33" t="str">
        <f>CONCATENATE(UPPER(TableAopCalendar[[#This Row],[Month]])," ",TableAopCalendar[[#This Row],[Year]])</f>
        <v>AUGUST 25</v>
      </c>
      <c r="J1230" s="8" t="s">
        <v>274</v>
      </c>
      <c r="K1230" s="33" t="str">
        <f>CONCATENATE(TableAopCalendar[[#This Row],[Month for Plan]]," ",TableAopCalendar[[#This Row],[Plan]])</f>
        <v>AUGUST 25 PLANNED</v>
      </c>
    </row>
    <row r="1231" spans="1:11" x14ac:dyDescent="0.25">
      <c r="A1231" s="33">
        <f t="shared" si="72"/>
        <v>5</v>
      </c>
      <c r="B1231" s="34">
        <v>45881</v>
      </c>
      <c r="C1231" s="7" t="s">
        <v>268</v>
      </c>
      <c r="D1231" s="7">
        <v>25</v>
      </c>
      <c r="E1231" s="33">
        <f>DAY(TableAopCalendar[[#This Row],[Date]])</f>
        <v>12</v>
      </c>
      <c r="F123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31" s="33" t="str">
        <f t="shared" si="73"/>
        <v>Week 2</v>
      </c>
      <c r="H1231" s="33" t="str">
        <f t="shared" si="74"/>
        <v>August 25 Week 2</v>
      </c>
      <c r="I1231" s="33" t="str">
        <f>CONCATENATE(UPPER(TableAopCalendar[[#This Row],[Month]])," ",TableAopCalendar[[#This Row],[Year]])</f>
        <v>AUGUST 25</v>
      </c>
      <c r="J1231" s="8" t="s">
        <v>274</v>
      </c>
      <c r="K1231" s="33" t="str">
        <f>CONCATENATE(TableAopCalendar[[#This Row],[Month for Plan]]," ",TableAopCalendar[[#This Row],[Plan]])</f>
        <v>AUGUST 25 PLANNED</v>
      </c>
    </row>
    <row r="1232" spans="1:11" x14ac:dyDescent="0.25">
      <c r="A1232" s="33">
        <f t="shared" si="72"/>
        <v>6</v>
      </c>
      <c r="B1232" s="34">
        <v>45882</v>
      </c>
      <c r="C1232" s="7" t="s">
        <v>268</v>
      </c>
      <c r="D1232" s="7">
        <v>25</v>
      </c>
      <c r="E1232" s="33">
        <f>DAY(TableAopCalendar[[#This Row],[Date]])</f>
        <v>13</v>
      </c>
      <c r="F123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32" s="33" t="str">
        <f t="shared" si="73"/>
        <v>Week 2</v>
      </c>
      <c r="H1232" s="33" t="str">
        <f t="shared" si="74"/>
        <v>August 25 Week 2</v>
      </c>
      <c r="I1232" s="33" t="str">
        <f>CONCATENATE(UPPER(TableAopCalendar[[#This Row],[Month]])," ",TableAopCalendar[[#This Row],[Year]])</f>
        <v>AUGUST 25</v>
      </c>
      <c r="J1232" s="8" t="s">
        <v>274</v>
      </c>
      <c r="K1232" s="33" t="str">
        <f>CONCATENATE(TableAopCalendar[[#This Row],[Month for Plan]]," ",TableAopCalendar[[#This Row],[Plan]])</f>
        <v>AUGUST 25 PLANNED</v>
      </c>
    </row>
    <row r="1233" spans="1:11" x14ac:dyDescent="0.25">
      <c r="A1233" s="33">
        <f t="shared" si="72"/>
        <v>7</v>
      </c>
      <c r="B1233" s="34">
        <v>45883</v>
      </c>
      <c r="C1233" s="7" t="s">
        <v>268</v>
      </c>
      <c r="D1233" s="7">
        <v>25</v>
      </c>
      <c r="E1233" s="33">
        <f>DAY(TableAopCalendar[[#This Row],[Date]])</f>
        <v>14</v>
      </c>
      <c r="F123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33" s="33" t="str">
        <f t="shared" si="73"/>
        <v>Week 2</v>
      </c>
      <c r="H1233" s="33" t="str">
        <f t="shared" si="74"/>
        <v>August 25 Week 2</v>
      </c>
      <c r="I1233" s="33" t="str">
        <f>CONCATENATE(UPPER(TableAopCalendar[[#This Row],[Month]])," ",TableAopCalendar[[#This Row],[Year]])</f>
        <v>AUGUST 25</v>
      </c>
      <c r="J1233" s="8" t="s">
        <v>274</v>
      </c>
      <c r="K1233" s="33" t="str">
        <f>CONCATENATE(TableAopCalendar[[#This Row],[Month for Plan]]," ",TableAopCalendar[[#This Row],[Plan]])</f>
        <v>AUGUST 25 PLANNED</v>
      </c>
    </row>
    <row r="1234" spans="1:11" x14ac:dyDescent="0.25">
      <c r="A1234" s="33">
        <f t="shared" si="72"/>
        <v>1</v>
      </c>
      <c r="B1234" s="34">
        <v>45884</v>
      </c>
      <c r="C1234" s="7" t="s">
        <v>268</v>
      </c>
      <c r="D1234" s="7">
        <v>25</v>
      </c>
      <c r="E1234" s="33">
        <f>DAY(TableAopCalendar[[#This Row],[Date]])</f>
        <v>15</v>
      </c>
      <c r="F123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34" s="33" t="str">
        <f t="shared" si="73"/>
        <v>Week 3</v>
      </c>
      <c r="H1234" s="33" t="str">
        <f t="shared" si="74"/>
        <v>August 25 Week 3</v>
      </c>
      <c r="I1234" s="33" t="str">
        <f>CONCATENATE(UPPER(TableAopCalendar[[#This Row],[Month]])," ",TableAopCalendar[[#This Row],[Year]])</f>
        <v>AUGUST 25</v>
      </c>
      <c r="J1234" s="8" t="s">
        <v>274</v>
      </c>
      <c r="K1234" s="33" t="str">
        <f>CONCATENATE(TableAopCalendar[[#This Row],[Month for Plan]]," ",TableAopCalendar[[#This Row],[Plan]])</f>
        <v>AUGUST 25 PLANNED</v>
      </c>
    </row>
    <row r="1235" spans="1:11" x14ac:dyDescent="0.25">
      <c r="A1235" s="33">
        <f t="shared" si="72"/>
        <v>2</v>
      </c>
      <c r="B1235" s="34">
        <v>45885</v>
      </c>
      <c r="C1235" s="7" t="s">
        <v>268</v>
      </c>
      <c r="D1235" s="7">
        <v>25</v>
      </c>
      <c r="E1235" s="33">
        <f>DAY(TableAopCalendar[[#This Row],[Date]])</f>
        <v>16</v>
      </c>
      <c r="F123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35" s="33" t="str">
        <f t="shared" si="73"/>
        <v>Week 3</v>
      </c>
      <c r="H1235" s="33" t="str">
        <f t="shared" si="74"/>
        <v>August 25 Week 3</v>
      </c>
      <c r="I1235" s="33" t="str">
        <f>CONCATENATE(UPPER(TableAopCalendar[[#This Row],[Month]])," ",TableAopCalendar[[#This Row],[Year]])</f>
        <v>AUGUST 25</v>
      </c>
      <c r="J1235" s="8" t="s">
        <v>274</v>
      </c>
      <c r="K1235" s="33" t="str">
        <f>CONCATENATE(TableAopCalendar[[#This Row],[Month for Plan]]," ",TableAopCalendar[[#This Row],[Plan]])</f>
        <v>AUGUST 25 PLANNED</v>
      </c>
    </row>
    <row r="1236" spans="1:11" x14ac:dyDescent="0.25">
      <c r="A1236" s="33">
        <f t="shared" si="72"/>
        <v>3</v>
      </c>
      <c r="B1236" s="34">
        <v>45886</v>
      </c>
      <c r="C1236" s="7" t="s">
        <v>268</v>
      </c>
      <c r="D1236" s="7">
        <v>25</v>
      </c>
      <c r="E1236" s="33">
        <f>DAY(TableAopCalendar[[#This Row],[Date]])</f>
        <v>17</v>
      </c>
      <c r="F123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36" s="33" t="str">
        <f t="shared" si="73"/>
        <v>Week 3</v>
      </c>
      <c r="H1236" s="33" t="str">
        <f t="shared" si="74"/>
        <v>August 25 Week 3</v>
      </c>
      <c r="I1236" s="33" t="str">
        <f>CONCATENATE(UPPER(TableAopCalendar[[#This Row],[Month]])," ",TableAopCalendar[[#This Row],[Year]])</f>
        <v>AUGUST 25</v>
      </c>
      <c r="J1236" s="8" t="s">
        <v>274</v>
      </c>
      <c r="K1236" s="33" t="str">
        <f>CONCATENATE(TableAopCalendar[[#This Row],[Month for Plan]]," ",TableAopCalendar[[#This Row],[Plan]])</f>
        <v>AUGUST 25 PLANNED</v>
      </c>
    </row>
    <row r="1237" spans="1:11" x14ac:dyDescent="0.25">
      <c r="A1237" s="33">
        <f t="shared" si="72"/>
        <v>4</v>
      </c>
      <c r="B1237" s="34">
        <v>45887</v>
      </c>
      <c r="C1237" s="7" t="s">
        <v>268</v>
      </c>
      <c r="D1237" s="7">
        <v>25</v>
      </c>
      <c r="E1237" s="33">
        <f>DAY(TableAopCalendar[[#This Row],[Date]])</f>
        <v>18</v>
      </c>
      <c r="F123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37" s="33" t="str">
        <f t="shared" si="73"/>
        <v>Week 3</v>
      </c>
      <c r="H1237" s="33" t="str">
        <f t="shared" si="74"/>
        <v>August 25 Week 3</v>
      </c>
      <c r="I1237" s="33" t="str">
        <f>CONCATENATE(UPPER(TableAopCalendar[[#This Row],[Month]])," ",TableAopCalendar[[#This Row],[Year]])</f>
        <v>AUGUST 25</v>
      </c>
      <c r="J1237" s="8" t="s">
        <v>274</v>
      </c>
      <c r="K1237" s="33" t="str">
        <f>CONCATENATE(TableAopCalendar[[#This Row],[Month for Plan]]," ",TableAopCalendar[[#This Row],[Plan]])</f>
        <v>AUGUST 25 PLANNED</v>
      </c>
    </row>
    <row r="1238" spans="1:11" x14ac:dyDescent="0.25">
      <c r="A1238" s="33">
        <f t="shared" si="72"/>
        <v>5</v>
      </c>
      <c r="B1238" s="34">
        <v>45888</v>
      </c>
      <c r="C1238" s="7" t="s">
        <v>268</v>
      </c>
      <c r="D1238" s="7">
        <v>25</v>
      </c>
      <c r="E1238" s="33">
        <f>DAY(TableAopCalendar[[#This Row],[Date]])</f>
        <v>19</v>
      </c>
      <c r="F123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38" s="33" t="str">
        <f t="shared" si="73"/>
        <v>Week 3</v>
      </c>
      <c r="H1238" s="33" t="str">
        <f t="shared" si="74"/>
        <v>August 25 Week 3</v>
      </c>
      <c r="I1238" s="33" t="str">
        <f>CONCATENATE(UPPER(TableAopCalendar[[#This Row],[Month]])," ",TableAopCalendar[[#This Row],[Year]])</f>
        <v>AUGUST 25</v>
      </c>
      <c r="J1238" s="8" t="s">
        <v>274</v>
      </c>
      <c r="K1238" s="33" t="str">
        <f>CONCATENATE(TableAopCalendar[[#This Row],[Month for Plan]]," ",TableAopCalendar[[#This Row],[Plan]])</f>
        <v>AUGUST 25 PLANNED</v>
      </c>
    </row>
    <row r="1239" spans="1:11" x14ac:dyDescent="0.25">
      <c r="A1239" s="33">
        <f t="shared" si="72"/>
        <v>6</v>
      </c>
      <c r="B1239" s="34">
        <v>45889</v>
      </c>
      <c r="C1239" s="7" t="s">
        <v>268</v>
      </c>
      <c r="D1239" s="7">
        <v>25</v>
      </c>
      <c r="E1239" s="33">
        <f>DAY(TableAopCalendar[[#This Row],[Date]])</f>
        <v>20</v>
      </c>
      <c r="F123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39" s="33" t="str">
        <f t="shared" si="73"/>
        <v>Week 3</v>
      </c>
      <c r="H1239" s="33" t="str">
        <f t="shared" si="74"/>
        <v>August 25 Week 3</v>
      </c>
      <c r="I1239" s="33" t="str">
        <f>CONCATENATE(UPPER(TableAopCalendar[[#This Row],[Month]])," ",TableAopCalendar[[#This Row],[Year]])</f>
        <v>AUGUST 25</v>
      </c>
      <c r="J1239" s="8" t="s">
        <v>274</v>
      </c>
      <c r="K1239" s="33" t="str">
        <f>CONCATENATE(TableAopCalendar[[#This Row],[Month for Plan]]," ",TableAopCalendar[[#This Row],[Plan]])</f>
        <v>AUGUST 25 PLANNED</v>
      </c>
    </row>
    <row r="1240" spans="1:11" x14ac:dyDescent="0.25">
      <c r="A1240" s="33">
        <f t="shared" si="72"/>
        <v>7</v>
      </c>
      <c r="B1240" s="34">
        <v>45890</v>
      </c>
      <c r="C1240" s="7" t="s">
        <v>268</v>
      </c>
      <c r="D1240" s="7">
        <v>25</v>
      </c>
      <c r="E1240" s="33">
        <f>DAY(TableAopCalendar[[#This Row],[Date]])</f>
        <v>21</v>
      </c>
      <c r="F124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40" s="33" t="str">
        <f t="shared" si="73"/>
        <v>Week 3</v>
      </c>
      <c r="H1240" s="33" t="str">
        <f t="shared" si="74"/>
        <v>August 25 Week 3</v>
      </c>
      <c r="I1240" s="33" t="str">
        <f>CONCATENATE(UPPER(TableAopCalendar[[#This Row],[Month]])," ",TableAopCalendar[[#This Row],[Year]])</f>
        <v>AUGUST 25</v>
      </c>
      <c r="J1240" s="8" t="s">
        <v>274</v>
      </c>
      <c r="K1240" s="33" t="str">
        <f>CONCATENATE(TableAopCalendar[[#This Row],[Month for Plan]]," ",TableAopCalendar[[#This Row],[Plan]])</f>
        <v>AUGUST 25 PLANNED</v>
      </c>
    </row>
    <row r="1241" spans="1:11" x14ac:dyDescent="0.25">
      <c r="A1241" s="33">
        <f t="shared" si="72"/>
        <v>1</v>
      </c>
      <c r="B1241" s="34">
        <v>45891</v>
      </c>
      <c r="C1241" s="7" t="s">
        <v>268</v>
      </c>
      <c r="D1241" s="7">
        <v>25</v>
      </c>
      <c r="E1241" s="33">
        <f>DAY(TableAopCalendar[[#This Row],[Date]])</f>
        <v>22</v>
      </c>
      <c r="F124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41" s="33" t="str">
        <f t="shared" si="73"/>
        <v>Week 4</v>
      </c>
      <c r="H1241" s="33" t="str">
        <f t="shared" si="74"/>
        <v>August 25 Week 4</v>
      </c>
      <c r="I1241" s="33" t="str">
        <f>CONCATENATE(UPPER(TableAopCalendar[[#This Row],[Month]])," ",TableAopCalendar[[#This Row],[Year]])</f>
        <v>AUGUST 25</v>
      </c>
      <c r="J1241" s="8" t="s">
        <v>274</v>
      </c>
      <c r="K1241" s="33" t="str">
        <f>CONCATENATE(TableAopCalendar[[#This Row],[Month for Plan]]," ",TableAopCalendar[[#This Row],[Plan]])</f>
        <v>AUGUST 25 PLANNED</v>
      </c>
    </row>
    <row r="1242" spans="1:11" x14ac:dyDescent="0.25">
      <c r="A1242" s="33">
        <f t="shared" si="72"/>
        <v>2</v>
      </c>
      <c r="B1242" s="34">
        <v>45892</v>
      </c>
      <c r="C1242" s="7" t="s">
        <v>268</v>
      </c>
      <c r="D1242" s="7">
        <v>25</v>
      </c>
      <c r="E1242" s="33">
        <f>DAY(TableAopCalendar[[#This Row],[Date]])</f>
        <v>23</v>
      </c>
      <c r="F124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42" s="33" t="str">
        <f t="shared" si="73"/>
        <v>Week 4</v>
      </c>
      <c r="H1242" s="33" t="str">
        <f t="shared" si="74"/>
        <v>August 25 Week 4</v>
      </c>
      <c r="I1242" s="33" t="str">
        <f>CONCATENATE(UPPER(TableAopCalendar[[#This Row],[Month]])," ",TableAopCalendar[[#This Row],[Year]])</f>
        <v>AUGUST 25</v>
      </c>
      <c r="J1242" s="8" t="s">
        <v>274</v>
      </c>
      <c r="K1242" s="33" t="str">
        <f>CONCATENATE(TableAopCalendar[[#This Row],[Month for Plan]]," ",TableAopCalendar[[#This Row],[Plan]])</f>
        <v>AUGUST 25 PLANNED</v>
      </c>
    </row>
    <row r="1243" spans="1:11" x14ac:dyDescent="0.25">
      <c r="A1243" s="33">
        <f t="shared" si="72"/>
        <v>3</v>
      </c>
      <c r="B1243" s="34">
        <v>45893</v>
      </c>
      <c r="C1243" s="7" t="s">
        <v>268</v>
      </c>
      <c r="D1243" s="7">
        <v>25</v>
      </c>
      <c r="E1243" s="33">
        <f>DAY(TableAopCalendar[[#This Row],[Date]])</f>
        <v>24</v>
      </c>
      <c r="F124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43" s="33" t="str">
        <f t="shared" si="73"/>
        <v>Week 4</v>
      </c>
      <c r="H1243" s="33" t="str">
        <f t="shared" si="74"/>
        <v>August 25 Week 4</v>
      </c>
      <c r="I1243" s="33" t="str">
        <f>CONCATENATE(UPPER(TableAopCalendar[[#This Row],[Month]])," ",TableAopCalendar[[#This Row],[Year]])</f>
        <v>AUGUST 25</v>
      </c>
      <c r="J1243" s="8" t="s">
        <v>274</v>
      </c>
      <c r="K1243" s="33" t="str">
        <f>CONCATENATE(TableAopCalendar[[#This Row],[Month for Plan]]," ",TableAopCalendar[[#This Row],[Plan]])</f>
        <v>AUGUST 25 PLANNED</v>
      </c>
    </row>
    <row r="1244" spans="1:11" x14ac:dyDescent="0.25">
      <c r="A1244" s="33">
        <f t="shared" si="72"/>
        <v>4</v>
      </c>
      <c r="B1244" s="34">
        <v>45894</v>
      </c>
      <c r="C1244" s="7" t="s">
        <v>268</v>
      </c>
      <c r="D1244" s="7">
        <v>25</v>
      </c>
      <c r="E1244" s="33">
        <f>DAY(TableAopCalendar[[#This Row],[Date]])</f>
        <v>25</v>
      </c>
      <c r="F124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44" s="33" t="str">
        <f t="shared" si="73"/>
        <v>Week 4</v>
      </c>
      <c r="H1244" s="33" t="str">
        <f t="shared" si="74"/>
        <v>August 25 Week 4</v>
      </c>
      <c r="I1244" s="33" t="str">
        <f>CONCATENATE(UPPER(TableAopCalendar[[#This Row],[Month]])," ",TableAopCalendar[[#This Row],[Year]])</f>
        <v>AUGUST 25</v>
      </c>
      <c r="J1244" s="8" t="s">
        <v>274</v>
      </c>
      <c r="K1244" s="33" t="str">
        <f>CONCATENATE(TableAopCalendar[[#This Row],[Month for Plan]]," ",TableAopCalendar[[#This Row],[Plan]])</f>
        <v>AUGUST 25 PLANNED</v>
      </c>
    </row>
    <row r="1245" spans="1:11" x14ac:dyDescent="0.25">
      <c r="A1245" s="33">
        <f t="shared" si="72"/>
        <v>5</v>
      </c>
      <c r="B1245" s="34">
        <v>45895</v>
      </c>
      <c r="C1245" s="7" t="s">
        <v>268</v>
      </c>
      <c r="D1245" s="7">
        <v>25</v>
      </c>
      <c r="E1245" s="33">
        <f>DAY(TableAopCalendar[[#This Row],[Date]])</f>
        <v>26</v>
      </c>
      <c r="F124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45" s="33" t="str">
        <f t="shared" si="73"/>
        <v>Week 4</v>
      </c>
      <c r="H1245" s="33" t="str">
        <f t="shared" si="74"/>
        <v>August 25 Week 4</v>
      </c>
      <c r="I1245" s="33" t="str">
        <f>CONCATENATE(UPPER(TableAopCalendar[[#This Row],[Month]])," ",TableAopCalendar[[#This Row],[Year]])</f>
        <v>AUGUST 25</v>
      </c>
      <c r="J1245" s="8" t="s">
        <v>274</v>
      </c>
      <c r="K1245" s="33" t="str">
        <f>CONCATENATE(TableAopCalendar[[#This Row],[Month for Plan]]," ",TableAopCalendar[[#This Row],[Plan]])</f>
        <v>AUGUST 25 PLANNED</v>
      </c>
    </row>
    <row r="1246" spans="1:11" x14ac:dyDescent="0.25">
      <c r="A1246" s="33">
        <f t="shared" si="72"/>
        <v>6</v>
      </c>
      <c r="B1246" s="34">
        <v>45896</v>
      </c>
      <c r="C1246" s="7" t="s">
        <v>268</v>
      </c>
      <c r="D1246" s="7">
        <v>25</v>
      </c>
      <c r="E1246" s="33">
        <f>DAY(TableAopCalendar[[#This Row],[Date]])</f>
        <v>27</v>
      </c>
      <c r="F124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46" s="33" t="str">
        <f t="shared" si="73"/>
        <v>Week 4</v>
      </c>
      <c r="H1246" s="33" t="str">
        <f t="shared" si="74"/>
        <v>August 25 Week 4</v>
      </c>
      <c r="I1246" s="33" t="str">
        <f>CONCATENATE(UPPER(TableAopCalendar[[#This Row],[Month]])," ",TableAopCalendar[[#This Row],[Year]])</f>
        <v>AUGUST 25</v>
      </c>
      <c r="J1246" s="8" t="s">
        <v>274</v>
      </c>
      <c r="K1246" s="33" t="str">
        <f>CONCATENATE(TableAopCalendar[[#This Row],[Month for Plan]]," ",TableAopCalendar[[#This Row],[Plan]])</f>
        <v>AUGUST 25 PLANNED</v>
      </c>
    </row>
    <row r="1247" spans="1:11" x14ac:dyDescent="0.25">
      <c r="A1247" s="33">
        <f t="shared" si="72"/>
        <v>7</v>
      </c>
      <c r="B1247" s="34">
        <v>45897</v>
      </c>
      <c r="C1247" s="7" t="s">
        <v>268</v>
      </c>
      <c r="D1247" s="7">
        <v>25</v>
      </c>
      <c r="E1247" s="33">
        <f>DAY(TableAopCalendar[[#This Row],[Date]])</f>
        <v>28</v>
      </c>
      <c r="F124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47" s="33" t="str">
        <f t="shared" si="73"/>
        <v>Week 4</v>
      </c>
      <c r="H1247" s="33" t="str">
        <f t="shared" si="74"/>
        <v>August 25 Week 4</v>
      </c>
      <c r="I1247" s="33" t="str">
        <f>CONCATENATE(UPPER(TableAopCalendar[[#This Row],[Month]])," ",TableAopCalendar[[#This Row],[Year]])</f>
        <v>AUGUST 25</v>
      </c>
      <c r="J1247" s="8" t="s">
        <v>274</v>
      </c>
      <c r="K1247" s="33" t="str">
        <f>CONCATENATE(TableAopCalendar[[#This Row],[Month for Plan]]," ",TableAopCalendar[[#This Row],[Plan]])</f>
        <v>AUGUST 25 PLANNED</v>
      </c>
    </row>
    <row r="1248" spans="1:11" x14ac:dyDescent="0.25">
      <c r="A1248" s="33">
        <f t="shared" si="72"/>
        <v>1</v>
      </c>
      <c r="B1248" s="34">
        <v>45898</v>
      </c>
      <c r="C1248" s="7" t="s">
        <v>268</v>
      </c>
      <c r="D1248" s="7">
        <v>25</v>
      </c>
      <c r="E1248" s="33">
        <f>DAY(TableAopCalendar[[#This Row],[Date]])</f>
        <v>29</v>
      </c>
      <c r="F124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48" s="33" t="str">
        <f t="shared" si="73"/>
        <v>Week 5</v>
      </c>
      <c r="H1248" s="33" t="str">
        <f t="shared" si="74"/>
        <v>August 25 Week 5</v>
      </c>
      <c r="I1248" s="33" t="str">
        <f>CONCATENATE(UPPER(TableAopCalendar[[#This Row],[Month]])," ",TableAopCalendar[[#This Row],[Year]])</f>
        <v>AUGUST 25</v>
      </c>
      <c r="J1248" s="8" t="s">
        <v>274</v>
      </c>
      <c r="K1248" s="33" t="str">
        <f>CONCATENATE(TableAopCalendar[[#This Row],[Month for Plan]]," ",TableAopCalendar[[#This Row],[Plan]])</f>
        <v>AUGUST 25 PLANNED</v>
      </c>
    </row>
    <row r="1249" spans="1:11" x14ac:dyDescent="0.25">
      <c r="A1249" s="33">
        <f t="shared" si="72"/>
        <v>2</v>
      </c>
      <c r="B1249" s="34">
        <v>45899</v>
      </c>
      <c r="C1249" s="7" t="s">
        <v>268</v>
      </c>
      <c r="D1249" s="7">
        <v>25</v>
      </c>
      <c r="E1249" s="33">
        <f>DAY(TableAopCalendar[[#This Row],[Date]])</f>
        <v>30</v>
      </c>
      <c r="F1249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49" s="33" t="str">
        <f t="shared" si="73"/>
        <v>Week 5</v>
      </c>
      <c r="H1249" s="33" t="str">
        <f t="shared" si="74"/>
        <v>August 25 Week 5</v>
      </c>
      <c r="I1249" s="33" t="str">
        <f>CONCATENATE(UPPER(TableAopCalendar[[#This Row],[Month]])," ",TableAopCalendar[[#This Row],[Year]])</f>
        <v>AUGUST 25</v>
      </c>
      <c r="J1249" s="8" t="s">
        <v>274</v>
      </c>
      <c r="K1249" s="33" t="str">
        <f>CONCATENATE(TableAopCalendar[[#This Row],[Month for Plan]]," ",TableAopCalendar[[#This Row],[Plan]])</f>
        <v>AUGUST 25 PLANNED</v>
      </c>
    </row>
    <row r="1250" spans="1:11" x14ac:dyDescent="0.25">
      <c r="A1250" s="33">
        <f t="shared" si="72"/>
        <v>3</v>
      </c>
      <c r="B1250" s="34">
        <v>45900</v>
      </c>
      <c r="C1250" s="7" t="s">
        <v>268</v>
      </c>
      <c r="D1250" s="7">
        <v>25</v>
      </c>
      <c r="E1250" s="33">
        <f>DAY(TableAopCalendar[[#This Row],[Date]])</f>
        <v>31</v>
      </c>
      <c r="F1250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50" s="33" t="str">
        <f t="shared" si="73"/>
        <v>Week 5</v>
      </c>
      <c r="H1250" s="33" t="str">
        <f t="shared" si="74"/>
        <v>August 25 Week 5</v>
      </c>
      <c r="I1250" s="33" t="str">
        <f>CONCATENATE(UPPER(TableAopCalendar[[#This Row],[Month]])," ",TableAopCalendar[[#This Row],[Year]])</f>
        <v>AUGUST 25</v>
      </c>
      <c r="J1250" s="8" t="s">
        <v>274</v>
      </c>
      <c r="K1250" s="33" t="str">
        <f>CONCATENATE(TableAopCalendar[[#This Row],[Month for Plan]]," ",TableAopCalendar[[#This Row],[Plan]])</f>
        <v>AUGUST 25 PLANNED</v>
      </c>
    </row>
    <row r="1251" spans="1:11" x14ac:dyDescent="0.25">
      <c r="A1251" s="33">
        <f t="shared" si="72"/>
        <v>1</v>
      </c>
      <c r="B1251" s="34">
        <v>45901</v>
      </c>
      <c r="C1251" s="7" t="s">
        <v>269</v>
      </c>
      <c r="D1251" s="7">
        <v>25</v>
      </c>
      <c r="E1251" s="33">
        <f>DAY(TableAopCalendar[[#This Row],[Date]])</f>
        <v>1</v>
      </c>
      <c r="F125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1" s="33" t="str">
        <f t="shared" si="73"/>
        <v>Week 1</v>
      </c>
      <c r="H1251" s="33" t="str">
        <f t="shared" si="74"/>
        <v>September 25 Week 1</v>
      </c>
      <c r="I1251" s="33" t="str">
        <f>CONCATENATE(UPPER(TableAopCalendar[[#This Row],[Month]])," ",TableAopCalendar[[#This Row],[Year]])</f>
        <v>SEPTEMBER 25</v>
      </c>
      <c r="J1251" s="8" t="s">
        <v>274</v>
      </c>
      <c r="K1251" s="33" t="str">
        <f>CONCATENATE(TableAopCalendar[[#This Row],[Month for Plan]]," ",TableAopCalendar[[#This Row],[Plan]])</f>
        <v>SEPTEMBER 25 PLANNED</v>
      </c>
    </row>
    <row r="1252" spans="1:11" x14ac:dyDescent="0.25">
      <c r="A1252" s="33">
        <f t="shared" si="72"/>
        <v>2</v>
      </c>
      <c r="B1252" s="34">
        <v>45902</v>
      </c>
      <c r="C1252" s="7" t="s">
        <v>269</v>
      </c>
      <c r="D1252" s="7">
        <v>25</v>
      </c>
      <c r="E1252" s="33">
        <f>DAY(TableAopCalendar[[#This Row],[Date]])</f>
        <v>2</v>
      </c>
      <c r="F125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2" s="33" t="str">
        <f t="shared" si="73"/>
        <v>Week 1</v>
      </c>
      <c r="H1252" s="33" t="str">
        <f t="shared" si="74"/>
        <v>September 25 Week 1</v>
      </c>
      <c r="I1252" s="33" t="str">
        <f>CONCATENATE(UPPER(TableAopCalendar[[#This Row],[Month]])," ",TableAopCalendar[[#This Row],[Year]])</f>
        <v>SEPTEMBER 25</v>
      </c>
      <c r="J1252" s="8" t="s">
        <v>274</v>
      </c>
      <c r="K1252" s="33" t="str">
        <f>CONCATENATE(TableAopCalendar[[#This Row],[Month for Plan]]," ",TableAopCalendar[[#This Row],[Plan]])</f>
        <v>SEPTEMBER 25 PLANNED</v>
      </c>
    </row>
    <row r="1253" spans="1:11" x14ac:dyDescent="0.25">
      <c r="A1253" s="33">
        <f t="shared" si="72"/>
        <v>3</v>
      </c>
      <c r="B1253" s="34">
        <v>45903</v>
      </c>
      <c r="C1253" s="7" t="s">
        <v>269</v>
      </c>
      <c r="D1253" s="7">
        <v>25</v>
      </c>
      <c r="E1253" s="33">
        <f>DAY(TableAopCalendar[[#This Row],[Date]])</f>
        <v>3</v>
      </c>
      <c r="F125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3" s="33" t="str">
        <f t="shared" si="73"/>
        <v>Week 1</v>
      </c>
      <c r="H1253" s="33" t="str">
        <f t="shared" si="74"/>
        <v>September 25 Week 1</v>
      </c>
      <c r="I1253" s="33" t="str">
        <f>CONCATENATE(UPPER(TableAopCalendar[[#This Row],[Month]])," ",TableAopCalendar[[#This Row],[Year]])</f>
        <v>SEPTEMBER 25</v>
      </c>
      <c r="J1253" s="8" t="s">
        <v>274</v>
      </c>
      <c r="K1253" s="33" t="str">
        <f>CONCATENATE(TableAopCalendar[[#This Row],[Month for Plan]]," ",TableAopCalendar[[#This Row],[Plan]])</f>
        <v>SEPTEMBER 25 PLANNED</v>
      </c>
    </row>
    <row r="1254" spans="1:11" x14ac:dyDescent="0.25">
      <c r="A1254" s="33">
        <f t="shared" si="72"/>
        <v>4</v>
      </c>
      <c r="B1254" s="34">
        <v>45904</v>
      </c>
      <c r="C1254" s="7" t="s">
        <v>269</v>
      </c>
      <c r="D1254" s="7">
        <v>25</v>
      </c>
      <c r="E1254" s="33">
        <f>DAY(TableAopCalendar[[#This Row],[Date]])</f>
        <v>4</v>
      </c>
      <c r="F125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4" s="33" t="str">
        <f t="shared" si="73"/>
        <v>Week 1</v>
      </c>
      <c r="H1254" s="33" t="str">
        <f t="shared" si="74"/>
        <v>September 25 Week 1</v>
      </c>
      <c r="I1254" s="33" t="str">
        <f>CONCATENATE(UPPER(TableAopCalendar[[#This Row],[Month]])," ",TableAopCalendar[[#This Row],[Year]])</f>
        <v>SEPTEMBER 25</v>
      </c>
      <c r="J1254" s="8" t="s">
        <v>274</v>
      </c>
      <c r="K1254" s="33" t="str">
        <f>CONCATENATE(TableAopCalendar[[#This Row],[Month for Plan]]," ",TableAopCalendar[[#This Row],[Plan]])</f>
        <v>SEPTEMBER 25 PLANNED</v>
      </c>
    </row>
    <row r="1255" spans="1:11" x14ac:dyDescent="0.25">
      <c r="A1255" s="33">
        <f t="shared" si="72"/>
        <v>5</v>
      </c>
      <c r="B1255" s="34">
        <v>45905</v>
      </c>
      <c r="C1255" s="7" t="s">
        <v>269</v>
      </c>
      <c r="D1255" s="7">
        <v>25</v>
      </c>
      <c r="E1255" s="33">
        <f>DAY(TableAopCalendar[[#This Row],[Date]])</f>
        <v>5</v>
      </c>
      <c r="F125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5" s="33" t="str">
        <f t="shared" si="73"/>
        <v>Week 1</v>
      </c>
      <c r="H1255" s="33" t="str">
        <f t="shared" si="74"/>
        <v>September 25 Week 1</v>
      </c>
      <c r="I1255" s="33" t="str">
        <f>CONCATENATE(UPPER(TableAopCalendar[[#This Row],[Month]])," ",TableAopCalendar[[#This Row],[Year]])</f>
        <v>SEPTEMBER 25</v>
      </c>
      <c r="J1255" s="8" t="s">
        <v>274</v>
      </c>
      <c r="K1255" s="33" t="str">
        <f>CONCATENATE(TableAopCalendar[[#This Row],[Month for Plan]]," ",TableAopCalendar[[#This Row],[Plan]])</f>
        <v>SEPTEMBER 25 PLANNED</v>
      </c>
    </row>
    <row r="1256" spans="1:11" x14ac:dyDescent="0.25">
      <c r="A1256" s="33">
        <f t="shared" si="72"/>
        <v>6</v>
      </c>
      <c r="B1256" s="34">
        <v>45906</v>
      </c>
      <c r="C1256" s="7" t="s">
        <v>269</v>
      </c>
      <c r="D1256" s="7">
        <v>25</v>
      </c>
      <c r="E1256" s="33">
        <f>DAY(TableAopCalendar[[#This Row],[Date]])</f>
        <v>6</v>
      </c>
      <c r="F125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6" s="33" t="str">
        <f t="shared" si="73"/>
        <v>Week 1</v>
      </c>
      <c r="H1256" s="33" t="str">
        <f t="shared" si="74"/>
        <v>September 25 Week 1</v>
      </c>
      <c r="I1256" s="33" t="str">
        <f>CONCATENATE(UPPER(TableAopCalendar[[#This Row],[Month]])," ",TableAopCalendar[[#This Row],[Year]])</f>
        <v>SEPTEMBER 25</v>
      </c>
      <c r="J1256" s="8" t="s">
        <v>274</v>
      </c>
      <c r="K1256" s="33" t="str">
        <f>CONCATENATE(TableAopCalendar[[#This Row],[Month for Plan]]," ",TableAopCalendar[[#This Row],[Plan]])</f>
        <v>SEPTEMBER 25 PLANNED</v>
      </c>
    </row>
    <row r="1257" spans="1:11" x14ac:dyDescent="0.25">
      <c r="A1257" s="33">
        <f t="shared" si="72"/>
        <v>7</v>
      </c>
      <c r="B1257" s="34">
        <v>45907</v>
      </c>
      <c r="C1257" s="7" t="s">
        <v>269</v>
      </c>
      <c r="D1257" s="7">
        <v>25</v>
      </c>
      <c r="E1257" s="33">
        <f>DAY(TableAopCalendar[[#This Row],[Date]])</f>
        <v>7</v>
      </c>
      <c r="F125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57" s="33" t="str">
        <f t="shared" si="73"/>
        <v>Week 1</v>
      </c>
      <c r="H1257" s="33" t="str">
        <f t="shared" si="74"/>
        <v>September 25 Week 1</v>
      </c>
      <c r="I1257" s="33" t="str">
        <f>CONCATENATE(UPPER(TableAopCalendar[[#This Row],[Month]])," ",TableAopCalendar[[#This Row],[Year]])</f>
        <v>SEPTEMBER 25</v>
      </c>
      <c r="J1257" s="8" t="s">
        <v>274</v>
      </c>
      <c r="K1257" s="33" t="str">
        <f>CONCATENATE(TableAopCalendar[[#This Row],[Month for Plan]]," ",TableAopCalendar[[#This Row],[Plan]])</f>
        <v>SEPTEMBER 25 PLANNED</v>
      </c>
    </row>
    <row r="1258" spans="1:11" x14ac:dyDescent="0.25">
      <c r="A1258" s="33">
        <f t="shared" si="72"/>
        <v>1</v>
      </c>
      <c r="B1258" s="34">
        <v>45908</v>
      </c>
      <c r="C1258" s="7" t="s">
        <v>269</v>
      </c>
      <c r="D1258" s="7">
        <v>25</v>
      </c>
      <c r="E1258" s="33">
        <f>DAY(TableAopCalendar[[#This Row],[Date]])</f>
        <v>8</v>
      </c>
      <c r="F125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58" s="33" t="str">
        <f t="shared" si="73"/>
        <v>Week 2</v>
      </c>
      <c r="H1258" s="33" t="str">
        <f t="shared" si="74"/>
        <v>September 25 Week 2</v>
      </c>
      <c r="I1258" s="33" t="str">
        <f>CONCATENATE(UPPER(TableAopCalendar[[#This Row],[Month]])," ",TableAopCalendar[[#This Row],[Year]])</f>
        <v>SEPTEMBER 25</v>
      </c>
      <c r="J1258" s="8" t="s">
        <v>274</v>
      </c>
      <c r="K1258" s="33" t="str">
        <f>CONCATENATE(TableAopCalendar[[#This Row],[Month for Plan]]," ",TableAopCalendar[[#This Row],[Plan]])</f>
        <v>SEPTEMBER 25 PLANNED</v>
      </c>
    </row>
    <row r="1259" spans="1:11" x14ac:dyDescent="0.25">
      <c r="A1259" s="33">
        <f t="shared" si="72"/>
        <v>2</v>
      </c>
      <c r="B1259" s="34">
        <v>45909</v>
      </c>
      <c r="C1259" s="7" t="s">
        <v>269</v>
      </c>
      <c r="D1259" s="7">
        <v>25</v>
      </c>
      <c r="E1259" s="33">
        <f>DAY(TableAopCalendar[[#This Row],[Date]])</f>
        <v>9</v>
      </c>
      <c r="F125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59" s="33" t="str">
        <f t="shared" si="73"/>
        <v>Week 2</v>
      </c>
      <c r="H1259" s="33" t="str">
        <f t="shared" si="74"/>
        <v>September 25 Week 2</v>
      </c>
      <c r="I1259" s="33" t="str">
        <f>CONCATENATE(UPPER(TableAopCalendar[[#This Row],[Month]])," ",TableAopCalendar[[#This Row],[Year]])</f>
        <v>SEPTEMBER 25</v>
      </c>
      <c r="J1259" s="8" t="s">
        <v>274</v>
      </c>
      <c r="K1259" s="33" t="str">
        <f>CONCATENATE(TableAopCalendar[[#This Row],[Month for Plan]]," ",TableAopCalendar[[#This Row],[Plan]])</f>
        <v>SEPTEMBER 25 PLANNED</v>
      </c>
    </row>
    <row r="1260" spans="1:11" x14ac:dyDescent="0.25">
      <c r="A1260" s="33">
        <f t="shared" si="72"/>
        <v>3</v>
      </c>
      <c r="B1260" s="34">
        <v>45910</v>
      </c>
      <c r="C1260" s="7" t="s">
        <v>269</v>
      </c>
      <c r="D1260" s="7">
        <v>25</v>
      </c>
      <c r="E1260" s="33">
        <f>DAY(TableAopCalendar[[#This Row],[Date]])</f>
        <v>10</v>
      </c>
      <c r="F126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60" s="33" t="str">
        <f t="shared" si="73"/>
        <v>Week 2</v>
      </c>
      <c r="H1260" s="33" t="str">
        <f t="shared" si="74"/>
        <v>September 25 Week 2</v>
      </c>
      <c r="I1260" s="33" t="str">
        <f>CONCATENATE(UPPER(TableAopCalendar[[#This Row],[Month]])," ",TableAopCalendar[[#This Row],[Year]])</f>
        <v>SEPTEMBER 25</v>
      </c>
      <c r="J1260" s="8" t="s">
        <v>274</v>
      </c>
      <c r="K1260" s="33" t="str">
        <f>CONCATENATE(TableAopCalendar[[#This Row],[Month for Plan]]," ",TableAopCalendar[[#This Row],[Plan]])</f>
        <v>SEPTEMBER 25 PLANNED</v>
      </c>
    </row>
    <row r="1261" spans="1:11" x14ac:dyDescent="0.25">
      <c r="A1261" s="33">
        <f t="shared" si="72"/>
        <v>4</v>
      </c>
      <c r="B1261" s="34">
        <v>45911</v>
      </c>
      <c r="C1261" s="7" t="s">
        <v>269</v>
      </c>
      <c r="D1261" s="7">
        <v>25</v>
      </c>
      <c r="E1261" s="33">
        <f>DAY(TableAopCalendar[[#This Row],[Date]])</f>
        <v>11</v>
      </c>
      <c r="F126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61" s="33" t="str">
        <f t="shared" si="73"/>
        <v>Week 2</v>
      </c>
      <c r="H1261" s="33" t="str">
        <f t="shared" si="74"/>
        <v>September 25 Week 2</v>
      </c>
      <c r="I1261" s="33" t="str">
        <f>CONCATENATE(UPPER(TableAopCalendar[[#This Row],[Month]])," ",TableAopCalendar[[#This Row],[Year]])</f>
        <v>SEPTEMBER 25</v>
      </c>
      <c r="J1261" s="8" t="s">
        <v>274</v>
      </c>
      <c r="K1261" s="33" t="str">
        <f>CONCATENATE(TableAopCalendar[[#This Row],[Month for Plan]]," ",TableAopCalendar[[#This Row],[Plan]])</f>
        <v>SEPTEMBER 25 PLANNED</v>
      </c>
    </row>
    <row r="1262" spans="1:11" x14ac:dyDescent="0.25">
      <c r="A1262" s="33">
        <f t="shared" si="72"/>
        <v>5</v>
      </c>
      <c r="B1262" s="34">
        <v>45912</v>
      </c>
      <c r="C1262" s="7" t="s">
        <v>269</v>
      </c>
      <c r="D1262" s="7">
        <v>25</v>
      </c>
      <c r="E1262" s="33">
        <f>DAY(TableAopCalendar[[#This Row],[Date]])</f>
        <v>12</v>
      </c>
      <c r="F126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62" s="33" t="str">
        <f t="shared" si="73"/>
        <v>Week 2</v>
      </c>
      <c r="H1262" s="33" t="str">
        <f t="shared" si="74"/>
        <v>September 25 Week 2</v>
      </c>
      <c r="I1262" s="33" t="str">
        <f>CONCATENATE(UPPER(TableAopCalendar[[#This Row],[Month]])," ",TableAopCalendar[[#This Row],[Year]])</f>
        <v>SEPTEMBER 25</v>
      </c>
      <c r="J1262" s="8" t="s">
        <v>274</v>
      </c>
      <c r="K1262" s="33" t="str">
        <f>CONCATENATE(TableAopCalendar[[#This Row],[Month for Plan]]," ",TableAopCalendar[[#This Row],[Plan]])</f>
        <v>SEPTEMBER 25 PLANNED</v>
      </c>
    </row>
    <row r="1263" spans="1:11" x14ac:dyDescent="0.25">
      <c r="A1263" s="33">
        <f t="shared" si="72"/>
        <v>6</v>
      </c>
      <c r="B1263" s="34">
        <v>45913</v>
      </c>
      <c r="C1263" s="7" t="s">
        <v>269</v>
      </c>
      <c r="D1263" s="7">
        <v>25</v>
      </c>
      <c r="E1263" s="33">
        <f>DAY(TableAopCalendar[[#This Row],[Date]])</f>
        <v>13</v>
      </c>
      <c r="F126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63" s="33" t="str">
        <f t="shared" si="73"/>
        <v>Week 2</v>
      </c>
      <c r="H1263" s="33" t="str">
        <f t="shared" si="74"/>
        <v>September 25 Week 2</v>
      </c>
      <c r="I1263" s="33" t="str">
        <f>CONCATENATE(UPPER(TableAopCalendar[[#This Row],[Month]])," ",TableAopCalendar[[#This Row],[Year]])</f>
        <v>SEPTEMBER 25</v>
      </c>
      <c r="J1263" s="8" t="s">
        <v>274</v>
      </c>
      <c r="K1263" s="33" t="str">
        <f>CONCATENATE(TableAopCalendar[[#This Row],[Month for Plan]]," ",TableAopCalendar[[#This Row],[Plan]])</f>
        <v>SEPTEMBER 25 PLANNED</v>
      </c>
    </row>
    <row r="1264" spans="1:11" x14ac:dyDescent="0.25">
      <c r="A1264" s="33">
        <f t="shared" si="72"/>
        <v>7</v>
      </c>
      <c r="B1264" s="34">
        <v>45914</v>
      </c>
      <c r="C1264" s="7" t="s">
        <v>269</v>
      </c>
      <c r="D1264" s="7">
        <v>25</v>
      </c>
      <c r="E1264" s="33">
        <f>DAY(TableAopCalendar[[#This Row],[Date]])</f>
        <v>14</v>
      </c>
      <c r="F126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64" s="33" t="str">
        <f t="shared" si="73"/>
        <v>Week 2</v>
      </c>
      <c r="H1264" s="33" t="str">
        <f t="shared" si="74"/>
        <v>September 25 Week 2</v>
      </c>
      <c r="I1264" s="33" t="str">
        <f>CONCATENATE(UPPER(TableAopCalendar[[#This Row],[Month]])," ",TableAopCalendar[[#This Row],[Year]])</f>
        <v>SEPTEMBER 25</v>
      </c>
      <c r="J1264" s="8" t="s">
        <v>274</v>
      </c>
      <c r="K1264" s="33" t="str">
        <f>CONCATENATE(TableAopCalendar[[#This Row],[Month for Plan]]," ",TableAopCalendar[[#This Row],[Plan]])</f>
        <v>SEPTEMBER 25 PLANNED</v>
      </c>
    </row>
    <row r="1265" spans="1:11" x14ac:dyDescent="0.25">
      <c r="A1265" s="33">
        <f t="shared" si="72"/>
        <v>1</v>
      </c>
      <c r="B1265" s="34">
        <v>45915</v>
      </c>
      <c r="C1265" s="7" t="s">
        <v>269</v>
      </c>
      <c r="D1265" s="7">
        <v>25</v>
      </c>
      <c r="E1265" s="33">
        <f>DAY(TableAopCalendar[[#This Row],[Date]])</f>
        <v>15</v>
      </c>
      <c r="F126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65" s="33" t="str">
        <f t="shared" si="73"/>
        <v>Week 3</v>
      </c>
      <c r="H1265" s="33" t="str">
        <f t="shared" si="74"/>
        <v>September 25 Week 3</v>
      </c>
      <c r="I1265" s="33" t="str">
        <f>CONCATENATE(UPPER(TableAopCalendar[[#This Row],[Month]])," ",TableAopCalendar[[#This Row],[Year]])</f>
        <v>SEPTEMBER 25</v>
      </c>
      <c r="J1265" s="8" t="s">
        <v>274</v>
      </c>
      <c r="K1265" s="33" t="str">
        <f>CONCATENATE(TableAopCalendar[[#This Row],[Month for Plan]]," ",TableAopCalendar[[#This Row],[Plan]])</f>
        <v>SEPTEMBER 25 PLANNED</v>
      </c>
    </row>
    <row r="1266" spans="1:11" x14ac:dyDescent="0.25">
      <c r="A1266" s="33">
        <f t="shared" si="72"/>
        <v>2</v>
      </c>
      <c r="B1266" s="34">
        <v>45916</v>
      </c>
      <c r="C1266" s="7" t="s">
        <v>269</v>
      </c>
      <c r="D1266" s="7">
        <v>25</v>
      </c>
      <c r="E1266" s="33">
        <f>DAY(TableAopCalendar[[#This Row],[Date]])</f>
        <v>16</v>
      </c>
      <c r="F126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66" s="33" t="str">
        <f t="shared" si="73"/>
        <v>Week 3</v>
      </c>
      <c r="H1266" s="33" t="str">
        <f t="shared" si="74"/>
        <v>September 25 Week 3</v>
      </c>
      <c r="I1266" s="33" t="str">
        <f>CONCATENATE(UPPER(TableAopCalendar[[#This Row],[Month]])," ",TableAopCalendar[[#This Row],[Year]])</f>
        <v>SEPTEMBER 25</v>
      </c>
      <c r="J1266" s="8" t="s">
        <v>274</v>
      </c>
      <c r="K1266" s="33" t="str">
        <f>CONCATENATE(TableAopCalendar[[#This Row],[Month for Plan]]," ",TableAopCalendar[[#This Row],[Plan]])</f>
        <v>SEPTEMBER 25 PLANNED</v>
      </c>
    </row>
    <row r="1267" spans="1:11" x14ac:dyDescent="0.25">
      <c r="A1267" s="33">
        <f t="shared" si="72"/>
        <v>3</v>
      </c>
      <c r="B1267" s="34">
        <v>45917</v>
      </c>
      <c r="C1267" s="7" t="s">
        <v>269</v>
      </c>
      <c r="D1267" s="7">
        <v>25</v>
      </c>
      <c r="E1267" s="33">
        <f>DAY(TableAopCalendar[[#This Row],[Date]])</f>
        <v>17</v>
      </c>
      <c r="F126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67" s="33" t="str">
        <f t="shared" si="73"/>
        <v>Week 3</v>
      </c>
      <c r="H1267" s="33" t="str">
        <f t="shared" si="74"/>
        <v>September 25 Week 3</v>
      </c>
      <c r="I1267" s="33" t="str">
        <f>CONCATENATE(UPPER(TableAopCalendar[[#This Row],[Month]])," ",TableAopCalendar[[#This Row],[Year]])</f>
        <v>SEPTEMBER 25</v>
      </c>
      <c r="J1267" s="8" t="s">
        <v>274</v>
      </c>
      <c r="K1267" s="33" t="str">
        <f>CONCATENATE(TableAopCalendar[[#This Row],[Month for Plan]]," ",TableAopCalendar[[#This Row],[Plan]])</f>
        <v>SEPTEMBER 25 PLANNED</v>
      </c>
    </row>
    <row r="1268" spans="1:11" x14ac:dyDescent="0.25">
      <c r="A1268" s="33">
        <f t="shared" si="72"/>
        <v>4</v>
      </c>
      <c r="B1268" s="34">
        <v>45918</v>
      </c>
      <c r="C1268" s="7" t="s">
        <v>269</v>
      </c>
      <c r="D1268" s="7">
        <v>25</v>
      </c>
      <c r="E1268" s="33">
        <f>DAY(TableAopCalendar[[#This Row],[Date]])</f>
        <v>18</v>
      </c>
      <c r="F126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68" s="33" t="str">
        <f t="shared" si="73"/>
        <v>Week 3</v>
      </c>
      <c r="H1268" s="33" t="str">
        <f t="shared" si="74"/>
        <v>September 25 Week 3</v>
      </c>
      <c r="I1268" s="33" t="str">
        <f>CONCATENATE(UPPER(TableAopCalendar[[#This Row],[Month]])," ",TableAopCalendar[[#This Row],[Year]])</f>
        <v>SEPTEMBER 25</v>
      </c>
      <c r="J1268" s="8" t="s">
        <v>274</v>
      </c>
      <c r="K1268" s="33" t="str">
        <f>CONCATENATE(TableAopCalendar[[#This Row],[Month for Plan]]," ",TableAopCalendar[[#This Row],[Plan]])</f>
        <v>SEPTEMBER 25 PLANNED</v>
      </c>
    </row>
    <row r="1269" spans="1:11" x14ac:dyDescent="0.25">
      <c r="A1269" s="33">
        <f t="shared" si="72"/>
        <v>5</v>
      </c>
      <c r="B1269" s="34">
        <v>45919</v>
      </c>
      <c r="C1269" s="7" t="s">
        <v>269</v>
      </c>
      <c r="D1269" s="7">
        <v>25</v>
      </c>
      <c r="E1269" s="33">
        <f>DAY(TableAopCalendar[[#This Row],[Date]])</f>
        <v>19</v>
      </c>
      <c r="F126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69" s="33" t="str">
        <f t="shared" si="73"/>
        <v>Week 3</v>
      </c>
      <c r="H1269" s="33" t="str">
        <f t="shared" si="74"/>
        <v>September 25 Week 3</v>
      </c>
      <c r="I1269" s="33" t="str">
        <f>CONCATENATE(UPPER(TableAopCalendar[[#This Row],[Month]])," ",TableAopCalendar[[#This Row],[Year]])</f>
        <v>SEPTEMBER 25</v>
      </c>
      <c r="J1269" s="8" t="s">
        <v>274</v>
      </c>
      <c r="K1269" s="33" t="str">
        <f>CONCATENATE(TableAopCalendar[[#This Row],[Month for Plan]]," ",TableAopCalendar[[#This Row],[Plan]])</f>
        <v>SEPTEMBER 25 PLANNED</v>
      </c>
    </row>
    <row r="1270" spans="1:11" x14ac:dyDescent="0.25">
      <c r="A1270" s="33">
        <f t="shared" si="72"/>
        <v>6</v>
      </c>
      <c r="B1270" s="34">
        <v>45920</v>
      </c>
      <c r="C1270" s="7" t="s">
        <v>269</v>
      </c>
      <c r="D1270" s="7">
        <v>25</v>
      </c>
      <c r="E1270" s="33">
        <f>DAY(TableAopCalendar[[#This Row],[Date]])</f>
        <v>20</v>
      </c>
      <c r="F127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70" s="33" t="str">
        <f t="shared" si="73"/>
        <v>Week 3</v>
      </c>
      <c r="H1270" s="33" t="str">
        <f t="shared" si="74"/>
        <v>September 25 Week 3</v>
      </c>
      <c r="I1270" s="33" t="str">
        <f>CONCATENATE(UPPER(TableAopCalendar[[#This Row],[Month]])," ",TableAopCalendar[[#This Row],[Year]])</f>
        <v>SEPTEMBER 25</v>
      </c>
      <c r="J1270" s="8" t="s">
        <v>274</v>
      </c>
      <c r="K1270" s="33" t="str">
        <f>CONCATENATE(TableAopCalendar[[#This Row],[Month for Plan]]," ",TableAopCalendar[[#This Row],[Plan]])</f>
        <v>SEPTEMBER 25 PLANNED</v>
      </c>
    </row>
    <row r="1271" spans="1:11" x14ac:dyDescent="0.25">
      <c r="A1271" s="33">
        <f t="shared" si="72"/>
        <v>7</v>
      </c>
      <c r="B1271" s="34">
        <v>45921</v>
      </c>
      <c r="C1271" s="7" t="s">
        <v>269</v>
      </c>
      <c r="D1271" s="7">
        <v>25</v>
      </c>
      <c r="E1271" s="33">
        <f>DAY(TableAopCalendar[[#This Row],[Date]])</f>
        <v>21</v>
      </c>
      <c r="F127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71" s="33" t="str">
        <f t="shared" si="73"/>
        <v>Week 3</v>
      </c>
      <c r="H1271" s="33" t="str">
        <f t="shared" si="74"/>
        <v>September 25 Week 3</v>
      </c>
      <c r="I1271" s="33" t="str">
        <f>CONCATENATE(UPPER(TableAopCalendar[[#This Row],[Month]])," ",TableAopCalendar[[#This Row],[Year]])</f>
        <v>SEPTEMBER 25</v>
      </c>
      <c r="J1271" s="8" t="s">
        <v>274</v>
      </c>
      <c r="K1271" s="33" t="str">
        <f>CONCATENATE(TableAopCalendar[[#This Row],[Month for Plan]]," ",TableAopCalendar[[#This Row],[Plan]])</f>
        <v>SEPTEMBER 25 PLANNED</v>
      </c>
    </row>
    <row r="1272" spans="1:11" x14ac:dyDescent="0.25">
      <c r="A1272" s="33">
        <f t="shared" si="72"/>
        <v>1</v>
      </c>
      <c r="B1272" s="34">
        <v>45922</v>
      </c>
      <c r="C1272" s="7" t="s">
        <v>269</v>
      </c>
      <c r="D1272" s="7">
        <v>25</v>
      </c>
      <c r="E1272" s="33">
        <f>DAY(TableAopCalendar[[#This Row],[Date]])</f>
        <v>22</v>
      </c>
      <c r="F127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72" s="33" t="str">
        <f t="shared" si="73"/>
        <v>Week 4</v>
      </c>
      <c r="H1272" s="33" t="str">
        <f t="shared" si="74"/>
        <v>September 25 Week 4</v>
      </c>
      <c r="I1272" s="33" t="str">
        <f>CONCATENATE(UPPER(TableAopCalendar[[#This Row],[Month]])," ",TableAopCalendar[[#This Row],[Year]])</f>
        <v>SEPTEMBER 25</v>
      </c>
      <c r="J1272" s="8" t="s">
        <v>274</v>
      </c>
      <c r="K1272" s="33" t="str">
        <f>CONCATENATE(TableAopCalendar[[#This Row],[Month for Plan]]," ",TableAopCalendar[[#This Row],[Plan]])</f>
        <v>SEPTEMBER 25 PLANNED</v>
      </c>
    </row>
    <row r="1273" spans="1:11" x14ac:dyDescent="0.25">
      <c r="A1273" s="33">
        <f t="shared" si="72"/>
        <v>2</v>
      </c>
      <c r="B1273" s="34">
        <v>45923</v>
      </c>
      <c r="C1273" s="7" t="s">
        <v>269</v>
      </c>
      <c r="D1273" s="7">
        <v>25</v>
      </c>
      <c r="E1273" s="33">
        <f>DAY(TableAopCalendar[[#This Row],[Date]])</f>
        <v>23</v>
      </c>
      <c r="F127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73" s="33" t="str">
        <f t="shared" si="73"/>
        <v>Week 4</v>
      </c>
      <c r="H1273" s="33" t="str">
        <f t="shared" si="74"/>
        <v>September 25 Week 4</v>
      </c>
      <c r="I1273" s="33" t="str">
        <f>CONCATENATE(UPPER(TableAopCalendar[[#This Row],[Month]])," ",TableAopCalendar[[#This Row],[Year]])</f>
        <v>SEPTEMBER 25</v>
      </c>
      <c r="J1273" s="8" t="s">
        <v>274</v>
      </c>
      <c r="K1273" s="33" t="str">
        <f>CONCATENATE(TableAopCalendar[[#This Row],[Month for Plan]]," ",TableAopCalendar[[#This Row],[Plan]])</f>
        <v>SEPTEMBER 25 PLANNED</v>
      </c>
    </row>
    <row r="1274" spans="1:11" x14ac:dyDescent="0.25">
      <c r="A1274" s="33">
        <f t="shared" si="72"/>
        <v>3</v>
      </c>
      <c r="B1274" s="34">
        <v>45924</v>
      </c>
      <c r="C1274" s="7" t="s">
        <v>269</v>
      </c>
      <c r="D1274" s="7">
        <v>25</v>
      </c>
      <c r="E1274" s="33">
        <f>DAY(TableAopCalendar[[#This Row],[Date]])</f>
        <v>24</v>
      </c>
      <c r="F127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74" s="33" t="str">
        <f t="shared" si="73"/>
        <v>Week 4</v>
      </c>
      <c r="H1274" s="33" t="str">
        <f t="shared" si="74"/>
        <v>September 25 Week 4</v>
      </c>
      <c r="I1274" s="33" t="str">
        <f>CONCATENATE(UPPER(TableAopCalendar[[#This Row],[Month]])," ",TableAopCalendar[[#This Row],[Year]])</f>
        <v>SEPTEMBER 25</v>
      </c>
      <c r="J1274" s="8" t="s">
        <v>274</v>
      </c>
      <c r="K1274" s="33" t="str">
        <f>CONCATENATE(TableAopCalendar[[#This Row],[Month for Plan]]," ",TableAopCalendar[[#This Row],[Plan]])</f>
        <v>SEPTEMBER 25 PLANNED</v>
      </c>
    </row>
    <row r="1275" spans="1:11" x14ac:dyDescent="0.25">
      <c r="A1275" s="33">
        <f t="shared" si="72"/>
        <v>4</v>
      </c>
      <c r="B1275" s="34">
        <v>45925</v>
      </c>
      <c r="C1275" s="7" t="s">
        <v>269</v>
      </c>
      <c r="D1275" s="7">
        <v>25</v>
      </c>
      <c r="E1275" s="33">
        <f>DAY(TableAopCalendar[[#This Row],[Date]])</f>
        <v>25</v>
      </c>
      <c r="F127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75" s="33" t="str">
        <f t="shared" si="73"/>
        <v>Week 4</v>
      </c>
      <c r="H1275" s="33" t="str">
        <f t="shared" si="74"/>
        <v>September 25 Week 4</v>
      </c>
      <c r="I1275" s="33" t="str">
        <f>CONCATENATE(UPPER(TableAopCalendar[[#This Row],[Month]])," ",TableAopCalendar[[#This Row],[Year]])</f>
        <v>SEPTEMBER 25</v>
      </c>
      <c r="J1275" s="8" t="s">
        <v>274</v>
      </c>
      <c r="K1275" s="33" t="str">
        <f>CONCATENATE(TableAopCalendar[[#This Row],[Month for Plan]]," ",TableAopCalendar[[#This Row],[Plan]])</f>
        <v>SEPTEMBER 25 PLANNED</v>
      </c>
    </row>
    <row r="1276" spans="1:11" x14ac:dyDescent="0.25">
      <c r="A1276" s="33">
        <f t="shared" si="72"/>
        <v>5</v>
      </c>
      <c r="B1276" s="34">
        <v>45926</v>
      </c>
      <c r="C1276" s="7" t="s">
        <v>269</v>
      </c>
      <c r="D1276" s="7">
        <v>25</v>
      </c>
      <c r="E1276" s="33">
        <f>DAY(TableAopCalendar[[#This Row],[Date]])</f>
        <v>26</v>
      </c>
      <c r="F127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76" s="33" t="str">
        <f t="shared" si="73"/>
        <v>Week 4</v>
      </c>
      <c r="H1276" s="33" t="str">
        <f t="shared" si="74"/>
        <v>September 25 Week 4</v>
      </c>
      <c r="I1276" s="33" t="str">
        <f>CONCATENATE(UPPER(TableAopCalendar[[#This Row],[Month]])," ",TableAopCalendar[[#This Row],[Year]])</f>
        <v>SEPTEMBER 25</v>
      </c>
      <c r="J1276" s="8" t="s">
        <v>274</v>
      </c>
      <c r="K1276" s="33" t="str">
        <f>CONCATENATE(TableAopCalendar[[#This Row],[Month for Plan]]," ",TableAopCalendar[[#This Row],[Plan]])</f>
        <v>SEPTEMBER 25 PLANNED</v>
      </c>
    </row>
    <row r="1277" spans="1:11" x14ac:dyDescent="0.25">
      <c r="A1277" s="33">
        <f t="shared" si="72"/>
        <v>6</v>
      </c>
      <c r="B1277" s="34">
        <v>45927</v>
      </c>
      <c r="C1277" s="7" t="s">
        <v>269</v>
      </c>
      <c r="D1277" s="7">
        <v>25</v>
      </c>
      <c r="E1277" s="33">
        <f>DAY(TableAopCalendar[[#This Row],[Date]])</f>
        <v>27</v>
      </c>
      <c r="F127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77" s="33" t="str">
        <f t="shared" si="73"/>
        <v>Week 4</v>
      </c>
      <c r="H1277" s="33" t="str">
        <f t="shared" si="74"/>
        <v>September 25 Week 4</v>
      </c>
      <c r="I1277" s="33" t="str">
        <f>CONCATENATE(UPPER(TableAopCalendar[[#This Row],[Month]])," ",TableAopCalendar[[#This Row],[Year]])</f>
        <v>SEPTEMBER 25</v>
      </c>
      <c r="J1277" s="8" t="s">
        <v>274</v>
      </c>
      <c r="K1277" s="33" t="str">
        <f>CONCATENATE(TableAopCalendar[[#This Row],[Month for Plan]]," ",TableAopCalendar[[#This Row],[Plan]])</f>
        <v>SEPTEMBER 25 PLANNED</v>
      </c>
    </row>
    <row r="1278" spans="1:11" x14ac:dyDescent="0.25">
      <c r="A1278" s="33">
        <f t="shared" si="72"/>
        <v>7</v>
      </c>
      <c r="B1278" s="34">
        <v>45928</v>
      </c>
      <c r="C1278" s="7" t="s">
        <v>269</v>
      </c>
      <c r="D1278" s="7">
        <v>25</v>
      </c>
      <c r="E1278" s="33">
        <f>DAY(TableAopCalendar[[#This Row],[Date]])</f>
        <v>28</v>
      </c>
      <c r="F127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278" s="33" t="str">
        <f t="shared" si="73"/>
        <v>Week 4</v>
      </c>
      <c r="H1278" s="33" t="str">
        <f t="shared" si="74"/>
        <v>September 25 Week 4</v>
      </c>
      <c r="I1278" s="33" t="str">
        <f>CONCATENATE(UPPER(TableAopCalendar[[#This Row],[Month]])," ",TableAopCalendar[[#This Row],[Year]])</f>
        <v>SEPTEMBER 25</v>
      </c>
      <c r="J1278" s="8" t="s">
        <v>274</v>
      </c>
      <c r="K1278" s="33" t="str">
        <f>CONCATENATE(TableAopCalendar[[#This Row],[Month for Plan]]," ",TableAopCalendar[[#This Row],[Plan]])</f>
        <v>SEPTEMBER 25 PLANNED</v>
      </c>
    </row>
    <row r="1279" spans="1:11" x14ac:dyDescent="0.25">
      <c r="A1279" s="33">
        <f t="shared" si="72"/>
        <v>1</v>
      </c>
      <c r="B1279" s="34">
        <v>45929</v>
      </c>
      <c r="C1279" s="7" t="s">
        <v>269</v>
      </c>
      <c r="D1279" s="7">
        <v>25</v>
      </c>
      <c r="E1279" s="33">
        <f>DAY(TableAopCalendar[[#This Row],[Date]])</f>
        <v>29</v>
      </c>
      <c r="F1279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79" s="33" t="str">
        <f t="shared" si="73"/>
        <v>Week 5</v>
      </c>
      <c r="H1279" s="33" t="str">
        <f t="shared" si="74"/>
        <v>September 25 Week 5</v>
      </c>
      <c r="I1279" s="33" t="str">
        <f>CONCATENATE(UPPER(TableAopCalendar[[#This Row],[Month]])," ",TableAopCalendar[[#This Row],[Year]])</f>
        <v>SEPTEMBER 25</v>
      </c>
      <c r="J1279" s="8" t="s">
        <v>274</v>
      </c>
      <c r="K1279" s="33" t="str">
        <f>CONCATENATE(TableAopCalendar[[#This Row],[Month for Plan]]," ",TableAopCalendar[[#This Row],[Plan]])</f>
        <v>SEPTEMBER 25 PLANNED</v>
      </c>
    </row>
    <row r="1280" spans="1:11" x14ac:dyDescent="0.25">
      <c r="A1280" s="33">
        <f t="shared" si="72"/>
        <v>2</v>
      </c>
      <c r="B1280" s="34">
        <v>45930</v>
      </c>
      <c r="C1280" s="7" t="s">
        <v>269</v>
      </c>
      <c r="D1280" s="7">
        <v>25</v>
      </c>
      <c r="E1280" s="33">
        <f>DAY(TableAopCalendar[[#This Row],[Date]])</f>
        <v>30</v>
      </c>
      <c r="F1280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280" s="33" t="str">
        <f t="shared" si="73"/>
        <v>Week 5</v>
      </c>
      <c r="H1280" s="33" t="str">
        <f t="shared" si="74"/>
        <v>September 25 Week 5</v>
      </c>
      <c r="I1280" s="33" t="str">
        <f>CONCATENATE(UPPER(TableAopCalendar[[#This Row],[Month]])," ",TableAopCalendar[[#This Row],[Year]])</f>
        <v>SEPTEMBER 25</v>
      </c>
      <c r="J1280" s="8" t="s">
        <v>274</v>
      </c>
      <c r="K1280" s="33" t="str">
        <f>CONCATENATE(TableAopCalendar[[#This Row],[Month for Plan]]," ",TableAopCalendar[[#This Row],[Plan]])</f>
        <v>SEPTEMBER 25 PLANNED</v>
      </c>
    </row>
    <row r="1281" spans="1:11" x14ac:dyDescent="0.25">
      <c r="A1281" s="33">
        <f t="shared" si="72"/>
        <v>1</v>
      </c>
      <c r="B1281" s="34">
        <v>45931</v>
      </c>
      <c r="C1281" s="7" t="s">
        <v>114</v>
      </c>
      <c r="D1281" s="7">
        <v>25</v>
      </c>
      <c r="E1281" s="33">
        <f>DAY(TableAopCalendar[[#This Row],[Date]])</f>
        <v>1</v>
      </c>
      <c r="F128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1" s="33" t="str">
        <f t="shared" si="73"/>
        <v>Week 1</v>
      </c>
      <c r="H1281" s="33" t="str">
        <f t="shared" si="74"/>
        <v>October 25 Week 1</v>
      </c>
      <c r="I1281" s="33" t="str">
        <f>CONCATENATE(UPPER(TableAopCalendar[[#This Row],[Month]])," ",TableAopCalendar[[#This Row],[Year]])</f>
        <v>OCTOBER 25</v>
      </c>
      <c r="J1281" s="8" t="s">
        <v>274</v>
      </c>
      <c r="K1281" s="33" t="str">
        <f>CONCATENATE(TableAopCalendar[[#This Row],[Month for Plan]]," ",TableAopCalendar[[#This Row],[Plan]])</f>
        <v>OCTOBER 25 PLANNED</v>
      </c>
    </row>
    <row r="1282" spans="1:11" x14ac:dyDescent="0.25">
      <c r="A1282" s="33">
        <f t="shared" si="72"/>
        <v>2</v>
      </c>
      <c r="B1282" s="34">
        <v>45932</v>
      </c>
      <c r="C1282" s="7" t="s">
        <v>114</v>
      </c>
      <c r="D1282" s="7">
        <v>25</v>
      </c>
      <c r="E1282" s="33">
        <f>DAY(TableAopCalendar[[#This Row],[Date]])</f>
        <v>2</v>
      </c>
      <c r="F128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2" s="33" t="str">
        <f t="shared" si="73"/>
        <v>Week 1</v>
      </c>
      <c r="H1282" s="33" t="str">
        <f t="shared" si="74"/>
        <v>October 25 Week 1</v>
      </c>
      <c r="I1282" s="33" t="str">
        <f>CONCATENATE(UPPER(TableAopCalendar[[#This Row],[Month]])," ",TableAopCalendar[[#This Row],[Year]])</f>
        <v>OCTOBER 25</v>
      </c>
      <c r="J1282" s="8" t="s">
        <v>274</v>
      </c>
      <c r="K1282" s="33" t="str">
        <f>CONCATENATE(TableAopCalendar[[#This Row],[Month for Plan]]," ",TableAopCalendar[[#This Row],[Plan]])</f>
        <v>OCTOBER 25 PLANNED</v>
      </c>
    </row>
    <row r="1283" spans="1:11" x14ac:dyDescent="0.25">
      <c r="A1283" s="33">
        <f t="shared" si="72"/>
        <v>3</v>
      </c>
      <c r="B1283" s="34">
        <v>45933</v>
      </c>
      <c r="C1283" s="7" t="s">
        <v>114</v>
      </c>
      <c r="D1283" s="7">
        <v>25</v>
      </c>
      <c r="E1283" s="33">
        <f>DAY(TableAopCalendar[[#This Row],[Date]])</f>
        <v>3</v>
      </c>
      <c r="F128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3" s="33" t="str">
        <f t="shared" si="73"/>
        <v>Week 1</v>
      </c>
      <c r="H1283" s="33" t="str">
        <f t="shared" si="74"/>
        <v>October 25 Week 1</v>
      </c>
      <c r="I1283" s="33" t="str">
        <f>CONCATENATE(UPPER(TableAopCalendar[[#This Row],[Month]])," ",TableAopCalendar[[#This Row],[Year]])</f>
        <v>OCTOBER 25</v>
      </c>
      <c r="J1283" s="8" t="s">
        <v>274</v>
      </c>
      <c r="K1283" s="33" t="str">
        <f>CONCATENATE(TableAopCalendar[[#This Row],[Month for Plan]]," ",TableAopCalendar[[#This Row],[Plan]])</f>
        <v>OCTOBER 25 PLANNED</v>
      </c>
    </row>
    <row r="1284" spans="1:11" x14ac:dyDescent="0.25">
      <c r="A1284" s="33">
        <f t="shared" si="72"/>
        <v>4</v>
      </c>
      <c r="B1284" s="34">
        <v>45934</v>
      </c>
      <c r="C1284" s="7" t="s">
        <v>114</v>
      </c>
      <c r="D1284" s="7">
        <v>25</v>
      </c>
      <c r="E1284" s="33">
        <f>DAY(TableAopCalendar[[#This Row],[Date]])</f>
        <v>4</v>
      </c>
      <c r="F128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4" s="33" t="str">
        <f t="shared" si="73"/>
        <v>Week 1</v>
      </c>
      <c r="H1284" s="33" t="str">
        <f t="shared" si="74"/>
        <v>October 25 Week 1</v>
      </c>
      <c r="I1284" s="33" t="str">
        <f>CONCATENATE(UPPER(TableAopCalendar[[#This Row],[Month]])," ",TableAopCalendar[[#This Row],[Year]])</f>
        <v>OCTOBER 25</v>
      </c>
      <c r="J1284" s="8" t="s">
        <v>274</v>
      </c>
      <c r="K1284" s="33" t="str">
        <f>CONCATENATE(TableAopCalendar[[#This Row],[Month for Plan]]," ",TableAopCalendar[[#This Row],[Plan]])</f>
        <v>OCTOBER 25 PLANNED</v>
      </c>
    </row>
    <row r="1285" spans="1:11" x14ac:dyDescent="0.25">
      <c r="A1285" s="33">
        <f t="shared" si="72"/>
        <v>5</v>
      </c>
      <c r="B1285" s="34">
        <v>45935</v>
      </c>
      <c r="C1285" s="7" t="s">
        <v>114</v>
      </c>
      <c r="D1285" s="7">
        <v>25</v>
      </c>
      <c r="E1285" s="33">
        <f>DAY(TableAopCalendar[[#This Row],[Date]])</f>
        <v>5</v>
      </c>
      <c r="F128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5" s="33" t="str">
        <f t="shared" si="73"/>
        <v>Week 1</v>
      </c>
      <c r="H1285" s="33" t="str">
        <f t="shared" si="74"/>
        <v>October 25 Week 1</v>
      </c>
      <c r="I1285" s="33" t="str">
        <f>CONCATENATE(UPPER(TableAopCalendar[[#This Row],[Month]])," ",TableAopCalendar[[#This Row],[Year]])</f>
        <v>OCTOBER 25</v>
      </c>
      <c r="J1285" s="8" t="s">
        <v>274</v>
      </c>
      <c r="K1285" s="33" t="str">
        <f>CONCATENATE(TableAopCalendar[[#This Row],[Month for Plan]]," ",TableAopCalendar[[#This Row],[Plan]])</f>
        <v>OCTOBER 25 PLANNED</v>
      </c>
    </row>
    <row r="1286" spans="1:11" x14ac:dyDescent="0.25">
      <c r="A1286" s="33">
        <f t="shared" si="72"/>
        <v>6</v>
      </c>
      <c r="B1286" s="34">
        <v>45936</v>
      </c>
      <c r="C1286" s="7" t="s">
        <v>114</v>
      </c>
      <c r="D1286" s="7">
        <v>25</v>
      </c>
      <c r="E1286" s="33">
        <f>DAY(TableAopCalendar[[#This Row],[Date]])</f>
        <v>6</v>
      </c>
      <c r="F128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6" s="33" t="str">
        <f t="shared" si="73"/>
        <v>Week 1</v>
      </c>
      <c r="H1286" s="33" t="str">
        <f t="shared" si="74"/>
        <v>October 25 Week 1</v>
      </c>
      <c r="I1286" s="33" t="str">
        <f>CONCATENATE(UPPER(TableAopCalendar[[#This Row],[Month]])," ",TableAopCalendar[[#This Row],[Year]])</f>
        <v>OCTOBER 25</v>
      </c>
      <c r="J1286" s="8" t="s">
        <v>274</v>
      </c>
      <c r="K1286" s="33" t="str">
        <f>CONCATENATE(TableAopCalendar[[#This Row],[Month for Plan]]," ",TableAopCalendar[[#This Row],[Plan]])</f>
        <v>OCTOBER 25 PLANNED</v>
      </c>
    </row>
    <row r="1287" spans="1:11" x14ac:dyDescent="0.25">
      <c r="A1287" s="33">
        <f t="shared" si="72"/>
        <v>7</v>
      </c>
      <c r="B1287" s="34">
        <v>45937</v>
      </c>
      <c r="C1287" s="7" t="s">
        <v>114</v>
      </c>
      <c r="D1287" s="7">
        <v>25</v>
      </c>
      <c r="E1287" s="33">
        <f>DAY(TableAopCalendar[[#This Row],[Date]])</f>
        <v>7</v>
      </c>
      <c r="F128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287" s="33" t="str">
        <f t="shared" si="73"/>
        <v>Week 1</v>
      </c>
      <c r="H1287" s="33" t="str">
        <f t="shared" si="74"/>
        <v>October 25 Week 1</v>
      </c>
      <c r="I1287" s="33" t="str">
        <f>CONCATENATE(UPPER(TableAopCalendar[[#This Row],[Month]])," ",TableAopCalendar[[#This Row],[Year]])</f>
        <v>OCTOBER 25</v>
      </c>
      <c r="J1287" s="8" t="s">
        <v>274</v>
      </c>
      <c r="K1287" s="33" t="str">
        <f>CONCATENATE(TableAopCalendar[[#This Row],[Month for Plan]]," ",TableAopCalendar[[#This Row],[Plan]])</f>
        <v>OCTOBER 25 PLANNED</v>
      </c>
    </row>
    <row r="1288" spans="1:11" x14ac:dyDescent="0.25">
      <c r="A1288" s="33">
        <f t="shared" si="72"/>
        <v>1</v>
      </c>
      <c r="B1288" s="34">
        <v>45938</v>
      </c>
      <c r="C1288" s="7" t="s">
        <v>114</v>
      </c>
      <c r="D1288" s="7">
        <v>25</v>
      </c>
      <c r="E1288" s="33">
        <f>DAY(TableAopCalendar[[#This Row],[Date]])</f>
        <v>8</v>
      </c>
      <c r="F128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88" s="33" t="str">
        <f t="shared" si="73"/>
        <v>Week 2</v>
      </c>
      <c r="H1288" s="33" t="str">
        <f t="shared" si="74"/>
        <v>October 25 Week 2</v>
      </c>
      <c r="I1288" s="33" t="str">
        <f>CONCATENATE(UPPER(TableAopCalendar[[#This Row],[Month]])," ",TableAopCalendar[[#This Row],[Year]])</f>
        <v>OCTOBER 25</v>
      </c>
      <c r="J1288" s="8" t="s">
        <v>274</v>
      </c>
      <c r="K1288" s="33" t="str">
        <f>CONCATENATE(TableAopCalendar[[#This Row],[Month for Plan]]," ",TableAopCalendar[[#This Row],[Plan]])</f>
        <v>OCTOBER 25 PLANNED</v>
      </c>
    </row>
    <row r="1289" spans="1:11" x14ac:dyDescent="0.25">
      <c r="A1289" s="33">
        <f t="shared" si="72"/>
        <v>2</v>
      </c>
      <c r="B1289" s="34">
        <v>45939</v>
      </c>
      <c r="C1289" s="7" t="s">
        <v>114</v>
      </c>
      <c r="D1289" s="7">
        <v>25</v>
      </c>
      <c r="E1289" s="33">
        <f>DAY(TableAopCalendar[[#This Row],[Date]])</f>
        <v>9</v>
      </c>
      <c r="F128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89" s="33" t="str">
        <f t="shared" si="73"/>
        <v>Week 2</v>
      </c>
      <c r="H1289" s="33" t="str">
        <f t="shared" si="74"/>
        <v>October 25 Week 2</v>
      </c>
      <c r="I1289" s="33" t="str">
        <f>CONCATENATE(UPPER(TableAopCalendar[[#This Row],[Month]])," ",TableAopCalendar[[#This Row],[Year]])</f>
        <v>OCTOBER 25</v>
      </c>
      <c r="J1289" s="8" t="s">
        <v>274</v>
      </c>
      <c r="K1289" s="33" t="str">
        <f>CONCATENATE(TableAopCalendar[[#This Row],[Month for Plan]]," ",TableAopCalendar[[#This Row],[Plan]])</f>
        <v>OCTOBER 25 PLANNED</v>
      </c>
    </row>
    <row r="1290" spans="1:11" x14ac:dyDescent="0.25">
      <c r="A1290" s="33">
        <f t="shared" si="72"/>
        <v>3</v>
      </c>
      <c r="B1290" s="34">
        <v>45940</v>
      </c>
      <c r="C1290" s="7" t="s">
        <v>114</v>
      </c>
      <c r="D1290" s="7">
        <v>25</v>
      </c>
      <c r="E1290" s="33">
        <f>DAY(TableAopCalendar[[#This Row],[Date]])</f>
        <v>10</v>
      </c>
      <c r="F129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90" s="33" t="str">
        <f t="shared" si="73"/>
        <v>Week 2</v>
      </c>
      <c r="H1290" s="33" t="str">
        <f t="shared" si="74"/>
        <v>October 25 Week 2</v>
      </c>
      <c r="I1290" s="33" t="str">
        <f>CONCATENATE(UPPER(TableAopCalendar[[#This Row],[Month]])," ",TableAopCalendar[[#This Row],[Year]])</f>
        <v>OCTOBER 25</v>
      </c>
      <c r="J1290" s="8" t="s">
        <v>274</v>
      </c>
      <c r="K1290" s="33" t="str">
        <f>CONCATENATE(TableAopCalendar[[#This Row],[Month for Plan]]," ",TableAopCalendar[[#This Row],[Plan]])</f>
        <v>OCTOBER 25 PLANNED</v>
      </c>
    </row>
    <row r="1291" spans="1:11" x14ac:dyDescent="0.25">
      <c r="A1291" s="33">
        <f t="shared" ref="A1291:A1354" si="75">IF(G1291=G1290,A1290+1,1)</f>
        <v>4</v>
      </c>
      <c r="B1291" s="34">
        <v>45941</v>
      </c>
      <c r="C1291" s="7" t="s">
        <v>114</v>
      </c>
      <c r="D1291" s="7">
        <v>25</v>
      </c>
      <c r="E1291" s="33">
        <f>DAY(TableAopCalendar[[#This Row],[Date]])</f>
        <v>11</v>
      </c>
      <c r="F129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91" s="33" t="str">
        <f t="shared" ref="G1291:G1354" si="76">"Week"&amp;" "&amp;F1291</f>
        <v>Week 2</v>
      </c>
      <c r="H1291" s="33" t="str">
        <f t="shared" ref="H1291:H1354" si="77">CONCATENATE(C1291," ",D1291," ",G1291)</f>
        <v>October 25 Week 2</v>
      </c>
      <c r="I1291" s="33" t="str">
        <f>CONCATENATE(UPPER(TableAopCalendar[[#This Row],[Month]])," ",TableAopCalendar[[#This Row],[Year]])</f>
        <v>OCTOBER 25</v>
      </c>
      <c r="J1291" s="8" t="s">
        <v>274</v>
      </c>
      <c r="K1291" s="33" t="str">
        <f>CONCATENATE(TableAopCalendar[[#This Row],[Month for Plan]]," ",TableAopCalendar[[#This Row],[Plan]])</f>
        <v>OCTOBER 25 PLANNED</v>
      </c>
    </row>
    <row r="1292" spans="1:11" x14ac:dyDescent="0.25">
      <c r="A1292" s="33">
        <f t="shared" si="75"/>
        <v>5</v>
      </c>
      <c r="B1292" s="34">
        <v>45942</v>
      </c>
      <c r="C1292" s="7" t="s">
        <v>114</v>
      </c>
      <c r="D1292" s="7">
        <v>25</v>
      </c>
      <c r="E1292" s="33">
        <f>DAY(TableAopCalendar[[#This Row],[Date]])</f>
        <v>12</v>
      </c>
      <c r="F129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92" s="33" t="str">
        <f t="shared" si="76"/>
        <v>Week 2</v>
      </c>
      <c r="H1292" s="33" t="str">
        <f t="shared" si="77"/>
        <v>October 25 Week 2</v>
      </c>
      <c r="I1292" s="33" t="str">
        <f>CONCATENATE(UPPER(TableAopCalendar[[#This Row],[Month]])," ",TableAopCalendar[[#This Row],[Year]])</f>
        <v>OCTOBER 25</v>
      </c>
      <c r="J1292" s="8" t="s">
        <v>274</v>
      </c>
      <c r="K1292" s="33" t="str">
        <f>CONCATENATE(TableAopCalendar[[#This Row],[Month for Plan]]," ",TableAopCalendar[[#This Row],[Plan]])</f>
        <v>OCTOBER 25 PLANNED</v>
      </c>
    </row>
    <row r="1293" spans="1:11" x14ac:dyDescent="0.25">
      <c r="A1293" s="33">
        <f t="shared" si="75"/>
        <v>6</v>
      </c>
      <c r="B1293" s="34">
        <v>45943</v>
      </c>
      <c r="C1293" s="7" t="s">
        <v>114</v>
      </c>
      <c r="D1293" s="7">
        <v>25</v>
      </c>
      <c r="E1293" s="33">
        <f>DAY(TableAopCalendar[[#This Row],[Date]])</f>
        <v>13</v>
      </c>
      <c r="F129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93" s="33" t="str">
        <f t="shared" si="76"/>
        <v>Week 2</v>
      </c>
      <c r="H1293" s="33" t="str">
        <f t="shared" si="77"/>
        <v>October 25 Week 2</v>
      </c>
      <c r="I1293" s="33" t="str">
        <f>CONCATENATE(UPPER(TableAopCalendar[[#This Row],[Month]])," ",TableAopCalendar[[#This Row],[Year]])</f>
        <v>OCTOBER 25</v>
      </c>
      <c r="J1293" s="8" t="s">
        <v>274</v>
      </c>
      <c r="K1293" s="33" t="str">
        <f>CONCATENATE(TableAopCalendar[[#This Row],[Month for Plan]]," ",TableAopCalendar[[#This Row],[Plan]])</f>
        <v>OCTOBER 25 PLANNED</v>
      </c>
    </row>
    <row r="1294" spans="1:11" x14ac:dyDescent="0.25">
      <c r="A1294" s="33">
        <f t="shared" si="75"/>
        <v>7</v>
      </c>
      <c r="B1294" s="34">
        <v>45944</v>
      </c>
      <c r="C1294" s="7" t="s">
        <v>114</v>
      </c>
      <c r="D1294" s="7">
        <v>25</v>
      </c>
      <c r="E1294" s="33">
        <f>DAY(TableAopCalendar[[#This Row],[Date]])</f>
        <v>14</v>
      </c>
      <c r="F129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294" s="33" t="str">
        <f t="shared" si="76"/>
        <v>Week 2</v>
      </c>
      <c r="H1294" s="33" t="str">
        <f t="shared" si="77"/>
        <v>October 25 Week 2</v>
      </c>
      <c r="I1294" s="33" t="str">
        <f>CONCATENATE(UPPER(TableAopCalendar[[#This Row],[Month]])," ",TableAopCalendar[[#This Row],[Year]])</f>
        <v>OCTOBER 25</v>
      </c>
      <c r="J1294" s="8" t="s">
        <v>274</v>
      </c>
      <c r="K1294" s="33" t="str">
        <f>CONCATENATE(TableAopCalendar[[#This Row],[Month for Plan]]," ",TableAopCalendar[[#This Row],[Plan]])</f>
        <v>OCTOBER 25 PLANNED</v>
      </c>
    </row>
    <row r="1295" spans="1:11" x14ac:dyDescent="0.25">
      <c r="A1295" s="33">
        <f t="shared" si="75"/>
        <v>1</v>
      </c>
      <c r="B1295" s="34">
        <v>45945</v>
      </c>
      <c r="C1295" s="7" t="s">
        <v>114</v>
      </c>
      <c r="D1295" s="7">
        <v>25</v>
      </c>
      <c r="E1295" s="33">
        <f>DAY(TableAopCalendar[[#This Row],[Date]])</f>
        <v>15</v>
      </c>
      <c r="F129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95" s="33" t="str">
        <f t="shared" si="76"/>
        <v>Week 3</v>
      </c>
      <c r="H1295" s="33" t="str">
        <f t="shared" si="77"/>
        <v>October 25 Week 3</v>
      </c>
      <c r="I1295" s="33" t="str">
        <f>CONCATENATE(UPPER(TableAopCalendar[[#This Row],[Month]])," ",TableAopCalendar[[#This Row],[Year]])</f>
        <v>OCTOBER 25</v>
      </c>
      <c r="J1295" s="8" t="s">
        <v>274</v>
      </c>
      <c r="K1295" s="33" t="str">
        <f>CONCATENATE(TableAopCalendar[[#This Row],[Month for Plan]]," ",TableAopCalendar[[#This Row],[Plan]])</f>
        <v>OCTOBER 25 PLANNED</v>
      </c>
    </row>
    <row r="1296" spans="1:11" x14ac:dyDescent="0.25">
      <c r="A1296" s="33">
        <f t="shared" si="75"/>
        <v>2</v>
      </c>
      <c r="B1296" s="34">
        <v>45946</v>
      </c>
      <c r="C1296" s="7" t="s">
        <v>114</v>
      </c>
      <c r="D1296" s="7">
        <v>25</v>
      </c>
      <c r="E1296" s="33">
        <f>DAY(TableAopCalendar[[#This Row],[Date]])</f>
        <v>16</v>
      </c>
      <c r="F129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96" s="33" t="str">
        <f t="shared" si="76"/>
        <v>Week 3</v>
      </c>
      <c r="H1296" s="33" t="str">
        <f t="shared" si="77"/>
        <v>October 25 Week 3</v>
      </c>
      <c r="I1296" s="33" t="str">
        <f>CONCATENATE(UPPER(TableAopCalendar[[#This Row],[Month]])," ",TableAopCalendar[[#This Row],[Year]])</f>
        <v>OCTOBER 25</v>
      </c>
      <c r="J1296" s="8" t="s">
        <v>274</v>
      </c>
      <c r="K1296" s="33" t="str">
        <f>CONCATENATE(TableAopCalendar[[#This Row],[Month for Plan]]," ",TableAopCalendar[[#This Row],[Plan]])</f>
        <v>OCTOBER 25 PLANNED</v>
      </c>
    </row>
    <row r="1297" spans="1:11" x14ac:dyDescent="0.25">
      <c r="A1297" s="33">
        <f t="shared" si="75"/>
        <v>3</v>
      </c>
      <c r="B1297" s="34">
        <v>45947</v>
      </c>
      <c r="C1297" s="7" t="s">
        <v>114</v>
      </c>
      <c r="D1297" s="7">
        <v>25</v>
      </c>
      <c r="E1297" s="33">
        <f>DAY(TableAopCalendar[[#This Row],[Date]])</f>
        <v>17</v>
      </c>
      <c r="F129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97" s="33" t="str">
        <f t="shared" si="76"/>
        <v>Week 3</v>
      </c>
      <c r="H1297" s="33" t="str">
        <f t="shared" si="77"/>
        <v>October 25 Week 3</v>
      </c>
      <c r="I1297" s="33" t="str">
        <f>CONCATENATE(UPPER(TableAopCalendar[[#This Row],[Month]])," ",TableAopCalendar[[#This Row],[Year]])</f>
        <v>OCTOBER 25</v>
      </c>
      <c r="J1297" s="8" t="s">
        <v>274</v>
      </c>
      <c r="K1297" s="33" t="str">
        <f>CONCATENATE(TableAopCalendar[[#This Row],[Month for Plan]]," ",TableAopCalendar[[#This Row],[Plan]])</f>
        <v>OCTOBER 25 PLANNED</v>
      </c>
    </row>
    <row r="1298" spans="1:11" x14ac:dyDescent="0.25">
      <c r="A1298" s="33">
        <f t="shared" si="75"/>
        <v>4</v>
      </c>
      <c r="B1298" s="34">
        <v>45948</v>
      </c>
      <c r="C1298" s="7" t="s">
        <v>114</v>
      </c>
      <c r="D1298" s="7">
        <v>25</v>
      </c>
      <c r="E1298" s="33">
        <f>DAY(TableAopCalendar[[#This Row],[Date]])</f>
        <v>18</v>
      </c>
      <c r="F129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98" s="33" t="str">
        <f t="shared" si="76"/>
        <v>Week 3</v>
      </c>
      <c r="H1298" s="33" t="str">
        <f t="shared" si="77"/>
        <v>October 25 Week 3</v>
      </c>
      <c r="I1298" s="33" t="str">
        <f>CONCATENATE(UPPER(TableAopCalendar[[#This Row],[Month]])," ",TableAopCalendar[[#This Row],[Year]])</f>
        <v>OCTOBER 25</v>
      </c>
      <c r="J1298" s="8" t="s">
        <v>274</v>
      </c>
      <c r="K1298" s="33" t="str">
        <f>CONCATENATE(TableAopCalendar[[#This Row],[Month for Plan]]," ",TableAopCalendar[[#This Row],[Plan]])</f>
        <v>OCTOBER 25 PLANNED</v>
      </c>
    </row>
    <row r="1299" spans="1:11" x14ac:dyDescent="0.25">
      <c r="A1299" s="33">
        <f t="shared" si="75"/>
        <v>5</v>
      </c>
      <c r="B1299" s="34">
        <v>45949</v>
      </c>
      <c r="C1299" s="7" t="s">
        <v>114</v>
      </c>
      <c r="D1299" s="7">
        <v>25</v>
      </c>
      <c r="E1299" s="33">
        <f>DAY(TableAopCalendar[[#This Row],[Date]])</f>
        <v>19</v>
      </c>
      <c r="F129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299" s="33" t="str">
        <f t="shared" si="76"/>
        <v>Week 3</v>
      </c>
      <c r="H1299" s="33" t="str">
        <f t="shared" si="77"/>
        <v>October 25 Week 3</v>
      </c>
      <c r="I1299" s="33" t="str">
        <f>CONCATENATE(UPPER(TableAopCalendar[[#This Row],[Month]])," ",TableAopCalendar[[#This Row],[Year]])</f>
        <v>OCTOBER 25</v>
      </c>
      <c r="J1299" s="8" t="s">
        <v>274</v>
      </c>
      <c r="K1299" s="33" t="str">
        <f>CONCATENATE(TableAopCalendar[[#This Row],[Month for Plan]]," ",TableAopCalendar[[#This Row],[Plan]])</f>
        <v>OCTOBER 25 PLANNED</v>
      </c>
    </row>
    <row r="1300" spans="1:11" x14ac:dyDescent="0.25">
      <c r="A1300" s="33">
        <f t="shared" si="75"/>
        <v>6</v>
      </c>
      <c r="B1300" s="34">
        <v>45950</v>
      </c>
      <c r="C1300" s="7" t="s">
        <v>114</v>
      </c>
      <c r="D1300" s="7">
        <v>25</v>
      </c>
      <c r="E1300" s="33">
        <f>DAY(TableAopCalendar[[#This Row],[Date]])</f>
        <v>20</v>
      </c>
      <c r="F130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00" s="33" t="str">
        <f t="shared" si="76"/>
        <v>Week 3</v>
      </c>
      <c r="H1300" s="33" t="str">
        <f t="shared" si="77"/>
        <v>October 25 Week 3</v>
      </c>
      <c r="I1300" s="33" t="str">
        <f>CONCATENATE(UPPER(TableAopCalendar[[#This Row],[Month]])," ",TableAopCalendar[[#This Row],[Year]])</f>
        <v>OCTOBER 25</v>
      </c>
      <c r="J1300" s="8" t="s">
        <v>274</v>
      </c>
      <c r="K1300" s="33" t="str">
        <f>CONCATENATE(TableAopCalendar[[#This Row],[Month for Plan]]," ",TableAopCalendar[[#This Row],[Plan]])</f>
        <v>OCTOBER 25 PLANNED</v>
      </c>
    </row>
    <row r="1301" spans="1:11" x14ac:dyDescent="0.25">
      <c r="A1301" s="33">
        <f t="shared" si="75"/>
        <v>7</v>
      </c>
      <c r="B1301" s="34">
        <v>45951</v>
      </c>
      <c r="C1301" s="7" t="s">
        <v>114</v>
      </c>
      <c r="D1301" s="7">
        <v>25</v>
      </c>
      <c r="E1301" s="33">
        <f>DAY(TableAopCalendar[[#This Row],[Date]])</f>
        <v>21</v>
      </c>
      <c r="F130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01" s="33" t="str">
        <f t="shared" si="76"/>
        <v>Week 3</v>
      </c>
      <c r="H1301" s="33" t="str">
        <f t="shared" si="77"/>
        <v>October 25 Week 3</v>
      </c>
      <c r="I1301" s="33" t="str">
        <f>CONCATENATE(UPPER(TableAopCalendar[[#This Row],[Month]])," ",TableAopCalendar[[#This Row],[Year]])</f>
        <v>OCTOBER 25</v>
      </c>
      <c r="J1301" s="8" t="s">
        <v>274</v>
      </c>
      <c r="K1301" s="33" t="str">
        <f>CONCATENATE(TableAopCalendar[[#This Row],[Month for Plan]]," ",TableAopCalendar[[#This Row],[Plan]])</f>
        <v>OCTOBER 25 PLANNED</v>
      </c>
    </row>
    <row r="1302" spans="1:11" x14ac:dyDescent="0.25">
      <c r="A1302" s="33">
        <f t="shared" si="75"/>
        <v>1</v>
      </c>
      <c r="B1302" s="34">
        <v>45952</v>
      </c>
      <c r="C1302" s="7" t="s">
        <v>114</v>
      </c>
      <c r="D1302" s="7">
        <v>25</v>
      </c>
      <c r="E1302" s="33">
        <f>DAY(TableAopCalendar[[#This Row],[Date]])</f>
        <v>22</v>
      </c>
      <c r="F130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02" s="33" t="str">
        <f t="shared" si="76"/>
        <v>Week 4</v>
      </c>
      <c r="H1302" s="33" t="str">
        <f t="shared" si="77"/>
        <v>October 25 Week 4</v>
      </c>
      <c r="I1302" s="33" t="str">
        <f>CONCATENATE(UPPER(TableAopCalendar[[#This Row],[Month]])," ",TableAopCalendar[[#This Row],[Year]])</f>
        <v>OCTOBER 25</v>
      </c>
      <c r="J1302" s="8" t="s">
        <v>274</v>
      </c>
      <c r="K1302" s="33" t="str">
        <f>CONCATENATE(TableAopCalendar[[#This Row],[Month for Plan]]," ",TableAopCalendar[[#This Row],[Plan]])</f>
        <v>OCTOBER 25 PLANNED</v>
      </c>
    </row>
    <row r="1303" spans="1:11" x14ac:dyDescent="0.25">
      <c r="A1303" s="33">
        <f t="shared" si="75"/>
        <v>2</v>
      </c>
      <c r="B1303" s="34">
        <v>45953</v>
      </c>
      <c r="C1303" s="7" t="s">
        <v>114</v>
      </c>
      <c r="D1303" s="7">
        <v>25</v>
      </c>
      <c r="E1303" s="33">
        <f>DAY(TableAopCalendar[[#This Row],[Date]])</f>
        <v>23</v>
      </c>
      <c r="F130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03" s="33" t="str">
        <f t="shared" si="76"/>
        <v>Week 4</v>
      </c>
      <c r="H1303" s="33" t="str">
        <f t="shared" si="77"/>
        <v>October 25 Week 4</v>
      </c>
      <c r="I1303" s="33" t="str">
        <f>CONCATENATE(UPPER(TableAopCalendar[[#This Row],[Month]])," ",TableAopCalendar[[#This Row],[Year]])</f>
        <v>OCTOBER 25</v>
      </c>
      <c r="J1303" s="8" t="s">
        <v>274</v>
      </c>
      <c r="K1303" s="33" t="str">
        <f>CONCATENATE(TableAopCalendar[[#This Row],[Month for Plan]]," ",TableAopCalendar[[#This Row],[Plan]])</f>
        <v>OCTOBER 25 PLANNED</v>
      </c>
    </row>
    <row r="1304" spans="1:11" x14ac:dyDescent="0.25">
      <c r="A1304" s="33">
        <f t="shared" si="75"/>
        <v>3</v>
      </c>
      <c r="B1304" s="34">
        <v>45954</v>
      </c>
      <c r="C1304" s="7" t="s">
        <v>114</v>
      </c>
      <c r="D1304" s="7">
        <v>25</v>
      </c>
      <c r="E1304" s="33">
        <f>DAY(TableAopCalendar[[#This Row],[Date]])</f>
        <v>24</v>
      </c>
      <c r="F130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04" s="33" t="str">
        <f t="shared" si="76"/>
        <v>Week 4</v>
      </c>
      <c r="H1304" s="33" t="str">
        <f t="shared" si="77"/>
        <v>October 25 Week 4</v>
      </c>
      <c r="I1304" s="33" t="str">
        <f>CONCATENATE(UPPER(TableAopCalendar[[#This Row],[Month]])," ",TableAopCalendar[[#This Row],[Year]])</f>
        <v>OCTOBER 25</v>
      </c>
      <c r="J1304" s="8" t="s">
        <v>274</v>
      </c>
      <c r="K1304" s="33" t="str">
        <f>CONCATENATE(TableAopCalendar[[#This Row],[Month for Plan]]," ",TableAopCalendar[[#This Row],[Plan]])</f>
        <v>OCTOBER 25 PLANNED</v>
      </c>
    </row>
    <row r="1305" spans="1:11" x14ac:dyDescent="0.25">
      <c r="A1305" s="33">
        <f t="shared" si="75"/>
        <v>4</v>
      </c>
      <c r="B1305" s="34">
        <v>45955</v>
      </c>
      <c r="C1305" s="7" t="s">
        <v>114</v>
      </c>
      <c r="D1305" s="7">
        <v>25</v>
      </c>
      <c r="E1305" s="33">
        <f>DAY(TableAopCalendar[[#This Row],[Date]])</f>
        <v>25</v>
      </c>
      <c r="F130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05" s="33" t="str">
        <f t="shared" si="76"/>
        <v>Week 4</v>
      </c>
      <c r="H1305" s="33" t="str">
        <f t="shared" si="77"/>
        <v>October 25 Week 4</v>
      </c>
      <c r="I1305" s="33" t="str">
        <f>CONCATENATE(UPPER(TableAopCalendar[[#This Row],[Month]])," ",TableAopCalendar[[#This Row],[Year]])</f>
        <v>OCTOBER 25</v>
      </c>
      <c r="J1305" s="8" t="s">
        <v>274</v>
      </c>
      <c r="K1305" s="33" t="str">
        <f>CONCATENATE(TableAopCalendar[[#This Row],[Month for Plan]]," ",TableAopCalendar[[#This Row],[Plan]])</f>
        <v>OCTOBER 25 PLANNED</v>
      </c>
    </row>
    <row r="1306" spans="1:11" x14ac:dyDescent="0.25">
      <c r="A1306" s="33">
        <f t="shared" si="75"/>
        <v>5</v>
      </c>
      <c r="B1306" s="34">
        <v>45956</v>
      </c>
      <c r="C1306" s="7" t="s">
        <v>114</v>
      </c>
      <c r="D1306" s="7">
        <v>25</v>
      </c>
      <c r="E1306" s="33">
        <f>DAY(TableAopCalendar[[#This Row],[Date]])</f>
        <v>26</v>
      </c>
      <c r="F130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06" s="33" t="str">
        <f t="shared" si="76"/>
        <v>Week 4</v>
      </c>
      <c r="H1306" s="33" t="str">
        <f t="shared" si="77"/>
        <v>October 25 Week 4</v>
      </c>
      <c r="I1306" s="33" t="str">
        <f>CONCATENATE(UPPER(TableAopCalendar[[#This Row],[Month]])," ",TableAopCalendar[[#This Row],[Year]])</f>
        <v>OCTOBER 25</v>
      </c>
      <c r="J1306" s="8" t="s">
        <v>274</v>
      </c>
      <c r="K1306" s="33" t="str">
        <f>CONCATENATE(TableAopCalendar[[#This Row],[Month for Plan]]," ",TableAopCalendar[[#This Row],[Plan]])</f>
        <v>OCTOBER 25 PLANNED</v>
      </c>
    </row>
    <row r="1307" spans="1:11" x14ac:dyDescent="0.25">
      <c r="A1307" s="33">
        <f t="shared" si="75"/>
        <v>6</v>
      </c>
      <c r="B1307" s="34">
        <v>45957</v>
      </c>
      <c r="C1307" s="7" t="s">
        <v>114</v>
      </c>
      <c r="D1307" s="7">
        <v>25</v>
      </c>
      <c r="E1307" s="33">
        <f>DAY(TableAopCalendar[[#This Row],[Date]])</f>
        <v>27</v>
      </c>
      <c r="F130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07" s="33" t="str">
        <f t="shared" si="76"/>
        <v>Week 4</v>
      </c>
      <c r="H1307" s="33" t="str">
        <f t="shared" si="77"/>
        <v>October 25 Week 4</v>
      </c>
      <c r="I1307" s="33" t="str">
        <f>CONCATENATE(UPPER(TableAopCalendar[[#This Row],[Month]])," ",TableAopCalendar[[#This Row],[Year]])</f>
        <v>OCTOBER 25</v>
      </c>
      <c r="J1307" s="8" t="s">
        <v>274</v>
      </c>
      <c r="K1307" s="33" t="str">
        <f>CONCATENATE(TableAopCalendar[[#This Row],[Month for Plan]]," ",TableAopCalendar[[#This Row],[Plan]])</f>
        <v>OCTOBER 25 PLANNED</v>
      </c>
    </row>
    <row r="1308" spans="1:11" x14ac:dyDescent="0.25">
      <c r="A1308" s="33">
        <f t="shared" si="75"/>
        <v>7</v>
      </c>
      <c r="B1308" s="34">
        <v>45958</v>
      </c>
      <c r="C1308" s="7" t="s">
        <v>114</v>
      </c>
      <c r="D1308" s="7">
        <v>25</v>
      </c>
      <c r="E1308" s="33">
        <f>DAY(TableAopCalendar[[#This Row],[Date]])</f>
        <v>28</v>
      </c>
      <c r="F130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08" s="33" t="str">
        <f t="shared" si="76"/>
        <v>Week 4</v>
      </c>
      <c r="H1308" s="33" t="str">
        <f t="shared" si="77"/>
        <v>October 25 Week 4</v>
      </c>
      <c r="I1308" s="33" t="str">
        <f>CONCATENATE(UPPER(TableAopCalendar[[#This Row],[Month]])," ",TableAopCalendar[[#This Row],[Year]])</f>
        <v>OCTOBER 25</v>
      </c>
      <c r="J1308" s="8" t="s">
        <v>274</v>
      </c>
      <c r="K1308" s="33" t="str">
        <f>CONCATENATE(TableAopCalendar[[#This Row],[Month for Plan]]," ",TableAopCalendar[[#This Row],[Plan]])</f>
        <v>OCTOBER 25 PLANNED</v>
      </c>
    </row>
    <row r="1309" spans="1:11" x14ac:dyDescent="0.25">
      <c r="A1309" s="33">
        <f t="shared" si="75"/>
        <v>1</v>
      </c>
      <c r="B1309" s="34">
        <v>45959</v>
      </c>
      <c r="C1309" s="7" t="s">
        <v>114</v>
      </c>
      <c r="D1309" s="7">
        <v>25</v>
      </c>
      <c r="E1309" s="33">
        <f>DAY(TableAopCalendar[[#This Row],[Date]])</f>
        <v>29</v>
      </c>
      <c r="F1309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09" s="33" t="str">
        <f t="shared" si="76"/>
        <v>Week 5</v>
      </c>
      <c r="H1309" s="33" t="str">
        <f t="shared" si="77"/>
        <v>October 25 Week 5</v>
      </c>
      <c r="I1309" s="33" t="str">
        <f>CONCATENATE(UPPER(TableAopCalendar[[#This Row],[Month]])," ",TableAopCalendar[[#This Row],[Year]])</f>
        <v>OCTOBER 25</v>
      </c>
      <c r="J1309" s="8" t="s">
        <v>274</v>
      </c>
      <c r="K1309" s="33" t="str">
        <f>CONCATENATE(TableAopCalendar[[#This Row],[Month for Plan]]," ",TableAopCalendar[[#This Row],[Plan]])</f>
        <v>OCTOBER 25 PLANNED</v>
      </c>
    </row>
    <row r="1310" spans="1:11" x14ac:dyDescent="0.25">
      <c r="A1310" s="33">
        <f t="shared" si="75"/>
        <v>2</v>
      </c>
      <c r="B1310" s="34">
        <v>45960</v>
      </c>
      <c r="C1310" s="7" t="s">
        <v>114</v>
      </c>
      <c r="D1310" s="7">
        <v>25</v>
      </c>
      <c r="E1310" s="33">
        <f>DAY(TableAopCalendar[[#This Row],[Date]])</f>
        <v>30</v>
      </c>
      <c r="F1310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10" s="33" t="str">
        <f t="shared" si="76"/>
        <v>Week 5</v>
      </c>
      <c r="H1310" s="33" t="str">
        <f t="shared" si="77"/>
        <v>October 25 Week 5</v>
      </c>
      <c r="I1310" s="33" t="str">
        <f>CONCATENATE(UPPER(TableAopCalendar[[#This Row],[Month]])," ",TableAopCalendar[[#This Row],[Year]])</f>
        <v>OCTOBER 25</v>
      </c>
      <c r="J1310" s="8" t="s">
        <v>274</v>
      </c>
      <c r="K1310" s="33" t="str">
        <f>CONCATENATE(TableAopCalendar[[#This Row],[Month for Plan]]," ",TableAopCalendar[[#This Row],[Plan]])</f>
        <v>OCTOBER 25 PLANNED</v>
      </c>
    </row>
    <row r="1311" spans="1:11" x14ac:dyDescent="0.25">
      <c r="A1311" s="33">
        <f t="shared" si="75"/>
        <v>3</v>
      </c>
      <c r="B1311" s="34">
        <v>45961</v>
      </c>
      <c r="C1311" s="7" t="s">
        <v>114</v>
      </c>
      <c r="D1311" s="7">
        <v>25</v>
      </c>
      <c r="E1311" s="33">
        <f>DAY(TableAopCalendar[[#This Row],[Date]])</f>
        <v>31</v>
      </c>
      <c r="F131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11" s="33" t="str">
        <f t="shared" si="76"/>
        <v>Week 5</v>
      </c>
      <c r="H1311" s="33" t="str">
        <f t="shared" si="77"/>
        <v>October 25 Week 5</v>
      </c>
      <c r="I1311" s="33" t="str">
        <f>CONCATENATE(UPPER(TableAopCalendar[[#This Row],[Month]])," ",TableAopCalendar[[#This Row],[Year]])</f>
        <v>OCTOBER 25</v>
      </c>
      <c r="J1311" s="8" t="s">
        <v>274</v>
      </c>
      <c r="K1311" s="33" t="str">
        <f>CONCATENATE(TableAopCalendar[[#This Row],[Month for Plan]]," ",TableAopCalendar[[#This Row],[Plan]])</f>
        <v>OCTOBER 25 PLANNED</v>
      </c>
    </row>
    <row r="1312" spans="1:11" x14ac:dyDescent="0.25">
      <c r="A1312" s="33">
        <f t="shared" si="75"/>
        <v>1</v>
      </c>
      <c r="B1312" s="34">
        <v>45962</v>
      </c>
      <c r="C1312" s="7" t="s">
        <v>117</v>
      </c>
      <c r="D1312" s="7">
        <v>25</v>
      </c>
      <c r="E1312" s="33">
        <f>DAY(TableAopCalendar[[#This Row],[Date]])</f>
        <v>1</v>
      </c>
      <c r="F131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12" s="33" t="str">
        <f t="shared" si="76"/>
        <v>Week 1</v>
      </c>
      <c r="H1312" s="33" t="str">
        <f t="shared" si="77"/>
        <v>November 25 Week 1</v>
      </c>
      <c r="I1312" s="33" t="str">
        <f>CONCATENATE(UPPER(TableAopCalendar[[#This Row],[Month]])," ",TableAopCalendar[[#This Row],[Year]])</f>
        <v>NOVEMBER 25</v>
      </c>
      <c r="J1312" s="8" t="s">
        <v>274</v>
      </c>
      <c r="K1312" s="33" t="str">
        <f>CONCATENATE(TableAopCalendar[[#This Row],[Month for Plan]]," ",TableAopCalendar[[#This Row],[Plan]])</f>
        <v>NOVEMBER 25 PLANNED</v>
      </c>
    </row>
    <row r="1313" spans="1:11" x14ac:dyDescent="0.25">
      <c r="A1313" s="33">
        <f t="shared" si="75"/>
        <v>2</v>
      </c>
      <c r="B1313" s="34">
        <v>45963</v>
      </c>
      <c r="C1313" s="7" t="s">
        <v>117</v>
      </c>
      <c r="D1313" s="7">
        <v>25</v>
      </c>
      <c r="E1313" s="33">
        <f>DAY(TableAopCalendar[[#This Row],[Date]])</f>
        <v>2</v>
      </c>
      <c r="F131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13" s="33" t="str">
        <f t="shared" si="76"/>
        <v>Week 1</v>
      </c>
      <c r="H1313" s="33" t="str">
        <f t="shared" si="77"/>
        <v>November 25 Week 1</v>
      </c>
      <c r="I1313" s="33" t="str">
        <f>CONCATENATE(UPPER(TableAopCalendar[[#This Row],[Month]])," ",TableAopCalendar[[#This Row],[Year]])</f>
        <v>NOVEMBER 25</v>
      </c>
      <c r="J1313" s="8" t="s">
        <v>274</v>
      </c>
      <c r="K1313" s="33" t="str">
        <f>CONCATENATE(TableAopCalendar[[#This Row],[Month for Plan]]," ",TableAopCalendar[[#This Row],[Plan]])</f>
        <v>NOVEMBER 25 PLANNED</v>
      </c>
    </row>
    <row r="1314" spans="1:11" x14ac:dyDescent="0.25">
      <c r="A1314" s="33">
        <f t="shared" si="75"/>
        <v>3</v>
      </c>
      <c r="B1314" s="34">
        <v>45964</v>
      </c>
      <c r="C1314" s="7" t="s">
        <v>117</v>
      </c>
      <c r="D1314" s="7">
        <v>25</v>
      </c>
      <c r="E1314" s="33">
        <f>DAY(TableAopCalendar[[#This Row],[Date]])</f>
        <v>3</v>
      </c>
      <c r="F131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14" s="33" t="str">
        <f t="shared" si="76"/>
        <v>Week 1</v>
      </c>
      <c r="H1314" s="33" t="str">
        <f t="shared" si="77"/>
        <v>November 25 Week 1</v>
      </c>
      <c r="I1314" s="33" t="str">
        <f>CONCATENATE(UPPER(TableAopCalendar[[#This Row],[Month]])," ",TableAopCalendar[[#This Row],[Year]])</f>
        <v>NOVEMBER 25</v>
      </c>
      <c r="J1314" s="8" t="s">
        <v>274</v>
      </c>
      <c r="K1314" s="33" t="str">
        <f>CONCATENATE(TableAopCalendar[[#This Row],[Month for Plan]]," ",TableAopCalendar[[#This Row],[Plan]])</f>
        <v>NOVEMBER 25 PLANNED</v>
      </c>
    </row>
    <row r="1315" spans="1:11" x14ac:dyDescent="0.25">
      <c r="A1315" s="33">
        <f t="shared" si="75"/>
        <v>4</v>
      </c>
      <c r="B1315" s="34">
        <v>45965</v>
      </c>
      <c r="C1315" s="7" t="s">
        <v>117</v>
      </c>
      <c r="D1315" s="7">
        <v>25</v>
      </c>
      <c r="E1315" s="33">
        <f>DAY(TableAopCalendar[[#This Row],[Date]])</f>
        <v>4</v>
      </c>
      <c r="F131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15" s="33" t="str">
        <f t="shared" si="76"/>
        <v>Week 1</v>
      </c>
      <c r="H1315" s="33" t="str">
        <f t="shared" si="77"/>
        <v>November 25 Week 1</v>
      </c>
      <c r="I1315" s="33" t="str">
        <f>CONCATENATE(UPPER(TableAopCalendar[[#This Row],[Month]])," ",TableAopCalendar[[#This Row],[Year]])</f>
        <v>NOVEMBER 25</v>
      </c>
      <c r="J1315" s="8" t="s">
        <v>274</v>
      </c>
      <c r="K1315" s="33" t="str">
        <f>CONCATENATE(TableAopCalendar[[#This Row],[Month for Plan]]," ",TableAopCalendar[[#This Row],[Plan]])</f>
        <v>NOVEMBER 25 PLANNED</v>
      </c>
    </row>
    <row r="1316" spans="1:11" x14ac:dyDescent="0.25">
      <c r="A1316" s="33">
        <f t="shared" si="75"/>
        <v>5</v>
      </c>
      <c r="B1316" s="34">
        <v>45966</v>
      </c>
      <c r="C1316" s="7" t="s">
        <v>117</v>
      </c>
      <c r="D1316" s="7">
        <v>25</v>
      </c>
      <c r="E1316" s="33">
        <f>DAY(TableAopCalendar[[#This Row],[Date]])</f>
        <v>5</v>
      </c>
      <c r="F131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16" s="33" t="str">
        <f t="shared" si="76"/>
        <v>Week 1</v>
      </c>
      <c r="H1316" s="33" t="str">
        <f t="shared" si="77"/>
        <v>November 25 Week 1</v>
      </c>
      <c r="I1316" s="33" t="str">
        <f>CONCATENATE(UPPER(TableAopCalendar[[#This Row],[Month]])," ",TableAopCalendar[[#This Row],[Year]])</f>
        <v>NOVEMBER 25</v>
      </c>
      <c r="J1316" s="8" t="s">
        <v>274</v>
      </c>
      <c r="K1316" s="33" t="str">
        <f>CONCATENATE(TableAopCalendar[[#This Row],[Month for Plan]]," ",TableAopCalendar[[#This Row],[Plan]])</f>
        <v>NOVEMBER 25 PLANNED</v>
      </c>
    </row>
    <row r="1317" spans="1:11" x14ac:dyDescent="0.25">
      <c r="A1317" s="33">
        <f t="shared" si="75"/>
        <v>6</v>
      </c>
      <c r="B1317" s="34">
        <v>45967</v>
      </c>
      <c r="C1317" s="7" t="s">
        <v>117</v>
      </c>
      <c r="D1317" s="7">
        <v>25</v>
      </c>
      <c r="E1317" s="33">
        <f>DAY(TableAopCalendar[[#This Row],[Date]])</f>
        <v>6</v>
      </c>
      <c r="F131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17" s="33" t="str">
        <f t="shared" si="76"/>
        <v>Week 1</v>
      </c>
      <c r="H1317" s="33" t="str">
        <f t="shared" si="77"/>
        <v>November 25 Week 1</v>
      </c>
      <c r="I1317" s="33" t="str">
        <f>CONCATENATE(UPPER(TableAopCalendar[[#This Row],[Month]])," ",TableAopCalendar[[#This Row],[Year]])</f>
        <v>NOVEMBER 25</v>
      </c>
      <c r="J1317" s="8" t="s">
        <v>274</v>
      </c>
      <c r="K1317" s="33" t="str">
        <f>CONCATENATE(TableAopCalendar[[#This Row],[Month for Plan]]," ",TableAopCalendar[[#This Row],[Plan]])</f>
        <v>NOVEMBER 25 PLANNED</v>
      </c>
    </row>
    <row r="1318" spans="1:11" x14ac:dyDescent="0.25">
      <c r="A1318" s="33">
        <f t="shared" si="75"/>
        <v>7</v>
      </c>
      <c r="B1318" s="34">
        <v>45968</v>
      </c>
      <c r="C1318" s="7" t="s">
        <v>117</v>
      </c>
      <c r="D1318" s="7">
        <v>25</v>
      </c>
      <c r="E1318" s="33">
        <f>DAY(TableAopCalendar[[#This Row],[Date]])</f>
        <v>7</v>
      </c>
      <c r="F131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18" s="33" t="str">
        <f t="shared" si="76"/>
        <v>Week 1</v>
      </c>
      <c r="H1318" s="33" t="str">
        <f t="shared" si="77"/>
        <v>November 25 Week 1</v>
      </c>
      <c r="I1318" s="33" t="str">
        <f>CONCATENATE(UPPER(TableAopCalendar[[#This Row],[Month]])," ",TableAopCalendar[[#This Row],[Year]])</f>
        <v>NOVEMBER 25</v>
      </c>
      <c r="J1318" s="8" t="s">
        <v>274</v>
      </c>
      <c r="K1318" s="33" t="str">
        <f>CONCATENATE(TableAopCalendar[[#This Row],[Month for Plan]]," ",TableAopCalendar[[#This Row],[Plan]])</f>
        <v>NOVEMBER 25 PLANNED</v>
      </c>
    </row>
    <row r="1319" spans="1:11" x14ac:dyDescent="0.25">
      <c r="A1319" s="33">
        <f t="shared" si="75"/>
        <v>1</v>
      </c>
      <c r="B1319" s="34">
        <v>45969</v>
      </c>
      <c r="C1319" s="7" t="s">
        <v>117</v>
      </c>
      <c r="D1319" s="7">
        <v>25</v>
      </c>
      <c r="E1319" s="33">
        <f>DAY(TableAopCalendar[[#This Row],[Date]])</f>
        <v>8</v>
      </c>
      <c r="F131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19" s="33" t="str">
        <f t="shared" si="76"/>
        <v>Week 2</v>
      </c>
      <c r="H1319" s="33" t="str">
        <f t="shared" si="77"/>
        <v>November 25 Week 2</v>
      </c>
      <c r="I1319" s="33" t="str">
        <f>CONCATENATE(UPPER(TableAopCalendar[[#This Row],[Month]])," ",TableAopCalendar[[#This Row],[Year]])</f>
        <v>NOVEMBER 25</v>
      </c>
      <c r="J1319" s="8" t="s">
        <v>274</v>
      </c>
      <c r="K1319" s="33" t="str">
        <f>CONCATENATE(TableAopCalendar[[#This Row],[Month for Plan]]," ",TableAopCalendar[[#This Row],[Plan]])</f>
        <v>NOVEMBER 25 PLANNED</v>
      </c>
    </row>
    <row r="1320" spans="1:11" x14ac:dyDescent="0.25">
      <c r="A1320" s="33">
        <f t="shared" si="75"/>
        <v>2</v>
      </c>
      <c r="B1320" s="34">
        <v>45970</v>
      </c>
      <c r="C1320" s="7" t="s">
        <v>117</v>
      </c>
      <c r="D1320" s="7">
        <v>25</v>
      </c>
      <c r="E1320" s="33">
        <f>DAY(TableAopCalendar[[#This Row],[Date]])</f>
        <v>9</v>
      </c>
      <c r="F132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20" s="33" t="str">
        <f t="shared" si="76"/>
        <v>Week 2</v>
      </c>
      <c r="H1320" s="33" t="str">
        <f t="shared" si="77"/>
        <v>November 25 Week 2</v>
      </c>
      <c r="I1320" s="33" t="str">
        <f>CONCATENATE(UPPER(TableAopCalendar[[#This Row],[Month]])," ",TableAopCalendar[[#This Row],[Year]])</f>
        <v>NOVEMBER 25</v>
      </c>
      <c r="J1320" s="8" t="s">
        <v>274</v>
      </c>
      <c r="K1320" s="33" t="str">
        <f>CONCATENATE(TableAopCalendar[[#This Row],[Month for Plan]]," ",TableAopCalendar[[#This Row],[Plan]])</f>
        <v>NOVEMBER 25 PLANNED</v>
      </c>
    </row>
    <row r="1321" spans="1:11" x14ac:dyDescent="0.25">
      <c r="A1321" s="33">
        <f t="shared" si="75"/>
        <v>3</v>
      </c>
      <c r="B1321" s="34">
        <v>45971</v>
      </c>
      <c r="C1321" s="7" t="s">
        <v>117</v>
      </c>
      <c r="D1321" s="7">
        <v>25</v>
      </c>
      <c r="E1321" s="33">
        <f>DAY(TableAopCalendar[[#This Row],[Date]])</f>
        <v>10</v>
      </c>
      <c r="F132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21" s="33" t="str">
        <f t="shared" si="76"/>
        <v>Week 2</v>
      </c>
      <c r="H1321" s="33" t="str">
        <f t="shared" si="77"/>
        <v>November 25 Week 2</v>
      </c>
      <c r="I1321" s="33" t="str">
        <f>CONCATENATE(UPPER(TableAopCalendar[[#This Row],[Month]])," ",TableAopCalendar[[#This Row],[Year]])</f>
        <v>NOVEMBER 25</v>
      </c>
      <c r="J1321" s="8" t="s">
        <v>274</v>
      </c>
      <c r="K1321" s="33" t="str">
        <f>CONCATENATE(TableAopCalendar[[#This Row],[Month for Plan]]," ",TableAopCalendar[[#This Row],[Plan]])</f>
        <v>NOVEMBER 25 PLANNED</v>
      </c>
    </row>
    <row r="1322" spans="1:11" x14ac:dyDescent="0.25">
      <c r="A1322" s="33">
        <f t="shared" si="75"/>
        <v>4</v>
      </c>
      <c r="B1322" s="34">
        <v>45972</v>
      </c>
      <c r="C1322" s="7" t="s">
        <v>117</v>
      </c>
      <c r="D1322" s="7">
        <v>25</v>
      </c>
      <c r="E1322" s="33">
        <f>DAY(TableAopCalendar[[#This Row],[Date]])</f>
        <v>11</v>
      </c>
      <c r="F132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22" s="33" t="str">
        <f t="shared" si="76"/>
        <v>Week 2</v>
      </c>
      <c r="H1322" s="33" t="str">
        <f t="shared" si="77"/>
        <v>November 25 Week 2</v>
      </c>
      <c r="I1322" s="33" t="str">
        <f>CONCATENATE(UPPER(TableAopCalendar[[#This Row],[Month]])," ",TableAopCalendar[[#This Row],[Year]])</f>
        <v>NOVEMBER 25</v>
      </c>
      <c r="J1322" s="8" t="s">
        <v>274</v>
      </c>
      <c r="K1322" s="33" t="str">
        <f>CONCATENATE(TableAopCalendar[[#This Row],[Month for Plan]]," ",TableAopCalendar[[#This Row],[Plan]])</f>
        <v>NOVEMBER 25 PLANNED</v>
      </c>
    </row>
    <row r="1323" spans="1:11" x14ac:dyDescent="0.25">
      <c r="A1323" s="33">
        <f t="shared" si="75"/>
        <v>5</v>
      </c>
      <c r="B1323" s="34">
        <v>45973</v>
      </c>
      <c r="C1323" s="7" t="s">
        <v>117</v>
      </c>
      <c r="D1323" s="7">
        <v>25</v>
      </c>
      <c r="E1323" s="33">
        <f>DAY(TableAopCalendar[[#This Row],[Date]])</f>
        <v>12</v>
      </c>
      <c r="F132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23" s="33" t="str">
        <f t="shared" si="76"/>
        <v>Week 2</v>
      </c>
      <c r="H1323" s="33" t="str">
        <f t="shared" si="77"/>
        <v>November 25 Week 2</v>
      </c>
      <c r="I1323" s="33" t="str">
        <f>CONCATENATE(UPPER(TableAopCalendar[[#This Row],[Month]])," ",TableAopCalendar[[#This Row],[Year]])</f>
        <v>NOVEMBER 25</v>
      </c>
      <c r="J1323" s="8" t="s">
        <v>274</v>
      </c>
      <c r="K1323" s="33" t="str">
        <f>CONCATENATE(TableAopCalendar[[#This Row],[Month for Plan]]," ",TableAopCalendar[[#This Row],[Plan]])</f>
        <v>NOVEMBER 25 PLANNED</v>
      </c>
    </row>
    <row r="1324" spans="1:11" x14ac:dyDescent="0.25">
      <c r="A1324" s="33">
        <f t="shared" si="75"/>
        <v>6</v>
      </c>
      <c r="B1324" s="34">
        <v>45974</v>
      </c>
      <c r="C1324" s="7" t="s">
        <v>117</v>
      </c>
      <c r="D1324" s="7">
        <v>25</v>
      </c>
      <c r="E1324" s="33">
        <f>DAY(TableAopCalendar[[#This Row],[Date]])</f>
        <v>13</v>
      </c>
      <c r="F132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24" s="33" t="str">
        <f t="shared" si="76"/>
        <v>Week 2</v>
      </c>
      <c r="H1324" s="33" t="str">
        <f t="shared" si="77"/>
        <v>November 25 Week 2</v>
      </c>
      <c r="I1324" s="33" t="str">
        <f>CONCATENATE(UPPER(TableAopCalendar[[#This Row],[Month]])," ",TableAopCalendar[[#This Row],[Year]])</f>
        <v>NOVEMBER 25</v>
      </c>
      <c r="J1324" s="8" t="s">
        <v>274</v>
      </c>
      <c r="K1324" s="33" t="str">
        <f>CONCATENATE(TableAopCalendar[[#This Row],[Month for Plan]]," ",TableAopCalendar[[#This Row],[Plan]])</f>
        <v>NOVEMBER 25 PLANNED</v>
      </c>
    </row>
    <row r="1325" spans="1:11" x14ac:dyDescent="0.25">
      <c r="A1325" s="33">
        <f t="shared" si="75"/>
        <v>7</v>
      </c>
      <c r="B1325" s="34">
        <v>45975</v>
      </c>
      <c r="C1325" s="7" t="s">
        <v>117</v>
      </c>
      <c r="D1325" s="7">
        <v>25</v>
      </c>
      <c r="E1325" s="33">
        <f>DAY(TableAopCalendar[[#This Row],[Date]])</f>
        <v>14</v>
      </c>
      <c r="F132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25" s="33" t="str">
        <f t="shared" si="76"/>
        <v>Week 2</v>
      </c>
      <c r="H1325" s="33" t="str">
        <f t="shared" si="77"/>
        <v>November 25 Week 2</v>
      </c>
      <c r="I1325" s="33" t="str">
        <f>CONCATENATE(UPPER(TableAopCalendar[[#This Row],[Month]])," ",TableAopCalendar[[#This Row],[Year]])</f>
        <v>NOVEMBER 25</v>
      </c>
      <c r="J1325" s="8" t="s">
        <v>274</v>
      </c>
      <c r="K1325" s="33" t="str">
        <f>CONCATENATE(TableAopCalendar[[#This Row],[Month for Plan]]," ",TableAopCalendar[[#This Row],[Plan]])</f>
        <v>NOVEMBER 25 PLANNED</v>
      </c>
    </row>
    <row r="1326" spans="1:11" x14ac:dyDescent="0.25">
      <c r="A1326" s="33">
        <f t="shared" si="75"/>
        <v>1</v>
      </c>
      <c r="B1326" s="34">
        <v>45976</v>
      </c>
      <c r="C1326" s="7" t="s">
        <v>117</v>
      </c>
      <c r="D1326" s="7">
        <v>25</v>
      </c>
      <c r="E1326" s="33">
        <f>DAY(TableAopCalendar[[#This Row],[Date]])</f>
        <v>15</v>
      </c>
      <c r="F132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26" s="33" t="str">
        <f t="shared" si="76"/>
        <v>Week 3</v>
      </c>
      <c r="H1326" s="33" t="str">
        <f t="shared" si="77"/>
        <v>November 25 Week 3</v>
      </c>
      <c r="I1326" s="33" t="str">
        <f>CONCATENATE(UPPER(TableAopCalendar[[#This Row],[Month]])," ",TableAopCalendar[[#This Row],[Year]])</f>
        <v>NOVEMBER 25</v>
      </c>
      <c r="J1326" s="8" t="s">
        <v>274</v>
      </c>
      <c r="K1326" s="33" t="str">
        <f>CONCATENATE(TableAopCalendar[[#This Row],[Month for Plan]]," ",TableAopCalendar[[#This Row],[Plan]])</f>
        <v>NOVEMBER 25 PLANNED</v>
      </c>
    </row>
    <row r="1327" spans="1:11" x14ac:dyDescent="0.25">
      <c r="A1327" s="33">
        <f t="shared" si="75"/>
        <v>2</v>
      </c>
      <c r="B1327" s="34">
        <v>45977</v>
      </c>
      <c r="C1327" s="7" t="s">
        <v>117</v>
      </c>
      <c r="D1327" s="7">
        <v>25</v>
      </c>
      <c r="E1327" s="33">
        <f>DAY(TableAopCalendar[[#This Row],[Date]])</f>
        <v>16</v>
      </c>
      <c r="F132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27" s="33" t="str">
        <f t="shared" si="76"/>
        <v>Week 3</v>
      </c>
      <c r="H1327" s="33" t="str">
        <f t="shared" si="77"/>
        <v>November 25 Week 3</v>
      </c>
      <c r="I1327" s="33" t="str">
        <f>CONCATENATE(UPPER(TableAopCalendar[[#This Row],[Month]])," ",TableAopCalendar[[#This Row],[Year]])</f>
        <v>NOVEMBER 25</v>
      </c>
      <c r="J1327" s="8" t="s">
        <v>274</v>
      </c>
      <c r="K1327" s="33" t="str">
        <f>CONCATENATE(TableAopCalendar[[#This Row],[Month for Plan]]," ",TableAopCalendar[[#This Row],[Plan]])</f>
        <v>NOVEMBER 25 PLANNED</v>
      </c>
    </row>
    <row r="1328" spans="1:11" x14ac:dyDescent="0.25">
      <c r="A1328" s="33">
        <f t="shared" si="75"/>
        <v>3</v>
      </c>
      <c r="B1328" s="34">
        <v>45978</v>
      </c>
      <c r="C1328" s="7" t="s">
        <v>117</v>
      </c>
      <c r="D1328" s="7">
        <v>25</v>
      </c>
      <c r="E1328" s="33">
        <f>DAY(TableAopCalendar[[#This Row],[Date]])</f>
        <v>17</v>
      </c>
      <c r="F132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28" s="33" t="str">
        <f t="shared" si="76"/>
        <v>Week 3</v>
      </c>
      <c r="H1328" s="33" t="str">
        <f t="shared" si="77"/>
        <v>November 25 Week 3</v>
      </c>
      <c r="I1328" s="33" t="str">
        <f>CONCATENATE(UPPER(TableAopCalendar[[#This Row],[Month]])," ",TableAopCalendar[[#This Row],[Year]])</f>
        <v>NOVEMBER 25</v>
      </c>
      <c r="J1328" s="8" t="s">
        <v>274</v>
      </c>
      <c r="K1328" s="33" t="str">
        <f>CONCATENATE(TableAopCalendar[[#This Row],[Month for Plan]]," ",TableAopCalendar[[#This Row],[Plan]])</f>
        <v>NOVEMBER 25 PLANNED</v>
      </c>
    </row>
    <row r="1329" spans="1:11" x14ac:dyDescent="0.25">
      <c r="A1329" s="33">
        <f t="shared" si="75"/>
        <v>4</v>
      </c>
      <c r="B1329" s="34">
        <v>45979</v>
      </c>
      <c r="C1329" s="7" t="s">
        <v>117</v>
      </c>
      <c r="D1329" s="7">
        <v>25</v>
      </c>
      <c r="E1329" s="33">
        <f>DAY(TableAopCalendar[[#This Row],[Date]])</f>
        <v>18</v>
      </c>
      <c r="F132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29" s="33" t="str">
        <f t="shared" si="76"/>
        <v>Week 3</v>
      </c>
      <c r="H1329" s="33" t="str">
        <f t="shared" si="77"/>
        <v>November 25 Week 3</v>
      </c>
      <c r="I1329" s="33" t="str">
        <f>CONCATENATE(UPPER(TableAopCalendar[[#This Row],[Month]])," ",TableAopCalendar[[#This Row],[Year]])</f>
        <v>NOVEMBER 25</v>
      </c>
      <c r="J1329" s="8" t="s">
        <v>274</v>
      </c>
      <c r="K1329" s="33" t="str">
        <f>CONCATENATE(TableAopCalendar[[#This Row],[Month for Plan]]," ",TableAopCalendar[[#This Row],[Plan]])</f>
        <v>NOVEMBER 25 PLANNED</v>
      </c>
    </row>
    <row r="1330" spans="1:11" x14ac:dyDescent="0.25">
      <c r="A1330" s="33">
        <f t="shared" si="75"/>
        <v>5</v>
      </c>
      <c r="B1330" s="34">
        <v>45980</v>
      </c>
      <c r="C1330" s="7" t="s">
        <v>117</v>
      </c>
      <c r="D1330" s="7">
        <v>25</v>
      </c>
      <c r="E1330" s="33">
        <f>DAY(TableAopCalendar[[#This Row],[Date]])</f>
        <v>19</v>
      </c>
      <c r="F133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30" s="33" t="str">
        <f t="shared" si="76"/>
        <v>Week 3</v>
      </c>
      <c r="H1330" s="33" t="str">
        <f t="shared" si="77"/>
        <v>November 25 Week 3</v>
      </c>
      <c r="I1330" s="33" t="str">
        <f>CONCATENATE(UPPER(TableAopCalendar[[#This Row],[Month]])," ",TableAopCalendar[[#This Row],[Year]])</f>
        <v>NOVEMBER 25</v>
      </c>
      <c r="J1330" s="8" t="s">
        <v>274</v>
      </c>
      <c r="K1330" s="33" t="str">
        <f>CONCATENATE(TableAopCalendar[[#This Row],[Month for Plan]]," ",TableAopCalendar[[#This Row],[Plan]])</f>
        <v>NOVEMBER 25 PLANNED</v>
      </c>
    </row>
    <row r="1331" spans="1:11" x14ac:dyDescent="0.25">
      <c r="A1331" s="33">
        <f t="shared" si="75"/>
        <v>6</v>
      </c>
      <c r="B1331" s="34">
        <v>45981</v>
      </c>
      <c r="C1331" s="7" t="s">
        <v>117</v>
      </c>
      <c r="D1331" s="7">
        <v>25</v>
      </c>
      <c r="E1331" s="33">
        <f>DAY(TableAopCalendar[[#This Row],[Date]])</f>
        <v>20</v>
      </c>
      <c r="F133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31" s="33" t="str">
        <f t="shared" si="76"/>
        <v>Week 3</v>
      </c>
      <c r="H1331" s="33" t="str">
        <f t="shared" si="77"/>
        <v>November 25 Week 3</v>
      </c>
      <c r="I1331" s="33" t="str">
        <f>CONCATENATE(UPPER(TableAopCalendar[[#This Row],[Month]])," ",TableAopCalendar[[#This Row],[Year]])</f>
        <v>NOVEMBER 25</v>
      </c>
      <c r="J1331" s="8" t="s">
        <v>274</v>
      </c>
      <c r="K1331" s="33" t="str">
        <f>CONCATENATE(TableAopCalendar[[#This Row],[Month for Plan]]," ",TableAopCalendar[[#This Row],[Plan]])</f>
        <v>NOVEMBER 25 PLANNED</v>
      </c>
    </row>
    <row r="1332" spans="1:11" x14ac:dyDescent="0.25">
      <c r="A1332" s="33">
        <f t="shared" si="75"/>
        <v>7</v>
      </c>
      <c r="B1332" s="34">
        <v>45982</v>
      </c>
      <c r="C1332" s="7" t="s">
        <v>117</v>
      </c>
      <c r="D1332" s="7">
        <v>25</v>
      </c>
      <c r="E1332" s="33">
        <f>DAY(TableAopCalendar[[#This Row],[Date]])</f>
        <v>21</v>
      </c>
      <c r="F133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32" s="33" t="str">
        <f t="shared" si="76"/>
        <v>Week 3</v>
      </c>
      <c r="H1332" s="33" t="str">
        <f t="shared" si="77"/>
        <v>November 25 Week 3</v>
      </c>
      <c r="I1332" s="33" t="str">
        <f>CONCATENATE(UPPER(TableAopCalendar[[#This Row],[Month]])," ",TableAopCalendar[[#This Row],[Year]])</f>
        <v>NOVEMBER 25</v>
      </c>
      <c r="J1332" s="8" t="s">
        <v>274</v>
      </c>
      <c r="K1332" s="33" t="str">
        <f>CONCATENATE(TableAopCalendar[[#This Row],[Month for Plan]]," ",TableAopCalendar[[#This Row],[Plan]])</f>
        <v>NOVEMBER 25 PLANNED</v>
      </c>
    </row>
    <row r="1333" spans="1:11" x14ac:dyDescent="0.25">
      <c r="A1333" s="33">
        <f t="shared" si="75"/>
        <v>1</v>
      </c>
      <c r="B1333" s="34">
        <v>45983</v>
      </c>
      <c r="C1333" s="7" t="s">
        <v>117</v>
      </c>
      <c r="D1333" s="7">
        <v>25</v>
      </c>
      <c r="E1333" s="33">
        <f>DAY(TableAopCalendar[[#This Row],[Date]])</f>
        <v>22</v>
      </c>
      <c r="F133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33" s="33" t="str">
        <f t="shared" si="76"/>
        <v>Week 4</v>
      </c>
      <c r="H1333" s="33" t="str">
        <f t="shared" si="77"/>
        <v>November 25 Week 4</v>
      </c>
      <c r="I1333" s="33" t="str">
        <f>CONCATENATE(UPPER(TableAopCalendar[[#This Row],[Month]])," ",TableAopCalendar[[#This Row],[Year]])</f>
        <v>NOVEMBER 25</v>
      </c>
      <c r="J1333" s="8" t="s">
        <v>274</v>
      </c>
      <c r="K1333" s="33" t="str">
        <f>CONCATENATE(TableAopCalendar[[#This Row],[Month for Plan]]," ",TableAopCalendar[[#This Row],[Plan]])</f>
        <v>NOVEMBER 25 PLANNED</v>
      </c>
    </row>
    <row r="1334" spans="1:11" x14ac:dyDescent="0.25">
      <c r="A1334" s="33">
        <f t="shared" si="75"/>
        <v>2</v>
      </c>
      <c r="B1334" s="34">
        <v>45984</v>
      </c>
      <c r="C1334" s="7" t="s">
        <v>117</v>
      </c>
      <c r="D1334" s="7">
        <v>25</v>
      </c>
      <c r="E1334" s="33">
        <f>DAY(TableAopCalendar[[#This Row],[Date]])</f>
        <v>23</v>
      </c>
      <c r="F133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34" s="33" t="str">
        <f t="shared" si="76"/>
        <v>Week 4</v>
      </c>
      <c r="H1334" s="33" t="str">
        <f t="shared" si="77"/>
        <v>November 25 Week 4</v>
      </c>
      <c r="I1334" s="33" t="str">
        <f>CONCATENATE(UPPER(TableAopCalendar[[#This Row],[Month]])," ",TableAopCalendar[[#This Row],[Year]])</f>
        <v>NOVEMBER 25</v>
      </c>
      <c r="J1334" s="8" t="s">
        <v>274</v>
      </c>
      <c r="K1334" s="33" t="str">
        <f>CONCATENATE(TableAopCalendar[[#This Row],[Month for Plan]]," ",TableAopCalendar[[#This Row],[Plan]])</f>
        <v>NOVEMBER 25 PLANNED</v>
      </c>
    </row>
    <row r="1335" spans="1:11" x14ac:dyDescent="0.25">
      <c r="A1335" s="33">
        <f t="shared" si="75"/>
        <v>3</v>
      </c>
      <c r="B1335" s="34">
        <v>45985</v>
      </c>
      <c r="C1335" s="7" t="s">
        <v>117</v>
      </c>
      <c r="D1335" s="7">
        <v>25</v>
      </c>
      <c r="E1335" s="33">
        <f>DAY(TableAopCalendar[[#This Row],[Date]])</f>
        <v>24</v>
      </c>
      <c r="F133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35" s="33" t="str">
        <f t="shared" si="76"/>
        <v>Week 4</v>
      </c>
      <c r="H1335" s="33" t="str">
        <f t="shared" si="77"/>
        <v>November 25 Week 4</v>
      </c>
      <c r="I1335" s="33" t="str">
        <f>CONCATENATE(UPPER(TableAopCalendar[[#This Row],[Month]])," ",TableAopCalendar[[#This Row],[Year]])</f>
        <v>NOVEMBER 25</v>
      </c>
      <c r="J1335" s="8" t="s">
        <v>274</v>
      </c>
      <c r="K1335" s="33" t="str">
        <f>CONCATENATE(TableAopCalendar[[#This Row],[Month for Plan]]," ",TableAopCalendar[[#This Row],[Plan]])</f>
        <v>NOVEMBER 25 PLANNED</v>
      </c>
    </row>
    <row r="1336" spans="1:11" x14ac:dyDescent="0.25">
      <c r="A1336" s="33">
        <f t="shared" si="75"/>
        <v>4</v>
      </c>
      <c r="B1336" s="34">
        <v>45986</v>
      </c>
      <c r="C1336" s="7" t="s">
        <v>117</v>
      </c>
      <c r="D1336" s="7">
        <v>25</v>
      </c>
      <c r="E1336" s="33">
        <f>DAY(TableAopCalendar[[#This Row],[Date]])</f>
        <v>25</v>
      </c>
      <c r="F133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36" s="33" t="str">
        <f t="shared" si="76"/>
        <v>Week 4</v>
      </c>
      <c r="H1336" s="33" t="str">
        <f t="shared" si="77"/>
        <v>November 25 Week 4</v>
      </c>
      <c r="I1336" s="33" t="str">
        <f>CONCATENATE(UPPER(TableAopCalendar[[#This Row],[Month]])," ",TableAopCalendar[[#This Row],[Year]])</f>
        <v>NOVEMBER 25</v>
      </c>
      <c r="J1336" s="8" t="s">
        <v>274</v>
      </c>
      <c r="K1336" s="33" t="str">
        <f>CONCATENATE(TableAopCalendar[[#This Row],[Month for Plan]]," ",TableAopCalendar[[#This Row],[Plan]])</f>
        <v>NOVEMBER 25 PLANNED</v>
      </c>
    </row>
    <row r="1337" spans="1:11" x14ac:dyDescent="0.25">
      <c r="A1337" s="33">
        <f t="shared" si="75"/>
        <v>5</v>
      </c>
      <c r="B1337" s="34">
        <v>45987</v>
      </c>
      <c r="C1337" s="7" t="s">
        <v>117</v>
      </c>
      <c r="D1337" s="7">
        <v>25</v>
      </c>
      <c r="E1337" s="33">
        <f>DAY(TableAopCalendar[[#This Row],[Date]])</f>
        <v>26</v>
      </c>
      <c r="F133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37" s="33" t="str">
        <f t="shared" si="76"/>
        <v>Week 4</v>
      </c>
      <c r="H1337" s="33" t="str">
        <f t="shared" si="77"/>
        <v>November 25 Week 4</v>
      </c>
      <c r="I1337" s="33" t="str">
        <f>CONCATENATE(UPPER(TableAopCalendar[[#This Row],[Month]])," ",TableAopCalendar[[#This Row],[Year]])</f>
        <v>NOVEMBER 25</v>
      </c>
      <c r="J1337" s="8" t="s">
        <v>274</v>
      </c>
      <c r="K1337" s="33" t="str">
        <f>CONCATENATE(TableAopCalendar[[#This Row],[Month for Plan]]," ",TableAopCalendar[[#This Row],[Plan]])</f>
        <v>NOVEMBER 25 PLANNED</v>
      </c>
    </row>
    <row r="1338" spans="1:11" x14ac:dyDescent="0.25">
      <c r="A1338" s="33">
        <f t="shared" si="75"/>
        <v>6</v>
      </c>
      <c r="B1338" s="34">
        <v>45988</v>
      </c>
      <c r="C1338" s="7" t="s">
        <v>117</v>
      </c>
      <c r="D1338" s="7">
        <v>25</v>
      </c>
      <c r="E1338" s="33">
        <f>DAY(TableAopCalendar[[#This Row],[Date]])</f>
        <v>27</v>
      </c>
      <c r="F133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38" s="33" t="str">
        <f t="shared" si="76"/>
        <v>Week 4</v>
      </c>
      <c r="H1338" s="33" t="str">
        <f t="shared" si="77"/>
        <v>November 25 Week 4</v>
      </c>
      <c r="I1338" s="33" t="str">
        <f>CONCATENATE(UPPER(TableAopCalendar[[#This Row],[Month]])," ",TableAopCalendar[[#This Row],[Year]])</f>
        <v>NOVEMBER 25</v>
      </c>
      <c r="J1338" s="8" t="s">
        <v>274</v>
      </c>
      <c r="K1338" s="33" t="str">
        <f>CONCATENATE(TableAopCalendar[[#This Row],[Month for Plan]]," ",TableAopCalendar[[#This Row],[Plan]])</f>
        <v>NOVEMBER 25 PLANNED</v>
      </c>
    </row>
    <row r="1339" spans="1:11" x14ac:dyDescent="0.25">
      <c r="A1339" s="33">
        <f t="shared" si="75"/>
        <v>7</v>
      </c>
      <c r="B1339" s="34">
        <v>45989</v>
      </c>
      <c r="C1339" s="7" t="s">
        <v>117</v>
      </c>
      <c r="D1339" s="7">
        <v>25</v>
      </c>
      <c r="E1339" s="33">
        <f>DAY(TableAopCalendar[[#This Row],[Date]])</f>
        <v>28</v>
      </c>
      <c r="F133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39" s="33" t="str">
        <f t="shared" si="76"/>
        <v>Week 4</v>
      </c>
      <c r="H1339" s="33" t="str">
        <f t="shared" si="77"/>
        <v>November 25 Week 4</v>
      </c>
      <c r="I1339" s="33" t="str">
        <f>CONCATENATE(UPPER(TableAopCalendar[[#This Row],[Month]])," ",TableAopCalendar[[#This Row],[Year]])</f>
        <v>NOVEMBER 25</v>
      </c>
      <c r="J1339" s="8" t="s">
        <v>274</v>
      </c>
      <c r="K1339" s="33" t="str">
        <f>CONCATENATE(TableAopCalendar[[#This Row],[Month for Plan]]," ",TableAopCalendar[[#This Row],[Plan]])</f>
        <v>NOVEMBER 25 PLANNED</v>
      </c>
    </row>
    <row r="1340" spans="1:11" x14ac:dyDescent="0.25">
      <c r="A1340" s="33">
        <f t="shared" si="75"/>
        <v>1</v>
      </c>
      <c r="B1340" s="34">
        <v>45990</v>
      </c>
      <c r="C1340" s="7" t="s">
        <v>117</v>
      </c>
      <c r="D1340" s="7">
        <v>25</v>
      </c>
      <c r="E1340" s="33">
        <f>DAY(TableAopCalendar[[#This Row],[Date]])</f>
        <v>29</v>
      </c>
      <c r="F1340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40" s="33" t="str">
        <f t="shared" si="76"/>
        <v>Week 5</v>
      </c>
      <c r="H1340" s="33" t="str">
        <f t="shared" si="77"/>
        <v>November 25 Week 5</v>
      </c>
      <c r="I1340" s="33" t="str">
        <f>CONCATENATE(UPPER(TableAopCalendar[[#This Row],[Month]])," ",TableAopCalendar[[#This Row],[Year]])</f>
        <v>NOVEMBER 25</v>
      </c>
      <c r="J1340" s="8" t="s">
        <v>274</v>
      </c>
      <c r="K1340" s="33" t="str">
        <f>CONCATENATE(TableAopCalendar[[#This Row],[Month for Plan]]," ",TableAopCalendar[[#This Row],[Plan]])</f>
        <v>NOVEMBER 25 PLANNED</v>
      </c>
    </row>
    <row r="1341" spans="1:11" x14ac:dyDescent="0.25">
      <c r="A1341" s="33">
        <f t="shared" si="75"/>
        <v>2</v>
      </c>
      <c r="B1341" s="34">
        <v>45991</v>
      </c>
      <c r="C1341" s="7" t="s">
        <v>117</v>
      </c>
      <c r="D1341" s="7">
        <v>25</v>
      </c>
      <c r="E1341" s="33">
        <f>DAY(TableAopCalendar[[#This Row],[Date]])</f>
        <v>30</v>
      </c>
      <c r="F134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41" s="33" t="str">
        <f t="shared" si="76"/>
        <v>Week 5</v>
      </c>
      <c r="H1341" s="33" t="str">
        <f t="shared" si="77"/>
        <v>November 25 Week 5</v>
      </c>
      <c r="I1341" s="33" t="str">
        <f>CONCATENATE(UPPER(TableAopCalendar[[#This Row],[Month]])," ",TableAopCalendar[[#This Row],[Year]])</f>
        <v>NOVEMBER 25</v>
      </c>
      <c r="J1341" s="8" t="s">
        <v>274</v>
      </c>
      <c r="K1341" s="33" t="str">
        <f>CONCATENATE(TableAopCalendar[[#This Row],[Month for Plan]]," ",TableAopCalendar[[#This Row],[Plan]])</f>
        <v>NOVEMBER 25 PLANNED</v>
      </c>
    </row>
    <row r="1342" spans="1:11" x14ac:dyDescent="0.25">
      <c r="A1342" s="33">
        <f t="shared" si="75"/>
        <v>1</v>
      </c>
      <c r="B1342" s="34">
        <v>45992</v>
      </c>
      <c r="C1342" s="7" t="s">
        <v>270</v>
      </c>
      <c r="D1342" s="7">
        <v>25</v>
      </c>
      <c r="E1342" s="33">
        <f>DAY(TableAopCalendar[[#This Row],[Date]])</f>
        <v>1</v>
      </c>
      <c r="F134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42" s="33" t="str">
        <f t="shared" si="76"/>
        <v>Week 1</v>
      </c>
      <c r="H1342" s="33" t="str">
        <f t="shared" si="77"/>
        <v>December 25 Week 1</v>
      </c>
      <c r="I1342" s="33" t="str">
        <f>CONCATENATE(UPPER(TableAopCalendar[[#This Row],[Month]])," ",TableAopCalendar[[#This Row],[Year]])</f>
        <v>DECEMBER 25</v>
      </c>
      <c r="J1342" s="8" t="s">
        <v>274</v>
      </c>
      <c r="K1342" s="33" t="str">
        <f>CONCATENATE(TableAopCalendar[[#This Row],[Month for Plan]]," ",TableAopCalendar[[#This Row],[Plan]])</f>
        <v>DECEMBER 25 PLANNED</v>
      </c>
    </row>
    <row r="1343" spans="1:11" x14ac:dyDescent="0.25">
      <c r="A1343" s="33">
        <f t="shared" si="75"/>
        <v>2</v>
      </c>
      <c r="B1343" s="34">
        <v>45993</v>
      </c>
      <c r="C1343" s="7" t="s">
        <v>270</v>
      </c>
      <c r="D1343" s="7">
        <v>25</v>
      </c>
      <c r="E1343" s="33">
        <f>DAY(TableAopCalendar[[#This Row],[Date]])</f>
        <v>2</v>
      </c>
      <c r="F134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43" s="33" t="str">
        <f t="shared" si="76"/>
        <v>Week 1</v>
      </c>
      <c r="H1343" s="33" t="str">
        <f t="shared" si="77"/>
        <v>December 25 Week 1</v>
      </c>
      <c r="I1343" s="33" t="str">
        <f>CONCATENATE(UPPER(TableAopCalendar[[#This Row],[Month]])," ",TableAopCalendar[[#This Row],[Year]])</f>
        <v>DECEMBER 25</v>
      </c>
      <c r="J1343" s="8" t="s">
        <v>274</v>
      </c>
      <c r="K1343" s="33" t="str">
        <f>CONCATENATE(TableAopCalendar[[#This Row],[Month for Plan]]," ",TableAopCalendar[[#This Row],[Plan]])</f>
        <v>DECEMBER 25 PLANNED</v>
      </c>
    </row>
    <row r="1344" spans="1:11" x14ac:dyDescent="0.25">
      <c r="A1344" s="33">
        <f t="shared" si="75"/>
        <v>3</v>
      </c>
      <c r="B1344" s="34">
        <v>45994</v>
      </c>
      <c r="C1344" s="7" t="s">
        <v>270</v>
      </c>
      <c r="D1344" s="7">
        <v>25</v>
      </c>
      <c r="E1344" s="33">
        <f>DAY(TableAopCalendar[[#This Row],[Date]])</f>
        <v>3</v>
      </c>
      <c r="F134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44" s="33" t="str">
        <f t="shared" si="76"/>
        <v>Week 1</v>
      </c>
      <c r="H1344" s="33" t="str">
        <f t="shared" si="77"/>
        <v>December 25 Week 1</v>
      </c>
      <c r="I1344" s="33" t="str">
        <f>CONCATENATE(UPPER(TableAopCalendar[[#This Row],[Month]])," ",TableAopCalendar[[#This Row],[Year]])</f>
        <v>DECEMBER 25</v>
      </c>
      <c r="J1344" s="8" t="s">
        <v>274</v>
      </c>
      <c r="K1344" s="33" t="str">
        <f>CONCATENATE(TableAopCalendar[[#This Row],[Month for Plan]]," ",TableAopCalendar[[#This Row],[Plan]])</f>
        <v>DECEMBER 25 PLANNED</v>
      </c>
    </row>
    <row r="1345" spans="1:11" x14ac:dyDescent="0.25">
      <c r="A1345" s="33">
        <f t="shared" si="75"/>
        <v>4</v>
      </c>
      <c r="B1345" s="34">
        <v>45995</v>
      </c>
      <c r="C1345" s="7" t="s">
        <v>270</v>
      </c>
      <c r="D1345" s="7">
        <v>25</v>
      </c>
      <c r="E1345" s="33">
        <f>DAY(TableAopCalendar[[#This Row],[Date]])</f>
        <v>4</v>
      </c>
      <c r="F134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45" s="33" t="str">
        <f t="shared" si="76"/>
        <v>Week 1</v>
      </c>
      <c r="H1345" s="33" t="str">
        <f t="shared" si="77"/>
        <v>December 25 Week 1</v>
      </c>
      <c r="I1345" s="33" t="str">
        <f>CONCATENATE(UPPER(TableAopCalendar[[#This Row],[Month]])," ",TableAopCalendar[[#This Row],[Year]])</f>
        <v>DECEMBER 25</v>
      </c>
      <c r="J1345" s="8" t="s">
        <v>274</v>
      </c>
      <c r="K1345" s="33" t="str">
        <f>CONCATENATE(TableAopCalendar[[#This Row],[Month for Plan]]," ",TableAopCalendar[[#This Row],[Plan]])</f>
        <v>DECEMBER 25 PLANNED</v>
      </c>
    </row>
    <row r="1346" spans="1:11" x14ac:dyDescent="0.25">
      <c r="A1346" s="33">
        <f t="shared" si="75"/>
        <v>5</v>
      </c>
      <c r="B1346" s="34">
        <v>45996</v>
      </c>
      <c r="C1346" s="7" t="s">
        <v>270</v>
      </c>
      <c r="D1346" s="7">
        <v>25</v>
      </c>
      <c r="E1346" s="33">
        <f>DAY(TableAopCalendar[[#This Row],[Date]])</f>
        <v>5</v>
      </c>
      <c r="F134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46" s="33" t="str">
        <f t="shared" si="76"/>
        <v>Week 1</v>
      </c>
      <c r="H1346" s="33" t="str">
        <f t="shared" si="77"/>
        <v>December 25 Week 1</v>
      </c>
      <c r="I1346" s="33" t="str">
        <f>CONCATENATE(UPPER(TableAopCalendar[[#This Row],[Month]])," ",TableAopCalendar[[#This Row],[Year]])</f>
        <v>DECEMBER 25</v>
      </c>
      <c r="J1346" s="8" t="s">
        <v>274</v>
      </c>
      <c r="K1346" s="33" t="str">
        <f>CONCATENATE(TableAopCalendar[[#This Row],[Month for Plan]]," ",TableAopCalendar[[#This Row],[Plan]])</f>
        <v>DECEMBER 25 PLANNED</v>
      </c>
    </row>
    <row r="1347" spans="1:11" x14ac:dyDescent="0.25">
      <c r="A1347" s="33">
        <f t="shared" si="75"/>
        <v>6</v>
      </c>
      <c r="B1347" s="34">
        <v>45997</v>
      </c>
      <c r="C1347" s="7" t="s">
        <v>270</v>
      </c>
      <c r="D1347" s="7">
        <v>25</v>
      </c>
      <c r="E1347" s="33">
        <f>DAY(TableAopCalendar[[#This Row],[Date]])</f>
        <v>6</v>
      </c>
      <c r="F134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47" s="33" t="str">
        <f t="shared" si="76"/>
        <v>Week 1</v>
      </c>
      <c r="H1347" s="33" t="str">
        <f t="shared" si="77"/>
        <v>December 25 Week 1</v>
      </c>
      <c r="I1347" s="33" t="str">
        <f>CONCATENATE(UPPER(TableAopCalendar[[#This Row],[Month]])," ",TableAopCalendar[[#This Row],[Year]])</f>
        <v>DECEMBER 25</v>
      </c>
      <c r="J1347" s="8" t="s">
        <v>274</v>
      </c>
      <c r="K1347" s="33" t="str">
        <f>CONCATENATE(TableAopCalendar[[#This Row],[Month for Plan]]," ",TableAopCalendar[[#This Row],[Plan]])</f>
        <v>DECEMBER 25 PLANNED</v>
      </c>
    </row>
    <row r="1348" spans="1:11" x14ac:dyDescent="0.25">
      <c r="A1348" s="33">
        <f t="shared" si="75"/>
        <v>7</v>
      </c>
      <c r="B1348" s="34">
        <v>45998</v>
      </c>
      <c r="C1348" s="7" t="s">
        <v>270</v>
      </c>
      <c r="D1348" s="7">
        <v>25</v>
      </c>
      <c r="E1348" s="33">
        <f>DAY(TableAopCalendar[[#This Row],[Date]])</f>
        <v>7</v>
      </c>
      <c r="F134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48" s="33" t="str">
        <f t="shared" si="76"/>
        <v>Week 1</v>
      </c>
      <c r="H1348" s="33" t="str">
        <f t="shared" si="77"/>
        <v>December 25 Week 1</v>
      </c>
      <c r="I1348" s="33" t="str">
        <f>CONCATENATE(UPPER(TableAopCalendar[[#This Row],[Month]])," ",TableAopCalendar[[#This Row],[Year]])</f>
        <v>DECEMBER 25</v>
      </c>
      <c r="J1348" s="8" t="s">
        <v>274</v>
      </c>
      <c r="K1348" s="33" t="str">
        <f>CONCATENATE(TableAopCalendar[[#This Row],[Month for Plan]]," ",TableAopCalendar[[#This Row],[Plan]])</f>
        <v>DECEMBER 25 PLANNED</v>
      </c>
    </row>
    <row r="1349" spans="1:11" x14ac:dyDescent="0.25">
      <c r="A1349" s="33">
        <f t="shared" si="75"/>
        <v>1</v>
      </c>
      <c r="B1349" s="34">
        <v>45999</v>
      </c>
      <c r="C1349" s="7" t="s">
        <v>270</v>
      </c>
      <c r="D1349" s="7">
        <v>25</v>
      </c>
      <c r="E1349" s="33">
        <f>DAY(TableAopCalendar[[#This Row],[Date]])</f>
        <v>8</v>
      </c>
      <c r="F134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49" s="33" t="str">
        <f t="shared" si="76"/>
        <v>Week 2</v>
      </c>
      <c r="H1349" s="33" t="str">
        <f t="shared" si="77"/>
        <v>December 25 Week 2</v>
      </c>
      <c r="I1349" s="33" t="str">
        <f>CONCATENATE(UPPER(TableAopCalendar[[#This Row],[Month]])," ",TableAopCalendar[[#This Row],[Year]])</f>
        <v>DECEMBER 25</v>
      </c>
      <c r="J1349" s="8" t="s">
        <v>274</v>
      </c>
      <c r="K1349" s="33" t="str">
        <f>CONCATENATE(TableAopCalendar[[#This Row],[Month for Plan]]," ",TableAopCalendar[[#This Row],[Plan]])</f>
        <v>DECEMBER 25 PLANNED</v>
      </c>
    </row>
    <row r="1350" spans="1:11" x14ac:dyDescent="0.25">
      <c r="A1350" s="33">
        <f t="shared" si="75"/>
        <v>2</v>
      </c>
      <c r="B1350" s="34">
        <v>46000</v>
      </c>
      <c r="C1350" s="7" t="s">
        <v>270</v>
      </c>
      <c r="D1350" s="7">
        <v>25</v>
      </c>
      <c r="E1350" s="33">
        <f>DAY(TableAopCalendar[[#This Row],[Date]])</f>
        <v>9</v>
      </c>
      <c r="F135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50" s="33" t="str">
        <f t="shared" si="76"/>
        <v>Week 2</v>
      </c>
      <c r="H1350" s="33" t="str">
        <f t="shared" si="77"/>
        <v>December 25 Week 2</v>
      </c>
      <c r="I1350" s="33" t="str">
        <f>CONCATENATE(UPPER(TableAopCalendar[[#This Row],[Month]])," ",TableAopCalendar[[#This Row],[Year]])</f>
        <v>DECEMBER 25</v>
      </c>
      <c r="J1350" s="8" t="s">
        <v>274</v>
      </c>
      <c r="K1350" s="33" t="str">
        <f>CONCATENATE(TableAopCalendar[[#This Row],[Month for Plan]]," ",TableAopCalendar[[#This Row],[Plan]])</f>
        <v>DECEMBER 25 PLANNED</v>
      </c>
    </row>
    <row r="1351" spans="1:11" x14ac:dyDescent="0.25">
      <c r="A1351" s="33">
        <f t="shared" si="75"/>
        <v>3</v>
      </c>
      <c r="B1351" s="34">
        <v>46001</v>
      </c>
      <c r="C1351" s="7" t="s">
        <v>270</v>
      </c>
      <c r="D1351" s="7">
        <v>25</v>
      </c>
      <c r="E1351" s="33">
        <f>DAY(TableAopCalendar[[#This Row],[Date]])</f>
        <v>10</v>
      </c>
      <c r="F135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51" s="33" t="str">
        <f t="shared" si="76"/>
        <v>Week 2</v>
      </c>
      <c r="H1351" s="33" t="str">
        <f t="shared" si="77"/>
        <v>December 25 Week 2</v>
      </c>
      <c r="I1351" s="33" t="str">
        <f>CONCATENATE(UPPER(TableAopCalendar[[#This Row],[Month]])," ",TableAopCalendar[[#This Row],[Year]])</f>
        <v>DECEMBER 25</v>
      </c>
      <c r="J1351" s="8" t="s">
        <v>274</v>
      </c>
      <c r="K1351" s="33" t="str">
        <f>CONCATENATE(TableAopCalendar[[#This Row],[Month for Plan]]," ",TableAopCalendar[[#This Row],[Plan]])</f>
        <v>DECEMBER 25 PLANNED</v>
      </c>
    </row>
    <row r="1352" spans="1:11" x14ac:dyDescent="0.25">
      <c r="A1352" s="33">
        <f t="shared" si="75"/>
        <v>4</v>
      </c>
      <c r="B1352" s="34">
        <v>46002</v>
      </c>
      <c r="C1352" s="7" t="s">
        <v>270</v>
      </c>
      <c r="D1352" s="7">
        <v>25</v>
      </c>
      <c r="E1352" s="33">
        <f>DAY(TableAopCalendar[[#This Row],[Date]])</f>
        <v>11</v>
      </c>
      <c r="F135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52" s="33" t="str">
        <f t="shared" si="76"/>
        <v>Week 2</v>
      </c>
      <c r="H1352" s="33" t="str">
        <f t="shared" si="77"/>
        <v>December 25 Week 2</v>
      </c>
      <c r="I1352" s="33" t="str">
        <f>CONCATENATE(UPPER(TableAopCalendar[[#This Row],[Month]])," ",TableAopCalendar[[#This Row],[Year]])</f>
        <v>DECEMBER 25</v>
      </c>
      <c r="J1352" s="8" t="s">
        <v>274</v>
      </c>
      <c r="K1352" s="33" t="str">
        <f>CONCATENATE(TableAopCalendar[[#This Row],[Month for Plan]]," ",TableAopCalendar[[#This Row],[Plan]])</f>
        <v>DECEMBER 25 PLANNED</v>
      </c>
    </row>
    <row r="1353" spans="1:11" x14ac:dyDescent="0.25">
      <c r="A1353" s="33">
        <f t="shared" si="75"/>
        <v>5</v>
      </c>
      <c r="B1353" s="34">
        <v>46003</v>
      </c>
      <c r="C1353" s="7" t="s">
        <v>270</v>
      </c>
      <c r="D1353" s="7">
        <v>25</v>
      </c>
      <c r="E1353" s="33">
        <f>DAY(TableAopCalendar[[#This Row],[Date]])</f>
        <v>12</v>
      </c>
      <c r="F135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53" s="33" t="str">
        <f t="shared" si="76"/>
        <v>Week 2</v>
      </c>
      <c r="H1353" s="33" t="str">
        <f t="shared" si="77"/>
        <v>December 25 Week 2</v>
      </c>
      <c r="I1353" s="33" t="str">
        <f>CONCATENATE(UPPER(TableAopCalendar[[#This Row],[Month]])," ",TableAopCalendar[[#This Row],[Year]])</f>
        <v>DECEMBER 25</v>
      </c>
      <c r="J1353" s="8" t="s">
        <v>274</v>
      </c>
      <c r="K1353" s="33" t="str">
        <f>CONCATENATE(TableAopCalendar[[#This Row],[Month for Plan]]," ",TableAopCalendar[[#This Row],[Plan]])</f>
        <v>DECEMBER 25 PLANNED</v>
      </c>
    </row>
    <row r="1354" spans="1:11" x14ac:dyDescent="0.25">
      <c r="A1354" s="33">
        <f t="shared" si="75"/>
        <v>6</v>
      </c>
      <c r="B1354" s="34">
        <v>46004</v>
      </c>
      <c r="C1354" s="7" t="s">
        <v>270</v>
      </c>
      <c r="D1354" s="7">
        <v>25</v>
      </c>
      <c r="E1354" s="33">
        <f>DAY(TableAopCalendar[[#This Row],[Date]])</f>
        <v>13</v>
      </c>
      <c r="F135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54" s="33" t="str">
        <f t="shared" si="76"/>
        <v>Week 2</v>
      </c>
      <c r="H1354" s="33" t="str">
        <f t="shared" si="77"/>
        <v>December 25 Week 2</v>
      </c>
      <c r="I1354" s="33" t="str">
        <f>CONCATENATE(UPPER(TableAopCalendar[[#This Row],[Month]])," ",TableAopCalendar[[#This Row],[Year]])</f>
        <v>DECEMBER 25</v>
      </c>
      <c r="J1354" s="8" t="s">
        <v>274</v>
      </c>
      <c r="K1354" s="33" t="str">
        <f>CONCATENATE(TableAopCalendar[[#This Row],[Month for Plan]]," ",TableAopCalendar[[#This Row],[Plan]])</f>
        <v>DECEMBER 25 PLANNED</v>
      </c>
    </row>
    <row r="1355" spans="1:11" x14ac:dyDescent="0.25">
      <c r="A1355" s="33">
        <f t="shared" ref="A1355:A1418" si="78">IF(G1355=G1354,A1354+1,1)</f>
        <v>7</v>
      </c>
      <c r="B1355" s="34">
        <v>46005</v>
      </c>
      <c r="C1355" s="7" t="s">
        <v>270</v>
      </c>
      <c r="D1355" s="7">
        <v>25</v>
      </c>
      <c r="E1355" s="33">
        <f>DAY(TableAopCalendar[[#This Row],[Date]])</f>
        <v>14</v>
      </c>
      <c r="F135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55" s="33" t="str">
        <f t="shared" ref="G1355:G1418" si="79">"Week"&amp;" "&amp;F1355</f>
        <v>Week 2</v>
      </c>
      <c r="H1355" s="33" t="str">
        <f t="shared" ref="H1355:H1418" si="80">CONCATENATE(C1355," ",D1355," ",G1355)</f>
        <v>December 25 Week 2</v>
      </c>
      <c r="I1355" s="33" t="str">
        <f>CONCATENATE(UPPER(TableAopCalendar[[#This Row],[Month]])," ",TableAopCalendar[[#This Row],[Year]])</f>
        <v>DECEMBER 25</v>
      </c>
      <c r="J1355" s="8" t="s">
        <v>274</v>
      </c>
      <c r="K1355" s="33" t="str">
        <f>CONCATENATE(TableAopCalendar[[#This Row],[Month for Plan]]," ",TableAopCalendar[[#This Row],[Plan]])</f>
        <v>DECEMBER 25 PLANNED</v>
      </c>
    </row>
    <row r="1356" spans="1:11" x14ac:dyDescent="0.25">
      <c r="A1356" s="33">
        <f t="shared" si="78"/>
        <v>1</v>
      </c>
      <c r="B1356" s="34">
        <v>46006</v>
      </c>
      <c r="C1356" s="7" t="s">
        <v>270</v>
      </c>
      <c r="D1356" s="7">
        <v>25</v>
      </c>
      <c r="E1356" s="33">
        <f>DAY(TableAopCalendar[[#This Row],[Date]])</f>
        <v>15</v>
      </c>
      <c r="F135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56" s="33" t="str">
        <f t="shared" si="79"/>
        <v>Week 3</v>
      </c>
      <c r="H1356" s="33" t="str">
        <f t="shared" si="80"/>
        <v>December 25 Week 3</v>
      </c>
      <c r="I1356" s="33" t="str">
        <f>CONCATENATE(UPPER(TableAopCalendar[[#This Row],[Month]])," ",TableAopCalendar[[#This Row],[Year]])</f>
        <v>DECEMBER 25</v>
      </c>
      <c r="J1356" s="8" t="s">
        <v>274</v>
      </c>
      <c r="K1356" s="33" t="str">
        <f>CONCATENATE(TableAopCalendar[[#This Row],[Month for Plan]]," ",TableAopCalendar[[#This Row],[Plan]])</f>
        <v>DECEMBER 25 PLANNED</v>
      </c>
    </row>
    <row r="1357" spans="1:11" x14ac:dyDescent="0.25">
      <c r="A1357" s="33">
        <f t="shared" si="78"/>
        <v>2</v>
      </c>
      <c r="B1357" s="34">
        <v>46007</v>
      </c>
      <c r="C1357" s="7" t="s">
        <v>270</v>
      </c>
      <c r="D1357" s="7">
        <v>25</v>
      </c>
      <c r="E1357" s="33">
        <f>DAY(TableAopCalendar[[#This Row],[Date]])</f>
        <v>16</v>
      </c>
      <c r="F135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57" s="33" t="str">
        <f t="shared" si="79"/>
        <v>Week 3</v>
      </c>
      <c r="H1357" s="33" t="str">
        <f t="shared" si="80"/>
        <v>December 25 Week 3</v>
      </c>
      <c r="I1357" s="33" t="str">
        <f>CONCATENATE(UPPER(TableAopCalendar[[#This Row],[Month]])," ",TableAopCalendar[[#This Row],[Year]])</f>
        <v>DECEMBER 25</v>
      </c>
      <c r="J1357" s="8" t="s">
        <v>274</v>
      </c>
      <c r="K1357" s="33" t="str">
        <f>CONCATENATE(TableAopCalendar[[#This Row],[Month for Plan]]," ",TableAopCalendar[[#This Row],[Plan]])</f>
        <v>DECEMBER 25 PLANNED</v>
      </c>
    </row>
    <row r="1358" spans="1:11" x14ac:dyDescent="0.25">
      <c r="A1358" s="33">
        <f t="shared" si="78"/>
        <v>3</v>
      </c>
      <c r="B1358" s="34">
        <v>46008</v>
      </c>
      <c r="C1358" s="7" t="s">
        <v>270</v>
      </c>
      <c r="D1358" s="7">
        <v>25</v>
      </c>
      <c r="E1358" s="33">
        <f>DAY(TableAopCalendar[[#This Row],[Date]])</f>
        <v>17</v>
      </c>
      <c r="F135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58" s="33" t="str">
        <f t="shared" si="79"/>
        <v>Week 3</v>
      </c>
      <c r="H1358" s="33" t="str">
        <f t="shared" si="80"/>
        <v>December 25 Week 3</v>
      </c>
      <c r="I1358" s="33" t="str">
        <f>CONCATENATE(UPPER(TableAopCalendar[[#This Row],[Month]])," ",TableAopCalendar[[#This Row],[Year]])</f>
        <v>DECEMBER 25</v>
      </c>
      <c r="J1358" s="8" t="s">
        <v>274</v>
      </c>
      <c r="K1358" s="33" t="str">
        <f>CONCATENATE(TableAopCalendar[[#This Row],[Month for Plan]]," ",TableAopCalendar[[#This Row],[Plan]])</f>
        <v>DECEMBER 25 PLANNED</v>
      </c>
    </row>
    <row r="1359" spans="1:11" x14ac:dyDescent="0.25">
      <c r="A1359" s="33">
        <f t="shared" si="78"/>
        <v>4</v>
      </c>
      <c r="B1359" s="34">
        <v>46009</v>
      </c>
      <c r="C1359" s="7" t="s">
        <v>270</v>
      </c>
      <c r="D1359" s="7">
        <v>25</v>
      </c>
      <c r="E1359" s="33">
        <f>DAY(TableAopCalendar[[#This Row],[Date]])</f>
        <v>18</v>
      </c>
      <c r="F135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59" s="33" t="str">
        <f t="shared" si="79"/>
        <v>Week 3</v>
      </c>
      <c r="H1359" s="33" t="str">
        <f t="shared" si="80"/>
        <v>December 25 Week 3</v>
      </c>
      <c r="I1359" s="33" t="str">
        <f>CONCATENATE(UPPER(TableAopCalendar[[#This Row],[Month]])," ",TableAopCalendar[[#This Row],[Year]])</f>
        <v>DECEMBER 25</v>
      </c>
      <c r="J1359" s="8" t="s">
        <v>274</v>
      </c>
      <c r="K1359" s="33" t="str">
        <f>CONCATENATE(TableAopCalendar[[#This Row],[Month for Plan]]," ",TableAopCalendar[[#This Row],[Plan]])</f>
        <v>DECEMBER 25 PLANNED</v>
      </c>
    </row>
    <row r="1360" spans="1:11" x14ac:dyDescent="0.25">
      <c r="A1360" s="33">
        <f t="shared" si="78"/>
        <v>5</v>
      </c>
      <c r="B1360" s="34">
        <v>46010</v>
      </c>
      <c r="C1360" s="7" t="s">
        <v>270</v>
      </c>
      <c r="D1360" s="7">
        <v>25</v>
      </c>
      <c r="E1360" s="33">
        <f>DAY(TableAopCalendar[[#This Row],[Date]])</f>
        <v>19</v>
      </c>
      <c r="F136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60" s="33" t="str">
        <f t="shared" si="79"/>
        <v>Week 3</v>
      </c>
      <c r="H1360" s="33" t="str">
        <f t="shared" si="80"/>
        <v>December 25 Week 3</v>
      </c>
      <c r="I1360" s="33" t="str">
        <f>CONCATENATE(UPPER(TableAopCalendar[[#This Row],[Month]])," ",TableAopCalendar[[#This Row],[Year]])</f>
        <v>DECEMBER 25</v>
      </c>
      <c r="J1360" s="8" t="s">
        <v>274</v>
      </c>
      <c r="K1360" s="33" t="str">
        <f>CONCATENATE(TableAopCalendar[[#This Row],[Month for Plan]]," ",TableAopCalendar[[#This Row],[Plan]])</f>
        <v>DECEMBER 25 PLANNED</v>
      </c>
    </row>
    <row r="1361" spans="1:11" x14ac:dyDescent="0.25">
      <c r="A1361" s="33">
        <f t="shared" si="78"/>
        <v>6</v>
      </c>
      <c r="B1361" s="34">
        <v>46011</v>
      </c>
      <c r="C1361" s="7" t="s">
        <v>270</v>
      </c>
      <c r="D1361" s="7">
        <v>25</v>
      </c>
      <c r="E1361" s="33">
        <f>DAY(TableAopCalendar[[#This Row],[Date]])</f>
        <v>20</v>
      </c>
      <c r="F136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61" s="33" t="str">
        <f t="shared" si="79"/>
        <v>Week 3</v>
      </c>
      <c r="H1361" s="33" t="str">
        <f t="shared" si="80"/>
        <v>December 25 Week 3</v>
      </c>
      <c r="I1361" s="33" t="str">
        <f>CONCATENATE(UPPER(TableAopCalendar[[#This Row],[Month]])," ",TableAopCalendar[[#This Row],[Year]])</f>
        <v>DECEMBER 25</v>
      </c>
      <c r="J1361" s="8" t="s">
        <v>274</v>
      </c>
      <c r="K1361" s="33" t="str">
        <f>CONCATENATE(TableAopCalendar[[#This Row],[Month for Plan]]," ",TableAopCalendar[[#This Row],[Plan]])</f>
        <v>DECEMBER 25 PLANNED</v>
      </c>
    </row>
    <row r="1362" spans="1:11" x14ac:dyDescent="0.25">
      <c r="A1362" s="33">
        <f t="shared" si="78"/>
        <v>7</v>
      </c>
      <c r="B1362" s="34">
        <v>46012</v>
      </c>
      <c r="C1362" s="7" t="s">
        <v>270</v>
      </c>
      <c r="D1362" s="7">
        <v>25</v>
      </c>
      <c r="E1362" s="33">
        <f>DAY(TableAopCalendar[[#This Row],[Date]])</f>
        <v>21</v>
      </c>
      <c r="F136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62" s="33" t="str">
        <f t="shared" si="79"/>
        <v>Week 3</v>
      </c>
      <c r="H1362" s="33" t="str">
        <f t="shared" si="80"/>
        <v>December 25 Week 3</v>
      </c>
      <c r="I1362" s="33" t="str">
        <f>CONCATENATE(UPPER(TableAopCalendar[[#This Row],[Month]])," ",TableAopCalendar[[#This Row],[Year]])</f>
        <v>DECEMBER 25</v>
      </c>
      <c r="J1362" s="8" t="s">
        <v>274</v>
      </c>
      <c r="K1362" s="33" t="str">
        <f>CONCATENATE(TableAopCalendar[[#This Row],[Month for Plan]]," ",TableAopCalendar[[#This Row],[Plan]])</f>
        <v>DECEMBER 25 PLANNED</v>
      </c>
    </row>
    <row r="1363" spans="1:11" x14ac:dyDescent="0.25">
      <c r="A1363" s="33">
        <f t="shared" si="78"/>
        <v>1</v>
      </c>
      <c r="B1363" s="34">
        <v>46013</v>
      </c>
      <c r="C1363" s="7" t="s">
        <v>270</v>
      </c>
      <c r="D1363" s="7">
        <v>25</v>
      </c>
      <c r="E1363" s="33">
        <f>DAY(TableAopCalendar[[#This Row],[Date]])</f>
        <v>22</v>
      </c>
      <c r="F136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63" s="33" t="str">
        <f t="shared" si="79"/>
        <v>Week 4</v>
      </c>
      <c r="H1363" s="33" t="str">
        <f t="shared" si="80"/>
        <v>December 25 Week 4</v>
      </c>
      <c r="I1363" s="33" t="str">
        <f>CONCATENATE(UPPER(TableAopCalendar[[#This Row],[Month]])," ",TableAopCalendar[[#This Row],[Year]])</f>
        <v>DECEMBER 25</v>
      </c>
      <c r="J1363" s="8" t="s">
        <v>274</v>
      </c>
      <c r="K1363" s="33" t="str">
        <f>CONCATENATE(TableAopCalendar[[#This Row],[Month for Plan]]," ",TableAopCalendar[[#This Row],[Plan]])</f>
        <v>DECEMBER 25 PLANNED</v>
      </c>
    </row>
    <row r="1364" spans="1:11" x14ac:dyDescent="0.25">
      <c r="A1364" s="33">
        <f t="shared" si="78"/>
        <v>2</v>
      </c>
      <c r="B1364" s="34">
        <v>46014</v>
      </c>
      <c r="C1364" s="7" t="s">
        <v>270</v>
      </c>
      <c r="D1364" s="7">
        <v>25</v>
      </c>
      <c r="E1364" s="33">
        <f>DAY(TableAopCalendar[[#This Row],[Date]])</f>
        <v>23</v>
      </c>
      <c r="F136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64" s="33" t="str">
        <f t="shared" si="79"/>
        <v>Week 4</v>
      </c>
      <c r="H1364" s="33" t="str">
        <f t="shared" si="80"/>
        <v>December 25 Week 4</v>
      </c>
      <c r="I1364" s="33" t="str">
        <f>CONCATENATE(UPPER(TableAopCalendar[[#This Row],[Month]])," ",TableAopCalendar[[#This Row],[Year]])</f>
        <v>DECEMBER 25</v>
      </c>
      <c r="J1364" s="8" t="s">
        <v>274</v>
      </c>
      <c r="K1364" s="33" t="str">
        <f>CONCATENATE(TableAopCalendar[[#This Row],[Month for Plan]]," ",TableAopCalendar[[#This Row],[Plan]])</f>
        <v>DECEMBER 25 PLANNED</v>
      </c>
    </row>
    <row r="1365" spans="1:11" x14ac:dyDescent="0.25">
      <c r="A1365" s="33">
        <f t="shared" si="78"/>
        <v>3</v>
      </c>
      <c r="B1365" s="34">
        <v>46015</v>
      </c>
      <c r="C1365" s="7" t="s">
        <v>270</v>
      </c>
      <c r="D1365" s="7">
        <v>25</v>
      </c>
      <c r="E1365" s="33">
        <f>DAY(TableAopCalendar[[#This Row],[Date]])</f>
        <v>24</v>
      </c>
      <c r="F136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65" s="33" t="str">
        <f t="shared" si="79"/>
        <v>Week 4</v>
      </c>
      <c r="H1365" s="33" t="str">
        <f t="shared" si="80"/>
        <v>December 25 Week 4</v>
      </c>
      <c r="I1365" s="33" t="str">
        <f>CONCATENATE(UPPER(TableAopCalendar[[#This Row],[Month]])," ",TableAopCalendar[[#This Row],[Year]])</f>
        <v>DECEMBER 25</v>
      </c>
      <c r="J1365" s="8" t="s">
        <v>274</v>
      </c>
      <c r="K1365" s="33" t="str">
        <f>CONCATENATE(TableAopCalendar[[#This Row],[Month for Plan]]," ",TableAopCalendar[[#This Row],[Plan]])</f>
        <v>DECEMBER 25 PLANNED</v>
      </c>
    </row>
    <row r="1366" spans="1:11" x14ac:dyDescent="0.25">
      <c r="A1366" s="33">
        <f t="shared" si="78"/>
        <v>4</v>
      </c>
      <c r="B1366" s="34">
        <v>46016</v>
      </c>
      <c r="C1366" s="7" t="s">
        <v>270</v>
      </c>
      <c r="D1366" s="7">
        <v>25</v>
      </c>
      <c r="E1366" s="33">
        <f>DAY(TableAopCalendar[[#This Row],[Date]])</f>
        <v>25</v>
      </c>
      <c r="F136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66" s="33" t="str">
        <f t="shared" si="79"/>
        <v>Week 4</v>
      </c>
      <c r="H1366" s="33" t="str">
        <f t="shared" si="80"/>
        <v>December 25 Week 4</v>
      </c>
      <c r="I1366" s="33" t="str">
        <f>CONCATENATE(UPPER(TableAopCalendar[[#This Row],[Month]])," ",TableAopCalendar[[#This Row],[Year]])</f>
        <v>DECEMBER 25</v>
      </c>
      <c r="J1366" s="8" t="s">
        <v>274</v>
      </c>
      <c r="K1366" s="33" t="str">
        <f>CONCATENATE(TableAopCalendar[[#This Row],[Month for Plan]]," ",TableAopCalendar[[#This Row],[Plan]])</f>
        <v>DECEMBER 25 PLANNED</v>
      </c>
    </row>
    <row r="1367" spans="1:11" x14ac:dyDescent="0.25">
      <c r="A1367" s="33">
        <f t="shared" si="78"/>
        <v>5</v>
      </c>
      <c r="B1367" s="34">
        <v>46017</v>
      </c>
      <c r="C1367" s="7" t="s">
        <v>270</v>
      </c>
      <c r="D1367" s="7">
        <v>25</v>
      </c>
      <c r="E1367" s="33">
        <f>DAY(TableAopCalendar[[#This Row],[Date]])</f>
        <v>26</v>
      </c>
      <c r="F136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67" s="33" t="str">
        <f t="shared" si="79"/>
        <v>Week 4</v>
      </c>
      <c r="H1367" s="33" t="str">
        <f t="shared" si="80"/>
        <v>December 25 Week 4</v>
      </c>
      <c r="I1367" s="33" t="str">
        <f>CONCATENATE(UPPER(TableAopCalendar[[#This Row],[Month]])," ",TableAopCalendar[[#This Row],[Year]])</f>
        <v>DECEMBER 25</v>
      </c>
      <c r="J1367" s="8" t="s">
        <v>274</v>
      </c>
      <c r="K1367" s="33" t="str">
        <f>CONCATENATE(TableAopCalendar[[#This Row],[Month for Plan]]," ",TableAopCalendar[[#This Row],[Plan]])</f>
        <v>DECEMBER 25 PLANNED</v>
      </c>
    </row>
    <row r="1368" spans="1:11" x14ac:dyDescent="0.25">
      <c r="A1368" s="33">
        <f t="shared" si="78"/>
        <v>6</v>
      </c>
      <c r="B1368" s="34">
        <v>46018</v>
      </c>
      <c r="C1368" s="7" t="s">
        <v>270</v>
      </c>
      <c r="D1368" s="7">
        <v>25</v>
      </c>
      <c r="E1368" s="33">
        <f>DAY(TableAopCalendar[[#This Row],[Date]])</f>
        <v>27</v>
      </c>
      <c r="F136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68" s="33" t="str">
        <f t="shared" si="79"/>
        <v>Week 4</v>
      </c>
      <c r="H1368" s="33" t="str">
        <f t="shared" si="80"/>
        <v>December 25 Week 4</v>
      </c>
      <c r="I1368" s="33" t="str">
        <f>CONCATENATE(UPPER(TableAopCalendar[[#This Row],[Month]])," ",TableAopCalendar[[#This Row],[Year]])</f>
        <v>DECEMBER 25</v>
      </c>
      <c r="J1368" s="8" t="s">
        <v>274</v>
      </c>
      <c r="K1368" s="33" t="str">
        <f>CONCATENATE(TableAopCalendar[[#This Row],[Month for Plan]]," ",TableAopCalendar[[#This Row],[Plan]])</f>
        <v>DECEMBER 25 PLANNED</v>
      </c>
    </row>
    <row r="1369" spans="1:11" x14ac:dyDescent="0.25">
      <c r="A1369" s="33">
        <f t="shared" si="78"/>
        <v>7</v>
      </c>
      <c r="B1369" s="34">
        <v>46019</v>
      </c>
      <c r="C1369" s="7" t="s">
        <v>270</v>
      </c>
      <c r="D1369" s="7">
        <v>25</v>
      </c>
      <c r="E1369" s="33">
        <f>DAY(TableAopCalendar[[#This Row],[Date]])</f>
        <v>28</v>
      </c>
      <c r="F136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69" s="33" t="str">
        <f t="shared" si="79"/>
        <v>Week 4</v>
      </c>
      <c r="H1369" s="33" t="str">
        <f t="shared" si="80"/>
        <v>December 25 Week 4</v>
      </c>
      <c r="I1369" s="33" t="str">
        <f>CONCATENATE(UPPER(TableAopCalendar[[#This Row],[Month]])," ",TableAopCalendar[[#This Row],[Year]])</f>
        <v>DECEMBER 25</v>
      </c>
      <c r="J1369" s="8" t="s">
        <v>274</v>
      </c>
      <c r="K1369" s="33" t="str">
        <f>CONCATENATE(TableAopCalendar[[#This Row],[Month for Plan]]," ",TableAopCalendar[[#This Row],[Plan]])</f>
        <v>DECEMBER 25 PLANNED</v>
      </c>
    </row>
    <row r="1370" spans="1:11" x14ac:dyDescent="0.25">
      <c r="A1370" s="33">
        <f t="shared" si="78"/>
        <v>1</v>
      </c>
      <c r="B1370" s="34">
        <v>46020</v>
      </c>
      <c r="C1370" s="7" t="s">
        <v>270</v>
      </c>
      <c r="D1370" s="7">
        <v>25</v>
      </c>
      <c r="E1370" s="33">
        <f>DAY(TableAopCalendar[[#This Row],[Date]])</f>
        <v>29</v>
      </c>
      <c r="F1370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70" s="33" t="str">
        <f t="shared" si="79"/>
        <v>Week 5</v>
      </c>
      <c r="H1370" s="33" t="str">
        <f t="shared" si="80"/>
        <v>December 25 Week 5</v>
      </c>
      <c r="I1370" s="33" t="str">
        <f>CONCATENATE(UPPER(TableAopCalendar[[#This Row],[Month]])," ",TableAopCalendar[[#This Row],[Year]])</f>
        <v>DECEMBER 25</v>
      </c>
      <c r="J1370" s="8" t="s">
        <v>274</v>
      </c>
      <c r="K1370" s="33" t="str">
        <f>CONCATENATE(TableAopCalendar[[#This Row],[Month for Plan]]," ",TableAopCalendar[[#This Row],[Plan]])</f>
        <v>DECEMBER 25 PLANNED</v>
      </c>
    </row>
    <row r="1371" spans="1:11" x14ac:dyDescent="0.25">
      <c r="A1371" s="33">
        <f t="shared" si="78"/>
        <v>2</v>
      </c>
      <c r="B1371" s="34">
        <v>46021</v>
      </c>
      <c r="C1371" s="7" t="s">
        <v>270</v>
      </c>
      <c r="D1371" s="7">
        <v>25</v>
      </c>
      <c r="E1371" s="33">
        <f>DAY(TableAopCalendar[[#This Row],[Date]])</f>
        <v>30</v>
      </c>
      <c r="F137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71" s="33" t="str">
        <f t="shared" si="79"/>
        <v>Week 5</v>
      </c>
      <c r="H1371" s="33" t="str">
        <f t="shared" si="80"/>
        <v>December 25 Week 5</v>
      </c>
      <c r="I1371" s="33" t="str">
        <f>CONCATENATE(UPPER(TableAopCalendar[[#This Row],[Month]])," ",TableAopCalendar[[#This Row],[Year]])</f>
        <v>DECEMBER 25</v>
      </c>
      <c r="J1371" s="8" t="s">
        <v>274</v>
      </c>
      <c r="K1371" s="33" t="str">
        <f>CONCATENATE(TableAopCalendar[[#This Row],[Month for Plan]]," ",TableAopCalendar[[#This Row],[Plan]])</f>
        <v>DECEMBER 25 PLANNED</v>
      </c>
    </row>
    <row r="1372" spans="1:11" x14ac:dyDescent="0.25">
      <c r="A1372" s="33">
        <f t="shared" si="78"/>
        <v>3</v>
      </c>
      <c r="B1372" s="34">
        <v>46022</v>
      </c>
      <c r="C1372" s="7" t="s">
        <v>270</v>
      </c>
      <c r="D1372" s="7">
        <v>25</v>
      </c>
      <c r="E1372" s="33">
        <f>DAY(TableAopCalendar[[#This Row],[Date]])</f>
        <v>31</v>
      </c>
      <c r="F137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372" s="33" t="str">
        <f t="shared" si="79"/>
        <v>Week 5</v>
      </c>
      <c r="H1372" s="33" t="str">
        <f t="shared" si="80"/>
        <v>December 25 Week 5</v>
      </c>
      <c r="I1372" s="33" t="str">
        <f>CONCATENATE(UPPER(TableAopCalendar[[#This Row],[Month]])," ",TableAopCalendar[[#This Row],[Year]])</f>
        <v>DECEMBER 25</v>
      </c>
      <c r="J1372" s="8" t="s">
        <v>274</v>
      </c>
      <c r="K1372" s="33" t="str">
        <f>CONCATENATE(TableAopCalendar[[#This Row],[Month for Plan]]," ",TableAopCalendar[[#This Row],[Plan]])</f>
        <v>DECEMBER 25 PLANNED</v>
      </c>
    </row>
    <row r="1373" spans="1:11" x14ac:dyDescent="0.25">
      <c r="A1373" s="33">
        <f t="shared" si="78"/>
        <v>1</v>
      </c>
      <c r="B1373" s="34">
        <v>46023</v>
      </c>
      <c r="C1373" s="7" t="s">
        <v>271</v>
      </c>
      <c r="D1373" s="35">
        <v>26</v>
      </c>
      <c r="E1373" s="33">
        <f>DAY(TableAopCalendar[[#This Row],[Date]])</f>
        <v>1</v>
      </c>
      <c r="F137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73" s="33" t="str">
        <f t="shared" si="79"/>
        <v>Week 1</v>
      </c>
      <c r="H1373" s="33" t="str">
        <f t="shared" si="80"/>
        <v>January 26 Week 1</v>
      </c>
      <c r="I1373" s="33" t="str">
        <f>CONCATENATE(UPPER(TableAopCalendar[[#This Row],[Month]])," ",TableAopCalendar[[#This Row],[Year]])</f>
        <v>JANUARY 26</v>
      </c>
      <c r="J1373" s="8" t="s">
        <v>274</v>
      </c>
      <c r="K1373" s="33" t="str">
        <f>CONCATENATE(TableAopCalendar[[#This Row],[Month for Plan]]," ",TableAopCalendar[[#This Row],[Plan]])</f>
        <v>JANUARY 26 PLANNED</v>
      </c>
    </row>
    <row r="1374" spans="1:11" x14ac:dyDescent="0.25">
      <c r="A1374" s="33">
        <f t="shared" si="78"/>
        <v>2</v>
      </c>
      <c r="B1374" s="34">
        <v>46024</v>
      </c>
      <c r="C1374" s="7" t="s">
        <v>271</v>
      </c>
      <c r="D1374" s="35">
        <v>26</v>
      </c>
      <c r="E1374" s="33">
        <f>DAY(TableAopCalendar[[#This Row],[Date]])</f>
        <v>2</v>
      </c>
      <c r="F137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74" s="33" t="str">
        <f t="shared" si="79"/>
        <v>Week 1</v>
      </c>
      <c r="H1374" s="33" t="str">
        <f t="shared" si="80"/>
        <v>January 26 Week 1</v>
      </c>
      <c r="I1374" s="33" t="str">
        <f>CONCATENATE(UPPER(TableAopCalendar[[#This Row],[Month]])," ",TableAopCalendar[[#This Row],[Year]])</f>
        <v>JANUARY 26</v>
      </c>
      <c r="J1374" s="8" t="s">
        <v>274</v>
      </c>
      <c r="K1374" s="33" t="str">
        <f>CONCATENATE(TableAopCalendar[[#This Row],[Month for Plan]]," ",TableAopCalendar[[#This Row],[Plan]])</f>
        <v>JANUARY 26 PLANNED</v>
      </c>
    </row>
    <row r="1375" spans="1:11" x14ac:dyDescent="0.25">
      <c r="A1375" s="33">
        <f t="shared" si="78"/>
        <v>3</v>
      </c>
      <c r="B1375" s="34">
        <v>46025</v>
      </c>
      <c r="C1375" s="7" t="s">
        <v>271</v>
      </c>
      <c r="D1375" s="35">
        <v>26</v>
      </c>
      <c r="E1375" s="33">
        <f>DAY(TableAopCalendar[[#This Row],[Date]])</f>
        <v>3</v>
      </c>
      <c r="F137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75" s="33" t="str">
        <f t="shared" si="79"/>
        <v>Week 1</v>
      </c>
      <c r="H1375" s="33" t="str">
        <f t="shared" si="80"/>
        <v>January 26 Week 1</v>
      </c>
      <c r="I1375" s="33" t="str">
        <f>CONCATENATE(UPPER(TableAopCalendar[[#This Row],[Month]])," ",TableAopCalendar[[#This Row],[Year]])</f>
        <v>JANUARY 26</v>
      </c>
      <c r="J1375" s="8" t="s">
        <v>274</v>
      </c>
      <c r="K1375" s="33" t="str">
        <f>CONCATENATE(TableAopCalendar[[#This Row],[Month for Plan]]," ",TableAopCalendar[[#This Row],[Plan]])</f>
        <v>JANUARY 26 PLANNED</v>
      </c>
    </row>
    <row r="1376" spans="1:11" x14ac:dyDescent="0.25">
      <c r="A1376" s="33">
        <f t="shared" si="78"/>
        <v>4</v>
      </c>
      <c r="B1376" s="34">
        <v>46026</v>
      </c>
      <c r="C1376" s="7" t="s">
        <v>271</v>
      </c>
      <c r="D1376" s="35">
        <v>26</v>
      </c>
      <c r="E1376" s="33">
        <f>DAY(TableAopCalendar[[#This Row],[Date]])</f>
        <v>4</v>
      </c>
      <c r="F137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76" s="33" t="str">
        <f t="shared" si="79"/>
        <v>Week 1</v>
      </c>
      <c r="H1376" s="33" t="str">
        <f t="shared" si="80"/>
        <v>January 26 Week 1</v>
      </c>
      <c r="I1376" s="33" t="str">
        <f>CONCATENATE(UPPER(TableAopCalendar[[#This Row],[Month]])," ",TableAopCalendar[[#This Row],[Year]])</f>
        <v>JANUARY 26</v>
      </c>
      <c r="J1376" s="8" t="s">
        <v>274</v>
      </c>
      <c r="K1376" s="33" t="str">
        <f>CONCATENATE(TableAopCalendar[[#This Row],[Month for Plan]]," ",TableAopCalendar[[#This Row],[Plan]])</f>
        <v>JANUARY 26 PLANNED</v>
      </c>
    </row>
    <row r="1377" spans="1:11" x14ac:dyDescent="0.25">
      <c r="A1377" s="33">
        <f t="shared" si="78"/>
        <v>5</v>
      </c>
      <c r="B1377" s="34">
        <v>46027</v>
      </c>
      <c r="C1377" s="7" t="s">
        <v>271</v>
      </c>
      <c r="D1377" s="35">
        <v>26</v>
      </c>
      <c r="E1377" s="33">
        <f>DAY(TableAopCalendar[[#This Row],[Date]])</f>
        <v>5</v>
      </c>
      <c r="F137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77" s="33" t="str">
        <f t="shared" si="79"/>
        <v>Week 1</v>
      </c>
      <c r="H1377" s="33" t="str">
        <f t="shared" si="80"/>
        <v>January 26 Week 1</v>
      </c>
      <c r="I1377" s="33" t="str">
        <f>CONCATENATE(UPPER(TableAopCalendar[[#This Row],[Month]])," ",TableAopCalendar[[#This Row],[Year]])</f>
        <v>JANUARY 26</v>
      </c>
      <c r="J1377" s="8" t="s">
        <v>274</v>
      </c>
      <c r="K1377" s="33" t="str">
        <f>CONCATENATE(TableAopCalendar[[#This Row],[Month for Plan]]," ",TableAopCalendar[[#This Row],[Plan]])</f>
        <v>JANUARY 26 PLANNED</v>
      </c>
    </row>
    <row r="1378" spans="1:11" x14ac:dyDescent="0.25">
      <c r="A1378" s="33">
        <f t="shared" si="78"/>
        <v>6</v>
      </c>
      <c r="B1378" s="34">
        <v>46028</v>
      </c>
      <c r="C1378" s="7" t="s">
        <v>271</v>
      </c>
      <c r="D1378" s="35">
        <v>26</v>
      </c>
      <c r="E1378" s="33">
        <f>DAY(TableAopCalendar[[#This Row],[Date]])</f>
        <v>6</v>
      </c>
      <c r="F137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78" s="33" t="str">
        <f t="shared" si="79"/>
        <v>Week 1</v>
      </c>
      <c r="H1378" s="33" t="str">
        <f t="shared" si="80"/>
        <v>January 26 Week 1</v>
      </c>
      <c r="I1378" s="33" t="str">
        <f>CONCATENATE(UPPER(TableAopCalendar[[#This Row],[Month]])," ",TableAopCalendar[[#This Row],[Year]])</f>
        <v>JANUARY 26</v>
      </c>
      <c r="J1378" s="8" t="s">
        <v>274</v>
      </c>
      <c r="K1378" s="33" t="str">
        <f>CONCATENATE(TableAopCalendar[[#This Row],[Month for Plan]]," ",TableAopCalendar[[#This Row],[Plan]])</f>
        <v>JANUARY 26 PLANNED</v>
      </c>
    </row>
    <row r="1379" spans="1:11" x14ac:dyDescent="0.25">
      <c r="A1379" s="33">
        <f t="shared" si="78"/>
        <v>7</v>
      </c>
      <c r="B1379" s="34">
        <v>46029</v>
      </c>
      <c r="C1379" s="7" t="s">
        <v>271</v>
      </c>
      <c r="D1379" s="35">
        <v>26</v>
      </c>
      <c r="E1379" s="33">
        <f>DAY(TableAopCalendar[[#This Row],[Date]])</f>
        <v>7</v>
      </c>
      <c r="F137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379" s="33" t="str">
        <f t="shared" si="79"/>
        <v>Week 1</v>
      </c>
      <c r="H1379" s="33" t="str">
        <f t="shared" si="80"/>
        <v>January 26 Week 1</v>
      </c>
      <c r="I1379" s="33" t="str">
        <f>CONCATENATE(UPPER(TableAopCalendar[[#This Row],[Month]])," ",TableAopCalendar[[#This Row],[Year]])</f>
        <v>JANUARY 26</v>
      </c>
      <c r="J1379" s="8" t="s">
        <v>274</v>
      </c>
      <c r="K1379" s="33" t="str">
        <f>CONCATENATE(TableAopCalendar[[#This Row],[Month for Plan]]," ",TableAopCalendar[[#This Row],[Plan]])</f>
        <v>JANUARY 26 PLANNED</v>
      </c>
    </row>
    <row r="1380" spans="1:11" x14ac:dyDescent="0.25">
      <c r="A1380" s="33">
        <f t="shared" si="78"/>
        <v>1</v>
      </c>
      <c r="B1380" s="34">
        <v>46030</v>
      </c>
      <c r="C1380" s="7" t="s">
        <v>271</v>
      </c>
      <c r="D1380" s="35">
        <v>26</v>
      </c>
      <c r="E1380" s="33">
        <f>DAY(TableAopCalendar[[#This Row],[Date]])</f>
        <v>8</v>
      </c>
      <c r="F138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80" s="33" t="str">
        <f t="shared" si="79"/>
        <v>Week 2</v>
      </c>
      <c r="H1380" s="33" t="str">
        <f t="shared" si="80"/>
        <v>January 26 Week 2</v>
      </c>
      <c r="I1380" s="33" t="str">
        <f>CONCATENATE(UPPER(TableAopCalendar[[#This Row],[Month]])," ",TableAopCalendar[[#This Row],[Year]])</f>
        <v>JANUARY 26</v>
      </c>
      <c r="J1380" s="8" t="s">
        <v>274</v>
      </c>
      <c r="K1380" s="33" t="str">
        <f>CONCATENATE(TableAopCalendar[[#This Row],[Month for Plan]]," ",TableAopCalendar[[#This Row],[Plan]])</f>
        <v>JANUARY 26 PLANNED</v>
      </c>
    </row>
    <row r="1381" spans="1:11" x14ac:dyDescent="0.25">
      <c r="A1381" s="33">
        <f t="shared" si="78"/>
        <v>2</v>
      </c>
      <c r="B1381" s="34">
        <v>46031</v>
      </c>
      <c r="C1381" s="7" t="s">
        <v>271</v>
      </c>
      <c r="D1381" s="35">
        <v>26</v>
      </c>
      <c r="E1381" s="33">
        <f>DAY(TableAopCalendar[[#This Row],[Date]])</f>
        <v>9</v>
      </c>
      <c r="F138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81" s="33" t="str">
        <f t="shared" si="79"/>
        <v>Week 2</v>
      </c>
      <c r="H1381" s="33" t="str">
        <f t="shared" si="80"/>
        <v>January 26 Week 2</v>
      </c>
      <c r="I1381" s="33" t="str">
        <f>CONCATENATE(UPPER(TableAopCalendar[[#This Row],[Month]])," ",TableAopCalendar[[#This Row],[Year]])</f>
        <v>JANUARY 26</v>
      </c>
      <c r="J1381" s="8" t="s">
        <v>274</v>
      </c>
      <c r="K1381" s="33" t="str">
        <f>CONCATENATE(TableAopCalendar[[#This Row],[Month for Plan]]," ",TableAopCalendar[[#This Row],[Plan]])</f>
        <v>JANUARY 26 PLANNED</v>
      </c>
    </row>
    <row r="1382" spans="1:11" x14ac:dyDescent="0.25">
      <c r="A1382" s="33">
        <f t="shared" si="78"/>
        <v>3</v>
      </c>
      <c r="B1382" s="34">
        <v>46032</v>
      </c>
      <c r="C1382" s="7" t="s">
        <v>271</v>
      </c>
      <c r="D1382" s="35">
        <v>26</v>
      </c>
      <c r="E1382" s="33">
        <f>DAY(TableAopCalendar[[#This Row],[Date]])</f>
        <v>10</v>
      </c>
      <c r="F138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82" s="33" t="str">
        <f t="shared" si="79"/>
        <v>Week 2</v>
      </c>
      <c r="H1382" s="33" t="str">
        <f t="shared" si="80"/>
        <v>January 26 Week 2</v>
      </c>
      <c r="I1382" s="33" t="str">
        <f>CONCATENATE(UPPER(TableAopCalendar[[#This Row],[Month]])," ",TableAopCalendar[[#This Row],[Year]])</f>
        <v>JANUARY 26</v>
      </c>
      <c r="J1382" s="8" t="s">
        <v>274</v>
      </c>
      <c r="K1382" s="33" t="str">
        <f>CONCATENATE(TableAopCalendar[[#This Row],[Month for Plan]]," ",TableAopCalendar[[#This Row],[Plan]])</f>
        <v>JANUARY 26 PLANNED</v>
      </c>
    </row>
    <row r="1383" spans="1:11" x14ac:dyDescent="0.25">
      <c r="A1383" s="33">
        <f t="shared" si="78"/>
        <v>4</v>
      </c>
      <c r="B1383" s="34">
        <v>46033</v>
      </c>
      <c r="C1383" s="7" t="s">
        <v>271</v>
      </c>
      <c r="D1383" s="35">
        <v>26</v>
      </c>
      <c r="E1383" s="33">
        <f>DAY(TableAopCalendar[[#This Row],[Date]])</f>
        <v>11</v>
      </c>
      <c r="F138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83" s="33" t="str">
        <f t="shared" si="79"/>
        <v>Week 2</v>
      </c>
      <c r="H1383" s="33" t="str">
        <f t="shared" si="80"/>
        <v>January 26 Week 2</v>
      </c>
      <c r="I1383" s="33" t="str">
        <f>CONCATENATE(UPPER(TableAopCalendar[[#This Row],[Month]])," ",TableAopCalendar[[#This Row],[Year]])</f>
        <v>JANUARY 26</v>
      </c>
      <c r="J1383" s="8" t="s">
        <v>274</v>
      </c>
      <c r="K1383" s="33" t="str">
        <f>CONCATENATE(TableAopCalendar[[#This Row],[Month for Plan]]," ",TableAopCalendar[[#This Row],[Plan]])</f>
        <v>JANUARY 26 PLANNED</v>
      </c>
    </row>
    <row r="1384" spans="1:11" x14ac:dyDescent="0.25">
      <c r="A1384" s="33">
        <f t="shared" si="78"/>
        <v>5</v>
      </c>
      <c r="B1384" s="34">
        <v>46034</v>
      </c>
      <c r="C1384" s="7" t="s">
        <v>271</v>
      </c>
      <c r="D1384" s="35">
        <v>26</v>
      </c>
      <c r="E1384" s="33">
        <f>DAY(TableAopCalendar[[#This Row],[Date]])</f>
        <v>12</v>
      </c>
      <c r="F138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84" s="33" t="str">
        <f t="shared" si="79"/>
        <v>Week 2</v>
      </c>
      <c r="H1384" s="33" t="str">
        <f t="shared" si="80"/>
        <v>January 26 Week 2</v>
      </c>
      <c r="I1384" s="33" t="str">
        <f>CONCATENATE(UPPER(TableAopCalendar[[#This Row],[Month]])," ",TableAopCalendar[[#This Row],[Year]])</f>
        <v>JANUARY 26</v>
      </c>
      <c r="J1384" s="8" t="s">
        <v>274</v>
      </c>
      <c r="K1384" s="33" t="str">
        <f>CONCATENATE(TableAopCalendar[[#This Row],[Month for Plan]]," ",TableAopCalendar[[#This Row],[Plan]])</f>
        <v>JANUARY 26 PLANNED</v>
      </c>
    </row>
    <row r="1385" spans="1:11" x14ac:dyDescent="0.25">
      <c r="A1385" s="33">
        <f t="shared" si="78"/>
        <v>6</v>
      </c>
      <c r="B1385" s="34">
        <v>46035</v>
      </c>
      <c r="C1385" s="7" t="s">
        <v>271</v>
      </c>
      <c r="D1385" s="35">
        <v>26</v>
      </c>
      <c r="E1385" s="33">
        <f>DAY(TableAopCalendar[[#This Row],[Date]])</f>
        <v>13</v>
      </c>
      <c r="F138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85" s="33" t="str">
        <f t="shared" si="79"/>
        <v>Week 2</v>
      </c>
      <c r="H1385" s="33" t="str">
        <f t="shared" si="80"/>
        <v>January 26 Week 2</v>
      </c>
      <c r="I1385" s="33" t="str">
        <f>CONCATENATE(UPPER(TableAopCalendar[[#This Row],[Month]])," ",TableAopCalendar[[#This Row],[Year]])</f>
        <v>JANUARY 26</v>
      </c>
      <c r="J1385" s="8" t="s">
        <v>274</v>
      </c>
      <c r="K1385" s="33" t="str">
        <f>CONCATENATE(TableAopCalendar[[#This Row],[Month for Plan]]," ",TableAopCalendar[[#This Row],[Plan]])</f>
        <v>JANUARY 26 PLANNED</v>
      </c>
    </row>
    <row r="1386" spans="1:11" x14ac:dyDescent="0.25">
      <c r="A1386" s="33">
        <f t="shared" si="78"/>
        <v>7</v>
      </c>
      <c r="B1386" s="34">
        <v>46036</v>
      </c>
      <c r="C1386" s="7" t="s">
        <v>271</v>
      </c>
      <c r="D1386" s="35">
        <v>26</v>
      </c>
      <c r="E1386" s="33">
        <f>DAY(TableAopCalendar[[#This Row],[Date]])</f>
        <v>14</v>
      </c>
      <c r="F138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386" s="33" t="str">
        <f t="shared" si="79"/>
        <v>Week 2</v>
      </c>
      <c r="H1386" s="33" t="str">
        <f t="shared" si="80"/>
        <v>January 26 Week 2</v>
      </c>
      <c r="I1386" s="33" t="str">
        <f>CONCATENATE(UPPER(TableAopCalendar[[#This Row],[Month]])," ",TableAopCalendar[[#This Row],[Year]])</f>
        <v>JANUARY 26</v>
      </c>
      <c r="J1386" s="8" t="s">
        <v>274</v>
      </c>
      <c r="K1386" s="33" t="str">
        <f>CONCATENATE(TableAopCalendar[[#This Row],[Month for Plan]]," ",TableAopCalendar[[#This Row],[Plan]])</f>
        <v>JANUARY 26 PLANNED</v>
      </c>
    </row>
    <row r="1387" spans="1:11" x14ac:dyDescent="0.25">
      <c r="A1387" s="33">
        <f t="shared" si="78"/>
        <v>1</v>
      </c>
      <c r="B1387" s="34">
        <v>46037</v>
      </c>
      <c r="C1387" s="7" t="s">
        <v>271</v>
      </c>
      <c r="D1387" s="35">
        <v>26</v>
      </c>
      <c r="E1387" s="33">
        <f>DAY(TableAopCalendar[[#This Row],[Date]])</f>
        <v>15</v>
      </c>
      <c r="F138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87" s="33" t="str">
        <f t="shared" si="79"/>
        <v>Week 3</v>
      </c>
      <c r="H1387" s="33" t="str">
        <f t="shared" si="80"/>
        <v>January 26 Week 3</v>
      </c>
      <c r="I1387" s="33" t="str">
        <f>CONCATENATE(UPPER(TableAopCalendar[[#This Row],[Month]])," ",TableAopCalendar[[#This Row],[Year]])</f>
        <v>JANUARY 26</v>
      </c>
      <c r="J1387" s="8" t="s">
        <v>274</v>
      </c>
      <c r="K1387" s="33" t="str">
        <f>CONCATENATE(TableAopCalendar[[#This Row],[Month for Plan]]," ",TableAopCalendar[[#This Row],[Plan]])</f>
        <v>JANUARY 26 PLANNED</v>
      </c>
    </row>
    <row r="1388" spans="1:11" x14ac:dyDescent="0.25">
      <c r="A1388" s="33">
        <f t="shared" si="78"/>
        <v>2</v>
      </c>
      <c r="B1388" s="34">
        <v>46038</v>
      </c>
      <c r="C1388" s="7" t="s">
        <v>271</v>
      </c>
      <c r="D1388" s="35">
        <v>26</v>
      </c>
      <c r="E1388" s="33">
        <f>DAY(TableAopCalendar[[#This Row],[Date]])</f>
        <v>16</v>
      </c>
      <c r="F138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88" s="33" t="str">
        <f t="shared" si="79"/>
        <v>Week 3</v>
      </c>
      <c r="H1388" s="33" t="str">
        <f t="shared" si="80"/>
        <v>January 26 Week 3</v>
      </c>
      <c r="I1388" s="33" t="str">
        <f>CONCATENATE(UPPER(TableAopCalendar[[#This Row],[Month]])," ",TableAopCalendar[[#This Row],[Year]])</f>
        <v>JANUARY 26</v>
      </c>
      <c r="J1388" s="8" t="s">
        <v>274</v>
      </c>
      <c r="K1388" s="33" t="str">
        <f>CONCATENATE(TableAopCalendar[[#This Row],[Month for Plan]]," ",TableAopCalendar[[#This Row],[Plan]])</f>
        <v>JANUARY 26 PLANNED</v>
      </c>
    </row>
    <row r="1389" spans="1:11" x14ac:dyDescent="0.25">
      <c r="A1389" s="33">
        <f t="shared" si="78"/>
        <v>3</v>
      </c>
      <c r="B1389" s="34">
        <v>46039</v>
      </c>
      <c r="C1389" s="7" t="s">
        <v>271</v>
      </c>
      <c r="D1389" s="35">
        <v>26</v>
      </c>
      <c r="E1389" s="33">
        <f>DAY(TableAopCalendar[[#This Row],[Date]])</f>
        <v>17</v>
      </c>
      <c r="F138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89" s="33" t="str">
        <f t="shared" si="79"/>
        <v>Week 3</v>
      </c>
      <c r="H1389" s="33" t="str">
        <f t="shared" si="80"/>
        <v>January 26 Week 3</v>
      </c>
      <c r="I1389" s="33" t="str">
        <f>CONCATENATE(UPPER(TableAopCalendar[[#This Row],[Month]])," ",TableAopCalendar[[#This Row],[Year]])</f>
        <v>JANUARY 26</v>
      </c>
      <c r="J1389" s="8" t="s">
        <v>274</v>
      </c>
      <c r="K1389" s="33" t="str">
        <f>CONCATENATE(TableAopCalendar[[#This Row],[Month for Plan]]," ",TableAopCalendar[[#This Row],[Plan]])</f>
        <v>JANUARY 26 PLANNED</v>
      </c>
    </row>
    <row r="1390" spans="1:11" x14ac:dyDescent="0.25">
      <c r="A1390" s="33">
        <f t="shared" si="78"/>
        <v>4</v>
      </c>
      <c r="B1390" s="34">
        <v>46040</v>
      </c>
      <c r="C1390" s="7" t="s">
        <v>271</v>
      </c>
      <c r="D1390" s="35">
        <v>26</v>
      </c>
      <c r="E1390" s="33">
        <f>DAY(TableAopCalendar[[#This Row],[Date]])</f>
        <v>18</v>
      </c>
      <c r="F139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90" s="33" t="str">
        <f t="shared" si="79"/>
        <v>Week 3</v>
      </c>
      <c r="H1390" s="33" t="str">
        <f t="shared" si="80"/>
        <v>January 26 Week 3</v>
      </c>
      <c r="I1390" s="33" t="str">
        <f>CONCATENATE(UPPER(TableAopCalendar[[#This Row],[Month]])," ",TableAopCalendar[[#This Row],[Year]])</f>
        <v>JANUARY 26</v>
      </c>
      <c r="J1390" s="8" t="s">
        <v>274</v>
      </c>
      <c r="K1390" s="33" t="str">
        <f>CONCATENATE(TableAopCalendar[[#This Row],[Month for Plan]]," ",TableAopCalendar[[#This Row],[Plan]])</f>
        <v>JANUARY 26 PLANNED</v>
      </c>
    </row>
    <row r="1391" spans="1:11" x14ac:dyDescent="0.25">
      <c r="A1391" s="33">
        <f t="shared" si="78"/>
        <v>5</v>
      </c>
      <c r="B1391" s="34">
        <v>46041</v>
      </c>
      <c r="C1391" s="7" t="s">
        <v>271</v>
      </c>
      <c r="D1391" s="35">
        <v>26</v>
      </c>
      <c r="E1391" s="33">
        <f>DAY(TableAopCalendar[[#This Row],[Date]])</f>
        <v>19</v>
      </c>
      <c r="F139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91" s="33" t="str">
        <f t="shared" si="79"/>
        <v>Week 3</v>
      </c>
      <c r="H1391" s="33" t="str">
        <f t="shared" si="80"/>
        <v>January 26 Week 3</v>
      </c>
      <c r="I1391" s="33" t="str">
        <f>CONCATENATE(UPPER(TableAopCalendar[[#This Row],[Month]])," ",TableAopCalendar[[#This Row],[Year]])</f>
        <v>JANUARY 26</v>
      </c>
      <c r="J1391" s="8" t="s">
        <v>274</v>
      </c>
      <c r="K1391" s="33" t="str">
        <f>CONCATENATE(TableAopCalendar[[#This Row],[Month for Plan]]," ",TableAopCalendar[[#This Row],[Plan]])</f>
        <v>JANUARY 26 PLANNED</v>
      </c>
    </row>
    <row r="1392" spans="1:11" x14ac:dyDescent="0.25">
      <c r="A1392" s="33">
        <f t="shared" si="78"/>
        <v>6</v>
      </c>
      <c r="B1392" s="34">
        <v>46042</v>
      </c>
      <c r="C1392" s="7" t="s">
        <v>271</v>
      </c>
      <c r="D1392" s="35">
        <v>26</v>
      </c>
      <c r="E1392" s="33">
        <f>DAY(TableAopCalendar[[#This Row],[Date]])</f>
        <v>20</v>
      </c>
      <c r="F139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92" s="33" t="str">
        <f t="shared" si="79"/>
        <v>Week 3</v>
      </c>
      <c r="H1392" s="33" t="str">
        <f t="shared" si="80"/>
        <v>January 26 Week 3</v>
      </c>
      <c r="I1392" s="33" t="str">
        <f>CONCATENATE(UPPER(TableAopCalendar[[#This Row],[Month]])," ",TableAopCalendar[[#This Row],[Year]])</f>
        <v>JANUARY 26</v>
      </c>
      <c r="J1392" s="8" t="s">
        <v>274</v>
      </c>
      <c r="K1392" s="33" t="str">
        <f>CONCATENATE(TableAopCalendar[[#This Row],[Month for Plan]]," ",TableAopCalendar[[#This Row],[Plan]])</f>
        <v>JANUARY 26 PLANNED</v>
      </c>
    </row>
    <row r="1393" spans="1:11" x14ac:dyDescent="0.25">
      <c r="A1393" s="33">
        <f t="shared" si="78"/>
        <v>7</v>
      </c>
      <c r="B1393" s="34">
        <v>46043</v>
      </c>
      <c r="C1393" s="7" t="s">
        <v>271</v>
      </c>
      <c r="D1393" s="35">
        <v>26</v>
      </c>
      <c r="E1393" s="33">
        <f>DAY(TableAopCalendar[[#This Row],[Date]])</f>
        <v>21</v>
      </c>
      <c r="F139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393" s="33" t="str">
        <f t="shared" si="79"/>
        <v>Week 3</v>
      </c>
      <c r="H1393" s="33" t="str">
        <f t="shared" si="80"/>
        <v>January 26 Week 3</v>
      </c>
      <c r="I1393" s="33" t="str">
        <f>CONCATENATE(UPPER(TableAopCalendar[[#This Row],[Month]])," ",TableAopCalendar[[#This Row],[Year]])</f>
        <v>JANUARY 26</v>
      </c>
      <c r="J1393" s="8" t="s">
        <v>274</v>
      </c>
      <c r="K1393" s="33" t="str">
        <f>CONCATENATE(TableAopCalendar[[#This Row],[Month for Plan]]," ",TableAopCalendar[[#This Row],[Plan]])</f>
        <v>JANUARY 26 PLANNED</v>
      </c>
    </row>
    <row r="1394" spans="1:11" x14ac:dyDescent="0.25">
      <c r="A1394" s="33">
        <f t="shared" si="78"/>
        <v>1</v>
      </c>
      <c r="B1394" s="34">
        <v>46044</v>
      </c>
      <c r="C1394" s="7" t="s">
        <v>271</v>
      </c>
      <c r="D1394" s="35">
        <v>26</v>
      </c>
      <c r="E1394" s="33">
        <f>DAY(TableAopCalendar[[#This Row],[Date]])</f>
        <v>22</v>
      </c>
      <c r="F139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94" s="33" t="str">
        <f t="shared" si="79"/>
        <v>Week 4</v>
      </c>
      <c r="H1394" s="33" t="str">
        <f t="shared" si="80"/>
        <v>January 26 Week 4</v>
      </c>
      <c r="I1394" s="33" t="str">
        <f>CONCATENATE(UPPER(TableAopCalendar[[#This Row],[Month]])," ",TableAopCalendar[[#This Row],[Year]])</f>
        <v>JANUARY 26</v>
      </c>
      <c r="J1394" s="8" t="s">
        <v>274</v>
      </c>
      <c r="K1394" s="33" t="str">
        <f>CONCATENATE(TableAopCalendar[[#This Row],[Month for Plan]]," ",TableAopCalendar[[#This Row],[Plan]])</f>
        <v>JANUARY 26 PLANNED</v>
      </c>
    </row>
    <row r="1395" spans="1:11" x14ac:dyDescent="0.25">
      <c r="A1395" s="33">
        <f t="shared" si="78"/>
        <v>2</v>
      </c>
      <c r="B1395" s="34">
        <v>46045</v>
      </c>
      <c r="C1395" s="7" t="s">
        <v>271</v>
      </c>
      <c r="D1395" s="35">
        <v>26</v>
      </c>
      <c r="E1395" s="33">
        <f>DAY(TableAopCalendar[[#This Row],[Date]])</f>
        <v>23</v>
      </c>
      <c r="F139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95" s="33" t="str">
        <f t="shared" si="79"/>
        <v>Week 4</v>
      </c>
      <c r="H1395" s="33" t="str">
        <f t="shared" si="80"/>
        <v>January 26 Week 4</v>
      </c>
      <c r="I1395" s="33" t="str">
        <f>CONCATENATE(UPPER(TableAopCalendar[[#This Row],[Month]])," ",TableAopCalendar[[#This Row],[Year]])</f>
        <v>JANUARY 26</v>
      </c>
      <c r="J1395" s="8" t="s">
        <v>274</v>
      </c>
      <c r="K1395" s="33" t="str">
        <f>CONCATENATE(TableAopCalendar[[#This Row],[Month for Plan]]," ",TableAopCalendar[[#This Row],[Plan]])</f>
        <v>JANUARY 26 PLANNED</v>
      </c>
    </row>
    <row r="1396" spans="1:11" x14ac:dyDescent="0.25">
      <c r="A1396" s="33">
        <f t="shared" si="78"/>
        <v>3</v>
      </c>
      <c r="B1396" s="34">
        <v>46046</v>
      </c>
      <c r="C1396" s="7" t="s">
        <v>271</v>
      </c>
      <c r="D1396" s="35">
        <v>26</v>
      </c>
      <c r="E1396" s="33">
        <f>DAY(TableAopCalendar[[#This Row],[Date]])</f>
        <v>24</v>
      </c>
      <c r="F139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96" s="33" t="str">
        <f t="shared" si="79"/>
        <v>Week 4</v>
      </c>
      <c r="H1396" s="33" t="str">
        <f t="shared" si="80"/>
        <v>January 26 Week 4</v>
      </c>
      <c r="I1396" s="33" t="str">
        <f>CONCATENATE(UPPER(TableAopCalendar[[#This Row],[Month]])," ",TableAopCalendar[[#This Row],[Year]])</f>
        <v>JANUARY 26</v>
      </c>
      <c r="J1396" s="8" t="s">
        <v>274</v>
      </c>
      <c r="K1396" s="33" t="str">
        <f>CONCATENATE(TableAopCalendar[[#This Row],[Month for Plan]]," ",TableAopCalendar[[#This Row],[Plan]])</f>
        <v>JANUARY 26 PLANNED</v>
      </c>
    </row>
    <row r="1397" spans="1:11" x14ac:dyDescent="0.25">
      <c r="A1397" s="33">
        <f t="shared" si="78"/>
        <v>4</v>
      </c>
      <c r="B1397" s="34">
        <v>46047</v>
      </c>
      <c r="C1397" s="7" t="s">
        <v>271</v>
      </c>
      <c r="D1397" s="35">
        <v>26</v>
      </c>
      <c r="E1397" s="33">
        <f>DAY(TableAopCalendar[[#This Row],[Date]])</f>
        <v>25</v>
      </c>
      <c r="F139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97" s="33" t="str">
        <f t="shared" si="79"/>
        <v>Week 4</v>
      </c>
      <c r="H1397" s="33" t="str">
        <f t="shared" si="80"/>
        <v>January 26 Week 4</v>
      </c>
      <c r="I1397" s="33" t="str">
        <f>CONCATENATE(UPPER(TableAopCalendar[[#This Row],[Month]])," ",TableAopCalendar[[#This Row],[Year]])</f>
        <v>JANUARY 26</v>
      </c>
      <c r="J1397" s="8" t="s">
        <v>274</v>
      </c>
      <c r="K1397" s="33" t="str">
        <f>CONCATENATE(TableAopCalendar[[#This Row],[Month for Plan]]," ",TableAopCalendar[[#This Row],[Plan]])</f>
        <v>JANUARY 26 PLANNED</v>
      </c>
    </row>
    <row r="1398" spans="1:11" x14ac:dyDescent="0.25">
      <c r="A1398" s="33">
        <f t="shared" si="78"/>
        <v>5</v>
      </c>
      <c r="B1398" s="34">
        <v>46048</v>
      </c>
      <c r="C1398" s="7" t="s">
        <v>271</v>
      </c>
      <c r="D1398" s="35">
        <v>26</v>
      </c>
      <c r="E1398" s="33">
        <f>DAY(TableAopCalendar[[#This Row],[Date]])</f>
        <v>26</v>
      </c>
      <c r="F139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98" s="33" t="str">
        <f t="shared" si="79"/>
        <v>Week 4</v>
      </c>
      <c r="H1398" s="33" t="str">
        <f t="shared" si="80"/>
        <v>January 26 Week 4</v>
      </c>
      <c r="I1398" s="33" t="str">
        <f>CONCATENATE(UPPER(TableAopCalendar[[#This Row],[Month]])," ",TableAopCalendar[[#This Row],[Year]])</f>
        <v>JANUARY 26</v>
      </c>
      <c r="J1398" s="8" t="s">
        <v>274</v>
      </c>
      <c r="K1398" s="33" t="str">
        <f>CONCATENATE(TableAopCalendar[[#This Row],[Month for Plan]]," ",TableAopCalendar[[#This Row],[Plan]])</f>
        <v>JANUARY 26 PLANNED</v>
      </c>
    </row>
    <row r="1399" spans="1:11" x14ac:dyDescent="0.25">
      <c r="A1399" s="33">
        <f t="shared" si="78"/>
        <v>6</v>
      </c>
      <c r="B1399" s="34">
        <v>46049</v>
      </c>
      <c r="C1399" s="7" t="s">
        <v>271</v>
      </c>
      <c r="D1399" s="35">
        <v>26</v>
      </c>
      <c r="E1399" s="33">
        <f>DAY(TableAopCalendar[[#This Row],[Date]])</f>
        <v>27</v>
      </c>
      <c r="F139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399" s="33" t="str">
        <f t="shared" si="79"/>
        <v>Week 4</v>
      </c>
      <c r="H1399" s="33" t="str">
        <f t="shared" si="80"/>
        <v>January 26 Week 4</v>
      </c>
      <c r="I1399" s="33" t="str">
        <f>CONCATENATE(UPPER(TableAopCalendar[[#This Row],[Month]])," ",TableAopCalendar[[#This Row],[Year]])</f>
        <v>JANUARY 26</v>
      </c>
      <c r="J1399" s="8" t="s">
        <v>274</v>
      </c>
      <c r="K1399" s="33" t="str">
        <f>CONCATENATE(TableAopCalendar[[#This Row],[Month for Plan]]," ",TableAopCalendar[[#This Row],[Plan]])</f>
        <v>JANUARY 26 PLANNED</v>
      </c>
    </row>
    <row r="1400" spans="1:11" x14ac:dyDescent="0.25">
      <c r="A1400" s="33">
        <f t="shared" si="78"/>
        <v>7</v>
      </c>
      <c r="B1400" s="34">
        <v>46050</v>
      </c>
      <c r="C1400" s="7" t="s">
        <v>271</v>
      </c>
      <c r="D1400" s="35">
        <v>26</v>
      </c>
      <c r="E1400" s="33">
        <f>DAY(TableAopCalendar[[#This Row],[Date]])</f>
        <v>28</v>
      </c>
      <c r="F140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00" s="33" t="str">
        <f t="shared" si="79"/>
        <v>Week 4</v>
      </c>
      <c r="H1400" s="33" t="str">
        <f t="shared" si="80"/>
        <v>January 26 Week 4</v>
      </c>
      <c r="I1400" s="33" t="str">
        <f>CONCATENATE(UPPER(TableAopCalendar[[#This Row],[Month]])," ",TableAopCalendar[[#This Row],[Year]])</f>
        <v>JANUARY 26</v>
      </c>
      <c r="J1400" s="8" t="s">
        <v>274</v>
      </c>
      <c r="K1400" s="33" t="str">
        <f>CONCATENATE(TableAopCalendar[[#This Row],[Month for Plan]]," ",TableAopCalendar[[#This Row],[Plan]])</f>
        <v>JANUARY 26 PLANNED</v>
      </c>
    </row>
    <row r="1401" spans="1:11" x14ac:dyDescent="0.25">
      <c r="A1401" s="33">
        <f t="shared" si="78"/>
        <v>1</v>
      </c>
      <c r="B1401" s="34">
        <v>46051</v>
      </c>
      <c r="C1401" s="7" t="s">
        <v>271</v>
      </c>
      <c r="D1401" s="35">
        <v>26</v>
      </c>
      <c r="E1401" s="33">
        <f>DAY(TableAopCalendar[[#This Row],[Date]])</f>
        <v>29</v>
      </c>
      <c r="F140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01" s="33" t="str">
        <f t="shared" si="79"/>
        <v>Week 5</v>
      </c>
      <c r="H1401" s="33" t="str">
        <f t="shared" si="80"/>
        <v>January 26 Week 5</v>
      </c>
      <c r="I1401" s="33" t="str">
        <f>CONCATENATE(UPPER(TableAopCalendar[[#This Row],[Month]])," ",TableAopCalendar[[#This Row],[Year]])</f>
        <v>JANUARY 26</v>
      </c>
      <c r="J1401" s="8" t="s">
        <v>274</v>
      </c>
      <c r="K1401" s="33" t="str">
        <f>CONCATENATE(TableAopCalendar[[#This Row],[Month for Plan]]," ",TableAopCalendar[[#This Row],[Plan]])</f>
        <v>JANUARY 26 PLANNED</v>
      </c>
    </row>
    <row r="1402" spans="1:11" x14ac:dyDescent="0.25">
      <c r="A1402" s="33">
        <f t="shared" si="78"/>
        <v>2</v>
      </c>
      <c r="B1402" s="34">
        <v>46052</v>
      </c>
      <c r="C1402" s="7" t="s">
        <v>271</v>
      </c>
      <c r="D1402" s="35">
        <v>26</v>
      </c>
      <c r="E1402" s="33">
        <f>DAY(TableAopCalendar[[#This Row],[Date]])</f>
        <v>30</v>
      </c>
      <c r="F140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02" s="33" t="str">
        <f t="shared" si="79"/>
        <v>Week 5</v>
      </c>
      <c r="H1402" s="33" t="str">
        <f t="shared" si="80"/>
        <v>January 26 Week 5</v>
      </c>
      <c r="I1402" s="33" t="str">
        <f>CONCATENATE(UPPER(TableAopCalendar[[#This Row],[Month]])," ",TableAopCalendar[[#This Row],[Year]])</f>
        <v>JANUARY 26</v>
      </c>
      <c r="J1402" s="8" t="s">
        <v>274</v>
      </c>
      <c r="K1402" s="33" t="str">
        <f>CONCATENATE(TableAopCalendar[[#This Row],[Month for Plan]]," ",TableAopCalendar[[#This Row],[Plan]])</f>
        <v>JANUARY 26 PLANNED</v>
      </c>
    </row>
    <row r="1403" spans="1:11" x14ac:dyDescent="0.25">
      <c r="A1403" s="33">
        <f t="shared" si="78"/>
        <v>3</v>
      </c>
      <c r="B1403" s="34">
        <v>46053</v>
      </c>
      <c r="C1403" s="7" t="s">
        <v>271</v>
      </c>
      <c r="D1403" s="35">
        <v>26</v>
      </c>
      <c r="E1403" s="33">
        <f>DAY(TableAopCalendar[[#This Row],[Date]])</f>
        <v>31</v>
      </c>
      <c r="F1403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03" s="33" t="str">
        <f t="shared" si="79"/>
        <v>Week 5</v>
      </c>
      <c r="H1403" s="33" t="str">
        <f t="shared" si="80"/>
        <v>January 26 Week 5</v>
      </c>
      <c r="I1403" s="33" t="str">
        <f>CONCATENATE(UPPER(TableAopCalendar[[#This Row],[Month]])," ",TableAopCalendar[[#This Row],[Year]])</f>
        <v>JANUARY 26</v>
      </c>
      <c r="J1403" s="8" t="s">
        <v>274</v>
      </c>
      <c r="K1403" s="33" t="str">
        <f>CONCATENATE(TableAopCalendar[[#This Row],[Month for Plan]]," ",TableAopCalendar[[#This Row],[Plan]])</f>
        <v>JANUARY 26 PLANNED</v>
      </c>
    </row>
    <row r="1404" spans="1:11" x14ac:dyDescent="0.25">
      <c r="A1404" s="33">
        <f t="shared" si="78"/>
        <v>1</v>
      </c>
      <c r="B1404" s="34">
        <v>46054</v>
      </c>
      <c r="C1404" s="7" t="s">
        <v>272</v>
      </c>
      <c r="D1404" s="35">
        <v>26</v>
      </c>
      <c r="E1404" s="33">
        <f>DAY(TableAopCalendar[[#This Row],[Date]])</f>
        <v>1</v>
      </c>
      <c r="F140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04" s="33" t="str">
        <f t="shared" si="79"/>
        <v>Week 1</v>
      </c>
      <c r="H1404" s="33" t="str">
        <f t="shared" si="80"/>
        <v>February 26 Week 1</v>
      </c>
      <c r="I1404" s="33" t="str">
        <f>CONCATENATE(UPPER(TableAopCalendar[[#This Row],[Month]])," ",TableAopCalendar[[#This Row],[Year]])</f>
        <v>FEBRUARY 26</v>
      </c>
      <c r="J1404" s="8" t="s">
        <v>274</v>
      </c>
      <c r="K1404" s="33" t="str">
        <f>CONCATENATE(TableAopCalendar[[#This Row],[Month for Plan]]," ",TableAopCalendar[[#This Row],[Plan]])</f>
        <v>FEBRUARY 26 PLANNED</v>
      </c>
    </row>
    <row r="1405" spans="1:11" x14ac:dyDescent="0.25">
      <c r="A1405" s="33">
        <f t="shared" si="78"/>
        <v>2</v>
      </c>
      <c r="B1405" s="34">
        <v>46055</v>
      </c>
      <c r="C1405" s="7" t="s">
        <v>272</v>
      </c>
      <c r="D1405" s="35">
        <v>26</v>
      </c>
      <c r="E1405" s="33">
        <f>DAY(TableAopCalendar[[#This Row],[Date]])</f>
        <v>2</v>
      </c>
      <c r="F140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05" s="33" t="str">
        <f t="shared" si="79"/>
        <v>Week 1</v>
      </c>
      <c r="H1405" s="33" t="str">
        <f t="shared" si="80"/>
        <v>February 26 Week 1</v>
      </c>
      <c r="I1405" s="33" t="str">
        <f>CONCATENATE(UPPER(TableAopCalendar[[#This Row],[Month]])," ",TableAopCalendar[[#This Row],[Year]])</f>
        <v>FEBRUARY 26</v>
      </c>
      <c r="J1405" s="8" t="s">
        <v>274</v>
      </c>
      <c r="K1405" s="33" t="str">
        <f>CONCATENATE(TableAopCalendar[[#This Row],[Month for Plan]]," ",TableAopCalendar[[#This Row],[Plan]])</f>
        <v>FEBRUARY 26 PLANNED</v>
      </c>
    </row>
    <row r="1406" spans="1:11" x14ac:dyDescent="0.25">
      <c r="A1406" s="33">
        <f t="shared" si="78"/>
        <v>3</v>
      </c>
      <c r="B1406" s="34">
        <v>46056</v>
      </c>
      <c r="C1406" s="7" t="s">
        <v>272</v>
      </c>
      <c r="D1406" s="35">
        <v>26</v>
      </c>
      <c r="E1406" s="33">
        <f>DAY(TableAopCalendar[[#This Row],[Date]])</f>
        <v>3</v>
      </c>
      <c r="F140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06" s="33" t="str">
        <f t="shared" si="79"/>
        <v>Week 1</v>
      </c>
      <c r="H1406" s="33" t="str">
        <f t="shared" si="80"/>
        <v>February 26 Week 1</v>
      </c>
      <c r="I1406" s="33" t="str">
        <f>CONCATENATE(UPPER(TableAopCalendar[[#This Row],[Month]])," ",TableAopCalendar[[#This Row],[Year]])</f>
        <v>FEBRUARY 26</v>
      </c>
      <c r="J1406" s="8" t="s">
        <v>274</v>
      </c>
      <c r="K1406" s="33" t="str">
        <f>CONCATENATE(TableAopCalendar[[#This Row],[Month for Plan]]," ",TableAopCalendar[[#This Row],[Plan]])</f>
        <v>FEBRUARY 26 PLANNED</v>
      </c>
    </row>
    <row r="1407" spans="1:11" x14ac:dyDescent="0.25">
      <c r="A1407" s="33">
        <f t="shared" si="78"/>
        <v>4</v>
      </c>
      <c r="B1407" s="34">
        <v>46057</v>
      </c>
      <c r="C1407" s="7" t="s">
        <v>272</v>
      </c>
      <c r="D1407" s="35">
        <v>26</v>
      </c>
      <c r="E1407" s="33">
        <f>DAY(TableAopCalendar[[#This Row],[Date]])</f>
        <v>4</v>
      </c>
      <c r="F140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07" s="33" t="str">
        <f t="shared" si="79"/>
        <v>Week 1</v>
      </c>
      <c r="H1407" s="33" t="str">
        <f t="shared" si="80"/>
        <v>February 26 Week 1</v>
      </c>
      <c r="I1407" s="33" t="str">
        <f>CONCATENATE(UPPER(TableAopCalendar[[#This Row],[Month]])," ",TableAopCalendar[[#This Row],[Year]])</f>
        <v>FEBRUARY 26</v>
      </c>
      <c r="J1407" s="8" t="s">
        <v>274</v>
      </c>
      <c r="K1407" s="33" t="str">
        <f>CONCATENATE(TableAopCalendar[[#This Row],[Month for Plan]]," ",TableAopCalendar[[#This Row],[Plan]])</f>
        <v>FEBRUARY 26 PLANNED</v>
      </c>
    </row>
    <row r="1408" spans="1:11" x14ac:dyDescent="0.25">
      <c r="A1408" s="33">
        <f t="shared" si="78"/>
        <v>5</v>
      </c>
      <c r="B1408" s="34">
        <v>46058</v>
      </c>
      <c r="C1408" s="7" t="s">
        <v>272</v>
      </c>
      <c r="D1408" s="35">
        <v>26</v>
      </c>
      <c r="E1408" s="33">
        <f>DAY(TableAopCalendar[[#This Row],[Date]])</f>
        <v>5</v>
      </c>
      <c r="F140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08" s="33" t="str">
        <f t="shared" si="79"/>
        <v>Week 1</v>
      </c>
      <c r="H1408" s="33" t="str">
        <f t="shared" si="80"/>
        <v>February 26 Week 1</v>
      </c>
      <c r="I1408" s="33" t="str">
        <f>CONCATENATE(UPPER(TableAopCalendar[[#This Row],[Month]])," ",TableAopCalendar[[#This Row],[Year]])</f>
        <v>FEBRUARY 26</v>
      </c>
      <c r="J1408" s="8" t="s">
        <v>274</v>
      </c>
      <c r="K1408" s="33" t="str">
        <f>CONCATENATE(TableAopCalendar[[#This Row],[Month for Plan]]," ",TableAopCalendar[[#This Row],[Plan]])</f>
        <v>FEBRUARY 26 PLANNED</v>
      </c>
    </row>
    <row r="1409" spans="1:11" x14ac:dyDescent="0.25">
      <c r="A1409" s="33">
        <f t="shared" si="78"/>
        <v>6</v>
      </c>
      <c r="B1409" s="34">
        <v>46059</v>
      </c>
      <c r="C1409" s="7" t="s">
        <v>272</v>
      </c>
      <c r="D1409" s="35">
        <v>26</v>
      </c>
      <c r="E1409" s="33">
        <f>DAY(TableAopCalendar[[#This Row],[Date]])</f>
        <v>6</v>
      </c>
      <c r="F140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09" s="33" t="str">
        <f t="shared" si="79"/>
        <v>Week 1</v>
      </c>
      <c r="H1409" s="33" t="str">
        <f t="shared" si="80"/>
        <v>February 26 Week 1</v>
      </c>
      <c r="I1409" s="33" t="str">
        <f>CONCATENATE(UPPER(TableAopCalendar[[#This Row],[Month]])," ",TableAopCalendar[[#This Row],[Year]])</f>
        <v>FEBRUARY 26</v>
      </c>
      <c r="J1409" s="8" t="s">
        <v>274</v>
      </c>
      <c r="K1409" s="33" t="str">
        <f>CONCATENATE(TableAopCalendar[[#This Row],[Month for Plan]]," ",TableAopCalendar[[#This Row],[Plan]])</f>
        <v>FEBRUARY 26 PLANNED</v>
      </c>
    </row>
    <row r="1410" spans="1:11" x14ac:dyDescent="0.25">
      <c r="A1410" s="33">
        <f t="shared" si="78"/>
        <v>7</v>
      </c>
      <c r="B1410" s="34">
        <v>46060</v>
      </c>
      <c r="C1410" s="7" t="s">
        <v>272</v>
      </c>
      <c r="D1410" s="35">
        <v>26</v>
      </c>
      <c r="E1410" s="33">
        <f>DAY(TableAopCalendar[[#This Row],[Date]])</f>
        <v>7</v>
      </c>
      <c r="F141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10" s="33" t="str">
        <f t="shared" si="79"/>
        <v>Week 1</v>
      </c>
      <c r="H1410" s="33" t="str">
        <f t="shared" si="80"/>
        <v>February 26 Week 1</v>
      </c>
      <c r="I1410" s="33" t="str">
        <f>CONCATENATE(UPPER(TableAopCalendar[[#This Row],[Month]])," ",TableAopCalendar[[#This Row],[Year]])</f>
        <v>FEBRUARY 26</v>
      </c>
      <c r="J1410" s="8" t="s">
        <v>274</v>
      </c>
      <c r="K1410" s="33" t="str">
        <f>CONCATENATE(TableAopCalendar[[#This Row],[Month for Plan]]," ",TableAopCalendar[[#This Row],[Plan]])</f>
        <v>FEBRUARY 26 PLANNED</v>
      </c>
    </row>
    <row r="1411" spans="1:11" x14ac:dyDescent="0.25">
      <c r="A1411" s="33">
        <f t="shared" si="78"/>
        <v>1</v>
      </c>
      <c r="B1411" s="34">
        <v>46061</v>
      </c>
      <c r="C1411" s="7" t="s">
        <v>272</v>
      </c>
      <c r="D1411" s="35">
        <v>26</v>
      </c>
      <c r="E1411" s="33">
        <f>DAY(TableAopCalendar[[#This Row],[Date]])</f>
        <v>8</v>
      </c>
      <c r="F141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11" s="33" t="str">
        <f t="shared" si="79"/>
        <v>Week 2</v>
      </c>
      <c r="H1411" s="33" t="str">
        <f t="shared" si="80"/>
        <v>February 26 Week 2</v>
      </c>
      <c r="I1411" s="33" t="str">
        <f>CONCATENATE(UPPER(TableAopCalendar[[#This Row],[Month]])," ",TableAopCalendar[[#This Row],[Year]])</f>
        <v>FEBRUARY 26</v>
      </c>
      <c r="J1411" s="8" t="s">
        <v>274</v>
      </c>
      <c r="K1411" s="33" t="str">
        <f>CONCATENATE(TableAopCalendar[[#This Row],[Month for Plan]]," ",TableAopCalendar[[#This Row],[Plan]])</f>
        <v>FEBRUARY 26 PLANNED</v>
      </c>
    </row>
    <row r="1412" spans="1:11" x14ac:dyDescent="0.25">
      <c r="A1412" s="33">
        <f t="shared" si="78"/>
        <v>2</v>
      </c>
      <c r="B1412" s="34">
        <v>46062</v>
      </c>
      <c r="C1412" s="7" t="s">
        <v>272</v>
      </c>
      <c r="D1412" s="35">
        <v>26</v>
      </c>
      <c r="E1412" s="33">
        <f>DAY(TableAopCalendar[[#This Row],[Date]])</f>
        <v>9</v>
      </c>
      <c r="F141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12" s="33" t="str">
        <f t="shared" si="79"/>
        <v>Week 2</v>
      </c>
      <c r="H1412" s="33" t="str">
        <f t="shared" si="80"/>
        <v>February 26 Week 2</v>
      </c>
      <c r="I1412" s="33" t="str">
        <f>CONCATENATE(UPPER(TableAopCalendar[[#This Row],[Month]])," ",TableAopCalendar[[#This Row],[Year]])</f>
        <v>FEBRUARY 26</v>
      </c>
      <c r="J1412" s="8" t="s">
        <v>274</v>
      </c>
      <c r="K1412" s="33" t="str">
        <f>CONCATENATE(TableAopCalendar[[#This Row],[Month for Plan]]," ",TableAopCalendar[[#This Row],[Plan]])</f>
        <v>FEBRUARY 26 PLANNED</v>
      </c>
    </row>
    <row r="1413" spans="1:11" x14ac:dyDescent="0.25">
      <c r="A1413" s="33">
        <f t="shared" si="78"/>
        <v>3</v>
      </c>
      <c r="B1413" s="34">
        <v>46063</v>
      </c>
      <c r="C1413" s="7" t="s">
        <v>272</v>
      </c>
      <c r="D1413" s="35">
        <v>26</v>
      </c>
      <c r="E1413" s="33">
        <f>DAY(TableAopCalendar[[#This Row],[Date]])</f>
        <v>10</v>
      </c>
      <c r="F141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13" s="33" t="str">
        <f t="shared" si="79"/>
        <v>Week 2</v>
      </c>
      <c r="H1413" s="33" t="str">
        <f t="shared" si="80"/>
        <v>February 26 Week 2</v>
      </c>
      <c r="I1413" s="33" t="str">
        <f>CONCATENATE(UPPER(TableAopCalendar[[#This Row],[Month]])," ",TableAopCalendar[[#This Row],[Year]])</f>
        <v>FEBRUARY 26</v>
      </c>
      <c r="J1413" s="8" t="s">
        <v>274</v>
      </c>
      <c r="K1413" s="33" t="str">
        <f>CONCATENATE(TableAopCalendar[[#This Row],[Month for Plan]]," ",TableAopCalendar[[#This Row],[Plan]])</f>
        <v>FEBRUARY 26 PLANNED</v>
      </c>
    </row>
    <row r="1414" spans="1:11" x14ac:dyDescent="0.25">
      <c r="A1414" s="33">
        <f t="shared" si="78"/>
        <v>4</v>
      </c>
      <c r="B1414" s="34">
        <v>46064</v>
      </c>
      <c r="C1414" s="7" t="s">
        <v>272</v>
      </c>
      <c r="D1414" s="35">
        <v>26</v>
      </c>
      <c r="E1414" s="33">
        <f>DAY(TableAopCalendar[[#This Row],[Date]])</f>
        <v>11</v>
      </c>
      <c r="F141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14" s="33" t="str">
        <f t="shared" si="79"/>
        <v>Week 2</v>
      </c>
      <c r="H1414" s="33" t="str">
        <f t="shared" si="80"/>
        <v>February 26 Week 2</v>
      </c>
      <c r="I1414" s="33" t="str">
        <f>CONCATENATE(UPPER(TableAopCalendar[[#This Row],[Month]])," ",TableAopCalendar[[#This Row],[Year]])</f>
        <v>FEBRUARY 26</v>
      </c>
      <c r="J1414" s="8" t="s">
        <v>274</v>
      </c>
      <c r="K1414" s="33" t="str">
        <f>CONCATENATE(TableAopCalendar[[#This Row],[Month for Plan]]," ",TableAopCalendar[[#This Row],[Plan]])</f>
        <v>FEBRUARY 26 PLANNED</v>
      </c>
    </row>
    <row r="1415" spans="1:11" x14ac:dyDescent="0.25">
      <c r="A1415" s="33">
        <f t="shared" si="78"/>
        <v>5</v>
      </c>
      <c r="B1415" s="34">
        <v>46065</v>
      </c>
      <c r="C1415" s="7" t="s">
        <v>272</v>
      </c>
      <c r="D1415" s="35">
        <v>26</v>
      </c>
      <c r="E1415" s="33">
        <f>DAY(TableAopCalendar[[#This Row],[Date]])</f>
        <v>12</v>
      </c>
      <c r="F141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15" s="33" t="str">
        <f t="shared" si="79"/>
        <v>Week 2</v>
      </c>
      <c r="H1415" s="33" t="str">
        <f t="shared" si="80"/>
        <v>February 26 Week 2</v>
      </c>
      <c r="I1415" s="33" t="str">
        <f>CONCATENATE(UPPER(TableAopCalendar[[#This Row],[Month]])," ",TableAopCalendar[[#This Row],[Year]])</f>
        <v>FEBRUARY 26</v>
      </c>
      <c r="J1415" s="8" t="s">
        <v>274</v>
      </c>
      <c r="K1415" s="33" t="str">
        <f>CONCATENATE(TableAopCalendar[[#This Row],[Month for Plan]]," ",TableAopCalendar[[#This Row],[Plan]])</f>
        <v>FEBRUARY 26 PLANNED</v>
      </c>
    </row>
    <row r="1416" spans="1:11" x14ac:dyDescent="0.25">
      <c r="A1416" s="33">
        <f t="shared" si="78"/>
        <v>6</v>
      </c>
      <c r="B1416" s="34">
        <v>46066</v>
      </c>
      <c r="C1416" s="7" t="s">
        <v>272</v>
      </c>
      <c r="D1416" s="35">
        <v>26</v>
      </c>
      <c r="E1416" s="33">
        <f>DAY(TableAopCalendar[[#This Row],[Date]])</f>
        <v>13</v>
      </c>
      <c r="F141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16" s="33" t="str">
        <f t="shared" si="79"/>
        <v>Week 2</v>
      </c>
      <c r="H1416" s="33" t="str">
        <f t="shared" si="80"/>
        <v>February 26 Week 2</v>
      </c>
      <c r="I1416" s="33" t="str">
        <f>CONCATENATE(UPPER(TableAopCalendar[[#This Row],[Month]])," ",TableAopCalendar[[#This Row],[Year]])</f>
        <v>FEBRUARY 26</v>
      </c>
      <c r="J1416" s="8" t="s">
        <v>274</v>
      </c>
      <c r="K1416" s="33" t="str">
        <f>CONCATENATE(TableAopCalendar[[#This Row],[Month for Plan]]," ",TableAopCalendar[[#This Row],[Plan]])</f>
        <v>FEBRUARY 26 PLANNED</v>
      </c>
    </row>
    <row r="1417" spans="1:11" x14ac:dyDescent="0.25">
      <c r="A1417" s="33">
        <f t="shared" si="78"/>
        <v>7</v>
      </c>
      <c r="B1417" s="34">
        <v>46067</v>
      </c>
      <c r="C1417" s="7" t="s">
        <v>272</v>
      </c>
      <c r="D1417" s="35">
        <v>26</v>
      </c>
      <c r="E1417" s="33">
        <f>DAY(TableAopCalendar[[#This Row],[Date]])</f>
        <v>14</v>
      </c>
      <c r="F141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17" s="33" t="str">
        <f t="shared" si="79"/>
        <v>Week 2</v>
      </c>
      <c r="H1417" s="33" t="str">
        <f t="shared" si="80"/>
        <v>February 26 Week 2</v>
      </c>
      <c r="I1417" s="33" t="str">
        <f>CONCATENATE(UPPER(TableAopCalendar[[#This Row],[Month]])," ",TableAopCalendar[[#This Row],[Year]])</f>
        <v>FEBRUARY 26</v>
      </c>
      <c r="J1417" s="8" t="s">
        <v>274</v>
      </c>
      <c r="K1417" s="33" t="str">
        <f>CONCATENATE(TableAopCalendar[[#This Row],[Month for Plan]]," ",TableAopCalendar[[#This Row],[Plan]])</f>
        <v>FEBRUARY 26 PLANNED</v>
      </c>
    </row>
    <row r="1418" spans="1:11" x14ac:dyDescent="0.25">
      <c r="A1418" s="33">
        <f t="shared" si="78"/>
        <v>1</v>
      </c>
      <c r="B1418" s="34">
        <v>46068</v>
      </c>
      <c r="C1418" s="7" t="s">
        <v>272</v>
      </c>
      <c r="D1418" s="35">
        <v>26</v>
      </c>
      <c r="E1418" s="33">
        <f>DAY(TableAopCalendar[[#This Row],[Date]])</f>
        <v>15</v>
      </c>
      <c r="F141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18" s="33" t="str">
        <f t="shared" si="79"/>
        <v>Week 3</v>
      </c>
      <c r="H1418" s="33" t="str">
        <f t="shared" si="80"/>
        <v>February 26 Week 3</v>
      </c>
      <c r="I1418" s="33" t="str">
        <f>CONCATENATE(UPPER(TableAopCalendar[[#This Row],[Month]])," ",TableAopCalendar[[#This Row],[Year]])</f>
        <v>FEBRUARY 26</v>
      </c>
      <c r="J1418" s="8" t="s">
        <v>274</v>
      </c>
      <c r="K1418" s="33" t="str">
        <f>CONCATENATE(TableAopCalendar[[#This Row],[Month for Plan]]," ",TableAopCalendar[[#This Row],[Plan]])</f>
        <v>FEBRUARY 26 PLANNED</v>
      </c>
    </row>
    <row r="1419" spans="1:11" x14ac:dyDescent="0.25">
      <c r="A1419" s="33">
        <f t="shared" ref="A1419:A1482" si="81">IF(G1419=G1418,A1418+1,1)</f>
        <v>2</v>
      </c>
      <c r="B1419" s="34">
        <v>46069</v>
      </c>
      <c r="C1419" s="7" t="s">
        <v>272</v>
      </c>
      <c r="D1419" s="35">
        <v>26</v>
      </c>
      <c r="E1419" s="33">
        <f>DAY(TableAopCalendar[[#This Row],[Date]])</f>
        <v>16</v>
      </c>
      <c r="F141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19" s="33" t="str">
        <f t="shared" ref="G1419:G1482" si="82">"Week"&amp;" "&amp;F1419</f>
        <v>Week 3</v>
      </c>
      <c r="H1419" s="33" t="str">
        <f t="shared" ref="H1419:H1482" si="83">CONCATENATE(C1419," ",D1419," ",G1419)</f>
        <v>February 26 Week 3</v>
      </c>
      <c r="I1419" s="33" t="str">
        <f>CONCATENATE(UPPER(TableAopCalendar[[#This Row],[Month]])," ",TableAopCalendar[[#This Row],[Year]])</f>
        <v>FEBRUARY 26</v>
      </c>
      <c r="J1419" s="8" t="s">
        <v>274</v>
      </c>
      <c r="K1419" s="33" t="str">
        <f>CONCATENATE(TableAopCalendar[[#This Row],[Month for Plan]]," ",TableAopCalendar[[#This Row],[Plan]])</f>
        <v>FEBRUARY 26 PLANNED</v>
      </c>
    </row>
    <row r="1420" spans="1:11" x14ac:dyDescent="0.25">
      <c r="A1420" s="33">
        <f t="shared" si="81"/>
        <v>3</v>
      </c>
      <c r="B1420" s="34">
        <v>46070</v>
      </c>
      <c r="C1420" s="7" t="s">
        <v>272</v>
      </c>
      <c r="D1420" s="35">
        <v>26</v>
      </c>
      <c r="E1420" s="33">
        <f>DAY(TableAopCalendar[[#This Row],[Date]])</f>
        <v>17</v>
      </c>
      <c r="F142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20" s="33" t="str">
        <f t="shared" si="82"/>
        <v>Week 3</v>
      </c>
      <c r="H1420" s="33" t="str">
        <f t="shared" si="83"/>
        <v>February 26 Week 3</v>
      </c>
      <c r="I1420" s="33" t="str">
        <f>CONCATENATE(UPPER(TableAopCalendar[[#This Row],[Month]])," ",TableAopCalendar[[#This Row],[Year]])</f>
        <v>FEBRUARY 26</v>
      </c>
      <c r="J1420" s="8" t="s">
        <v>274</v>
      </c>
      <c r="K1420" s="33" t="str">
        <f>CONCATENATE(TableAopCalendar[[#This Row],[Month for Plan]]," ",TableAopCalendar[[#This Row],[Plan]])</f>
        <v>FEBRUARY 26 PLANNED</v>
      </c>
    </row>
    <row r="1421" spans="1:11" x14ac:dyDescent="0.25">
      <c r="A1421" s="33">
        <f t="shared" si="81"/>
        <v>4</v>
      </c>
      <c r="B1421" s="34">
        <v>46071</v>
      </c>
      <c r="C1421" s="7" t="s">
        <v>272</v>
      </c>
      <c r="D1421" s="35">
        <v>26</v>
      </c>
      <c r="E1421" s="33">
        <f>DAY(TableAopCalendar[[#This Row],[Date]])</f>
        <v>18</v>
      </c>
      <c r="F142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21" s="33" t="str">
        <f t="shared" si="82"/>
        <v>Week 3</v>
      </c>
      <c r="H1421" s="33" t="str">
        <f t="shared" si="83"/>
        <v>February 26 Week 3</v>
      </c>
      <c r="I1421" s="33" t="str">
        <f>CONCATENATE(UPPER(TableAopCalendar[[#This Row],[Month]])," ",TableAopCalendar[[#This Row],[Year]])</f>
        <v>FEBRUARY 26</v>
      </c>
      <c r="J1421" s="8" t="s">
        <v>274</v>
      </c>
      <c r="K1421" s="33" t="str">
        <f>CONCATENATE(TableAopCalendar[[#This Row],[Month for Plan]]," ",TableAopCalendar[[#This Row],[Plan]])</f>
        <v>FEBRUARY 26 PLANNED</v>
      </c>
    </row>
    <row r="1422" spans="1:11" x14ac:dyDescent="0.25">
      <c r="A1422" s="33">
        <f t="shared" si="81"/>
        <v>5</v>
      </c>
      <c r="B1422" s="34">
        <v>46072</v>
      </c>
      <c r="C1422" s="7" t="s">
        <v>272</v>
      </c>
      <c r="D1422" s="35">
        <v>26</v>
      </c>
      <c r="E1422" s="33">
        <f>DAY(TableAopCalendar[[#This Row],[Date]])</f>
        <v>19</v>
      </c>
      <c r="F142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22" s="33" t="str">
        <f t="shared" si="82"/>
        <v>Week 3</v>
      </c>
      <c r="H1422" s="33" t="str">
        <f t="shared" si="83"/>
        <v>February 26 Week 3</v>
      </c>
      <c r="I1422" s="33" t="str">
        <f>CONCATENATE(UPPER(TableAopCalendar[[#This Row],[Month]])," ",TableAopCalendar[[#This Row],[Year]])</f>
        <v>FEBRUARY 26</v>
      </c>
      <c r="J1422" s="8" t="s">
        <v>274</v>
      </c>
      <c r="K1422" s="33" t="str">
        <f>CONCATENATE(TableAopCalendar[[#This Row],[Month for Plan]]," ",TableAopCalendar[[#This Row],[Plan]])</f>
        <v>FEBRUARY 26 PLANNED</v>
      </c>
    </row>
    <row r="1423" spans="1:11" x14ac:dyDescent="0.25">
      <c r="A1423" s="33">
        <f t="shared" si="81"/>
        <v>6</v>
      </c>
      <c r="B1423" s="34">
        <v>46073</v>
      </c>
      <c r="C1423" s="7" t="s">
        <v>272</v>
      </c>
      <c r="D1423" s="35">
        <v>26</v>
      </c>
      <c r="E1423" s="33">
        <f>DAY(TableAopCalendar[[#This Row],[Date]])</f>
        <v>20</v>
      </c>
      <c r="F142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23" s="33" t="str">
        <f t="shared" si="82"/>
        <v>Week 3</v>
      </c>
      <c r="H1423" s="33" t="str">
        <f t="shared" si="83"/>
        <v>February 26 Week 3</v>
      </c>
      <c r="I1423" s="33" t="str">
        <f>CONCATENATE(UPPER(TableAopCalendar[[#This Row],[Month]])," ",TableAopCalendar[[#This Row],[Year]])</f>
        <v>FEBRUARY 26</v>
      </c>
      <c r="J1423" s="8" t="s">
        <v>274</v>
      </c>
      <c r="K1423" s="33" t="str">
        <f>CONCATENATE(TableAopCalendar[[#This Row],[Month for Plan]]," ",TableAopCalendar[[#This Row],[Plan]])</f>
        <v>FEBRUARY 26 PLANNED</v>
      </c>
    </row>
    <row r="1424" spans="1:11" x14ac:dyDescent="0.25">
      <c r="A1424" s="33">
        <f t="shared" si="81"/>
        <v>7</v>
      </c>
      <c r="B1424" s="34">
        <v>46074</v>
      </c>
      <c r="C1424" s="7" t="s">
        <v>272</v>
      </c>
      <c r="D1424" s="35">
        <v>26</v>
      </c>
      <c r="E1424" s="33">
        <f>DAY(TableAopCalendar[[#This Row],[Date]])</f>
        <v>21</v>
      </c>
      <c r="F142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24" s="33" t="str">
        <f t="shared" si="82"/>
        <v>Week 3</v>
      </c>
      <c r="H1424" s="33" t="str">
        <f t="shared" si="83"/>
        <v>February 26 Week 3</v>
      </c>
      <c r="I1424" s="33" t="str">
        <f>CONCATENATE(UPPER(TableAopCalendar[[#This Row],[Month]])," ",TableAopCalendar[[#This Row],[Year]])</f>
        <v>FEBRUARY 26</v>
      </c>
      <c r="J1424" s="8" t="s">
        <v>274</v>
      </c>
      <c r="K1424" s="33" t="str">
        <f>CONCATENATE(TableAopCalendar[[#This Row],[Month for Plan]]," ",TableAopCalendar[[#This Row],[Plan]])</f>
        <v>FEBRUARY 26 PLANNED</v>
      </c>
    </row>
    <row r="1425" spans="1:11" x14ac:dyDescent="0.25">
      <c r="A1425" s="33">
        <f t="shared" si="81"/>
        <v>1</v>
      </c>
      <c r="B1425" s="34">
        <v>46075</v>
      </c>
      <c r="C1425" s="7" t="s">
        <v>272</v>
      </c>
      <c r="D1425" s="35">
        <v>26</v>
      </c>
      <c r="E1425" s="33">
        <f>DAY(TableAopCalendar[[#This Row],[Date]])</f>
        <v>22</v>
      </c>
      <c r="F142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25" s="33" t="str">
        <f t="shared" si="82"/>
        <v>Week 4</v>
      </c>
      <c r="H1425" s="33" t="str">
        <f t="shared" si="83"/>
        <v>February 26 Week 4</v>
      </c>
      <c r="I1425" s="33" t="str">
        <f>CONCATENATE(UPPER(TableAopCalendar[[#This Row],[Month]])," ",TableAopCalendar[[#This Row],[Year]])</f>
        <v>FEBRUARY 26</v>
      </c>
      <c r="J1425" s="8" t="s">
        <v>274</v>
      </c>
      <c r="K1425" s="33" t="str">
        <f>CONCATENATE(TableAopCalendar[[#This Row],[Month for Plan]]," ",TableAopCalendar[[#This Row],[Plan]])</f>
        <v>FEBRUARY 26 PLANNED</v>
      </c>
    </row>
    <row r="1426" spans="1:11" x14ac:dyDescent="0.25">
      <c r="A1426" s="33">
        <f t="shared" si="81"/>
        <v>2</v>
      </c>
      <c r="B1426" s="34">
        <v>46076</v>
      </c>
      <c r="C1426" s="7" t="s">
        <v>272</v>
      </c>
      <c r="D1426" s="35">
        <v>26</v>
      </c>
      <c r="E1426" s="33">
        <f>DAY(TableAopCalendar[[#This Row],[Date]])</f>
        <v>23</v>
      </c>
      <c r="F142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26" s="33" t="str">
        <f t="shared" si="82"/>
        <v>Week 4</v>
      </c>
      <c r="H1426" s="33" t="str">
        <f t="shared" si="83"/>
        <v>February 26 Week 4</v>
      </c>
      <c r="I1426" s="33" t="str">
        <f>CONCATENATE(UPPER(TableAopCalendar[[#This Row],[Month]])," ",TableAopCalendar[[#This Row],[Year]])</f>
        <v>FEBRUARY 26</v>
      </c>
      <c r="J1426" s="8" t="s">
        <v>274</v>
      </c>
      <c r="K1426" s="33" t="str">
        <f>CONCATENATE(TableAopCalendar[[#This Row],[Month for Plan]]," ",TableAopCalendar[[#This Row],[Plan]])</f>
        <v>FEBRUARY 26 PLANNED</v>
      </c>
    </row>
    <row r="1427" spans="1:11" x14ac:dyDescent="0.25">
      <c r="A1427" s="33">
        <f t="shared" si="81"/>
        <v>3</v>
      </c>
      <c r="B1427" s="34">
        <v>46077</v>
      </c>
      <c r="C1427" s="7" t="s">
        <v>272</v>
      </c>
      <c r="D1427" s="35">
        <v>26</v>
      </c>
      <c r="E1427" s="33">
        <f>DAY(TableAopCalendar[[#This Row],[Date]])</f>
        <v>24</v>
      </c>
      <c r="F142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27" s="33" t="str">
        <f t="shared" si="82"/>
        <v>Week 4</v>
      </c>
      <c r="H1427" s="33" t="str">
        <f t="shared" si="83"/>
        <v>February 26 Week 4</v>
      </c>
      <c r="I1427" s="33" t="str">
        <f>CONCATENATE(UPPER(TableAopCalendar[[#This Row],[Month]])," ",TableAopCalendar[[#This Row],[Year]])</f>
        <v>FEBRUARY 26</v>
      </c>
      <c r="J1427" s="8" t="s">
        <v>274</v>
      </c>
      <c r="K1427" s="33" t="str">
        <f>CONCATENATE(TableAopCalendar[[#This Row],[Month for Plan]]," ",TableAopCalendar[[#This Row],[Plan]])</f>
        <v>FEBRUARY 26 PLANNED</v>
      </c>
    </row>
    <row r="1428" spans="1:11" x14ac:dyDescent="0.25">
      <c r="A1428" s="33">
        <f t="shared" si="81"/>
        <v>4</v>
      </c>
      <c r="B1428" s="34">
        <v>46078</v>
      </c>
      <c r="C1428" s="7" t="s">
        <v>272</v>
      </c>
      <c r="D1428" s="35">
        <v>26</v>
      </c>
      <c r="E1428" s="33">
        <f>DAY(TableAopCalendar[[#This Row],[Date]])</f>
        <v>25</v>
      </c>
      <c r="F142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28" s="33" t="str">
        <f t="shared" si="82"/>
        <v>Week 4</v>
      </c>
      <c r="H1428" s="33" t="str">
        <f t="shared" si="83"/>
        <v>February 26 Week 4</v>
      </c>
      <c r="I1428" s="33" t="str">
        <f>CONCATENATE(UPPER(TableAopCalendar[[#This Row],[Month]])," ",TableAopCalendar[[#This Row],[Year]])</f>
        <v>FEBRUARY 26</v>
      </c>
      <c r="J1428" s="8" t="s">
        <v>274</v>
      </c>
      <c r="K1428" s="33" t="str">
        <f>CONCATENATE(TableAopCalendar[[#This Row],[Month for Plan]]," ",TableAopCalendar[[#This Row],[Plan]])</f>
        <v>FEBRUARY 26 PLANNED</v>
      </c>
    </row>
    <row r="1429" spans="1:11" x14ac:dyDescent="0.25">
      <c r="A1429" s="33">
        <f t="shared" si="81"/>
        <v>5</v>
      </c>
      <c r="B1429" s="34">
        <v>46079</v>
      </c>
      <c r="C1429" s="7" t="s">
        <v>272</v>
      </c>
      <c r="D1429" s="35">
        <v>26</v>
      </c>
      <c r="E1429" s="33">
        <f>DAY(TableAopCalendar[[#This Row],[Date]])</f>
        <v>26</v>
      </c>
      <c r="F142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29" s="33" t="str">
        <f t="shared" si="82"/>
        <v>Week 4</v>
      </c>
      <c r="H1429" s="33" t="str">
        <f t="shared" si="83"/>
        <v>February 26 Week 4</v>
      </c>
      <c r="I1429" s="33" t="str">
        <f>CONCATENATE(UPPER(TableAopCalendar[[#This Row],[Month]])," ",TableAopCalendar[[#This Row],[Year]])</f>
        <v>FEBRUARY 26</v>
      </c>
      <c r="J1429" s="8" t="s">
        <v>274</v>
      </c>
      <c r="K1429" s="33" t="str">
        <f>CONCATENATE(TableAopCalendar[[#This Row],[Month for Plan]]," ",TableAopCalendar[[#This Row],[Plan]])</f>
        <v>FEBRUARY 26 PLANNED</v>
      </c>
    </row>
    <row r="1430" spans="1:11" x14ac:dyDescent="0.25">
      <c r="A1430" s="33">
        <f t="shared" si="81"/>
        <v>6</v>
      </c>
      <c r="B1430" s="34">
        <v>46080</v>
      </c>
      <c r="C1430" s="7" t="s">
        <v>272</v>
      </c>
      <c r="D1430" s="35">
        <v>26</v>
      </c>
      <c r="E1430" s="33">
        <f>DAY(TableAopCalendar[[#This Row],[Date]])</f>
        <v>27</v>
      </c>
      <c r="F143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30" s="33" t="str">
        <f t="shared" si="82"/>
        <v>Week 4</v>
      </c>
      <c r="H1430" s="33" t="str">
        <f t="shared" si="83"/>
        <v>February 26 Week 4</v>
      </c>
      <c r="I1430" s="33" t="str">
        <f>CONCATENATE(UPPER(TableAopCalendar[[#This Row],[Month]])," ",TableAopCalendar[[#This Row],[Year]])</f>
        <v>FEBRUARY 26</v>
      </c>
      <c r="J1430" s="8" t="s">
        <v>274</v>
      </c>
      <c r="K1430" s="33" t="str">
        <f>CONCATENATE(TableAopCalendar[[#This Row],[Month for Plan]]," ",TableAopCalendar[[#This Row],[Plan]])</f>
        <v>FEBRUARY 26 PLANNED</v>
      </c>
    </row>
    <row r="1431" spans="1:11" x14ac:dyDescent="0.25">
      <c r="A1431" s="33">
        <f t="shared" si="81"/>
        <v>7</v>
      </c>
      <c r="B1431" s="34">
        <v>46081</v>
      </c>
      <c r="C1431" s="7" t="s">
        <v>272</v>
      </c>
      <c r="D1431" s="35">
        <v>26</v>
      </c>
      <c r="E1431" s="33">
        <f>DAY(TableAopCalendar[[#This Row],[Date]])</f>
        <v>28</v>
      </c>
      <c r="F143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31" s="33" t="str">
        <f t="shared" si="82"/>
        <v>Week 4</v>
      </c>
      <c r="H1431" s="33" t="str">
        <f t="shared" si="83"/>
        <v>February 26 Week 4</v>
      </c>
      <c r="I1431" s="33" t="str">
        <f>CONCATENATE(UPPER(TableAopCalendar[[#This Row],[Month]])," ",TableAopCalendar[[#This Row],[Year]])</f>
        <v>FEBRUARY 26</v>
      </c>
      <c r="J1431" s="8" t="s">
        <v>274</v>
      </c>
      <c r="K1431" s="33" t="str">
        <f>CONCATENATE(TableAopCalendar[[#This Row],[Month for Plan]]," ",TableAopCalendar[[#This Row],[Plan]])</f>
        <v>FEBRUARY 26 PLANNED</v>
      </c>
    </row>
    <row r="1432" spans="1:11" x14ac:dyDescent="0.25">
      <c r="A1432" s="33">
        <f t="shared" si="81"/>
        <v>1</v>
      </c>
      <c r="B1432" s="34">
        <v>46082</v>
      </c>
      <c r="C1432" s="7" t="s">
        <v>273</v>
      </c>
      <c r="D1432" s="35">
        <v>26</v>
      </c>
      <c r="E1432" s="33">
        <f>DAY(TableAopCalendar[[#This Row],[Date]])</f>
        <v>1</v>
      </c>
      <c r="F143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32" s="33" t="str">
        <f t="shared" si="82"/>
        <v>Week 1</v>
      </c>
      <c r="H1432" s="33" t="str">
        <f t="shared" si="83"/>
        <v>March 26 Week 1</v>
      </c>
      <c r="I1432" s="33" t="str">
        <f>CONCATENATE(UPPER(TableAopCalendar[[#This Row],[Month]])," ",TableAopCalendar[[#This Row],[Year]])</f>
        <v>MARCH 26</v>
      </c>
      <c r="J1432" s="8" t="s">
        <v>274</v>
      </c>
      <c r="K1432" s="33" t="str">
        <f>CONCATENATE(TableAopCalendar[[#This Row],[Month for Plan]]," ",TableAopCalendar[[#This Row],[Plan]])</f>
        <v>MARCH 26 PLANNED</v>
      </c>
    </row>
    <row r="1433" spans="1:11" x14ac:dyDescent="0.25">
      <c r="A1433" s="33">
        <f t="shared" si="81"/>
        <v>2</v>
      </c>
      <c r="B1433" s="34">
        <v>46083</v>
      </c>
      <c r="C1433" s="7" t="s">
        <v>273</v>
      </c>
      <c r="D1433" s="35">
        <v>26</v>
      </c>
      <c r="E1433" s="33">
        <f>DAY(TableAopCalendar[[#This Row],[Date]])</f>
        <v>2</v>
      </c>
      <c r="F143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33" s="33" t="str">
        <f t="shared" si="82"/>
        <v>Week 1</v>
      </c>
      <c r="H1433" s="33" t="str">
        <f t="shared" si="83"/>
        <v>March 26 Week 1</v>
      </c>
      <c r="I1433" s="33" t="str">
        <f>CONCATENATE(UPPER(TableAopCalendar[[#This Row],[Month]])," ",TableAopCalendar[[#This Row],[Year]])</f>
        <v>MARCH 26</v>
      </c>
      <c r="J1433" s="8" t="s">
        <v>274</v>
      </c>
      <c r="K1433" s="33" t="str">
        <f>CONCATENATE(TableAopCalendar[[#This Row],[Month for Plan]]," ",TableAopCalendar[[#This Row],[Plan]])</f>
        <v>MARCH 26 PLANNED</v>
      </c>
    </row>
    <row r="1434" spans="1:11" x14ac:dyDescent="0.25">
      <c r="A1434" s="33">
        <f t="shared" si="81"/>
        <v>3</v>
      </c>
      <c r="B1434" s="34">
        <v>46084</v>
      </c>
      <c r="C1434" s="7" t="s">
        <v>273</v>
      </c>
      <c r="D1434" s="35">
        <v>26</v>
      </c>
      <c r="E1434" s="33">
        <f>DAY(TableAopCalendar[[#This Row],[Date]])</f>
        <v>3</v>
      </c>
      <c r="F143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34" s="33" t="str">
        <f t="shared" si="82"/>
        <v>Week 1</v>
      </c>
      <c r="H1434" s="33" t="str">
        <f t="shared" si="83"/>
        <v>March 26 Week 1</v>
      </c>
      <c r="I1434" s="33" t="str">
        <f>CONCATENATE(UPPER(TableAopCalendar[[#This Row],[Month]])," ",TableAopCalendar[[#This Row],[Year]])</f>
        <v>MARCH 26</v>
      </c>
      <c r="J1434" s="8" t="s">
        <v>274</v>
      </c>
      <c r="K1434" s="33" t="str">
        <f>CONCATENATE(TableAopCalendar[[#This Row],[Month for Plan]]," ",TableAopCalendar[[#This Row],[Plan]])</f>
        <v>MARCH 26 PLANNED</v>
      </c>
    </row>
    <row r="1435" spans="1:11" x14ac:dyDescent="0.25">
      <c r="A1435" s="33">
        <f t="shared" si="81"/>
        <v>4</v>
      </c>
      <c r="B1435" s="34">
        <v>46085</v>
      </c>
      <c r="C1435" s="7" t="s">
        <v>273</v>
      </c>
      <c r="D1435" s="35">
        <v>26</v>
      </c>
      <c r="E1435" s="33">
        <f>DAY(TableAopCalendar[[#This Row],[Date]])</f>
        <v>4</v>
      </c>
      <c r="F143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35" s="33" t="str">
        <f t="shared" si="82"/>
        <v>Week 1</v>
      </c>
      <c r="H1435" s="33" t="str">
        <f t="shared" si="83"/>
        <v>March 26 Week 1</v>
      </c>
      <c r="I1435" s="33" t="str">
        <f>CONCATENATE(UPPER(TableAopCalendar[[#This Row],[Month]])," ",TableAopCalendar[[#This Row],[Year]])</f>
        <v>MARCH 26</v>
      </c>
      <c r="J1435" s="8" t="s">
        <v>274</v>
      </c>
      <c r="K1435" s="33" t="str">
        <f>CONCATENATE(TableAopCalendar[[#This Row],[Month for Plan]]," ",TableAopCalendar[[#This Row],[Plan]])</f>
        <v>MARCH 26 PLANNED</v>
      </c>
    </row>
    <row r="1436" spans="1:11" x14ac:dyDescent="0.25">
      <c r="A1436" s="33">
        <f t="shared" si="81"/>
        <v>5</v>
      </c>
      <c r="B1436" s="34">
        <v>46086</v>
      </c>
      <c r="C1436" s="7" t="s">
        <v>273</v>
      </c>
      <c r="D1436" s="35">
        <v>26</v>
      </c>
      <c r="E1436" s="33">
        <f>DAY(TableAopCalendar[[#This Row],[Date]])</f>
        <v>5</v>
      </c>
      <c r="F143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36" s="33" t="str">
        <f t="shared" si="82"/>
        <v>Week 1</v>
      </c>
      <c r="H1436" s="33" t="str">
        <f t="shared" si="83"/>
        <v>March 26 Week 1</v>
      </c>
      <c r="I1436" s="33" t="str">
        <f>CONCATENATE(UPPER(TableAopCalendar[[#This Row],[Month]])," ",TableAopCalendar[[#This Row],[Year]])</f>
        <v>MARCH 26</v>
      </c>
      <c r="J1436" s="8" t="s">
        <v>274</v>
      </c>
      <c r="K1436" s="33" t="str">
        <f>CONCATENATE(TableAopCalendar[[#This Row],[Month for Plan]]," ",TableAopCalendar[[#This Row],[Plan]])</f>
        <v>MARCH 26 PLANNED</v>
      </c>
    </row>
    <row r="1437" spans="1:11" x14ac:dyDescent="0.25">
      <c r="A1437" s="33">
        <f t="shared" si="81"/>
        <v>6</v>
      </c>
      <c r="B1437" s="34">
        <v>46087</v>
      </c>
      <c r="C1437" s="7" t="s">
        <v>273</v>
      </c>
      <c r="D1437" s="35">
        <v>26</v>
      </c>
      <c r="E1437" s="33">
        <f>DAY(TableAopCalendar[[#This Row],[Date]])</f>
        <v>6</v>
      </c>
      <c r="F143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37" s="33" t="str">
        <f t="shared" si="82"/>
        <v>Week 1</v>
      </c>
      <c r="H1437" s="33" t="str">
        <f t="shared" si="83"/>
        <v>March 26 Week 1</v>
      </c>
      <c r="I1437" s="33" t="str">
        <f>CONCATENATE(UPPER(TableAopCalendar[[#This Row],[Month]])," ",TableAopCalendar[[#This Row],[Year]])</f>
        <v>MARCH 26</v>
      </c>
      <c r="J1437" s="8" t="s">
        <v>274</v>
      </c>
      <c r="K1437" s="33" t="str">
        <f>CONCATENATE(TableAopCalendar[[#This Row],[Month for Plan]]," ",TableAopCalendar[[#This Row],[Plan]])</f>
        <v>MARCH 26 PLANNED</v>
      </c>
    </row>
    <row r="1438" spans="1:11" x14ac:dyDescent="0.25">
      <c r="A1438" s="33">
        <f t="shared" si="81"/>
        <v>7</v>
      </c>
      <c r="B1438" s="34">
        <v>46088</v>
      </c>
      <c r="C1438" s="7" t="s">
        <v>273</v>
      </c>
      <c r="D1438" s="35">
        <v>26</v>
      </c>
      <c r="E1438" s="33">
        <f>DAY(TableAopCalendar[[#This Row],[Date]])</f>
        <v>7</v>
      </c>
      <c r="F143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38" s="33" t="str">
        <f t="shared" si="82"/>
        <v>Week 1</v>
      </c>
      <c r="H1438" s="33" t="str">
        <f t="shared" si="83"/>
        <v>March 26 Week 1</v>
      </c>
      <c r="I1438" s="33" t="str">
        <f>CONCATENATE(UPPER(TableAopCalendar[[#This Row],[Month]])," ",TableAopCalendar[[#This Row],[Year]])</f>
        <v>MARCH 26</v>
      </c>
      <c r="J1438" s="8" t="s">
        <v>274</v>
      </c>
      <c r="K1438" s="33" t="str">
        <f>CONCATENATE(TableAopCalendar[[#This Row],[Month for Plan]]," ",TableAopCalendar[[#This Row],[Plan]])</f>
        <v>MARCH 26 PLANNED</v>
      </c>
    </row>
    <row r="1439" spans="1:11" x14ac:dyDescent="0.25">
      <c r="A1439" s="33">
        <f t="shared" si="81"/>
        <v>1</v>
      </c>
      <c r="B1439" s="34">
        <v>46089</v>
      </c>
      <c r="C1439" s="7" t="s">
        <v>273</v>
      </c>
      <c r="D1439" s="35">
        <v>26</v>
      </c>
      <c r="E1439" s="33">
        <f>DAY(TableAopCalendar[[#This Row],[Date]])</f>
        <v>8</v>
      </c>
      <c r="F143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39" s="33" t="str">
        <f t="shared" si="82"/>
        <v>Week 2</v>
      </c>
      <c r="H1439" s="33" t="str">
        <f t="shared" si="83"/>
        <v>March 26 Week 2</v>
      </c>
      <c r="I1439" s="33" t="str">
        <f>CONCATENATE(UPPER(TableAopCalendar[[#This Row],[Month]])," ",TableAopCalendar[[#This Row],[Year]])</f>
        <v>MARCH 26</v>
      </c>
      <c r="J1439" s="8" t="s">
        <v>274</v>
      </c>
      <c r="K1439" s="33" t="str">
        <f>CONCATENATE(TableAopCalendar[[#This Row],[Month for Plan]]," ",TableAopCalendar[[#This Row],[Plan]])</f>
        <v>MARCH 26 PLANNED</v>
      </c>
    </row>
    <row r="1440" spans="1:11" x14ac:dyDescent="0.25">
      <c r="A1440" s="33">
        <f t="shared" si="81"/>
        <v>2</v>
      </c>
      <c r="B1440" s="34">
        <v>46090</v>
      </c>
      <c r="C1440" s="7" t="s">
        <v>273</v>
      </c>
      <c r="D1440" s="35">
        <v>26</v>
      </c>
      <c r="E1440" s="33">
        <f>DAY(TableAopCalendar[[#This Row],[Date]])</f>
        <v>9</v>
      </c>
      <c r="F144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40" s="33" t="str">
        <f t="shared" si="82"/>
        <v>Week 2</v>
      </c>
      <c r="H1440" s="33" t="str">
        <f t="shared" si="83"/>
        <v>March 26 Week 2</v>
      </c>
      <c r="I1440" s="33" t="str">
        <f>CONCATENATE(UPPER(TableAopCalendar[[#This Row],[Month]])," ",TableAopCalendar[[#This Row],[Year]])</f>
        <v>MARCH 26</v>
      </c>
      <c r="J1440" s="8" t="s">
        <v>274</v>
      </c>
      <c r="K1440" s="33" t="str">
        <f>CONCATENATE(TableAopCalendar[[#This Row],[Month for Plan]]," ",TableAopCalendar[[#This Row],[Plan]])</f>
        <v>MARCH 26 PLANNED</v>
      </c>
    </row>
    <row r="1441" spans="1:11" x14ac:dyDescent="0.25">
      <c r="A1441" s="33">
        <f t="shared" si="81"/>
        <v>3</v>
      </c>
      <c r="B1441" s="34">
        <v>46091</v>
      </c>
      <c r="C1441" s="7" t="s">
        <v>273</v>
      </c>
      <c r="D1441" s="35">
        <v>26</v>
      </c>
      <c r="E1441" s="33">
        <f>DAY(TableAopCalendar[[#This Row],[Date]])</f>
        <v>10</v>
      </c>
      <c r="F144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41" s="33" t="str">
        <f t="shared" si="82"/>
        <v>Week 2</v>
      </c>
      <c r="H1441" s="33" t="str">
        <f t="shared" si="83"/>
        <v>March 26 Week 2</v>
      </c>
      <c r="I1441" s="33" t="str">
        <f>CONCATENATE(UPPER(TableAopCalendar[[#This Row],[Month]])," ",TableAopCalendar[[#This Row],[Year]])</f>
        <v>MARCH 26</v>
      </c>
      <c r="J1441" s="8" t="s">
        <v>274</v>
      </c>
      <c r="K1441" s="33" t="str">
        <f>CONCATENATE(TableAopCalendar[[#This Row],[Month for Plan]]," ",TableAopCalendar[[#This Row],[Plan]])</f>
        <v>MARCH 26 PLANNED</v>
      </c>
    </row>
    <row r="1442" spans="1:11" x14ac:dyDescent="0.25">
      <c r="A1442" s="33">
        <f t="shared" si="81"/>
        <v>4</v>
      </c>
      <c r="B1442" s="34">
        <v>46092</v>
      </c>
      <c r="C1442" s="7" t="s">
        <v>273</v>
      </c>
      <c r="D1442" s="35">
        <v>26</v>
      </c>
      <c r="E1442" s="33">
        <f>DAY(TableAopCalendar[[#This Row],[Date]])</f>
        <v>11</v>
      </c>
      <c r="F144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42" s="33" t="str">
        <f t="shared" si="82"/>
        <v>Week 2</v>
      </c>
      <c r="H1442" s="33" t="str">
        <f t="shared" si="83"/>
        <v>March 26 Week 2</v>
      </c>
      <c r="I1442" s="33" t="str">
        <f>CONCATENATE(UPPER(TableAopCalendar[[#This Row],[Month]])," ",TableAopCalendar[[#This Row],[Year]])</f>
        <v>MARCH 26</v>
      </c>
      <c r="J1442" s="8" t="s">
        <v>274</v>
      </c>
      <c r="K1442" s="33" t="str">
        <f>CONCATENATE(TableAopCalendar[[#This Row],[Month for Plan]]," ",TableAopCalendar[[#This Row],[Plan]])</f>
        <v>MARCH 26 PLANNED</v>
      </c>
    </row>
    <row r="1443" spans="1:11" x14ac:dyDescent="0.25">
      <c r="A1443" s="33">
        <f t="shared" si="81"/>
        <v>5</v>
      </c>
      <c r="B1443" s="34">
        <v>46093</v>
      </c>
      <c r="C1443" s="7" t="s">
        <v>273</v>
      </c>
      <c r="D1443" s="35">
        <v>26</v>
      </c>
      <c r="E1443" s="33">
        <f>DAY(TableAopCalendar[[#This Row],[Date]])</f>
        <v>12</v>
      </c>
      <c r="F144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43" s="33" t="str">
        <f t="shared" si="82"/>
        <v>Week 2</v>
      </c>
      <c r="H1443" s="33" t="str">
        <f t="shared" si="83"/>
        <v>March 26 Week 2</v>
      </c>
      <c r="I1443" s="33" t="str">
        <f>CONCATENATE(UPPER(TableAopCalendar[[#This Row],[Month]])," ",TableAopCalendar[[#This Row],[Year]])</f>
        <v>MARCH 26</v>
      </c>
      <c r="J1443" s="8" t="s">
        <v>274</v>
      </c>
      <c r="K1443" s="33" t="str">
        <f>CONCATENATE(TableAopCalendar[[#This Row],[Month for Plan]]," ",TableAopCalendar[[#This Row],[Plan]])</f>
        <v>MARCH 26 PLANNED</v>
      </c>
    </row>
    <row r="1444" spans="1:11" x14ac:dyDescent="0.25">
      <c r="A1444" s="33">
        <f t="shared" si="81"/>
        <v>6</v>
      </c>
      <c r="B1444" s="34">
        <v>46094</v>
      </c>
      <c r="C1444" s="7" t="s">
        <v>273</v>
      </c>
      <c r="D1444" s="35">
        <v>26</v>
      </c>
      <c r="E1444" s="33">
        <f>DAY(TableAopCalendar[[#This Row],[Date]])</f>
        <v>13</v>
      </c>
      <c r="F144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44" s="33" t="str">
        <f t="shared" si="82"/>
        <v>Week 2</v>
      </c>
      <c r="H1444" s="33" t="str">
        <f t="shared" si="83"/>
        <v>March 26 Week 2</v>
      </c>
      <c r="I1444" s="33" t="str">
        <f>CONCATENATE(UPPER(TableAopCalendar[[#This Row],[Month]])," ",TableAopCalendar[[#This Row],[Year]])</f>
        <v>MARCH 26</v>
      </c>
      <c r="J1444" s="8" t="s">
        <v>274</v>
      </c>
      <c r="K1444" s="33" t="str">
        <f>CONCATENATE(TableAopCalendar[[#This Row],[Month for Plan]]," ",TableAopCalendar[[#This Row],[Plan]])</f>
        <v>MARCH 26 PLANNED</v>
      </c>
    </row>
    <row r="1445" spans="1:11" x14ac:dyDescent="0.25">
      <c r="A1445" s="33">
        <f t="shared" si="81"/>
        <v>7</v>
      </c>
      <c r="B1445" s="34">
        <v>46095</v>
      </c>
      <c r="C1445" s="7" t="s">
        <v>273</v>
      </c>
      <c r="D1445" s="35">
        <v>26</v>
      </c>
      <c r="E1445" s="33">
        <f>DAY(TableAopCalendar[[#This Row],[Date]])</f>
        <v>14</v>
      </c>
      <c r="F144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45" s="33" t="str">
        <f t="shared" si="82"/>
        <v>Week 2</v>
      </c>
      <c r="H1445" s="33" t="str">
        <f t="shared" si="83"/>
        <v>March 26 Week 2</v>
      </c>
      <c r="I1445" s="33" t="str">
        <f>CONCATENATE(UPPER(TableAopCalendar[[#This Row],[Month]])," ",TableAopCalendar[[#This Row],[Year]])</f>
        <v>MARCH 26</v>
      </c>
      <c r="J1445" s="8" t="s">
        <v>274</v>
      </c>
      <c r="K1445" s="33" t="str">
        <f>CONCATENATE(TableAopCalendar[[#This Row],[Month for Plan]]," ",TableAopCalendar[[#This Row],[Plan]])</f>
        <v>MARCH 26 PLANNED</v>
      </c>
    </row>
    <row r="1446" spans="1:11" x14ac:dyDescent="0.25">
      <c r="A1446" s="33">
        <f t="shared" si="81"/>
        <v>1</v>
      </c>
      <c r="B1446" s="34">
        <v>46096</v>
      </c>
      <c r="C1446" s="7" t="s">
        <v>273</v>
      </c>
      <c r="D1446" s="35">
        <v>26</v>
      </c>
      <c r="E1446" s="33">
        <f>DAY(TableAopCalendar[[#This Row],[Date]])</f>
        <v>15</v>
      </c>
      <c r="F144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46" s="33" t="str">
        <f t="shared" si="82"/>
        <v>Week 3</v>
      </c>
      <c r="H1446" s="33" t="str">
        <f t="shared" si="83"/>
        <v>March 26 Week 3</v>
      </c>
      <c r="I1446" s="33" t="str">
        <f>CONCATENATE(UPPER(TableAopCalendar[[#This Row],[Month]])," ",TableAopCalendar[[#This Row],[Year]])</f>
        <v>MARCH 26</v>
      </c>
      <c r="J1446" s="8" t="s">
        <v>274</v>
      </c>
      <c r="K1446" s="33" t="str">
        <f>CONCATENATE(TableAopCalendar[[#This Row],[Month for Plan]]," ",TableAopCalendar[[#This Row],[Plan]])</f>
        <v>MARCH 26 PLANNED</v>
      </c>
    </row>
    <row r="1447" spans="1:11" x14ac:dyDescent="0.25">
      <c r="A1447" s="33">
        <f t="shared" si="81"/>
        <v>2</v>
      </c>
      <c r="B1447" s="34">
        <v>46097</v>
      </c>
      <c r="C1447" s="7" t="s">
        <v>273</v>
      </c>
      <c r="D1447" s="35">
        <v>26</v>
      </c>
      <c r="E1447" s="33">
        <f>DAY(TableAopCalendar[[#This Row],[Date]])</f>
        <v>16</v>
      </c>
      <c r="F144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47" s="33" t="str">
        <f t="shared" si="82"/>
        <v>Week 3</v>
      </c>
      <c r="H1447" s="33" t="str">
        <f t="shared" si="83"/>
        <v>March 26 Week 3</v>
      </c>
      <c r="I1447" s="33" t="str">
        <f>CONCATENATE(UPPER(TableAopCalendar[[#This Row],[Month]])," ",TableAopCalendar[[#This Row],[Year]])</f>
        <v>MARCH 26</v>
      </c>
      <c r="J1447" s="8" t="s">
        <v>274</v>
      </c>
      <c r="K1447" s="33" t="str">
        <f>CONCATENATE(TableAopCalendar[[#This Row],[Month for Plan]]," ",TableAopCalendar[[#This Row],[Plan]])</f>
        <v>MARCH 26 PLANNED</v>
      </c>
    </row>
    <row r="1448" spans="1:11" x14ac:dyDescent="0.25">
      <c r="A1448" s="33">
        <f t="shared" si="81"/>
        <v>3</v>
      </c>
      <c r="B1448" s="34">
        <v>46098</v>
      </c>
      <c r="C1448" s="7" t="s">
        <v>273</v>
      </c>
      <c r="D1448" s="35">
        <v>26</v>
      </c>
      <c r="E1448" s="33">
        <f>DAY(TableAopCalendar[[#This Row],[Date]])</f>
        <v>17</v>
      </c>
      <c r="F144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48" s="33" t="str">
        <f t="shared" si="82"/>
        <v>Week 3</v>
      </c>
      <c r="H1448" s="33" t="str">
        <f t="shared" si="83"/>
        <v>March 26 Week 3</v>
      </c>
      <c r="I1448" s="33" t="str">
        <f>CONCATENATE(UPPER(TableAopCalendar[[#This Row],[Month]])," ",TableAopCalendar[[#This Row],[Year]])</f>
        <v>MARCH 26</v>
      </c>
      <c r="J1448" s="8" t="s">
        <v>274</v>
      </c>
      <c r="K1448" s="33" t="str">
        <f>CONCATENATE(TableAopCalendar[[#This Row],[Month for Plan]]," ",TableAopCalendar[[#This Row],[Plan]])</f>
        <v>MARCH 26 PLANNED</v>
      </c>
    </row>
    <row r="1449" spans="1:11" x14ac:dyDescent="0.25">
      <c r="A1449" s="33">
        <f t="shared" si="81"/>
        <v>4</v>
      </c>
      <c r="B1449" s="34">
        <v>46099</v>
      </c>
      <c r="C1449" s="7" t="s">
        <v>273</v>
      </c>
      <c r="D1449" s="35">
        <v>26</v>
      </c>
      <c r="E1449" s="33">
        <f>DAY(TableAopCalendar[[#This Row],[Date]])</f>
        <v>18</v>
      </c>
      <c r="F144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49" s="33" t="str">
        <f t="shared" si="82"/>
        <v>Week 3</v>
      </c>
      <c r="H1449" s="33" t="str">
        <f t="shared" si="83"/>
        <v>March 26 Week 3</v>
      </c>
      <c r="I1449" s="33" t="str">
        <f>CONCATENATE(UPPER(TableAopCalendar[[#This Row],[Month]])," ",TableAopCalendar[[#This Row],[Year]])</f>
        <v>MARCH 26</v>
      </c>
      <c r="J1449" s="8" t="s">
        <v>274</v>
      </c>
      <c r="K1449" s="33" t="str">
        <f>CONCATENATE(TableAopCalendar[[#This Row],[Month for Plan]]," ",TableAopCalendar[[#This Row],[Plan]])</f>
        <v>MARCH 26 PLANNED</v>
      </c>
    </row>
    <row r="1450" spans="1:11" x14ac:dyDescent="0.25">
      <c r="A1450" s="33">
        <f t="shared" si="81"/>
        <v>5</v>
      </c>
      <c r="B1450" s="34">
        <v>46100</v>
      </c>
      <c r="C1450" s="7" t="s">
        <v>273</v>
      </c>
      <c r="D1450" s="35">
        <v>26</v>
      </c>
      <c r="E1450" s="33">
        <f>DAY(TableAopCalendar[[#This Row],[Date]])</f>
        <v>19</v>
      </c>
      <c r="F145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50" s="33" t="str">
        <f t="shared" si="82"/>
        <v>Week 3</v>
      </c>
      <c r="H1450" s="33" t="str">
        <f t="shared" si="83"/>
        <v>March 26 Week 3</v>
      </c>
      <c r="I1450" s="33" t="str">
        <f>CONCATENATE(UPPER(TableAopCalendar[[#This Row],[Month]])," ",TableAopCalendar[[#This Row],[Year]])</f>
        <v>MARCH 26</v>
      </c>
      <c r="J1450" s="8" t="s">
        <v>274</v>
      </c>
      <c r="K1450" s="33" t="str">
        <f>CONCATENATE(TableAopCalendar[[#This Row],[Month for Plan]]," ",TableAopCalendar[[#This Row],[Plan]])</f>
        <v>MARCH 26 PLANNED</v>
      </c>
    </row>
    <row r="1451" spans="1:11" x14ac:dyDescent="0.25">
      <c r="A1451" s="33">
        <f t="shared" si="81"/>
        <v>6</v>
      </c>
      <c r="B1451" s="34">
        <v>46101</v>
      </c>
      <c r="C1451" s="7" t="s">
        <v>273</v>
      </c>
      <c r="D1451" s="35">
        <v>26</v>
      </c>
      <c r="E1451" s="33">
        <f>DAY(TableAopCalendar[[#This Row],[Date]])</f>
        <v>20</v>
      </c>
      <c r="F145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51" s="33" t="str">
        <f t="shared" si="82"/>
        <v>Week 3</v>
      </c>
      <c r="H1451" s="33" t="str">
        <f t="shared" si="83"/>
        <v>March 26 Week 3</v>
      </c>
      <c r="I1451" s="33" t="str">
        <f>CONCATENATE(UPPER(TableAopCalendar[[#This Row],[Month]])," ",TableAopCalendar[[#This Row],[Year]])</f>
        <v>MARCH 26</v>
      </c>
      <c r="J1451" s="8" t="s">
        <v>274</v>
      </c>
      <c r="K1451" s="33" t="str">
        <f>CONCATENATE(TableAopCalendar[[#This Row],[Month for Plan]]," ",TableAopCalendar[[#This Row],[Plan]])</f>
        <v>MARCH 26 PLANNED</v>
      </c>
    </row>
    <row r="1452" spans="1:11" x14ac:dyDescent="0.25">
      <c r="A1452" s="33">
        <f t="shared" si="81"/>
        <v>7</v>
      </c>
      <c r="B1452" s="34">
        <v>46102</v>
      </c>
      <c r="C1452" s="7" t="s">
        <v>273</v>
      </c>
      <c r="D1452" s="35">
        <v>26</v>
      </c>
      <c r="E1452" s="33">
        <f>DAY(TableAopCalendar[[#This Row],[Date]])</f>
        <v>21</v>
      </c>
      <c r="F145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52" s="33" t="str">
        <f t="shared" si="82"/>
        <v>Week 3</v>
      </c>
      <c r="H1452" s="33" t="str">
        <f t="shared" si="83"/>
        <v>March 26 Week 3</v>
      </c>
      <c r="I1452" s="33" t="str">
        <f>CONCATENATE(UPPER(TableAopCalendar[[#This Row],[Month]])," ",TableAopCalendar[[#This Row],[Year]])</f>
        <v>MARCH 26</v>
      </c>
      <c r="J1452" s="8" t="s">
        <v>274</v>
      </c>
      <c r="K1452" s="33" t="str">
        <f>CONCATENATE(TableAopCalendar[[#This Row],[Month for Plan]]," ",TableAopCalendar[[#This Row],[Plan]])</f>
        <v>MARCH 26 PLANNED</v>
      </c>
    </row>
    <row r="1453" spans="1:11" x14ac:dyDescent="0.25">
      <c r="A1453" s="33">
        <f t="shared" si="81"/>
        <v>1</v>
      </c>
      <c r="B1453" s="34">
        <v>46103</v>
      </c>
      <c r="C1453" s="7" t="s">
        <v>273</v>
      </c>
      <c r="D1453" s="35">
        <v>26</v>
      </c>
      <c r="E1453" s="33">
        <f>DAY(TableAopCalendar[[#This Row],[Date]])</f>
        <v>22</v>
      </c>
      <c r="F145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3" s="33" t="str">
        <f t="shared" si="82"/>
        <v>Week 4</v>
      </c>
      <c r="H1453" s="33" t="str">
        <f t="shared" si="83"/>
        <v>March 26 Week 4</v>
      </c>
      <c r="I1453" s="33" t="str">
        <f>CONCATENATE(UPPER(TableAopCalendar[[#This Row],[Month]])," ",TableAopCalendar[[#This Row],[Year]])</f>
        <v>MARCH 26</v>
      </c>
      <c r="J1453" s="8" t="s">
        <v>274</v>
      </c>
      <c r="K1453" s="33" t="str">
        <f>CONCATENATE(TableAopCalendar[[#This Row],[Month for Plan]]," ",TableAopCalendar[[#This Row],[Plan]])</f>
        <v>MARCH 26 PLANNED</v>
      </c>
    </row>
    <row r="1454" spans="1:11" x14ac:dyDescent="0.25">
      <c r="A1454" s="33">
        <f t="shared" si="81"/>
        <v>2</v>
      </c>
      <c r="B1454" s="34">
        <v>46104</v>
      </c>
      <c r="C1454" s="7" t="s">
        <v>273</v>
      </c>
      <c r="D1454" s="35">
        <v>26</v>
      </c>
      <c r="E1454" s="33">
        <f>DAY(TableAopCalendar[[#This Row],[Date]])</f>
        <v>23</v>
      </c>
      <c r="F145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4" s="33" t="str">
        <f t="shared" si="82"/>
        <v>Week 4</v>
      </c>
      <c r="H1454" s="33" t="str">
        <f t="shared" si="83"/>
        <v>March 26 Week 4</v>
      </c>
      <c r="I1454" s="33" t="str">
        <f>CONCATENATE(UPPER(TableAopCalendar[[#This Row],[Month]])," ",TableAopCalendar[[#This Row],[Year]])</f>
        <v>MARCH 26</v>
      </c>
      <c r="J1454" s="8" t="s">
        <v>274</v>
      </c>
      <c r="K1454" s="33" t="str">
        <f>CONCATENATE(TableAopCalendar[[#This Row],[Month for Plan]]," ",TableAopCalendar[[#This Row],[Plan]])</f>
        <v>MARCH 26 PLANNED</v>
      </c>
    </row>
    <row r="1455" spans="1:11" x14ac:dyDescent="0.25">
      <c r="A1455" s="33">
        <f t="shared" si="81"/>
        <v>3</v>
      </c>
      <c r="B1455" s="34">
        <v>46105</v>
      </c>
      <c r="C1455" s="7" t="s">
        <v>273</v>
      </c>
      <c r="D1455" s="35">
        <v>26</v>
      </c>
      <c r="E1455" s="33">
        <f>DAY(TableAopCalendar[[#This Row],[Date]])</f>
        <v>24</v>
      </c>
      <c r="F145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5" s="33" t="str">
        <f t="shared" si="82"/>
        <v>Week 4</v>
      </c>
      <c r="H1455" s="33" t="str">
        <f t="shared" si="83"/>
        <v>March 26 Week 4</v>
      </c>
      <c r="I1455" s="33" t="str">
        <f>CONCATENATE(UPPER(TableAopCalendar[[#This Row],[Month]])," ",TableAopCalendar[[#This Row],[Year]])</f>
        <v>MARCH 26</v>
      </c>
      <c r="J1455" s="8" t="s">
        <v>274</v>
      </c>
      <c r="K1455" s="33" t="str">
        <f>CONCATENATE(TableAopCalendar[[#This Row],[Month for Plan]]," ",TableAopCalendar[[#This Row],[Plan]])</f>
        <v>MARCH 26 PLANNED</v>
      </c>
    </row>
    <row r="1456" spans="1:11" x14ac:dyDescent="0.25">
      <c r="A1456" s="33">
        <f t="shared" si="81"/>
        <v>4</v>
      </c>
      <c r="B1456" s="34">
        <v>46106</v>
      </c>
      <c r="C1456" s="7" t="s">
        <v>273</v>
      </c>
      <c r="D1456" s="35">
        <v>26</v>
      </c>
      <c r="E1456" s="33">
        <f>DAY(TableAopCalendar[[#This Row],[Date]])</f>
        <v>25</v>
      </c>
      <c r="F145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6" s="33" t="str">
        <f t="shared" si="82"/>
        <v>Week 4</v>
      </c>
      <c r="H1456" s="33" t="str">
        <f t="shared" si="83"/>
        <v>March 26 Week 4</v>
      </c>
      <c r="I1456" s="33" t="str">
        <f>CONCATENATE(UPPER(TableAopCalendar[[#This Row],[Month]])," ",TableAopCalendar[[#This Row],[Year]])</f>
        <v>MARCH 26</v>
      </c>
      <c r="J1456" s="8" t="s">
        <v>274</v>
      </c>
      <c r="K1456" s="33" t="str">
        <f>CONCATENATE(TableAopCalendar[[#This Row],[Month for Plan]]," ",TableAopCalendar[[#This Row],[Plan]])</f>
        <v>MARCH 26 PLANNED</v>
      </c>
    </row>
    <row r="1457" spans="1:11" x14ac:dyDescent="0.25">
      <c r="A1457" s="33">
        <f t="shared" si="81"/>
        <v>5</v>
      </c>
      <c r="B1457" s="34">
        <v>46107</v>
      </c>
      <c r="C1457" s="7" t="s">
        <v>273</v>
      </c>
      <c r="D1457" s="35">
        <v>26</v>
      </c>
      <c r="E1457" s="33">
        <f>DAY(TableAopCalendar[[#This Row],[Date]])</f>
        <v>26</v>
      </c>
      <c r="F145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7" s="33" t="str">
        <f t="shared" si="82"/>
        <v>Week 4</v>
      </c>
      <c r="H1457" s="33" t="str">
        <f t="shared" si="83"/>
        <v>March 26 Week 4</v>
      </c>
      <c r="I1457" s="33" t="str">
        <f>CONCATENATE(UPPER(TableAopCalendar[[#This Row],[Month]])," ",TableAopCalendar[[#This Row],[Year]])</f>
        <v>MARCH 26</v>
      </c>
      <c r="J1457" s="8" t="s">
        <v>274</v>
      </c>
      <c r="K1457" s="33" t="str">
        <f>CONCATENATE(TableAopCalendar[[#This Row],[Month for Plan]]," ",TableAopCalendar[[#This Row],[Plan]])</f>
        <v>MARCH 26 PLANNED</v>
      </c>
    </row>
    <row r="1458" spans="1:11" x14ac:dyDescent="0.25">
      <c r="A1458" s="33">
        <f t="shared" si="81"/>
        <v>6</v>
      </c>
      <c r="B1458" s="34">
        <v>46108</v>
      </c>
      <c r="C1458" s="7" t="s">
        <v>273</v>
      </c>
      <c r="D1458" s="35">
        <v>26</v>
      </c>
      <c r="E1458" s="33">
        <f>DAY(TableAopCalendar[[#This Row],[Date]])</f>
        <v>27</v>
      </c>
      <c r="F145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8" s="33" t="str">
        <f t="shared" si="82"/>
        <v>Week 4</v>
      </c>
      <c r="H1458" s="33" t="str">
        <f t="shared" si="83"/>
        <v>March 26 Week 4</v>
      </c>
      <c r="I1458" s="33" t="str">
        <f>CONCATENATE(UPPER(TableAopCalendar[[#This Row],[Month]])," ",TableAopCalendar[[#This Row],[Year]])</f>
        <v>MARCH 26</v>
      </c>
      <c r="J1458" s="8" t="s">
        <v>274</v>
      </c>
      <c r="K1458" s="33" t="str">
        <f>CONCATENATE(TableAopCalendar[[#This Row],[Month for Plan]]," ",TableAopCalendar[[#This Row],[Plan]])</f>
        <v>MARCH 26 PLANNED</v>
      </c>
    </row>
    <row r="1459" spans="1:11" x14ac:dyDescent="0.25">
      <c r="A1459" s="33">
        <f t="shared" si="81"/>
        <v>7</v>
      </c>
      <c r="B1459" s="34">
        <v>46109</v>
      </c>
      <c r="C1459" s="7" t="s">
        <v>273</v>
      </c>
      <c r="D1459" s="35">
        <v>26</v>
      </c>
      <c r="E1459" s="33">
        <f>DAY(TableAopCalendar[[#This Row],[Date]])</f>
        <v>28</v>
      </c>
      <c r="F145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59" s="33" t="str">
        <f t="shared" si="82"/>
        <v>Week 4</v>
      </c>
      <c r="H1459" s="33" t="str">
        <f t="shared" si="83"/>
        <v>March 26 Week 4</v>
      </c>
      <c r="I1459" s="33" t="str">
        <f>CONCATENATE(UPPER(TableAopCalendar[[#This Row],[Month]])," ",TableAopCalendar[[#This Row],[Year]])</f>
        <v>MARCH 26</v>
      </c>
      <c r="J1459" s="8" t="s">
        <v>274</v>
      </c>
      <c r="K1459" s="33" t="str">
        <f>CONCATENATE(TableAopCalendar[[#This Row],[Month for Plan]]," ",TableAopCalendar[[#This Row],[Plan]])</f>
        <v>MARCH 26 PLANNED</v>
      </c>
    </row>
    <row r="1460" spans="1:11" x14ac:dyDescent="0.25">
      <c r="A1460" s="33">
        <f t="shared" si="81"/>
        <v>1</v>
      </c>
      <c r="B1460" s="34">
        <v>46110</v>
      </c>
      <c r="C1460" s="7" t="s">
        <v>273</v>
      </c>
      <c r="D1460" s="35">
        <v>26</v>
      </c>
      <c r="E1460" s="33">
        <f>DAY(TableAopCalendar[[#This Row],[Date]])</f>
        <v>29</v>
      </c>
      <c r="F1460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60" s="33" t="str">
        <f t="shared" si="82"/>
        <v>Week 5</v>
      </c>
      <c r="H1460" s="33" t="str">
        <f t="shared" si="83"/>
        <v>March 26 Week 5</v>
      </c>
      <c r="I1460" s="33" t="str">
        <f>CONCATENATE(UPPER(TableAopCalendar[[#This Row],[Month]])," ",TableAopCalendar[[#This Row],[Year]])</f>
        <v>MARCH 26</v>
      </c>
      <c r="J1460" s="8" t="s">
        <v>274</v>
      </c>
      <c r="K1460" s="33" t="str">
        <f>CONCATENATE(TableAopCalendar[[#This Row],[Month for Plan]]," ",TableAopCalendar[[#This Row],[Plan]])</f>
        <v>MARCH 26 PLANNED</v>
      </c>
    </row>
    <row r="1461" spans="1:11" x14ac:dyDescent="0.25">
      <c r="A1461" s="33">
        <f t="shared" si="81"/>
        <v>2</v>
      </c>
      <c r="B1461" s="34">
        <v>46111</v>
      </c>
      <c r="C1461" s="7" t="s">
        <v>273</v>
      </c>
      <c r="D1461" s="35">
        <v>26</v>
      </c>
      <c r="E1461" s="33">
        <f>DAY(TableAopCalendar[[#This Row],[Date]])</f>
        <v>30</v>
      </c>
      <c r="F146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61" s="33" t="str">
        <f t="shared" si="82"/>
        <v>Week 5</v>
      </c>
      <c r="H1461" s="33" t="str">
        <f t="shared" si="83"/>
        <v>March 26 Week 5</v>
      </c>
      <c r="I1461" s="33" t="str">
        <f>CONCATENATE(UPPER(TableAopCalendar[[#This Row],[Month]])," ",TableAopCalendar[[#This Row],[Year]])</f>
        <v>MARCH 26</v>
      </c>
      <c r="J1461" s="8" t="s">
        <v>274</v>
      </c>
      <c r="K1461" s="33" t="str">
        <f>CONCATENATE(TableAopCalendar[[#This Row],[Month for Plan]]," ",TableAopCalendar[[#This Row],[Plan]])</f>
        <v>MARCH 26 PLANNED</v>
      </c>
    </row>
    <row r="1462" spans="1:11" x14ac:dyDescent="0.25">
      <c r="A1462" s="33">
        <f t="shared" si="81"/>
        <v>3</v>
      </c>
      <c r="B1462" s="34">
        <v>46112</v>
      </c>
      <c r="C1462" s="7" t="s">
        <v>273</v>
      </c>
      <c r="D1462" s="35">
        <v>26</v>
      </c>
      <c r="E1462" s="33">
        <f>DAY(TableAopCalendar[[#This Row],[Date]])</f>
        <v>31</v>
      </c>
      <c r="F146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62" s="33" t="str">
        <f t="shared" si="82"/>
        <v>Week 5</v>
      </c>
      <c r="H1462" s="33" t="str">
        <f t="shared" si="83"/>
        <v>March 26 Week 5</v>
      </c>
      <c r="I1462" s="33" t="str">
        <f>CONCATENATE(UPPER(TableAopCalendar[[#This Row],[Month]])," ",TableAopCalendar[[#This Row],[Year]])</f>
        <v>MARCH 26</v>
      </c>
      <c r="J1462" s="8" t="s">
        <v>274</v>
      </c>
      <c r="K1462" s="33" t="str">
        <f>CONCATENATE(TableAopCalendar[[#This Row],[Month for Plan]]," ",TableAopCalendar[[#This Row],[Plan]])</f>
        <v>MARCH 26 PLANNED</v>
      </c>
    </row>
    <row r="1463" spans="1:11" x14ac:dyDescent="0.25">
      <c r="A1463" s="33">
        <f t="shared" si="81"/>
        <v>1</v>
      </c>
      <c r="B1463" s="34">
        <v>46113</v>
      </c>
      <c r="C1463" s="7" t="s">
        <v>264</v>
      </c>
      <c r="D1463" s="35">
        <v>26</v>
      </c>
      <c r="E1463" s="33">
        <f>DAY(TableAopCalendar[[#This Row],[Date]])</f>
        <v>1</v>
      </c>
      <c r="F146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63" s="33" t="str">
        <f t="shared" si="82"/>
        <v>Week 1</v>
      </c>
      <c r="H1463" s="33" t="str">
        <f t="shared" si="83"/>
        <v>April 26 Week 1</v>
      </c>
      <c r="I1463" s="33" t="str">
        <f>CONCATENATE(UPPER(TableAopCalendar[[#This Row],[Month]])," ",TableAopCalendar[[#This Row],[Year]])</f>
        <v>APRIL 26</v>
      </c>
      <c r="J1463" s="8" t="s">
        <v>274</v>
      </c>
      <c r="K1463" s="33" t="str">
        <f>CONCATENATE(TableAopCalendar[[#This Row],[Month for Plan]]," ",TableAopCalendar[[#This Row],[Plan]])</f>
        <v>APRIL 26 PLANNED</v>
      </c>
    </row>
    <row r="1464" spans="1:11" x14ac:dyDescent="0.25">
      <c r="A1464" s="33">
        <f t="shared" si="81"/>
        <v>2</v>
      </c>
      <c r="B1464" s="34">
        <v>46114</v>
      </c>
      <c r="C1464" s="7" t="s">
        <v>264</v>
      </c>
      <c r="D1464" s="35">
        <v>26</v>
      </c>
      <c r="E1464" s="33">
        <f>DAY(TableAopCalendar[[#This Row],[Date]])</f>
        <v>2</v>
      </c>
      <c r="F146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64" s="33" t="str">
        <f t="shared" si="82"/>
        <v>Week 1</v>
      </c>
      <c r="H1464" s="33" t="str">
        <f t="shared" si="83"/>
        <v>April 26 Week 1</v>
      </c>
      <c r="I1464" s="33" t="str">
        <f>CONCATENATE(UPPER(TableAopCalendar[[#This Row],[Month]])," ",TableAopCalendar[[#This Row],[Year]])</f>
        <v>APRIL 26</v>
      </c>
      <c r="J1464" s="8" t="s">
        <v>274</v>
      </c>
      <c r="K1464" s="33" t="str">
        <f>CONCATENATE(TableAopCalendar[[#This Row],[Month for Plan]]," ",TableAopCalendar[[#This Row],[Plan]])</f>
        <v>APRIL 26 PLANNED</v>
      </c>
    </row>
    <row r="1465" spans="1:11" x14ac:dyDescent="0.25">
      <c r="A1465" s="33">
        <f t="shared" si="81"/>
        <v>3</v>
      </c>
      <c r="B1465" s="34">
        <v>46115</v>
      </c>
      <c r="C1465" s="7" t="s">
        <v>264</v>
      </c>
      <c r="D1465" s="35">
        <v>26</v>
      </c>
      <c r="E1465" s="33">
        <f>DAY(TableAopCalendar[[#This Row],[Date]])</f>
        <v>3</v>
      </c>
      <c r="F146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65" s="33" t="str">
        <f t="shared" si="82"/>
        <v>Week 1</v>
      </c>
      <c r="H1465" s="33" t="str">
        <f t="shared" si="83"/>
        <v>April 26 Week 1</v>
      </c>
      <c r="I1465" s="33" t="str">
        <f>CONCATENATE(UPPER(TableAopCalendar[[#This Row],[Month]])," ",TableAopCalendar[[#This Row],[Year]])</f>
        <v>APRIL 26</v>
      </c>
      <c r="J1465" s="8" t="s">
        <v>274</v>
      </c>
      <c r="K1465" s="33" t="str">
        <f>CONCATENATE(TableAopCalendar[[#This Row],[Month for Plan]]," ",TableAopCalendar[[#This Row],[Plan]])</f>
        <v>APRIL 26 PLANNED</v>
      </c>
    </row>
    <row r="1466" spans="1:11" x14ac:dyDescent="0.25">
      <c r="A1466" s="33">
        <f t="shared" si="81"/>
        <v>4</v>
      </c>
      <c r="B1466" s="34">
        <v>46116</v>
      </c>
      <c r="C1466" s="7" t="s">
        <v>264</v>
      </c>
      <c r="D1466" s="35">
        <v>26</v>
      </c>
      <c r="E1466" s="33">
        <f>DAY(TableAopCalendar[[#This Row],[Date]])</f>
        <v>4</v>
      </c>
      <c r="F146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66" s="33" t="str">
        <f t="shared" si="82"/>
        <v>Week 1</v>
      </c>
      <c r="H1466" s="33" t="str">
        <f t="shared" si="83"/>
        <v>April 26 Week 1</v>
      </c>
      <c r="I1466" s="33" t="str">
        <f>CONCATENATE(UPPER(TableAopCalendar[[#This Row],[Month]])," ",TableAopCalendar[[#This Row],[Year]])</f>
        <v>APRIL 26</v>
      </c>
      <c r="J1466" s="8" t="s">
        <v>274</v>
      </c>
      <c r="K1466" s="33" t="str">
        <f>CONCATENATE(TableAopCalendar[[#This Row],[Month for Plan]]," ",TableAopCalendar[[#This Row],[Plan]])</f>
        <v>APRIL 26 PLANNED</v>
      </c>
    </row>
    <row r="1467" spans="1:11" x14ac:dyDescent="0.25">
      <c r="A1467" s="33">
        <f t="shared" si="81"/>
        <v>5</v>
      </c>
      <c r="B1467" s="34">
        <v>46117</v>
      </c>
      <c r="C1467" s="7" t="s">
        <v>264</v>
      </c>
      <c r="D1467" s="35">
        <v>26</v>
      </c>
      <c r="E1467" s="33">
        <f>DAY(TableAopCalendar[[#This Row],[Date]])</f>
        <v>5</v>
      </c>
      <c r="F146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67" s="33" t="str">
        <f t="shared" si="82"/>
        <v>Week 1</v>
      </c>
      <c r="H1467" s="33" t="str">
        <f t="shared" si="83"/>
        <v>April 26 Week 1</v>
      </c>
      <c r="I1467" s="33" t="str">
        <f>CONCATENATE(UPPER(TableAopCalendar[[#This Row],[Month]])," ",TableAopCalendar[[#This Row],[Year]])</f>
        <v>APRIL 26</v>
      </c>
      <c r="J1467" s="8" t="s">
        <v>274</v>
      </c>
      <c r="K1467" s="33" t="str">
        <f>CONCATENATE(TableAopCalendar[[#This Row],[Month for Plan]]," ",TableAopCalendar[[#This Row],[Plan]])</f>
        <v>APRIL 26 PLANNED</v>
      </c>
    </row>
    <row r="1468" spans="1:11" x14ac:dyDescent="0.25">
      <c r="A1468" s="33">
        <f t="shared" si="81"/>
        <v>6</v>
      </c>
      <c r="B1468" s="34">
        <v>46118</v>
      </c>
      <c r="C1468" s="7" t="s">
        <v>264</v>
      </c>
      <c r="D1468" s="35">
        <v>26</v>
      </c>
      <c r="E1468" s="33">
        <f>DAY(TableAopCalendar[[#This Row],[Date]])</f>
        <v>6</v>
      </c>
      <c r="F146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68" s="33" t="str">
        <f t="shared" si="82"/>
        <v>Week 1</v>
      </c>
      <c r="H1468" s="33" t="str">
        <f t="shared" si="83"/>
        <v>April 26 Week 1</v>
      </c>
      <c r="I1468" s="33" t="str">
        <f>CONCATENATE(UPPER(TableAopCalendar[[#This Row],[Month]])," ",TableAopCalendar[[#This Row],[Year]])</f>
        <v>APRIL 26</v>
      </c>
      <c r="J1468" s="8" t="s">
        <v>274</v>
      </c>
      <c r="K1468" s="33" t="str">
        <f>CONCATENATE(TableAopCalendar[[#This Row],[Month for Plan]]," ",TableAopCalendar[[#This Row],[Plan]])</f>
        <v>APRIL 26 PLANNED</v>
      </c>
    </row>
    <row r="1469" spans="1:11" x14ac:dyDescent="0.25">
      <c r="A1469" s="33">
        <f t="shared" si="81"/>
        <v>7</v>
      </c>
      <c r="B1469" s="34">
        <v>46119</v>
      </c>
      <c r="C1469" s="7" t="s">
        <v>264</v>
      </c>
      <c r="D1469" s="35">
        <v>26</v>
      </c>
      <c r="E1469" s="33">
        <f>DAY(TableAopCalendar[[#This Row],[Date]])</f>
        <v>7</v>
      </c>
      <c r="F146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69" s="33" t="str">
        <f t="shared" si="82"/>
        <v>Week 1</v>
      </c>
      <c r="H1469" s="33" t="str">
        <f t="shared" si="83"/>
        <v>April 26 Week 1</v>
      </c>
      <c r="I1469" s="33" t="str">
        <f>CONCATENATE(UPPER(TableAopCalendar[[#This Row],[Month]])," ",TableAopCalendar[[#This Row],[Year]])</f>
        <v>APRIL 26</v>
      </c>
      <c r="J1469" s="8" t="s">
        <v>274</v>
      </c>
      <c r="K1469" s="33" t="str">
        <f>CONCATENATE(TableAopCalendar[[#This Row],[Month for Plan]]," ",TableAopCalendar[[#This Row],[Plan]])</f>
        <v>APRIL 26 PLANNED</v>
      </c>
    </row>
    <row r="1470" spans="1:11" x14ac:dyDescent="0.25">
      <c r="A1470" s="33">
        <f t="shared" si="81"/>
        <v>1</v>
      </c>
      <c r="B1470" s="34">
        <v>46120</v>
      </c>
      <c r="C1470" s="7" t="s">
        <v>264</v>
      </c>
      <c r="D1470" s="35">
        <v>26</v>
      </c>
      <c r="E1470" s="33">
        <f>DAY(TableAopCalendar[[#This Row],[Date]])</f>
        <v>8</v>
      </c>
      <c r="F147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70" s="33" t="str">
        <f t="shared" si="82"/>
        <v>Week 2</v>
      </c>
      <c r="H1470" s="33" t="str">
        <f t="shared" si="83"/>
        <v>April 26 Week 2</v>
      </c>
      <c r="I1470" s="33" t="str">
        <f>CONCATENATE(UPPER(TableAopCalendar[[#This Row],[Month]])," ",TableAopCalendar[[#This Row],[Year]])</f>
        <v>APRIL 26</v>
      </c>
      <c r="J1470" s="8" t="s">
        <v>274</v>
      </c>
      <c r="K1470" s="33" t="str">
        <f>CONCATENATE(TableAopCalendar[[#This Row],[Month for Plan]]," ",TableAopCalendar[[#This Row],[Plan]])</f>
        <v>APRIL 26 PLANNED</v>
      </c>
    </row>
    <row r="1471" spans="1:11" x14ac:dyDescent="0.25">
      <c r="A1471" s="33">
        <f t="shared" si="81"/>
        <v>2</v>
      </c>
      <c r="B1471" s="34">
        <v>46121</v>
      </c>
      <c r="C1471" s="7" t="s">
        <v>264</v>
      </c>
      <c r="D1471" s="35">
        <v>26</v>
      </c>
      <c r="E1471" s="33">
        <f>DAY(TableAopCalendar[[#This Row],[Date]])</f>
        <v>9</v>
      </c>
      <c r="F147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71" s="33" t="str">
        <f t="shared" si="82"/>
        <v>Week 2</v>
      </c>
      <c r="H1471" s="33" t="str">
        <f t="shared" si="83"/>
        <v>April 26 Week 2</v>
      </c>
      <c r="I1471" s="33" t="str">
        <f>CONCATENATE(UPPER(TableAopCalendar[[#This Row],[Month]])," ",TableAopCalendar[[#This Row],[Year]])</f>
        <v>APRIL 26</v>
      </c>
      <c r="J1471" s="8" t="s">
        <v>274</v>
      </c>
      <c r="K1471" s="33" t="str">
        <f>CONCATENATE(TableAopCalendar[[#This Row],[Month for Plan]]," ",TableAopCalendar[[#This Row],[Plan]])</f>
        <v>APRIL 26 PLANNED</v>
      </c>
    </row>
    <row r="1472" spans="1:11" x14ac:dyDescent="0.25">
      <c r="A1472" s="33">
        <f t="shared" si="81"/>
        <v>3</v>
      </c>
      <c r="B1472" s="34">
        <v>46122</v>
      </c>
      <c r="C1472" s="7" t="s">
        <v>264</v>
      </c>
      <c r="D1472" s="35">
        <v>26</v>
      </c>
      <c r="E1472" s="33">
        <f>DAY(TableAopCalendar[[#This Row],[Date]])</f>
        <v>10</v>
      </c>
      <c r="F147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72" s="33" t="str">
        <f t="shared" si="82"/>
        <v>Week 2</v>
      </c>
      <c r="H1472" s="33" t="str">
        <f t="shared" si="83"/>
        <v>April 26 Week 2</v>
      </c>
      <c r="I1472" s="33" t="str">
        <f>CONCATENATE(UPPER(TableAopCalendar[[#This Row],[Month]])," ",TableAopCalendar[[#This Row],[Year]])</f>
        <v>APRIL 26</v>
      </c>
      <c r="J1472" s="8" t="s">
        <v>274</v>
      </c>
      <c r="K1472" s="33" t="str">
        <f>CONCATENATE(TableAopCalendar[[#This Row],[Month for Plan]]," ",TableAopCalendar[[#This Row],[Plan]])</f>
        <v>APRIL 26 PLANNED</v>
      </c>
    </row>
    <row r="1473" spans="1:11" x14ac:dyDescent="0.25">
      <c r="A1473" s="33">
        <f t="shared" si="81"/>
        <v>4</v>
      </c>
      <c r="B1473" s="34">
        <v>46123</v>
      </c>
      <c r="C1473" s="7" t="s">
        <v>264</v>
      </c>
      <c r="D1473" s="35">
        <v>26</v>
      </c>
      <c r="E1473" s="33">
        <f>DAY(TableAopCalendar[[#This Row],[Date]])</f>
        <v>11</v>
      </c>
      <c r="F147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73" s="33" t="str">
        <f t="shared" si="82"/>
        <v>Week 2</v>
      </c>
      <c r="H1473" s="33" t="str">
        <f t="shared" si="83"/>
        <v>April 26 Week 2</v>
      </c>
      <c r="I1473" s="33" t="str">
        <f>CONCATENATE(UPPER(TableAopCalendar[[#This Row],[Month]])," ",TableAopCalendar[[#This Row],[Year]])</f>
        <v>APRIL 26</v>
      </c>
      <c r="J1473" s="8" t="s">
        <v>274</v>
      </c>
      <c r="K1473" s="33" t="str">
        <f>CONCATENATE(TableAopCalendar[[#This Row],[Month for Plan]]," ",TableAopCalendar[[#This Row],[Plan]])</f>
        <v>APRIL 26 PLANNED</v>
      </c>
    </row>
    <row r="1474" spans="1:11" x14ac:dyDescent="0.25">
      <c r="A1474" s="33">
        <f t="shared" si="81"/>
        <v>5</v>
      </c>
      <c r="B1474" s="34">
        <v>46124</v>
      </c>
      <c r="C1474" s="7" t="s">
        <v>264</v>
      </c>
      <c r="D1474" s="35">
        <v>26</v>
      </c>
      <c r="E1474" s="33">
        <f>DAY(TableAopCalendar[[#This Row],[Date]])</f>
        <v>12</v>
      </c>
      <c r="F147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74" s="33" t="str">
        <f t="shared" si="82"/>
        <v>Week 2</v>
      </c>
      <c r="H1474" s="33" t="str">
        <f t="shared" si="83"/>
        <v>April 26 Week 2</v>
      </c>
      <c r="I1474" s="33" t="str">
        <f>CONCATENATE(UPPER(TableAopCalendar[[#This Row],[Month]])," ",TableAopCalendar[[#This Row],[Year]])</f>
        <v>APRIL 26</v>
      </c>
      <c r="J1474" s="8" t="s">
        <v>274</v>
      </c>
      <c r="K1474" s="33" t="str">
        <f>CONCATENATE(TableAopCalendar[[#This Row],[Month for Plan]]," ",TableAopCalendar[[#This Row],[Plan]])</f>
        <v>APRIL 26 PLANNED</v>
      </c>
    </row>
    <row r="1475" spans="1:11" x14ac:dyDescent="0.25">
      <c r="A1475" s="33">
        <f t="shared" si="81"/>
        <v>6</v>
      </c>
      <c r="B1475" s="34">
        <v>46125</v>
      </c>
      <c r="C1475" s="7" t="s">
        <v>264</v>
      </c>
      <c r="D1475" s="35">
        <v>26</v>
      </c>
      <c r="E1475" s="33">
        <f>DAY(TableAopCalendar[[#This Row],[Date]])</f>
        <v>13</v>
      </c>
      <c r="F147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75" s="33" t="str">
        <f t="shared" si="82"/>
        <v>Week 2</v>
      </c>
      <c r="H1475" s="33" t="str">
        <f t="shared" si="83"/>
        <v>April 26 Week 2</v>
      </c>
      <c r="I1475" s="33" t="str">
        <f>CONCATENATE(UPPER(TableAopCalendar[[#This Row],[Month]])," ",TableAopCalendar[[#This Row],[Year]])</f>
        <v>APRIL 26</v>
      </c>
      <c r="J1475" s="8" t="s">
        <v>274</v>
      </c>
      <c r="K1475" s="33" t="str">
        <f>CONCATENATE(TableAopCalendar[[#This Row],[Month for Plan]]," ",TableAopCalendar[[#This Row],[Plan]])</f>
        <v>APRIL 26 PLANNED</v>
      </c>
    </row>
    <row r="1476" spans="1:11" x14ac:dyDescent="0.25">
      <c r="A1476" s="33">
        <f t="shared" si="81"/>
        <v>7</v>
      </c>
      <c r="B1476" s="34">
        <v>46126</v>
      </c>
      <c r="C1476" s="7" t="s">
        <v>264</v>
      </c>
      <c r="D1476" s="35">
        <v>26</v>
      </c>
      <c r="E1476" s="33">
        <f>DAY(TableAopCalendar[[#This Row],[Date]])</f>
        <v>14</v>
      </c>
      <c r="F147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476" s="33" t="str">
        <f t="shared" si="82"/>
        <v>Week 2</v>
      </c>
      <c r="H1476" s="33" t="str">
        <f t="shared" si="83"/>
        <v>April 26 Week 2</v>
      </c>
      <c r="I1476" s="33" t="str">
        <f>CONCATENATE(UPPER(TableAopCalendar[[#This Row],[Month]])," ",TableAopCalendar[[#This Row],[Year]])</f>
        <v>APRIL 26</v>
      </c>
      <c r="J1476" s="8" t="s">
        <v>274</v>
      </c>
      <c r="K1476" s="33" t="str">
        <f>CONCATENATE(TableAopCalendar[[#This Row],[Month for Plan]]," ",TableAopCalendar[[#This Row],[Plan]])</f>
        <v>APRIL 26 PLANNED</v>
      </c>
    </row>
    <row r="1477" spans="1:11" x14ac:dyDescent="0.25">
      <c r="A1477" s="33">
        <f t="shared" si="81"/>
        <v>1</v>
      </c>
      <c r="B1477" s="34">
        <v>46127</v>
      </c>
      <c r="C1477" s="7" t="s">
        <v>264</v>
      </c>
      <c r="D1477" s="35">
        <v>26</v>
      </c>
      <c r="E1477" s="33">
        <f>DAY(TableAopCalendar[[#This Row],[Date]])</f>
        <v>15</v>
      </c>
      <c r="F147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77" s="33" t="str">
        <f t="shared" si="82"/>
        <v>Week 3</v>
      </c>
      <c r="H1477" s="33" t="str">
        <f t="shared" si="83"/>
        <v>April 26 Week 3</v>
      </c>
      <c r="I1477" s="33" t="str">
        <f>CONCATENATE(UPPER(TableAopCalendar[[#This Row],[Month]])," ",TableAopCalendar[[#This Row],[Year]])</f>
        <v>APRIL 26</v>
      </c>
      <c r="J1477" s="8" t="s">
        <v>274</v>
      </c>
      <c r="K1477" s="33" t="str">
        <f>CONCATENATE(TableAopCalendar[[#This Row],[Month for Plan]]," ",TableAopCalendar[[#This Row],[Plan]])</f>
        <v>APRIL 26 PLANNED</v>
      </c>
    </row>
    <row r="1478" spans="1:11" x14ac:dyDescent="0.25">
      <c r="A1478" s="33">
        <f t="shared" si="81"/>
        <v>2</v>
      </c>
      <c r="B1478" s="34">
        <v>46128</v>
      </c>
      <c r="C1478" s="7" t="s">
        <v>264</v>
      </c>
      <c r="D1478" s="35">
        <v>26</v>
      </c>
      <c r="E1478" s="33">
        <f>DAY(TableAopCalendar[[#This Row],[Date]])</f>
        <v>16</v>
      </c>
      <c r="F147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78" s="33" t="str">
        <f t="shared" si="82"/>
        <v>Week 3</v>
      </c>
      <c r="H1478" s="33" t="str">
        <f t="shared" si="83"/>
        <v>April 26 Week 3</v>
      </c>
      <c r="I1478" s="33" t="str">
        <f>CONCATENATE(UPPER(TableAopCalendar[[#This Row],[Month]])," ",TableAopCalendar[[#This Row],[Year]])</f>
        <v>APRIL 26</v>
      </c>
      <c r="J1478" s="8" t="s">
        <v>274</v>
      </c>
      <c r="K1478" s="33" t="str">
        <f>CONCATENATE(TableAopCalendar[[#This Row],[Month for Plan]]," ",TableAopCalendar[[#This Row],[Plan]])</f>
        <v>APRIL 26 PLANNED</v>
      </c>
    </row>
    <row r="1479" spans="1:11" x14ac:dyDescent="0.25">
      <c r="A1479" s="33">
        <f t="shared" si="81"/>
        <v>3</v>
      </c>
      <c r="B1479" s="34">
        <v>46129</v>
      </c>
      <c r="C1479" s="7" t="s">
        <v>264</v>
      </c>
      <c r="D1479" s="35">
        <v>26</v>
      </c>
      <c r="E1479" s="33">
        <f>DAY(TableAopCalendar[[#This Row],[Date]])</f>
        <v>17</v>
      </c>
      <c r="F147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79" s="33" t="str">
        <f t="shared" si="82"/>
        <v>Week 3</v>
      </c>
      <c r="H1479" s="33" t="str">
        <f t="shared" si="83"/>
        <v>April 26 Week 3</v>
      </c>
      <c r="I1479" s="33" t="str">
        <f>CONCATENATE(UPPER(TableAopCalendar[[#This Row],[Month]])," ",TableAopCalendar[[#This Row],[Year]])</f>
        <v>APRIL 26</v>
      </c>
      <c r="J1479" s="8" t="s">
        <v>274</v>
      </c>
      <c r="K1479" s="33" t="str">
        <f>CONCATENATE(TableAopCalendar[[#This Row],[Month for Plan]]," ",TableAopCalendar[[#This Row],[Plan]])</f>
        <v>APRIL 26 PLANNED</v>
      </c>
    </row>
    <row r="1480" spans="1:11" x14ac:dyDescent="0.25">
      <c r="A1480" s="33">
        <f t="shared" si="81"/>
        <v>4</v>
      </c>
      <c r="B1480" s="34">
        <v>46130</v>
      </c>
      <c r="C1480" s="7" t="s">
        <v>264</v>
      </c>
      <c r="D1480" s="35">
        <v>26</v>
      </c>
      <c r="E1480" s="33">
        <f>DAY(TableAopCalendar[[#This Row],[Date]])</f>
        <v>18</v>
      </c>
      <c r="F148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80" s="33" t="str">
        <f t="shared" si="82"/>
        <v>Week 3</v>
      </c>
      <c r="H1480" s="33" t="str">
        <f t="shared" si="83"/>
        <v>April 26 Week 3</v>
      </c>
      <c r="I1480" s="33" t="str">
        <f>CONCATENATE(UPPER(TableAopCalendar[[#This Row],[Month]])," ",TableAopCalendar[[#This Row],[Year]])</f>
        <v>APRIL 26</v>
      </c>
      <c r="J1480" s="8" t="s">
        <v>274</v>
      </c>
      <c r="K1480" s="33" t="str">
        <f>CONCATENATE(TableAopCalendar[[#This Row],[Month for Plan]]," ",TableAopCalendar[[#This Row],[Plan]])</f>
        <v>APRIL 26 PLANNED</v>
      </c>
    </row>
    <row r="1481" spans="1:11" x14ac:dyDescent="0.25">
      <c r="A1481" s="33">
        <f t="shared" si="81"/>
        <v>5</v>
      </c>
      <c r="B1481" s="34">
        <v>46131</v>
      </c>
      <c r="C1481" s="7" t="s">
        <v>264</v>
      </c>
      <c r="D1481" s="35">
        <v>26</v>
      </c>
      <c r="E1481" s="33">
        <f>DAY(TableAopCalendar[[#This Row],[Date]])</f>
        <v>19</v>
      </c>
      <c r="F148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81" s="33" t="str">
        <f t="shared" si="82"/>
        <v>Week 3</v>
      </c>
      <c r="H1481" s="33" t="str">
        <f t="shared" si="83"/>
        <v>April 26 Week 3</v>
      </c>
      <c r="I1481" s="33" t="str">
        <f>CONCATENATE(UPPER(TableAopCalendar[[#This Row],[Month]])," ",TableAopCalendar[[#This Row],[Year]])</f>
        <v>APRIL 26</v>
      </c>
      <c r="J1481" s="8" t="s">
        <v>274</v>
      </c>
      <c r="K1481" s="33" t="str">
        <f>CONCATENATE(TableAopCalendar[[#This Row],[Month for Plan]]," ",TableAopCalendar[[#This Row],[Plan]])</f>
        <v>APRIL 26 PLANNED</v>
      </c>
    </row>
    <row r="1482" spans="1:11" x14ac:dyDescent="0.25">
      <c r="A1482" s="33">
        <f t="shared" si="81"/>
        <v>6</v>
      </c>
      <c r="B1482" s="34">
        <v>46132</v>
      </c>
      <c r="C1482" s="7" t="s">
        <v>264</v>
      </c>
      <c r="D1482" s="35">
        <v>26</v>
      </c>
      <c r="E1482" s="33">
        <f>DAY(TableAopCalendar[[#This Row],[Date]])</f>
        <v>20</v>
      </c>
      <c r="F148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82" s="33" t="str">
        <f t="shared" si="82"/>
        <v>Week 3</v>
      </c>
      <c r="H1482" s="33" t="str">
        <f t="shared" si="83"/>
        <v>April 26 Week 3</v>
      </c>
      <c r="I1482" s="33" t="str">
        <f>CONCATENATE(UPPER(TableAopCalendar[[#This Row],[Month]])," ",TableAopCalendar[[#This Row],[Year]])</f>
        <v>APRIL 26</v>
      </c>
      <c r="J1482" s="8" t="s">
        <v>274</v>
      </c>
      <c r="K1482" s="33" t="str">
        <f>CONCATENATE(TableAopCalendar[[#This Row],[Month for Plan]]," ",TableAopCalendar[[#This Row],[Plan]])</f>
        <v>APRIL 26 PLANNED</v>
      </c>
    </row>
    <row r="1483" spans="1:11" x14ac:dyDescent="0.25">
      <c r="A1483" s="33">
        <f t="shared" ref="A1483:A1546" si="84">IF(G1483=G1482,A1482+1,1)</f>
        <v>7</v>
      </c>
      <c r="B1483" s="34">
        <v>46133</v>
      </c>
      <c r="C1483" s="7" t="s">
        <v>264</v>
      </c>
      <c r="D1483" s="35">
        <v>26</v>
      </c>
      <c r="E1483" s="33">
        <f>DAY(TableAopCalendar[[#This Row],[Date]])</f>
        <v>21</v>
      </c>
      <c r="F148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483" s="33" t="str">
        <f t="shared" ref="G1483:G1546" si="85">"Week"&amp;" "&amp;F1483</f>
        <v>Week 3</v>
      </c>
      <c r="H1483" s="33" t="str">
        <f t="shared" ref="H1483:H1546" si="86">CONCATENATE(C1483," ",D1483," ",G1483)</f>
        <v>April 26 Week 3</v>
      </c>
      <c r="I1483" s="33" t="str">
        <f>CONCATENATE(UPPER(TableAopCalendar[[#This Row],[Month]])," ",TableAopCalendar[[#This Row],[Year]])</f>
        <v>APRIL 26</v>
      </c>
      <c r="J1483" s="8" t="s">
        <v>274</v>
      </c>
      <c r="K1483" s="33" t="str">
        <f>CONCATENATE(TableAopCalendar[[#This Row],[Month for Plan]]," ",TableAopCalendar[[#This Row],[Plan]])</f>
        <v>APRIL 26 PLANNED</v>
      </c>
    </row>
    <row r="1484" spans="1:11" x14ac:dyDescent="0.25">
      <c r="A1484" s="33">
        <f t="shared" si="84"/>
        <v>1</v>
      </c>
      <c r="B1484" s="34">
        <v>46134</v>
      </c>
      <c r="C1484" s="7" t="s">
        <v>264</v>
      </c>
      <c r="D1484" s="35">
        <v>26</v>
      </c>
      <c r="E1484" s="33">
        <f>DAY(TableAopCalendar[[#This Row],[Date]])</f>
        <v>22</v>
      </c>
      <c r="F148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84" s="33" t="str">
        <f t="shared" si="85"/>
        <v>Week 4</v>
      </c>
      <c r="H1484" s="33" t="str">
        <f t="shared" si="86"/>
        <v>April 26 Week 4</v>
      </c>
      <c r="I1484" s="33" t="str">
        <f>CONCATENATE(UPPER(TableAopCalendar[[#This Row],[Month]])," ",TableAopCalendar[[#This Row],[Year]])</f>
        <v>APRIL 26</v>
      </c>
      <c r="J1484" s="8" t="s">
        <v>274</v>
      </c>
      <c r="K1484" s="33" t="str">
        <f>CONCATENATE(TableAopCalendar[[#This Row],[Month for Plan]]," ",TableAopCalendar[[#This Row],[Plan]])</f>
        <v>APRIL 26 PLANNED</v>
      </c>
    </row>
    <row r="1485" spans="1:11" x14ac:dyDescent="0.25">
      <c r="A1485" s="33">
        <f t="shared" si="84"/>
        <v>2</v>
      </c>
      <c r="B1485" s="34">
        <v>46135</v>
      </c>
      <c r="C1485" s="7" t="s">
        <v>264</v>
      </c>
      <c r="D1485" s="35">
        <v>26</v>
      </c>
      <c r="E1485" s="33">
        <f>DAY(TableAopCalendar[[#This Row],[Date]])</f>
        <v>23</v>
      </c>
      <c r="F148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85" s="33" t="str">
        <f t="shared" si="85"/>
        <v>Week 4</v>
      </c>
      <c r="H1485" s="33" t="str">
        <f t="shared" si="86"/>
        <v>April 26 Week 4</v>
      </c>
      <c r="I1485" s="33" t="str">
        <f>CONCATENATE(UPPER(TableAopCalendar[[#This Row],[Month]])," ",TableAopCalendar[[#This Row],[Year]])</f>
        <v>APRIL 26</v>
      </c>
      <c r="J1485" s="8" t="s">
        <v>274</v>
      </c>
      <c r="K1485" s="33" t="str">
        <f>CONCATENATE(TableAopCalendar[[#This Row],[Month for Plan]]," ",TableAopCalendar[[#This Row],[Plan]])</f>
        <v>APRIL 26 PLANNED</v>
      </c>
    </row>
    <row r="1486" spans="1:11" x14ac:dyDescent="0.25">
      <c r="A1486" s="33">
        <f t="shared" si="84"/>
        <v>3</v>
      </c>
      <c r="B1486" s="34">
        <v>46136</v>
      </c>
      <c r="C1486" s="7" t="s">
        <v>264</v>
      </c>
      <c r="D1486" s="35">
        <v>26</v>
      </c>
      <c r="E1486" s="33">
        <f>DAY(TableAopCalendar[[#This Row],[Date]])</f>
        <v>24</v>
      </c>
      <c r="F148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86" s="33" t="str">
        <f t="shared" si="85"/>
        <v>Week 4</v>
      </c>
      <c r="H1486" s="33" t="str">
        <f t="shared" si="86"/>
        <v>April 26 Week 4</v>
      </c>
      <c r="I1486" s="33" t="str">
        <f>CONCATENATE(UPPER(TableAopCalendar[[#This Row],[Month]])," ",TableAopCalendar[[#This Row],[Year]])</f>
        <v>APRIL 26</v>
      </c>
      <c r="J1486" s="8" t="s">
        <v>274</v>
      </c>
      <c r="K1486" s="33" t="str">
        <f>CONCATENATE(TableAopCalendar[[#This Row],[Month for Plan]]," ",TableAopCalendar[[#This Row],[Plan]])</f>
        <v>APRIL 26 PLANNED</v>
      </c>
    </row>
    <row r="1487" spans="1:11" x14ac:dyDescent="0.25">
      <c r="A1487" s="33">
        <f t="shared" si="84"/>
        <v>4</v>
      </c>
      <c r="B1487" s="34">
        <v>46137</v>
      </c>
      <c r="C1487" s="7" t="s">
        <v>264</v>
      </c>
      <c r="D1487" s="35">
        <v>26</v>
      </c>
      <c r="E1487" s="33">
        <f>DAY(TableAopCalendar[[#This Row],[Date]])</f>
        <v>25</v>
      </c>
      <c r="F148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87" s="33" t="str">
        <f t="shared" si="85"/>
        <v>Week 4</v>
      </c>
      <c r="H1487" s="33" t="str">
        <f t="shared" si="86"/>
        <v>April 26 Week 4</v>
      </c>
      <c r="I1487" s="33" t="str">
        <f>CONCATENATE(UPPER(TableAopCalendar[[#This Row],[Month]])," ",TableAopCalendar[[#This Row],[Year]])</f>
        <v>APRIL 26</v>
      </c>
      <c r="J1487" s="8" t="s">
        <v>274</v>
      </c>
      <c r="K1487" s="33" t="str">
        <f>CONCATENATE(TableAopCalendar[[#This Row],[Month for Plan]]," ",TableAopCalendar[[#This Row],[Plan]])</f>
        <v>APRIL 26 PLANNED</v>
      </c>
    </row>
    <row r="1488" spans="1:11" x14ac:dyDescent="0.25">
      <c r="A1488" s="33">
        <f t="shared" si="84"/>
        <v>5</v>
      </c>
      <c r="B1488" s="34">
        <v>46138</v>
      </c>
      <c r="C1488" s="7" t="s">
        <v>264</v>
      </c>
      <c r="D1488" s="35">
        <v>26</v>
      </c>
      <c r="E1488" s="33">
        <f>DAY(TableAopCalendar[[#This Row],[Date]])</f>
        <v>26</v>
      </c>
      <c r="F148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88" s="33" t="str">
        <f t="shared" si="85"/>
        <v>Week 4</v>
      </c>
      <c r="H1488" s="33" t="str">
        <f t="shared" si="86"/>
        <v>April 26 Week 4</v>
      </c>
      <c r="I1488" s="33" t="str">
        <f>CONCATENATE(UPPER(TableAopCalendar[[#This Row],[Month]])," ",TableAopCalendar[[#This Row],[Year]])</f>
        <v>APRIL 26</v>
      </c>
      <c r="J1488" s="8" t="s">
        <v>274</v>
      </c>
      <c r="K1488" s="33" t="str">
        <f>CONCATENATE(TableAopCalendar[[#This Row],[Month for Plan]]," ",TableAopCalendar[[#This Row],[Plan]])</f>
        <v>APRIL 26 PLANNED</v>
      </c>
    </row>
    <row r="1489" spans="1:11" x14ac:dyDescent="0.25">
      <c r="A1489" s="33">
        <f t="shared" si="84"/>
        <v>6</v>
      </c>
      <c r="B1489" s="34">
        <v>46139</v>
      </c>
      <c r="C1489" s="7" t="s">
        <v>264</v>
      </c>
      <c r="D1489" s="35">
        <v>26</v>
      </c>
      <c r="E1489" s="33">
        <f>DAY(TableAopCalendar[[#This Row],[Date]])</f>
        <v>27</v>
      </c>
      <c r="F148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89" s="33" t="str">
        <f t="shared" si="85"/>
        <v>Week 4</v>
      </c>
      <c r="H1489" s="33" t="str">
        <f t="shared" si="86"/>
        <v>April 26 Week 4</v>
      </c>
      <c r="I1489" s="33" t="str">
        <f>CONCATENATE(UPPER(TableAopCalendar[[#This Row],[Month]])," ",TableAopCalendar[[#This Row],[Year]])</f>
        <v>APRIL 26</v>
      </c>
      <c r="J1489" s="8" t="s">
        <v>274</v>
      </c>
      <c r="K1489" s="33" t="str">
        <f>CONCATENATE(TableAopCalendar[[#This Row],[Month for Plan]]," ",TableAopCalendar[[#This Row],[Plan]])</f>
        <v>APRIL 26 PLANNED</v>
      </c>
    </row>
    <row r="1490" spans="1:11" x14ac:dyDescent="0.25">
      <c r="A1490" s="33">
        <f t="shared" si="84"/>
        <v>7</v>
      </c>
      <c r="B1490" s="34">
        <v>46140</v>
      </c>
      <c r="C1490" s="7" t="s">
        <v>264</v>
      </c>
      <c r="D1490" s="35">
        <v>26</v>
      </c>
      <c r="E1490" s="33">
        <f>DAY(TableAopCalendar[[#This Row],[Date]])</f>
        <v>28</v>
      </c>
      <c r="F149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490" s="33" t="str">
        <f t="shared" si="85"/>
        <v>Week 4</v>
      </c>
      <c r="H1490" s="33" t="str">
        <f t="shared" si="86"/>
        <v>April 26 Week 4</v>
      </c>
      <c r="I1490" s="33" t="str">
        <f>CONCATENATE(UPPER(TableAopCalendar[[#This Row],[Month]])," ",TableAopCalendar[[#This Row],[Year]])</f>
        <v>APRIL 26</v>
      </c>
      <c r="J1490" s="8" t="s">
        <v>274</v>
      </c>
      <c r="K1490" s="33" t="str">
        <f>CONCATENATE(TableAopCalendar[[#This Row],[Month for Plan]]," ",TableAopCalendar[[#This Row],[Plan]])</f>
        <v>APRIL 26 PLANNED</v>
      </c>
    </row>
    <row r="1491" spans="1:11" x14ac:dyDescent="0.25">
      <c r="A1491" s="33">
        <f t="shared" si="84"/>
        <v>1</v>
      </c>
      <c r="B1491" s="34">
        <v>46141</v>
      </c>
      <c r="C1491" s="7" t="s">
        <v>264</v>
      </c>
      <c r="D1491" s="35">
        <v>26</v>
      </c>
      <c r="E1491" s="33">
        <f>DAY(TableAopCalendar[[#This Row],[Date]])</f>
        <v>29</v>
      </c>
      <c r="F149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91" s="33" t="str">
        <f t="shared" si="85"/>
        <v>Week 5</v>
      </c>
      <c r="H1491" s="33" t="str">
        <f t="shared" si="86"/>
        <v>April 26 Week 5</v>
      </c>
      <c r="I1491" s="33" t="str">
        <f>CONCATENATE(UPPER(TableAopCalendar[[#This Row],[Month]])," ",TableAopCalendar[[#This Row],[Year]])</f>
        <v>APRIL 26</v>
      </c>
      <c r="J1491" s="8" t="s">
        <v>274</v>
      </c>
      <c r="K1491" s="33" t="str">
        <f>CONCATENATE(TableAopCalendar[[#This Row],[Month for Plan]]," ",TableAopCalendar[[#This Row],[Plan]])</f>
        <v>APRIL 26 PLANNED</v>
      </c>
    </row>
    <row r="1492" spans="1:11" x14ac:dyDescent="0.25">
      <c r="A1492" s="33">
        <f t="shared" si="84"/>
        <v>2</v>
      </c>
      <c r="B1492" s="34">
        <v>46142</v>
      </c>
      <c r="C1492" s="7" t="s">
        <v>264</v>
      </c>
      <c r="D1492" s="35">
        <v>26</v>
      </c>
      <c r="E1492" s="33">
        <f>DAY(TableAopCalendar[[#This Row],[Date]])</f>
        <v>30</v>
      </c>
      <c r="F149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492" s="33" t="str">
        <f t="shared" si="85"/>
        <v>Week 5</v>
      </c>
      <c r="H1492" s="33" t="str">
        <f t="shared" si="86"/>
        <v>April 26 Week 5</v>
      </c>
      <c r="I1492" s="33" t="str">
        <f>CONCATENATE(UPPER(TableAopCalendar[[#This Row],[Month]])," ",TableAopCalendar[[#This Row],[Year]])</f>
        <v>APRIL 26</v>
      </c>
      <c r="J1492" s="8" t="s">
        <v>274</v>
      </c>
      <c r="K1492" s="33" t="str">
        <f>CONCATENATE(TableAopCalendar[[#This Row],[Month for Plan]]," ",TableAopCalendar[[#This Row],[Plan]])</f>
        <v>APRIL 26 PLANNED</v>
      </c>
    </row>
    <row r="1493" spans="1:11" x14ac:dyDescent="0.25">
      <c r="A1493" s="33">
        <f t="shared" si="84"/>
        <v>1</v>
      </c>
      <c r="B1493" s="34">
        <v>46143</v>
      </c>
      <c r="C1493" s="7" t="s">
        <v>265</v>
      </c>
      <c r="D1493" s="35">
        <v>26</v>
      </c>
      <c r="E1493" s="33">
        <f>DAY(TableAopCalendar[[#This Row],[Date]])</f>
        <v>1</v>
      </c>
      <c r="F149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93" s="33" t="str">
        <f t="shared" si="85"/>
        <v>Week 1</v>
      </c>
      <c r="H1493" s="33" t="str">
        <f t="shared" si="86"/>
        <v>May 26 Week 1</v>
      </c>
      <c r="I1493" s="33" t="str">
        <f>CONCATENATE(UPPER(TableAopCalendar[[#This Row],[Month]])," ",TableAopCalendar[[#This Row],[Year]])</f>
        <v>MAY 26</v>
      </c>
      <c r="J1493" s="8" t="s">
        <v>274</v>
      </c>
      <c r="K1493" s="33" t="str">
        <f>CONCATENATE(TableAopCalendar[[#This Row],[Month for Plan]]," ",TableAopCalendar[[#This Row],[Plan]])</f>
        <v>MAY 26 PLANNED</v>
      </c>
    </row>
    <row r="1494" spans="1:11" x14ac:dyDescent="0.25">
      <c r="A1494" s="33">
        <f t="shared" si="84"/>
        <v>2</v>
      </c>
      <c r="B1494" s="34">
        <v>46144</v>
      </c>
      <c r="C1494" s="7" t="s">
        <v>265</v>
      </c>
      <c r="D1494" s="35">
        <v>26</v>
      </c>
      <c r="E1494" s="33">
        <f>DAY(TableAopCalendar[[#This Row],[Date]])</f>
        <v>2</v>
      </c>
      <c r="F149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94" s="33" t="str">
        <f t="shared" si="85"/>
        <v>Week 1</v>
      </c>
      <c r="H1494" s="33" t="str">
        <f t="shared" si="86"/>
        <v>May 26 Week 1</v>
      </c>
      <c r="I1494" s="33" t="str">
        <f>CONCATENATE(UPPER(TableAopCalendar[[#This Row],[Month]])," ",TableAopCalendar[[#This Row],[Year]])</f>
        <v>MAY 26</v>
      </c>
      <c r="J1494" s="8" t="s">
        <v>274</v>
      </c>
      <c r="K1494" s="33" t="str">
        <f>CONCATENATE(TableAopCalendar[[#This Row],[Month for Plan]]," ",TableAopCalendar[[#This Row],[Plan]])</f>
        <v>MAY 26 PLANNED</v>
      </c>
    </row>
    <row r="1495" spans="1:11" x14ac:dyDescent="0.25">
      <c r="A1495" s="33">
        <f t="shared" si="84"/>
        <v>3</v>
      </c>
      <c r="B1495" s="34">
        <v>46145</v>
      </c>
      <c r="C1495" s="7" t="s">
        <v>265</v>
      </c>
      <c r="D1495" s="35">
        <v>26</v>
      </c>
      <c r="E1495" s="33">
        <f>DAY(TableAopCalendar[[#This Row],[Date]])</f>
        <v>3</v>
      </c>
      <c r="F149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95" s="33" t="str">
        <f t="shared" si="85"/>
        <v>Week 1</v>
      </c>
      <c r="H1495" s="33" t="str">
        <f t="shared" si="86"/>
        <v>May 26 Week 1</v>
      </c>
      <c r="I1495" s="33" t="str">
        <f>CONCATENATE(UPPER(TableAopCalendar[[#This Row],[Month]])," ",TableAopCalendar[[#This Row],[Year]])</f>
        <v>MAY 26</v>
      </c>
      <c r="J1495" s="8" t="s">
        <v>274</v>
      </c>
      <c r="K1495" s="33" t="str">
        <f>CONCATENATE(TableAopCalendar[[#This Row],[Month for Plan]]," ",TableAopCalendar[[#This Row],[Plan]])</f>
        <v>MAY 26 PLANNED</v>
      </c>
    </row>
    <row r="1496" spans="1:11" x14ac:dyDescent="0.25">
      <c r="A1496" s="33">
        <f t="shared" si="84"/>
        <v>4</v>
      </c>
      <c r="B1496" s="34">
        <v>46146</v>
      </c>
      <c r="C1496" s="7" t="s">
        <v>265</v>
      </c>
      <c r="D1496" s="35">
        <v>26</v>
      </c>
      <c r="E1496" s="33">
        <f>DAY(TableAopCalendar[[#This Row],[Date]])</f>
        <v>4</v>
      </c>
      <c r="F149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96" s="33" t="str">
        <f t="shared" si="85"/>
        <v>Week 1</v>
      </c>
      <c r="H1496" s="33" t="str">
        <f t="shared" si="86"/>
        <v>May 26 Week 1</v>
      </c>
      <c r="I1496" s="33" t="str">
        <f>CONCATENATE(UPPER(TableAopCalendar[[#This Row],[Month]])," ",TableAopCalendar[[#This Row],[Year]])</f>
        <v>MAY 26</v>
      </c>
      <c r="J1496" s="8" t="s">
        <v>274</v>
      </c>
      <c r="K1496" s="33" t="str">
        <f>CONCATENATE(TableAopCalendar[[#This Row],[Month for Plan]]," ",TableAopCalendar[[#This Row],[Plan]])</f>
        <v>MAY 26 PLANNED</v>
      </c>
    </row>
    <row r="1497" spans="1:11" x14ac:dyDescent="0.25">
      <c r="A1497" s="33">
        <f t="shared" si="84"/>
        <v>5</v>
      </c>
      <c r="B1497" s="34">
        <v>46147</v>
      </c>
      <c r="C1497" s="7" t="s">
        <v>265</v>
      </c>
      <c r="D1497" s="35">
        <v>26</v>
      </c>
      <c r="E1497" s="33">
        <f>DAY(TableAopCalendar[[#This Row],[Date]])</f>
        <v>5</v>
      </c>
      <c r="F149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97" s="33" t="str">
        <f t="shared" si="85"/>
        <v>Week 1</v>
      </c>
      <c r="H1497" s="33" t="str">
        <f t="shared" si="86"/>
        <v>May 26 Week 1</v>
      </c>
      <c r="I1497" s="33" t="str">
        <f>CONCATENATE(UPPER(TableAopCalendar[[#This Row],[Month]])," ",TableAopCalendar[[#This Row],[Year]])</f>
        <v>MAY 26</v>
      </c>
      <c r="J1497" s="8" t="s">
        <v>274</v>
      </c>
      <c r="K1497" s="33" t="str">
        <f>CONCATENATE(TableAopCalendar[[#This Row],[Month for Plan]]," ",TableAopCalendar[[#This Row],[Plan]])</f>
        <v>MAY 26 PLANNED</v>
      </c>
    </row>
    <row r="1498" spans="1:11" x14ac:dyDescent="0.25">
      <c r="A1498" s="33">
        <f t="shared" si="84"/>
        <v>6</v>
      </c>
      <c r="B1498" s="34">
        <v>46148</v>
      </c>
      <c r="C1498" s="7" t="s">
        <v>265</v>
      </c>
      <c r="D1498" s="35">
        <v>26</v>
      </c>
      <c r="E1498" s="33">
        <f>DAY(TableAopCalendar[[#This Row],[Date]])</f>
        <v>6</v>
      </c>
      <c r="F149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98" s="33" t="str">
        <f t="shared" si="85"/>
        <v>Week 1</v>
      </c>
      <c r="H1498" s="33" t="str">
        <f t="shared" si="86"/>
        <v>May 26 Week 1</v>
      </c>
      <c r="I1498" s="33" t="str">
        <f>CONCATENATE(UPPER(TableAopCalendar[[#This Row],[Month]])," ",TableAopCalendar[[#This Row],[Year]])</f>
        <v>MAY 26</v>
      </c>
      <c r="J1498" s="8" t="s">
        <v>274</v>
      </c>
      <c r="K1498" s="33" t="str">
        <f>CONCATENATE(TableAopCalendar[[#This Row],[Month for Plan]]," ",TableAopCalendar[[#This Row],[Plan]])</f>
        <v>MAY 26 PLANNED</v>
      </c>
    </row>
    <row r="1499" spans="1:11" x14ac:dyDescent="0.25">
      <c r="A1499" s="33">
        <f t="shared" si="84"/>
        <v>7</v>
      </c>
      <c r="B1499" s="34">
        <v>46149</v>
      </c>
      <c r="C1499" s="7" t="s">
        <v>265</v>
      </c>
      <c r="D1499" s="35">
        <v>26</v>
      </c>
      <c r="E1499" s="33">
        <f>DAY(TableAopCalendar[[#This Row],[Date]])</f>
        <v>7</v>
      </c>
      <c r="F149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499" s="33" t="str">
        <f t="shared" si="85"/>
        <v>Week 1</v>
      </c>
      <c r="H1499" s="33" t="str">
        <f t="shared" si="86"/>
        <v>May 26 Week 1</v>
      </c>
      <c r="I1499" s="33" t="str">
        <f>CONCATENATE(UPPER(TableAopCalendar[[#This Row],[Month]])," ",TableAopCalendar[[#This Row],[Year]])</f>
        <v>MAY 26</v>
      </c>
      <c r="J1499" s="8" t="s">
        <v>274</v>
      </c>
      <c r="K1499" s="33" t="str">
        <f>CONCATENATE(TableAopCalendar[[#This Row],[Month for Plan]]," ",TableAopCalendar[[#This Row],[Plan]])</f>
        <v>MAY 26 PLANNED</v>
      </c>
    </row>
    <row r="1500" spans="1:11" x14ac:dyDescent="0.25">
      <c r="A1500" s="33">
        <f t="shared" si="84"/>
        <v>1</v>
      </c>
      <c r="B1500" s="34">
        <v>46150</v>
      </c>
      <c r="C1500" s="7" t="s">
        <v>265</v>
      </c>
      <c r="D1500" s="35">
        <v>26</v>
      </c>
      <c r="E1500" s="33">
        <f>DAY(TableAopCalendar[[#This Row],[Date]])</f>
        <v>8</v>
      </c>
      <c r="F150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00" s="33" t="str">
        <f t="shared" si="85"/>
        <v>Week 2</v>
      </c>
      <c r="H1500" s="33" t="str">
        <f t="shared" si="86"/>
        <v>May 26 Week 2</v>
      </c>
      <c r="I1500" s="33" t="str">
        <f>CONCATENATE(UPPER(TableAopCalendar[[#This Row],[Month]])," ",TableAopCalendar[[#This Row],[Year]])</f>
        <v>MAY 26</v>
      </c>
      <c r="J1500" s="8" t="s">
        <v>274</v>
      </c>
      <c r="K1500" s="33" t="str">
        <f>CONCATENATE(TableAopCalendar[[#This Row],[Month for Plan]]," ",TableAopCalendar[[#This Row],[Plan]])</f>
        <v>MAY 26 PLANNED</v>
      </c>
    </row>
    <row r="1501" spans="1:11" x14ac:dyDescent="0.25">
      <c r="A1501" s="33">
        <f t="shared" si="84"/>
        <v>2</v>
      </c>
      <c r="B1501" s="34">
        <v>46151</v>
      </c>
      <c r="C1501" s="7" t="s">
        <v>265</v>
      </c>
      <c r="D1501" s="35">
        <v>26</v>
      </c>
      <c r="E1501" s="33">
        <f>DAY(TableAopCalendar[[#This Row],[Date]])</f>
        <v>9</v>
      </c>
      <c r="F150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01" s="33" t="str">
        <f t="shared" si="85"/>
        <v>Week 2</v>
      </c>
      <c r="H1501" s="33" t="str">
        <f t="shared" si="86"/>
        <v>May 26 Week 2</v>
      </c>
      <c r="I1501" s="33" t="str">
        <f>CONCATENATE(UPPER(TableAopCalendar[[#This Row],[Month]])," ",TableAopCalendar[[#This Row],[Year]])</f>
        <v>MAY 26</v>
      </c>
      <c r="J1501" s="8" t="s">
        <v>274</v>
      </c>
      <c r="K1501" s="33" t="str">
        <f>CONCATENATE(TableAopCalendar[[#This Row],[Month for Plan]]," ",TableAopCalendar[[#This Row],[Plan]])</f>
        <v>MAY 26 PLANNED</v>
      </c>
    </row>
    <row r="1502" spans="1:11" x14ac:dyDescent="0.25">
      <c r="A1502" s="33">
        <f t="shared" si="84"/>
        <v>3</v>
      </c>
      <c r="B1502" s="34">
        <v>46152</v>
      </c>
      <c r="C1502" s="7" t="s">
        <v>265</v>
      </c>
      <c r="D1502" s="35">
        <v>26</v>
      </c>
      <c r="E1502" s="33">
        <f>DAY(TableAopCalendar[[#This Row],[Date]])</f>
        <v>10</v>
      </c>
      <c r="F150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02" s="33" t="str">
        <f t="shared" si="85"/>
        <v>Week 2</v>
      </c>
      <c r="H1502" s="33" t="str">
        <f t="shared" si="86"/>
        <v>May 26 Week 2</v>
      </c>
      <c r="I1502" s="33" t="str">
        <f>CONCATENATE(UPPER(TableAopCalendar[[#This Row],[Month]])," ",TableAopCalendar[[#This Row],[Year]])</f>
        <v>MAY 26</v>
      </c>
      <c r="J1502" s="8" t="s">
        <v>274</v>
      </c>
      <c r="K1502" s="33" t="str">
        <f>CONCATENATE(TableAopCalendar[[#This Row],[Month for Plan]]," ",TableAopCalendar[[#This Row],[Plan]])</f>
        <v>MAY 26 PLANNED</v>
      </c>
    </row>
    <row r="1503" spans="1:11" x14ac:dyDescent="0.25">
      <c r="A1503" s="33">
        <f t="shared" si="84"/>
        <v>4</v>
      </c>
      <c r="B1503" s="34">
        <v>46153</v>
      </c>
      <c r="C1503" s="7" t="s">
        <v>265</v>
      </c>
      <c r="D1503" s="35">
        <v>26</v>
      </c>
      <c r="E1503" s="33">
        <f>DAY(TableAopCalendar[[#This Row],[Date]])</f>
        <v>11</v>
      </c>
      <c r="F150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03" s="33" t="str">
        <f t="shared" si="85"/>
        <v>Week 2</v>
      </c>
      <c r="H1503" s="33" t="str">
        <f t="shared" si="86"/>
        <v>May 26 Week 2</v>
      </c>
      <c r="I1503" s="33" t="str">
        <f>CONCATENATE(UPPER(TableAopCalendar[[#This Row],[Month]])," ",TableAopCalendar[[#This Row],[Year]])</f>
        <v>MAY 26</v>
      </c>
      <c r="J1503" s="8" t="s">
        <v>274</v>
      </c>
      <c r="K1503" s="33" t="str">
        <f>CONCATENATE(TableAopCalendar[[#This Row],[Month for Plan]]," ",TableAopCalendar[[#This Row],[Plan]])</f>
        <v>MAY 26 PLANNED</v>
      </c>
    </row>
    <row r="1504" spans="1:11" x14ac:dyDescent="0.25">
      <c r="A1504" s="33">
        <f t="shared" si="84"/>
        <v>5</v>
      </c>
      <c r="B1504" s="34">
        <v>46154</v>
      </c>
      <c r="C1504" s="7" t="s">
        <v>265</v>
      </c>
      <c r="D1504" s="35">
        <v>26</v>
      </c>
      <c r="E1504" s="33">
        <f>DAY(TableAopCalendar[[#This Row],[Date]])</f>
        <v>12</v>
      </c>
      <c r="F150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04" s="33" t="str">
        <f t="shared" si="85"/>
        <v>Week 2</v>
      </c>
      <c r="H1504" s="33" t="str">
        <f t="shared" si="86"/>
        <v>May 26 Week 2</v>
      </c>
      <c r="I1504" s="33" t="str">
        <f>CONCATENATE(UPPER(TableAopCalendar[[#This Row],[Month]])," ",TableAopCalendar[[#This Row],[Year]])</f>
        <v>MAY 26</v>
      </c>
      <c r="J1504" s="8" t="s">
        <v>274</v>
      </c>
      <c r="K1504" s="33" t="str">
        <f>CONCATENATE(TableAopCalendar[[#This Row],[Month for Plan]]," ",TableAopCalendar[[#This Row],[Plan]])</f>
        <v>MAY 26 PLANNED</v>
      </c>
    </row>
    <row r="1505" spans="1:11" x14ac:dyDescent="0.25">
      <c r="A1505" s="33">
        <f t="shared" si="84"/>
        <v>6</v>
      </c>
      <c r="B1505" s="34">
        <v>46155</v>
      </c>
      <c r="C1505" s="7" t="s">
        <v>265</v>
      </c>
      <c r="D1505" s="35">
        <v>26</v>
      </c>
      <c r="E1505" s="33">
        <f>DAY(TableAopCalendar[[#This Row],[Date]])</f>
        <v>13</v>
      </c>
      <c r="F150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05" s="33" t="str">
        <f t="shared" si="85"/>
        <v>Week 2</v>
      </c>
      <c r="H1505" s="33" t="str">
        <f t="shared" si="86"/>
        <v>May 26 Week 2</v>
      </c>
      <c r="I1505" s="33" t="str">
        <f>CONCATENATE(UPPER(TableAopCalendar[[#This Row],[Month]])," ",TableAopCalendar[[#This Row],[Year]])</f>
        <v>MAY 26</v>
      </c>
      <c r="J1505" s="8" t="s">
        <v>274</v>
      </c>
      <c r="K1505" s="33" t="str">
        <f>CONCATENATE(TableAopCalendar[[#This Row],[Month for Plan]]," ",TableAopCalendar[[#This Row],[Plan]])</f>
        <v>MAY 26 PLANNED</v>
      </c>
    </row>
    <row r="1506" spans="1:11" x14ac:dyDescent="0.25">
      <c r="A1506" s="33">
        <f t="shared" si="84"/>
        <v>7</v>
      </c>
      <c r="B1506" s="34">
        <v>46156</v>
      </c>
      <c r="C1506" s="7" t="s">
        <v>265</v>
      </c>
      <c r="D1506" s="35">
        <v>26</v>
      </c>
      <c r="E1506" s="33">
        <f>DAY(TableAopCalendar[[#This Row],[Date]])</f>
        <v>14</v>
      </c>
      <c r="F150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06" s="33" t="str">
        <f t="shared" si="85"/>
        <v>Week 2</v>
      </c>
      <c r="H1506" s="33" t="str">
        <f t="shared" si="86"/>
        <v>May 26 Week 2</v>
      </c>
      <c r="I1506" s="33" t="str">
        <f>CONCATENATE(UPPER(TableAopCalendar[[#This Row],[Month]])," ",TableAopCalendar[[#This Row],[Year]])</f>
        <v>MAY 26</v>
      </c>
      <c r="J1506" s="8" t="s">
        <v>274</v>
      </c>
      <c r="K1506" s="33" t="str">
        <f>CONCATENATE(TableAopCalendar[[#This Row],[Month for Plan]]," ",TableAopCalendar[[#This Row],[Plan]])</f>
        <v>MAY 26 PLANNED</v>
      </c>
    </row>
    <row r="1507" spans="1:11" x14ac:dyDescent="0.25">
      <c r="A1507" s="33">
        <f t="shared" si="84"/>
        <v>1</v>
      </c>
      <c r="B1507" s="34">
        <v>46157</v>
      </c>
      <c r="C1507" s="7" t="s">
        <v>265</v>
      </c>
      <c r="D1507" s="35">
        <v>26</v>
      </c>
      <c r="E1507" s="33">
        <f>DAY(TableAopCalendar[[#This Row],[Date]])</f>
        <v>15</v>
      </c>
      <c r="F150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07" s="33" t="str">
        <f t="shared" si="85"/>
        <v>Week 3</v>
      </c>
      <c r="H1507" s="33" t="str">
        <f t="shared" si="86"/>
        <v>May 26 Week 3</v>
      </c>
      <c r="I1507" s="33" t="str">
        <f>CONCATENATE(UPPER(TableAopCalendar[[#This Row],[Month]])," ",TableAopCalendar[[#This Row],[Year]])</f>
        <v>MAY 26</v>
      </c>
      <c r="J1507" s="8" t="s">
        <v>274</v>
      </c>
      <c r="K1507" s="33" t="str">
        <f>CONCATENATE(TableAopCalendar[[#This Row],[Month for Plan]]," ",TableAopCalendar[[#This Row],[Plan]])</f>
        <v>MAY 26 PLANNED</v>
      </c>
    </row>
    <row r="1508" spans="1:11" x14ac:dyDescent="0.25">
      <c r="A1508" s="33">
        <f t="shared" si="84"/>
        <v>2</v>
      </c>
      <c r="B1508" s="34">
        <v>46158</v>
      </c>
      <c r="C1508" s="7" t="s">
        <v>265</v>
      </c>
      <c r="D1508" s="35">
        <v>26</v>
      </c>
      <c r="E1508" s="33">
        <f>DAY(TableAopCalendar[[#This Row],[Date]])</f>
        <v>16</v>
      </c>
      <c r="F150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08" s="33" t="str">
        <f t="shared" si="85"/>
        <v>Week 3</v>
      </c>
      <c r="H1508" s="33" t="str">
        <f t="shared" si="86"/>
        <v>May 26 Week 3</v>
      </c>
      <c r="I1508" s="33" t="str">
        <f>CONCATENATE(UPPER(TableAopCalendar[[#This Row],[Month]])," ",TableAopCalendar[[#This Row],[Year]])</f>
        <v>MAY 26</v>
      </c>
      <c r="J1508" s="8" t="s">
        <v>274</v>
      </c>
      <c r="K1508" s="33" t="str">
        <f>CONCATENATE(TableAopCalendar[[#This Row],[Month for Plan]]," ",TableAopCalendar[[#This Row],[Plan]])</f>
        <v>MAY 26 PLANNED</v>
      </c>
    </row>
    <row r="1509" spans="1:11" x14ac:dyDescent="0.25">
      <c r="A1509" s="33">
        <f t="shared" si="84"/>
        <v>3</v>
      </c>
      <c r="B1509" s="34">
        <v>46159</v>
      </c>
      <c r="C1509" s="7" t="s">
        <v>265</v>
      </c>
      <c r="D1509" s="35">
        <v>26</v>
      </c>
      <c r="E1509" s="33">
        <f>DAY(TableAopCalendar[[#This Row],[Date]])</f>
        <v>17</v>
      </c>
      <c r="F150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09" s="33" t="str">
        <f t="shared" si="85"/>
        <v>Week 3</v>
      </c>
      <c r="H1509" s="33" t="str">
        <f t="shared" si="86"/>
        <v>May 26 Week 3</v>
      </c>
      <c r="I1509" s="33" t="str">
        <f>CONCATENATE(UPPER(TableAopCalendar[[#This Row],[Month]])," ",TableAopCalendar[[#This Row],[Year]])</f>
        <v>MAY 26</v>
      </c>
      <c r="J1509" s="8" t="s">
        <v>274</v>
      </c>
      <c r="K1509" s="33" t="str">
        <f>CONCATENATE(TableAopCalendar[[#This Row],[Month for Plan]]," ",TableAopCalendar[[#This Row],[Plan]])</f>
        <v>MAY 26 PLANNED</v>
      </c>
    </row>
    <row r="1510" spans="1:11" x14ac:dyDescent="0.25">
      <c r="A1510" s="33">
        <f t="shared" si="84"/>
        <v>4</v>
      </c>
      <c r="B1510" s="34">
        <v>46160</v>
      </c>
      <c r="C1510" s="7" t="s">
        <v>265</v>
      </c>
      <c r="D1510" s="35">
        <v>26</v>
      </c>
      <c r="E1510" s="33">
        <f>DAY(TableAopCalendar[[#This Row],[Date]])</f>
        <v>18</v>
      </c>
      <c r="F151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10" s="33" t="str">
        <f t="shared" si="85"/>
        <v>Week 3</v>
      </c>
      <c r="H1510" s="33" t="str">
        <f t="shared" si="86"/>
        <v>May 26 Week 3</v>
      </c>
      <c r="I1510" s="33" t="str">
        <f>CONCATENATE(UPPER(TableAopCalendar[[#This Row],[Month]])," ",TableAopCalendar[[#This Row],[Year]])</f>
        <v>MAY 26</v>
      </c>
      <c r="J1510" s="8" t="s">
        <v>274</v>
      </c>
      <c r="K1510" s="33" t="str">
        <f>CONCATENATE(TableAopCalendar[[#This Row],[Month for Plan]]," ",TableAopCalendar[[#This Row],[Plan]])</f>
        <v>MAY 26 PLANNED</v>
      </c>
    </row>
    <row r="1511" spans="1:11" x14ac:dyDescent="0.25">
      <c r="A1511" s="33">
        <f t="shared" si="84"/>
        <v>5</v>
      </c>
      <c r="B1511" s="34">
        <v>46161</v>
      </c>
      <c r="C1511" s="7" t="s">
        <v>265</v>
      </c>
      <c r="D1511" s="35">
        <v>26</v>
      </c>
      <c r="E1511" s="33">
        <f>DAY(TableAopCalendar[[#This Row],[Date]])</f>
        <v>19</v>
      </c>
      <c r="F151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11" s="33" t="str">
        <f t="shared" si="85"/>
        <v>Week 3</v>
      </c>
      <c r="H1511" s="33" t="str">
        <f t="shared" si="86"/>
        <v>May 26 Week 3</v>
      </c>
      <c r="I1511" s="33" t="str">
        <f>CONCATENATE(UPPER(TableAopCalendar[[#This Row],[Month]])," ",TableAopCalendar[[#This Row],[Year]])</f>
        <v>MAY 26</v>
      </c>
      <c r="J1511" s="8" t="s">
        <v>274</v>
      </c>
      <c r="K1511" s="33" t="str">
        <f>CONCATENATE(TableAopCalendar[[#This Row],[Month for Plan]]," ",TableAopCalendar[[#This Row],[Plan]])</f>
        <v>MAY 26 PLANNED</v>
      </c>
    </row>
    <row r="1512" spans="1:11" x14ac:dyDescent="0.25">
      <c r="A1512" s="33">
        <f t="shared" si="84"/>
        <v>6</v>
      </c>
      <c r="B1512" s="34">
        <v>46162</v>
      </c>
      <c r="C1512" s="7" t="s">
        <v>265</v>
      </c>
      <c r="D1512" s="35">
        <v>26</v>
      </c>
      <c r="E1512" s="33">
        <f>DAY(TableAopCalendar[[#This Row],[Date]])</f>
        <v>20</v>
      </c>
      <c r="F151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12" s="33" t="str">
        <f t="shared" si="85"/>
        <v>Week 3</v>
      </c>
      <c r="H1512" s="33" t="str">
        <f t="shared" si="86"/>
        <v>May 26 Week 3</v>
      </c>
      <c r="I1512" s="33" t="str">
        <f>CONCATENATE(UPPER(TableAopCalendar[[#This Row],[Month]])," ",TableAopCalendar[[#This Row],[Year]])</f>
        <v>MAY 26</v>
      </c>
      <c r="J1512" s="8" t="s">
        <v>274</v>
      </c>
      <c r="K1512" s="33" t="str">
        <f>CONCATENATE(TableAopCalendar[[#This Row],[Month for Plan]]," ",TableAopCalendar[[#This Row],[Plan]])</f>
        <v>MAY 26 PLANNED</v>
      </c>
    </row>
    <row r="1513" spans="1:11" x14ac:dyDescent="0.25">
      <c r="A1513" s="33">
        <f t="shared" si="84"/>
        <v>7</v>
      </c>
      <c r="B1513" s="34">
        <v>46163</v>
      </c>
      <c r="C1513" s="7" t="s">
        <v>265</v>
      </c>
      <c r="D1513" s="35">
        <v>26</v>
      </c>
      <c r="E1513" s="33">
        <f>DAY(TableAopCalendar[[#This Row],[Date]])</f>
        <v>21</v>
      </c>
      <c r="F151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13" s="33" t="str">
        <f t="shared" si="85"/>
        <v>Week 3</v>
      </c>
      <c r="H1513" s="33" t="str">
        <f t="shared" si="86"/>
        <v>May 26 Week 3</v>
      </c>
      <c r="I1513" s="33" t="str">
        <f>CONCATENATE(UPPER(TableAopCalendar[[#This Row],[Month]])," ",TableAopCalendar[[#This Row],[Year]])</f>
        <v>MAY 26</v>
      </c>
      <c r="J1513" s="8" t="s">
        <v>274</v>
      </c>
      <c r="K1513" s="33" t="str">
        <f>CONCATENATE(TableAopCalendar[[#This Row],[Month for Plan]]," ",TableAopCalendar[[#This Row],[Plan]])</f>
        <v>MAY 26 PLANNED</v>
      </c>
    </row>
    <row r="1514" spans="1:11" x14ac:dyDescent="0.25">
      <c r="A1514" s="33">
        <f t="shared" si="84"/>
        <v>1</v>
      </c>
      <c r="B1514" s="34">
        <v>46164</v>
      </c>
      <c r="C1514" s="7" t="s">
        <v>265</v>
      </c>
      <c r="D1514" s="35">
        <v>26</v>
      </c>
      <c r="E1514" s="33">
        <f>DAY(TableAopCalendar[[#This Row],[Date]])</f>
        <v>22</v>
      </c>
      <c r="F151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14" s="33" t="str">
        <f t="shared" si="85"/>
        <v>Week 4</v>
      </c>
      <c r="H1514" s="33" t="str">
        <f t="shared" si="86"/>
        <v>May 26 Week 4</v>
      </c>
      <c r="I1514" s="33" t="str">
        <f>CONCATENATE(UPPER(TableAopCalendar[[#This Row],[Month]])," ",TableAopCalendar[[#This Row],[Year]])</f>
        <v>MAY 26</v>
      </c>
      <c r="J1514" s="8" t="s">
        <v>274</v>
      </c>
      <c r="K1514" s="33" t="str">
        <f>CONCATENATE(TableAopCalendar[[#This Row],[Month for Plan]]," ",TableAopCalendar[[#This Row],[Plan]])</f>
        <v>MAY 26 PLANNED</v>
      </c>
    </row>
    <row r="1515" spans="1:11" x14ac:dyDescent="0.25">
      <c r="A1515" s="33">
        <f t="shared" si="84"/>
        <v>2</v>
      </c>
      <c r="B1515" s="34">
        <v>46165</v>
      </c>
      <c r="C1515" s="7" t="s">
        <v>265</v>
      </c>
      <c r="D1515" s="35">
        <v>26</v>
      </c>
      <c r="E1515" s="33">
        <f>DAY(TableAopCalendar[[#This Row],[Date]])</f>
        <v>23</v>
      </c>
      <c r="F151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15" s="33" t="str">
        <f t="shared" si="85"/>
        <v>Week 4</v>
      </c>
      <c r="H1515" s="33" t="str">
        <f t="shared" si="86"/>
        <v>May 26 Week 4</v>
      </c>
      <c r="I1515" s="33" t="str">
        <f>CONCATENATE(UPPER(TableAopCalendar[[#This Row],[Month]])," ",TableAopCalendar[[#This Row],[Year]])</f>
        <v>MAY 26</v>
      </c>
      <c r="J1515" s="8" t="s">
        <v>274</v>
      </c>
      <c r="K1515" s="33" t="str">
        <f>CONCATENATE(TableAopCalendar[[#This Row],[Month for Plan]]," ",TableAopCalendar[[#This Row],[Plan]])</f>
        <v>MAY 26 PLANNED</v>
      </c>
    </row>
    <row r="1516" spans="1:11" x14ac:dyDescent="0.25">
      <c r="A1516" s="33">
        <f t="shared" si="84"/>
        <v>3</v>
      </c>
      <c r="B1516" s="34">
        <v>46166</v>
      </c>
      <c r="C1516" s="7" t="s">
        <v>265</v>
      </c>
      <c r="D1516" s="35">
        <v>26</v>
      </c>
      <c r="E1516" s="33">
        <f>DAY(TableAopCalendar[[#This Row],[Date]])</f>
        <v>24</v>
      </c>
      <c r="F151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16" s="33" t="str">
        <f t="shared" si="85"/>
        <v>Week 4</v>
      </c>
      <c r="H1516" s="33" t="str">
        <f t="shared" si="86"/>
        <v>May 26 Week 4</v>
      </c>
      <c r="I1516" s="33" t="str">
        <f>CONCATENATE(UPPER(TableAopCalendar[[#This Row],[Month]])," ",TableAopCalendar[[#This Row],[Year]])</f>
        <v>MAY 26</v>
      </c>
      <c r="J1516" s="8" t="s">
        <v>274</v>
      </c>
      <c r="K1516" s="33" t="str">
        <f>CONCATENATE(TableAopCalendar[[#This Row],[Month for Plan]]," ",TableAopCalendar[[#This Row],[Plan]])</f>
        <v>MAY 26 PLANNED</v>
      </c>
    </row>
    <row r="1517" spans="1:11" x14ac:dyDescent="0.25">
      <c r="A1517" s="33">
        <f t="shared" si="84"/>
        <v>4</v>
      </c>
      <c r="B1517" s="34">
        <v>46167</v>
      </c>
      <c r="C1517" s="7" t="s">
        <v>265</v>
      </c>
      <c r="D1517" s="35">
        <v>26</v>
      </c>
      <c r="E1517" s="33">
        <f>DAY(TableAopCalendar[[#This Row],[Date]])</f>
        <v>25</v>
      </c>
      <c r="F151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17" s="33" t="str">
        <f t="shared" si="85"/>
        <v>Week 4</v>
      </c>
      <c r="H1517" s="33" t="str">
        <f t="shared" si="86"/>
        <v>May 26 Week 4</v>
      </c>
      <c r="I1517" s="33" t="str">
        <f>CONCATENATE(UPPER(TableAopCalendar[[#This Row],[Month]])," ",TableAopCalendar[[#This Row],[Year]])</f>
        <v>MAY 26</v>
      </c>
      <c r="J1517" s="8" t="s">
        <v>274</v>
      </c>
      <c r="K1517" s="33" t="str">
        <f>CONCATENATE(TableAopCalendar[[#This Row],[Month for Plan]]," ",TableAopCalendar[[#This Row],[Plan]])</f>
        <v>MAY 26 PLANNED</v>
      </c>
    </row>
    <row r="1518" spans="1:11" x14ac:dyDescent="0.25">
      <c r="A1518" s="33">
        <f t="shared" si="84"/>
        <v>5</v>
      </c>
      <c r="B1518" s="34">
        <v>46168</v>
      </c>
      <c r="C1518" s="7" t="s">
        <v>265</v>
      </c>
      <c r="D1518" s="35">
        <v>26</v>
      </c>
      <c r="E1518" s="33">
        <f>DAY(TableAopCalendar[[#This Row],[Date]])</f>
        <v>26</v>
      </c>
      <c r="F151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18" s="33" t="str">
        <f t="shared" si="85"/>
        <v>Week 4</v>
      </c>
      <c r="H1518" s="33" t="str">
        <f t="shared" si="86"/>
        <v>May 26 Week 4</v>
      </c>
      <c r="I1518" s="33" t="str">
        <f>CONCATENATE(UPPER(TableAopCalendar[[#This Row],[Month]])," ",TableAopCalendar[[#This Row],[Year]])</f>
        <v>MAY 26</v>
      </c>
      <c r="J1518" s="8" t="s">
        <v>274</v>
      </c>
      <c r="K1518" s="33" t="str">
        <f>CONCATENATE(TableAopCalendar[[#This Row],[Month for Plan]]," ",TableAopCalendar[[#This Row],[Plan]])</f>
        <v>MAY 26 PLANNED</v>
      </c>
    </row>
    <row r="1519" spans="1:11" x14ac:dyDescent="0.25">
      <c r="A1519" s="33">
        <f t="shared" si="84"/>
        <v>6</v>
      </c>
      <c r="B1519" s="34">
        <v>46169</v>
      </c>
      <c r="C1519" s="7" t="s">
        <v>265</v>
      </c>
      <c r="D1519" s="35">
        <v>26</v>
      </c>
      <c r="E1519" s="33">
        <f>DAY(TableAopCalendar[[#This Row],[Date]])</f>
        <v>27</v>
      </c>
      <c r="F151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19" s="33" t="str">
        <f t="shared" si="85"/>
        <v>Week 4</v>
      </c>
      <c r="H1519" s="33" t="str">
        <f t="shared" si="86"/>
        <v>May 26 Week 4</v>
      </c>
      <c r="I1519" s="33" t="str">
        <f>CONCATENATE(UPPER(TableAopCalendar[[#This Row],[Month]])," ",TableAopCalendar[[#This Row],[Year]])</f>
        <v>MAY 26</v>
      </c>
      <c r="J1519" s="8" t="s">
        <v>274</v>
      </c>
      <c r="K1519" s="33" t="str">
        <f>CONCATENATE(TableAopCalendar[[#This Row],[Month for Plan]]," ",TableAopCalendar[[#This Row],[Plan]])</f>
        <v>MAY 26 PLANNED</v>
      </c>
    </row>
    <row r="1520" spans="1:11" x14ac:dyDescent="0.25">
      <c r="A1520" s="33">
        <f t="shared" si="84"/>
        <v>7</v>
      </c>
      <c r="B1520" s="34">
        <v>46170</v>
      </c>
      <c r="C1520" s="7" t="s">
        <v>265</v>
      </c>
      <c r="D1520" s="35">
        <v>26</v>
      </c>
      <c r="E1520" s="33">
        <f>DAY(TableAopCalendar[[#This Row],[Date]])</f>
        <v>28</v>
      </c>
      <c r="F152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20" s="33" t="str">
        <f t="shared" si="85"/>
        <v>Week 4</v>
      </c>
      <c r="H1520" s="33" t="str">
        <f t="shared" si="86"/>
        <v>May 26 Week 4</v>
      </c>
      <c r="I1520" s="33" t="str">
        <f>CONCATENATE(UPPER(TableAopCalendar[[#This Row],[Month]])," ",TableAopCalendar[[#This Row],[Year]])</f>
        <v>MAY 26</v>
      </c>
      <c r="J1520" s="8" t="s">
        <v>274</v>
      </c>
      <c r="K1520" s="33" t="str">
        <f>CONCATENATE(TableAopCalendar[[#This Row],[Month for Plan]]," ",TableAopCalendar[[#This Row],[Plan]])</f>
        <v>MAY 26 PLANNED</v>
      </c>
    </row>
    <row r="1521" spans="1:11" x14ac:dyDescent="0.25">
      <c r="A1521" s="33">
        <f t="shared" si="84"/>
        <v>1</v>
      </c>
      <c r="B1521" s="34">
        <v>46171</v>
      </c>
      <c r="C1521" s="7" t="s">
        <v>265</v>
      </c>
      <c r="D1521" s="35">
        <v>26</v>
      </c>
      <c r="E1521" s="33">
        <f>DAY(TableAopCalendar[[#This Row],[Date]])</f>
        <v>29</v>
      </c>
      <c r="F152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21" s="33" t="str">
        <f t="shared" si="85"/>
        <v>Week 5</v>
      </c>
      <c r="H1521" s="33" t="str">
        <f t="shared" si="86"/>
        <v>May 26 Week 5</v>
      </c>
      <c r="I1521" s="33" t="str">
        <f>CONCATENATE(UPPER(TableAopCalendar[[#This Row],[Month]])," ",TableAopCalendar[[#This Row],[Year]])</f>
        <v>MAY 26</v>
      </c>
      <c r="J1521" s="8" t="s">
        <v>274</v>
      </c>
      <c r="K1521" s="33" t="str">
        <f>CONCATENATE(TableAopCalendar[[#This Row],[Month for Plan]]," ",TableAopCalendar[[#This Row],[Plan]])</f>
        <v>MAY 26 PLANNED</v>
      </c>
    </row>
    <row r="1522" spans="1:11" x14ac:dyDescent="0.25">
      <c r="A1522" s="33">
        <f t="shared" si="84"/>
        <v>2</v>
      </c>
      <c r="B1522" s="34">
        <v>46172</v>
      </c>
      <c r="C1522" s="7" t="s">
        <v>265</v>
      </c>
      <c r="D1522" s="35">
        <v>26</v>
      </c>
      <c r="E1522" s="33">
        <f>DAY(TableAopCalendar[[#This Row],[Date]])</f>
        <v>30</v>
      </c>
      <c r="F152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22" s="33" t="str">
        <f t="shared" si="85"/>
        <v>Week 5</v>
      </c>
      <c r="H1522" s="33" t="str">
        <f t="shared" si="86"/>
        <v>May 26 Week 5</v>
      </c>
      <c r="I1522" s="33" t="str">
        <f>CONCATENATE(UPPER(TableAopCalendar[[#This Row],[Month]])," ",TableAopCalendar[[#This Row],[Year]])</f>
        <v>MAY 26</v>
      </c>
      <c r="J1522" s="8" t="s">
        <v>274</v>
      </c>
      <c r="K1522" s="33" t="str">
        <f>CONCATENATE(TableAopCalendar[[#This Row],[Month for Plan]]," ",TableAopCalendar[[#This Row],[Plan]])</f>
        <v>MAY 26 PLANNED</v>
      </c>
    </row>
    <row r="1523" spans="1:11" x14ac:dyDescent="0.25">
      <c r="A1523" s="33">
        <f t="shared" si="84"/>
        <v>3</v>
      </c>
      <c r="B1523" s="34">
        <v>46173</v>
      </c>
      <c r="C1523" s="7" t="s">
        <v>265</v>
      </c>
      <c r="D1523" s="35">
        <v>26</v>
      </c>
      <c r="E1523" s="33">
        <f>DAY(TableAopCalendar[[#This Row],[Date]])</f>
        <v>31</v>
      </c>
      <c r="F1523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23" s="33" t="str">
        <f t="shared" si="85"/>
        <v>Week 5</v>
      </c>
      <c r="H1523" s="33" t="str">
        <f t="shared" si="86"/>
        <v>May 26 Week 5</v>
      </c>
      <c r="I1523" s="33" t="str">
        <f>CONCATENATE(UPPER(TableAopCalendar[[#This Row],[Month]])," ",TableAopCalendar[[#This Row],[Year]])</f>
        <v>MAY 26</v>
      </c>
      <c r="J1523" s="8" t="s">
        <v>274</v>
      </c>
      <c r="K1523" s="33" t="str">
        <f>CONCATENATE(TableAopCalendar[[#This Row],[Month for Plan]]," ",TableAopCalendar[[#This Row],[Plan]])</f>
        <v>MAY 26 PLANNED</v>
      </c>
    </row>
    <row r="1524" spans="1:11" x14ac:dyDescent="0.25">
      <c r="A1524" s="33">
        <f t="shared" si="84"/>
        <v>1</v>
      </c>
      <c r="B1524" s="34">
        <v>46174</v>
      </c>
      <c r="C1524" s="7" t="s">
        <v>266</v>
      </c>
      <c r="D1524" s="35">
        <v>26</v>
      </c>
      <c r="E1524" s="33">
        <f>DAY(TableAopCalendar[[#This Row],[Date]])</f>
        <v>1</v>
      </c>
      <c r="F152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24" s="33" t="str">
        <f t="shared" si="85"/>
        <v>Week 1</v>
      </c>
      <c r="H1524" s="33" t="str">
        <f t="shared" si="86"/>
        <v>June 26 Week 1</v>
      </c>
      <c r="I1524" s="33" t="str">
        <f>CONCATENATE(UPPER(TableAopCalendar[[#This Row],[Month]])," ",TableAopCalendar[[#This Row],[Year]])</f>
        <v>JUNE 26</v>
      </c>
      <c r="J1524" s="8" t="s">
        <v>274</v>
      </c>
      <c r="K1524" s="33" t="str">
        <f>CONCATENATE(TableAopCalendar[[#This Row],[Month for Plan]]," ",TableAopCalendar[[#This Row],[Plan]])</f>
        <v>JUNE 26 PLANNED</v>
      </c>
    </row>
    <row r="1525" spans="1:11" x14ac:dyDescent="0.25">
      <c r="A1525" s="33">
        <f t="shared" si="84"/>
        <v>2</v>
      </c>
      <c r="B1525" s="34">
        <v>46175</v>
      </c>
      <c r="C1525" s="7" t="s">
        <v>266</v>
      </c>
      <c r="D1525" s="35">
        <v>26</v>
      </c>
      <c r="E1525" s="33">
        <f>DAY(TableAopCalendar[[#This Row],[Date]])</f>
        <v>2</v>
      </c>
      <c r="F152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25" s="33" t="str">
        <f t="shared" si="85"/>
        <v>Week 1</v>
      </c>
      <c r="H1525" s="33" t="str">
        <f t="shared" si="86"/>
        <v>June 26 Week 1</v>
      </c>
      <c r="I1525" s="33" t="str">
        <f>CONCATENATE(UPPER(TableAopCalendar[[#This Row],[Month]])," ",TableAopCalendar[[#This Row],[Year]])</f>
        <v>JUNE 26</v>
      </c>
      <c r="J1525" s="8" t="s">
        <v>274</v>
      </c>
      <c r="K1525" s="33" t="str">
        <f>CONCATENATE(TableAopCalendar[[#This Row],[Month for Plan]]," ",TableAopCalendar[[#This Row],[Plan]])</f>
        <v>JUNE 26 PLANNED</v>
      </c>
    </row>
    <row r="1526" spans="1:11" x14ac:dyDescent="0.25">
      <c r="A1526" s="33">
        <f t="shared" si="84"/>
        <v>3</v>
      </c>
      <c r="B1526" s="34">
        <v>46176</v>
      </c>
      <c r="C1526" s="7" t="s">
        <v>266</v>
      </c>
      <c r="D1526" s="35">
        <v>26</v>
      </c>
      <c r="E1526" s="33">
        <f>DAY(TableAopCalendar[[#This Row],[Date]])</f>
        <v>3</v>
      </c>
      <c r="F152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26" s="33" t="str">
        <f t="shared" si="85"/>
        <v>Week 1</v>
      </c>
      <c r="H1526" s="33" t="str">
        <f t="shared" si="86"/>
        <v>June 26 Week 1</v>
      </c>
      <c r="I1526" s="33" t="str">
        <f>CONCATENATE(UPPER(TableAopCalendar[[#This Row],[Month]])," ",TableAopCalendar[[#This Row],[Year]])</f>
        <v>JUNE 26</v>
      </c>
      <c r="J1526" s="8" t="s">
        <v>274</v>
      </c>
      <c r="K1526" s="33" t="str">
        <f>CONCATENATE(TableAopCalendar[[#This Row],[Month for Plan]]," ",TableAopCalendar[[#This Row],[Plan]])</f>
        <v>JUNE 26 PLANNED</v>
      </c>
    </row>
    <row r="1527" spans="1:11" x14ac:dyDescent="0.25">
      <c r="A1527" s="33">
        <f t="shared" si="84"/>
        <v>4</v>
      </c>
      <c r="B1527" s="34">
        <v>46177</v>
      </c>
      <c r="C1527" s="7" t="s">
        <v>266</v>
      </c>
      <c r="D1527" s="35">
        <v>26</v>
      </c>
      <c r="E1527" s="33">
        <f>DAY(TableAopCalendar[[#This Row],[Date]])</f>
        <v>4</v>
      </c>
      <c r="F152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27" s="33" t="str">
        <f t="shared" si="85"/>
        <v>Week 1</v>
      </c>
      <c r="H1527" s="33" t="str">
        <f t="shared" si="86"/>
        <v>June 26 Week 1</v>
      </c>
      <c r="I1527" s="33" t="str">
        <f>CONCATENATE(UPPER(TableAopCalendar[[#This Row],[Month]])," ",TableAopCalendar[[#This Row],[Year]])</f>
        <v>JUNE 26</v>
      </c>
      <c r="J1527" s="8" t="s">
        <v>274</v>
      </c>
      <c r="K1527" s="33" t="str">
        <f>CONCATENATE(TableAopCalendar[[#This Row],[Month for Plan]]," ",TableAopCalendar[[#This Row],[Plan]])</f>
        <v>JUNE 26 PLANNED</v>
      </c>
    </row>
    <row r="1528" spans="1:11" x14ac:dyDescent="0.25">
      <c r="A1528" s="33">
        <f t="shared" si="84"/>
        <v>5</v>
      </c>
      <c r="B1528" s="34">
        <v>46178</v>
      </c>
      <c r="C1528" s="7" t="s">
        <v>266</v>
      </c>
      <c r="D1528" s="35">
        <v>26</v>
      </c>
      <c r="E1528" s="33">
        <f>DAY(TableAopCalendar[[#This Row],[Date]])</f>
        <v>5</v>
      </c>
      <c r="F152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28" s="33" t="str">
        <f t="shared" si="85"/>
        <v>Week 1</v>
      </c>
      <c r="H1528" s="33" t="str">
        <f t="shared" si="86"/>
        <v>June 26 Week 1</v>
      </c>
      <c r="I1528" s="33" t="str">
        <f>CONCATENATE(UPPER(TableAopCalendar[[#This Row],[Month]])," ",TableAopCalendar[[#This Row],[Year]])</f>
        <v>JUNE 26</v>
      </c>
      <c r="J1528" s="8" t="s">
        <v>274</v>
      </c>
      <c r="K1528" s="33" t="str">
        <f>CONCATENATE(TableAopCalendar[[#This Row],[Month for Plan]]," ",TableAopCalendar[[#This Row],[Plan]])</f>
        <v>JUNE 26 PLANNED</v>
      </c>
    </row>
    <row r="1529" spans="1:11" x14ac:dyDescent="0.25">
      <c r="A1529" s="33">
        <f t="shared" si="84"/>
        <v>6</v>
      </c>
      <c r="B1529" s="34">
        <v>46179</v>
      </c>
      <c r="C1529" s="7" t="s">
        <v>266</v>
      </c>
      <c r="D1529" s="35">
        <v>26</v>
      </c>
      <c r="E1529" s="33">
        <f>DAY(TableAopCalendar[[#This Row],[Date]])</f>
        <v>6</v>
      </c>
      <c r="F152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29" s="33" t="str">
        <f t="shared" si="85"/>
        <v>Week 1</v>
      </c>
      <c r="H1529" s="33" t="str">
        <f t="shared" si="86"/>
        <v>June 26 Week 1</v>
      </c>
      <c r="I1529" s="33" t="str">
        <f>CONCATENATE(UPPER(TableAopCalendar[[#This Row],[Month]])," ",TableAopCalendar[[#This Row],[Year]])</f>
        <v>JUNE 26</v>
      </c>
      <c r="J1529" s="8" t="s">
        <v>274</v>
      </c>
      <c r="K1529" s="33" t="str">
        <f>CONCATENATE(TableAopCalendar[[#This Row],[Month for Plan]]," ",TableAopCalendar[[#This Row],[Plan]])</f>
        <v>JUNE 26 PLANNED</v>
      </c>
    </row>
    <row r="1530" spans="1:11" x14ac:dyDescent="0.25">
      <c r="A1530" s="33">
        <f t="shared" si="84"/>
        <v>7</v>
      </c>
      <c r="B1530" s="34">
        <v>46180</v>
      </c>
      <c r="C1530" s="7" t="s">
        <v>266</v>
      </c>
      <c r="D1530" s="35">
        <v>26</v>
      </c>
      <c r="E1530" s="33">
        <f>DAY(TableAopCalendar[[#This Row],[Date]])</f>
        <v>7</v>
      </c>
      <c r="F153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30" s="33" t="str">
        <f t="shared" si="85"/>
        <v>Week 1</v>
      </c>
      <c r="H1530" s="33" t="str">
        <f t="shared" si="86"/>
        <v>June 26 Week 1</v>
      </c>
      <c r="I1530" s="33" t="str">
        <f>CONCATENATE(UPPER(TableAopCalendar[[#This Row],[Month]])," ",TableAopCalendar[[#This Row],[Year]])</f>
        <v>JUNE 26</v>
      </c>
      <c r="J1530" s="8" t="s">
        <v>274</v>
      </c>
      <c r="K1530" s="33" t="str">
        <f>CONCATENATE(TableAopCalendar[[#This Row],[Month for Plan]]," ",TableAopCalendar[[#This Row],[Plan]])</f>
        <v>JUNE 26 PLANNED</v>
      </c>
    </row>
    <row r="1531" spans="1:11" x14ac:dyDescent="0.25">
      <c r="A1531" s="33">
        <f t="shared" si="84"/>
        <v>1</v>
      </c>
      <c r="B1531" s="34">
        <v>46181</v>
      </c>
      <c r="C1531" s="7" t="s">
        <v>266</v>
      </c>
      <c r="D1531" s="35">
        <v>26</v>
      </c>
      <c r="E1531" s="33">
        <f>DAY(TableAopCalendar[[#This Row],[Date]])</f>
        <v>8</v>
      </c>
      <c r="F153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31" s="33" t="str">
        <f t="shared" si="85"/>
        <v>Week 2</v>
      </c>
      <c r="H1531" s="33" t="str">
        <f t="shared" si="86"/>
        <v>June 26 Week 2</v>
      </c>
      <c r="I1531" s="33" t="str">
        <f>CONCATENATE(UPPER(TableAopCalendar[[#This Row],[Month]])," ",TableAopCalendar[[#This Row],[Year]])</f>
        <v>JUNE 26</v>
      </c>
      <c r="J1531" s="8" t="s">
        <v>274</v>
      </c>
      <c r="K1531" s="33" t="str">
        <f>CONCATENATE(TableAopCalendar[[#This Row],[Month for Plan]]," ",TableAopCalendar[[#This Row],[Plan]])</f>
        <v>JUNE 26 PLANNED</v>
      </c>
    </row>
    <row r="1532" spans="1:11" x14ac:dyDescent="0.25">
      <c r="A1532" s="33">
        <f t="shared" si="84"/>
        <v>2</v>
      </c>
      <c r="B1532" s="34">
        <v>46182</v>
      </c>
      <c r="C1532" s="7" t="s">
        <v>266</v>
      </c>
      <c r="D1532" s="35">
        <v>26</v>
      </c>
      <c r="E1532" s="33">
        <f>DAY(TableAopCalendar[[#This Row],[Date]])</f>
        <v>9</v>
      </c>
      <c r="F153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32" s="33" t="str">
        <f t="shared" si="85"/>
        <v>Week 2</v>
      </c>
      <c r="H1532" s="33" t="str">
        <f t="shared" si="86"/>
        <v>June 26 Week 2</v>
      </c>
      <c r="I1532" s="33" t="str">
        <f>CONCATENATE(UPPER(TableAopCalendar[[#This Row],[Month]])," ",TableAopCalendar[[#This Row],[Year]])</f>
        <v>JUNE 26</v>
      </c>
      <c r="J1532" s="8" t="s">
        <v>274</v>
      </c>
      <c r="K1532" s="33" t="str">
        <f>CONCATENATE(TableAopCalendar[[#This Row],[Month for Plan]]," ",TableAopCalendar[[#This Row],[Plan]])</f>
        <v>JUNE 26 PLANNED</v>
      </c>
    </row>
    <row r="1533" spans="1:11" x14ac:dyDescent="0.25">
      <c r="A1533" s="33">
        <f t="shared" si="84"/>
        <v>3</v>
      </c>
      <c r="B1533" s="34">
        <v>46183</v>
      </c>
      <c r="C1533" s="7" t="s">
        <v>266</v>
      </c>
      <c r="D1533" s="35">
        <v>26</v>
      </c>
      <c r="E1533" s="33">
        <f>DAY(TableAopCalendar[[#This Row],[Date]])</f>
        <v>10</v>
      </c>
      <c r="F153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33" s="33" t="str">
        <f t="shared" si="85"/>
        <v>Week 2</v>
      </c>
      <c r="H1533" s="33" t="str">
        <f t="shared" si="86"/>
        <v>June 26 Week 2</v>
      </c>
      <c r="I1533" s="33" t="str">
        <f>CONCATENATE(UPPER(TableAopCalendar[[#This Row],[Month]])," ",TableAopCalendar[[#This Row],[Year]])</f>
        <v>JUNE 26</v>
      </c>
      <c r="J1533" s="8" t="s">
        <v>274</v>
      </c>
      <c r="K1533" s="33" t="str">
        <f>CONCATENATE(TableAopCalendar[[#This Row],[Month for Plan]]," ",TableAopCalendar[[#This Row],[Plan]])</f>
        <v>JUNE 26 PLANNED</v>
      </c>
    </row>
    <row r="1534" spans="1:11" x14ac:dyDescent="0.25">
      <c r="A1534" s="33">
        <f t="shared" si="84"/>
        <v>4</v>
      </c>
      <c r="B1534" s="34">
        <v>46184</v>
      </c>
      <c r="C1534" s="7" t="s">
        <v>266</v>
      </c>
      <c r="D1534" s="35">
        <v>26</v>
      </c>
      <c r="E1534" s="33">
        <f>DAY(TableAopCalendar[[#This Row],[Date]])</f>
        <v>11</v>
      </c>
      <c r="F153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34" s="33" t="str">
        <f t="shared" si="85"/>
        <v>Week 2</v>
      </c>
      <c r="H1534" s="33" t="str">
        <f t="shared" si="86"/>
        <v>June 26 Week 2</v>
      </c>
      <c r="I1534" s="33" t="str">
        <f>CONCATENATE(UPPER(TableAopCalendar[[#This Row],[Month]])," ",TableAopCalendar[[#This Row],[Year]])</f>
        <v>JUNE 26</v>
      </c>
      <c r="J1534" s="8" t="s">
        <v>274</v>
      </c>
      <c r="K1534" s="33" t="str">
        <f>CONCATENATE(TableAopCalendar[[#This Row],[Month for Plan]]," ",TableAopCalendar[[#This Row],[Plan]])</f>
        <v>JUNE 26 PLANNED</v>
      </c>
    </row>
    <row r="1535" spans="1:11" x14ac:dyDescent="0.25">
      <c r="A1535" s="33">
        <f t="shared" si="84"/>
        <v>5</v>
      </c>
      <c r="B1535" s="34">
        <v>46185</v>
      </c>
      <c r="C1535" s="7" t="s">
        <v>266</v>
      </c>
      <c r="D1535" s="35">
        <v>26</v>
      </c>
      <c r="E1535" s="33">
        <f>DAY(TableAopCalendar[[#This Row],[Date]])</f>
        <v>12</v>
      </c>
      <c r="F153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35" s="33" t="str">
        <f t="shared" si="85"/>
        <v>Week 2</v>
      </c>
      <c r="H1535" s="33" t="str">
        <f t="shared" si="86"/>
        <v>June 26 Week 2</v>
      </c>
      <c r="I1535" s="33" t="str">
        <f>CONCATENATE(UPPER(TableAopCalendar[[#This Row],[Month]])," ",TableAopCalendar[[#This Row],[Year]])</f>
        <v>JUNE 26</v>
      </c>
      <c r="J1535" s="8" t="s">
        <v>274</v>
      </c>
      <c r="K1535" s="33" t="str">
        <f>CONCATENATE(TableAopCalendar[[#This Row],[Month for Plan]]," ",TableAopCalendar[[#This Row],[Plan]])</f>
        <v>JUNE 26 PLANNED</v>
      </c>
    </row>
    <row r="1536" spans="1:11" x14ac:dyDescent="0.25">
      <c r="A1536" s="33">
        <f t="shared" si="84"/>
        <v>6</v>
      </c>
      <c r="B1536" s="34">
        <v>46186</v>
      </c>
      <c r="C1536" s="7" t="s">
        <v>266</v>
      </c>
      <c r="D1536" s="35">
        <v>26</v>
      </c>
      <c r="E1536" s="33">
        <f>DAY(TableAopCalendar[[#This Row],[Date]])</f>
        <v>13</v>
      </c>
      <c r="F153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36" s="33" t="str">
        <f t="shared" si="85"/>
        <v>Week 2</v>
      </c>
      <c r="H1536" s="33" t="str">
        <f t="shared" si="86"/>
        <v>June 26 Week 2</v>
      </c>
      <c r="I1536" s="33" t="str">
        <f>CONCATENATE(UPPER(TableAopCalendar[[#This Row],[Month]])," ",TableAopCalendar[[#This Row],[Year]])</f>
        <v>JUNE 26</v>
      </c>
      <c r="J1536" s="8" t="s">
        <v>274</v>
      </c>
      <c r="K1536" s="33" t="str">
        <f>CONCATENATE(TableAopCalendar[[#This Row],[Month for Plan]]," ",TableAopCalendar[[#This Row],[Plan]])</f>
        <v>JUNE 26 PLANNED</v>
      </c>
    </row>
    <row r="1537" spans="1:11" x14ac:dyDescent="0.25">
      <c r="A1537" s="33">
        <f t="shared" si="84"/>
        <v>7</v>
      </c>
      <c r="B1537" s="34">
        <v>46187</v>
      </c>
      <c r="C1537" s="7" t="s">
        <v>266</v>
      </c>
      <c r="D1537" s="35">
        <v>26</v>
      </c>
      <c r="E1537" s="33">
        <f>DAY(TableAopCalendar[[#This Row],[Date]])</f>
        <v>14</v>
      </c>
      <c r="F153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37" s="33" t="str">
        <f t="shared" si="85"/>
        <v>Week 2</v>
      </c>
      <c r="H1537" s="33" t="str">
        <f t="shared" si="86"/>
        <v>June 26 Week 2</v>
      </c>
      <c r="I1537" s="33" t="str">
        <f>CONCATENATE(UPPER(TableAopCalendar[[#This Row],[Month]])," ",TableAopCalendar[[#This Row],[Year]])</f>
        <v>JUNE 26</v>
      </c>
      <c r="J1537" s="8" t="s">
        <v>274</v>
      </c>
      <c r="K1537" s="33" t="str">
        <f>CONCATENATE(TableAopCalendar[[#This Row],[Month for Plan]]," ",TableAopCalendar[[#This Row],[Plan]])</f>
        <v>JUNE 26 PLANNED</v>
      </c>
    </row>
    <row r="1538" spans="1:11" x14ac:dyDescent="0.25">
      <c r="A1538" s="33">
        <f t="shared" si="84"/>
        <v>1</v>
      </c>
      <c r="B1538" s="34">
        <v>46188</v>
      </c>
      <c r="C1538" s="7" t="s">
        <v>266</v>
      </c>
      <c r="D1538" s="35">
        <v>26</v>
      </c>
      <c r="E1538" s="33">
        <f>DAY(TableAopCalendar[[#This Row],[Date]])</f>
        <v>15</v>
      </c>
      <c r="F153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38" s="33" t="str">
        <f t="shared" si="85"/>
        <v>Week 3</v>
      </c>
      <c r="H1538" s="33" t="str">
        <f t="shared" si="86"/>
        <v>June 26 Week 3</v>
      </c>
      <c r="I1538" s="33" t="str">
        <f>CONCATENATE(UPPER(TableAopCalendar[[#This Row],[Month]])," ",TableAopCalendar[[#This Row],[Year]])</f>
        <v>JUNE 26</v>
      </c>
      <c r="J1538" s="8" t="s">
        <v>274</v>
      </c>
      <c r="K1538" s="33" t="str">
        <f>CONCATENATE(TableAopCalendar[[#This Row],[Month for Plan]]," ",TableAopCalendar[[#This Row],[Plan]])</f>
        <v>JUNE 26 PLANNED</v>
      </c>
    </row>
    <row r="1539" spans="1:11" x14ac:dyDescent="0.25">
      <c r="A1539" s="33">
        <f t="shared" si="84"/>
        <v>2</v>
      </c>
      <c r="B1539" s="34">
        <v>46189</v>
      </c>
      <c r="C1539" s="7" t="s">
        <v>266</v>
      </c>
      <c r="D1539" s="35">
        <v>26</v>
      </c>
      <c r="E1539" s="33">
        <f>DAY(TableAopCalendar[[#This Row],[Date]])</f>
        <v>16</v>
      </c>
      <c r="F153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39" s="33" t="str">
        <f t="shared" si="85"/>
        <v>Week 3</v>
      </c>
      <c r="H1539" s="33" t="str">
        <f t="shared" si="86"/>
        <v>June 26 Week 3</v>
      </c>
      <c r="I1539" s="33" t="str">
        <f>CONCATENATE(UPPER(TableAopCalendar[[#This Row],[Month]])," ",TableAopCalendar[[#This Row],[Year]])</f>
        <v>JUNE 26</v>
      </c>
      <c r="J1539" s="8" t="s">
        <v>274</v>
      </c>
      <c r="K1539" s="33" t="str">
        <f>CONCATENATE(TableAopCalendar[[#This Row],[Month for Plan]]," ",TableAopCalendar[[#This Row],[Plan]])</f>
        <v>JUNE 26 PLANNED</v>
      </c>
    </row>
    <row r="1540" spans="1:11" x14ac:dyDescent="0.25">
      <c r="A1540" s="33">
        <f t="shared" si="84"/>
        <v>3</v>
      </c>
      <c r="B1540" s="34">
        <v>46190</v>
      </c>
      <c r="C1540" s="7" t="s">
        <v>266</v>
      </c>
      <c r="D1540" s="35">
        <v>26</v>
      </c>
      <c r="E1540" s="33">
        <f>DAY(TableAopCalendar[[#This Row],[Date]])</f>
        <v>17</v>
      </c>
      <c r="F154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40" s="33" t="str">
        <f t="shared" si="85"/>
        <v>Week 3</v>
      </c>
      <c r="H1540" s="33" t="str">
        <f t="shared" si="86"/>
        <v>June 26 Week 3</v>
      </c>
      <c r="I1540" s="33" t="str">
        <f>CONCATENATE(UPPER(TableAopCalendar[[#This Row],[Month]])," ",TableAopCalendar[[#This Row],[Year]])</f>
        <v>JUNE 26</v>
      </c>
      <c r="J1540" s="8" t="s">
        <v>274</v>
      </c>
      <c r="K1540" s="33" t="str">
        <f>CONCATENATE(TableAopCalendar[[#This Row],[Month for Plan]]," ",TableAopCalendar[[#This Row],[Plan]])</f>
        <v>JUNE 26 PLANNED</v>
      </c>
    </row>
    <row r="1541" spans="1:11" x14ac:dyDescent="0.25">
      <c r="A1541" s="33">
        <f t="shared" si="84"/>
        <v>4</v>
      </c>
      <c r="B1541" s="34">
        <v>46191</v>
      </c>
      <c r="C1541" s="7" t="s">
        <v>266</v>
      </c>
      <c r="D1541" s="35">
        <v>26</v>
      </c>
      <c r="E1541" s="33">
        <f>DAY(TableAopCalendar[[#This Row],[Date]])</f>
        <v>18</v>
      </c>
      <c r="F154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41" s="33" t="str">
        <f t="shared" si="85"/>
        <v>Week 3</v>
      </c>
      <c r="H1541" s="33" t="str">
        <f t="shared" si="86"/>
        <v>June 26 Week 3</v>
      </c>
      <c r="I1541" s="33" t="str">
        <f>CONCATENATE(UPPER(TableAopCalendar[[#This Row],[Month]])," ",TableAopCalendar[[#This Row],[Year]])</f>
        <v>JUNE 26</v>
      </c>
      <c r="J1541" s="8" t="s">
        <v>274</v>
      </c>
      <c r="K1541" s="33" t="str">
        <f>CONCATENATE(TableAopCalendar[[#This Row],[Month for Plan]]," ",TableAopCalendar[[#This Row],[Plan]])</f>
        <v>JUNE 26 PLANNED</v>
      </c>
    </row>
    <row r="1542" spans="1:11" x14ac:dyDescent="0.25">
      <c r="A1542" s="33">
        <f t="shared" si="84"/>
        <v>5</v>
      </c>
      <c r="B1542" s="34">
        <v>46192</v>
      </c>
      <c r="C1542" s="7" t="s">
        <v>266</v>
      </c>
      <c r="D1542" s="35">
        <v>26</v>
      </c>
      <c r="E1542" s="33">
        <f>DAY(TableAopCalendar[[#This Row],[Date]])</f>
        <v>19</v>
      </c>
      <c r="F154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42" s="33" t="str">
        <f t="shared" si="85"/>
        <v>Week 3</v>
      </c>
      <c r="H1542" s="33" t="str">
        <f t="shared" si="86"/>
        <v>June 26 Week 3</v>
      </c>
      <c r="I1542" s="33" t="str">
        <f>CONCATENATE(UPPER(TableAopCalendar[[#This Row],[Month]])," ",TableAopCalendar[[#This Row],[Year]])</f>
        <v>JUNE 26</v>
      </c>
      <c r="J1542" s="8" t="s">
        <v>274</v>
      </c>
      <c r="K1542" s="33" t="str">
        <f>CONCATENATE(TableAopCalendar[[#This Row],[Month for Plan]]," ",TableAopCalendar[[#This Row],[Plan]])</f>
        <v>JUNE 26 PLANNED</v>
      </c>
    </row>
    <row r="1543" spans="1:11" x14ac:dyDescent="0.25">
      <c r="A1543" s="33">
        <f t="shared" si="84"/>
        <v>6</v>
      </c>
      <c r="B1543" s="34">
        <v>46193</v>
      </c>
      <c r="C1543" s="7" t="s">
        <v>266</v>
      </c>
      <c r="D1543" s="35">
        <v>26</v>
      </c>
      <c r="E1543" s="33">
        <f>DAY(TableAopCalendar[[#This Row],[Date]])</f>
        <v>20</v>
      </c>
      <c r="F154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43" s="33" t="str">
        <f t="shared" si="85"/>
        <v>Week 3</v>
      </c>
      <c r="H1543" s="33" t="str">
        <f t="shared" si="86"/>
        <v>June 26 Week 3</v>
      </c>
      <c r="I1543" s="33" t="str">
        <f>CONCATENATE(UPPER(TableAopCalendar[[#This Row],[Month]])," ",TableAopCalendar[[#This Row],[Year]])</f>
        <v>JUNE 26</v>
      </c>
      <c r="J1543" s="8" t="s">
        <v>274</v>
      </c>
      <c r="K1543" s="33" t="str">
        <f>CONCATENATE(TableAopCalendar[[#This Row],[Month for Plan]]," ",TableAopCalendar[[#This Row],[Plan]])</f>
        <v>JUNE 26 PLANNED</v>
      </c>
    </row>
    <row r="1544" spans="1:11" x14ac:dyDescent="0.25">
      <c r="A1544" s="33">
        <f t="shared" si="84"/>
        <v>7</v>
      </c>
      <c r="B1544" s="34">
        <v>46194</v>
      </c>
      <c r="C1544" s="7" t="s">
        <v>266</v>
      </c>
      <c r="D1544" s="35">
        <v>26</v>
      </c>
      <c r="E1544" s="33">
        <f>DAY(TableAopCalendar[[#This Row],[Date]])</f>
        <v>21</v>
      </c>
      <c r="F154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44" s="33" t="str">
        <f t="shared" si="85"/>
        <v>Week 3</v>
      </c>
      <c r="H1544" s="33" t="str">
        <f t="shared" si="86"/>
        <v>June 26 Week 3</v>
      </c>
      <c r="I1544" s="33" t="str">
        <f>CONCATENATE(UPPER(TableAopCalendar[[#This Row],[Month]])," ",TableAopCalendar[[#This Row],[Year]])</f>
        <v>JUNE 26</v>
      </c>
      <c r="J1544" s="8" t="s">
        <v>274</v>
      </c>
      <c r="K1544" s="33" t="str">
        <f>CONCATENATE(TableAopCalendar[[#This Row],[Month for Plan]]," ",TableAopCalendar[[#This Row],[Plan]])</f>
        <v>JUNE 26 PLANNED</v>
      </c>
    </row>
    <row r="1545" spans="1:11" x14ac:dyDescent="0.25">
      <c r="A1545" s="33">
        <f t="shared" si="84"/>
        <v>1</v>
      </c>
      <c r="B1545" s="34">
        <v>46195</v>
      </c>
      <c r="C1545" s="7" t="s">
        <v>266</v>
      </c>
      <c r="D1545" s="35">
        <v>26</v>
      </c>
      <c r="E1545" s="33">
        <f>DAY(TableAopCalendar[[#This Row],[Date]])</f>
        <v>22</v>
      </c>
      <c r="F154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45" s="33" t="str">
        <f t="shared" si="85"/>
        <v>Week 4</v>
      </c>
      <c r="H1545" s="33" t="str">
        <f t="shared" si="86"/>
        <v>June 26 Week 4</v>
      </c>
      <c r="I1545" s="33" t="str">
        <f>CONCATENATE(UPPER(TableAopCalendar[[#This Row],[Month]])," ",TableAopCalendar[[#This Row],[Year]])</f>
        <v>JUNE 26</v>
      </c>
      <c r="J1545" s="8" t="s">
        <v>274</v>
      </c>
      <c r="K1545" s="33" t="str">
        <f>CONCATENATE(TableAopCalendar[[#This Row],[Month for Plan]]," ",TableAopCalendar[[#This Row],[Plan]])</f>
        <v>JUNE 26 PLANNED</v>
      </c>
    </row>
    <row r="1546" spans="1:11" x14ac:dyDescent="0.25">
      <c r="A1546" s="33">
        <f t="shared" si="84"/>
        <v>2</v>
      </c>
      <c r="B1546" s="34">
        <v>46196</v>
      </c>
      <c r="C1546" s="7" t="s">
        <v>266</v>
      </c>
      <c r="D1546" s="35">
        <v>26</v>
      </c>
      <c r="E1546" s="33">
        <f>DAY(TableAopCalendar[[#This Row],[Date]])</f>
        <v>23</v>
      </c>
      <c r="F154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46" s="33" t="str">
        <f t="shared" si="85"/>
        <v>Week 4</v>
      </c>
      <c r="H1546" s="33" t="str">
        <f t="shared" si="86"/>
        <v>June 26 Week 4</v>
      </c>
      <c r="I1546" s="33" t="str">
        <f>CONCATENATE(UPPER(TableAopCalendar[[#This Row],[Month]])," ",TableAopCalendar[[#This Row],[Year]])</f>
        <v>JUNE 26</v>
      </c>
      <c r="J1546" s="8" t="s">
        <v>274</v>
      </c>
      <c r="K1546" s="33" t="str">
        <f>CONCATENATE(TableAopCalendar[[#This Row],[Month for Plan]]," ",TableAopCalendar[[#This Row],[Plan]])</f>
        <v>JUNE 26 PLANNED</v>
      </c>
    </row>
    <row r="1547" spans="1:11" x14ac:dyDescent="0.25">
      <c r="A1547" s="33">
        <f t="shared" ref="A1547:A1610" si="87">IF(G1547=G1546,A1546+1,1)</f>
        <v>3</v>
      </c>
      <c r="B1547" s="34">
        <v>46197</v>
      </c>
      <c r="C1547" s="7" t="s">
        <v>266</v>
      </c>
      <c r="D1547" s="35">
        <v>26</v>
      </c>
      <c r="E1547" s="33">
        <f>DAY(TableAopCalendar[[#This Row],[Date]])</f>
        <v>24</v>
      </c>
      <c r="F154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47" s="33" t="str">
        <f t="shared" ref="G1547:G1610" si="88">"Week"&amp;" "&amp;F1547</f>
        <v>Week 4</v>
      </c>
      <c r="H1547" s="33" t="str">
        <f t="shared" ref="H1547:H1610" si="89">CONCATENATE(C1547," ",D1547," ",G1547)</f>
        <v>June 26 Week 4</v>
      </c>
      <c r="I1547" s="33" t="str">
        <f>CONCATENATE(UPPER(TableAopCalendar[[#This Row],[Month]])," ",TableAopCalendar[[#This Row],[Year]])</f>
        <v>JUNE 26</v>
      </c>
      <c r="J1547" s="8" t="s">
        <v>274</v>
      </c>
      <c r="K1547" s="33" t="str">
        <f>CONCATENATE(TableAopCalendar[[#This Row],[Month for Plan]]," ",TableAopCalendar[[#This Row],[Plan]])</f>
        <v>JUNE 26 PLANNED</v>
      </c>
    </row>
    <row r="1548" spans="1:11" x14ac:dyDescent="0.25">
      <c r="A1548" s="33">
        <f t="shared" si="87"/>
        <v>4</v>
      </c>
      <c r="B1548" s="34">
        <v>46198</v>
      </c>
      <c r="C1548" s="7" t="s">
        <v>266</v>
      </c>
      <c r="D1548" s="35">
        <v>26</v>
      </c>
      <c r="E1548" s="33">
        <f>DAY(TableAopCalendar[[#This Row],[Date]])</f>
        <v>25</v>
      </c>
      <c r="F154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48" s="33" t="str">
        <f t="shared" si="88"/>
        <v>Week 4</v>
      </c>
      <c r="H1548" s="33" t="str">
        <f t="shared" si="89"/>
        <v>June 26 Week 4</v>
      </c>
      <c r="I1548" s="33" t="str">
        <f>CONCATENATE(UPPER(TableAopCalendar[[#This Row],[Month]])," ",TableAopCalendar[[#This Row],[Year]])</f>
        <v>JUNE 26</v>
      </c>
      <c r="J1548" s="8" t="s">
        <v>274</v>
      </c>
      <c r="K1548" s="33" t="str">
        <f>CONCATENATE(TableAopCalendar[[#This Row],[Month for Plan]]," ",TableAopCalendar[[#This Row],[Plan]])</f>
        <v>JUNE 26 PLANNED</v>
      </c>
    </row>
    <row r="1549" spans="1:11" x14ac:dyDescent="0.25">
      <c r="A1549" s="33">
        <f t="shared" si="87"/>
        <v>5</v>
      </c>
      <c r="B1549" s="34">
        <v>46199</v>
      </c>
      <c r="C1549" s="7" t="s">
        <v>266</v>
      </c>
      <c r="D1549" s="35">
        <v>26</v>
      </c>
      <c r="E1549" s="33">
        <f>DAY(TableAopCalendar[[#This Row],[Date]])</f>
        <v>26</v>
      </c>
      <c r="F154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49" s="33" t="str">
        <f t="shared" si="88"/>
        <v>Week 4</v>
      </c>
      <c r="H1549" s="33" t="str">
        <f t="shared" si="89"/>
        <v>June 26 Week 4</v>
      </c>
      <c r="I1549" s="33" t="str">
        <f>CONCATENATE(UPPER(TableAopCalendar[[#This Row],[Month]])," ",TableAopCalendar[[#This Row],[Year]])</f>
        <v>JUNE 26</v>
      </c>
      <c r="J1549" s="8" t="s">
        <v>274</v>
      </c>
      <c r="K1549" s="33" t="str">
        <f>CONCATENATE(TableAopCalendar[[#This Row],[Month for Plan]]," ",TableAopCalendar[[#This Row],[Plan]])</f>
        <v>JUNE 26 PLANNED</v>
      </c>
    </row>
    <row r="1550" spans="1:11" x14ac:dyDescent="0.25">
      <c r="A1550" s="33">
        <f t="shared" si="87"/>
        <v>6</v>
      </c>
      <c r="B1550" s="34">
        <v>46200</v>
      </c>
      <c r="C1550" s="7" t="s">
        <v>266</v>
      </c>
      <c r="D1550" s="35">
        <v>26</v>
      </c>
      <c r="E1550" s="33">
        <f>DAY(TableAopCalendar[[#This Row],[Date]])</f>
        <v>27</v>
      </c>
      <c r="F155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50" s="33" t="str">
        <f t="shared" si="88"/>
        <v>Week 4</v>
      </c>
      <c r="H1550" s="33" t="str">
        <f t="shared" si="89"/>
        <v>June 26 Week 4</v>
      </c>
      <c r="I1550" s="33" t="str">
        <f>CONCATENATE(UPPER(TableAopCalendar[[#This Row],[Month]])," ",TableAopCalendar[[#This Row],[Year]])</f>
        <v>JUNE 26</v>
      </c>
      <c r="J1550" s="8" t="s">
        <v>274</v>
      </c>
      <c r="K1550" s="33" t="str">
        <f>CONCATENATE(TableAopCalendar[[#This Row],[Month for Plan]]," ",TableAopCalendar[[#This Row],[Plan]])</f>
        <v>JUNE 26 PLANNED</v>
      </c>
    </row>
    <row r="1551" spans="1:11" x14ac:dyDescent="0.25">
      <c r="A1551" s="33">
        <f t="shared" si="87"/>
        <v>7</v>
      </c>
      <c r="B1551" s="34">
        <v>46201</v>
      </c>
      <c r="C1551" s="7" t="s">
        <v>266</v>
      </c>
      <c r="D1551" s="35">
        <v>26</v>
      </c>
      <c r="E1551" s="33">
        <f>DAY(TableAopCalendar[[#This Row],[Date]])</f>
        <v>28</v>
      </c>
      <c r="F155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51" s="33" t="str">
        <f t="shared" si="88"/>
        <v>Week 4</v>
      </c>
      <c r="H1551" s="33" t="str">
        <f t="shared" si="89"/>
        <v>June 26 Week 4</v>
      </c>
      <c r="I1551" s="33" t="str">
        <f>CONCATENATE(UPPER(TableAopCalendar[[#This Row],[Month]])," ",TableAopCalendar[[#This Row],[Year]])</f>
        <v>JUNE 26</v>
      </c>
      <c r="J1551" s="8" t="s">
        <v>274</v>
      </c>
      <c r="K1551" s="33" t="str">
        <f>CONCATENATE(TableAopCalendar[[#This Row],[Month for Plan]]," ",TableAopCalendar[[#This Row],[Plan]])</f>
        <v>JUNE 26 PLANNED</v>
      </c>
    </row>
    <row r="1552" spans="1:11" x14ac:dyDescent="0.25">
      <c r="A1552" s="33">
        <f t="shared" si="87"/>
        <v>1</v>
      </c>
      <c r="B1552" s="34">
        <v>46202</v>
      </c>
      <c r="C1552" s="7" t="s">
        <v>266</v>
      </c>
      <c r="D1552" s="35">
        <v>26</v>
      </c>
      <c r="E1552" s="33">
        <f>DAY(TableAopCalendar[[#This Row],[Date]])</f>
        <v>29</v>
      </c>
      <c r="F155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52" s="33" t="str">
        <f t="shared" si="88"/>
        <v>Week 5</v>
      </c>
      <c r="H1552" s="33" t="str">
        <f t="shared" si="89"/>
        <v>June 26 Week 5</v>
      </c>
      <c r="I1552" s="33" t="str">
        <f>CONCATENATE(UPPER(TableAopCalendar[[#This Row],[Month]])," ",TableAopCalendar[[#This Row],[Year]])</f>
        <v>JUNE 26</v>
      </c>
      <c r="J1552" s="8" t="s">
        <v>274</v>
      </c>
      <c r="K1552" s="33" t="str">
        <f>CONCATENATE(TableAopCalendar[[#This Row],[Month for Plan]]," ",TableAopCalendar[[#This Row],[Plan]])</f>
        <v>JUNE 26 PLANNED</v>
      </c>
    </row>
    <row r="1553" spans="1:11" x14ac:dyDescent="0.25">
      <c r="A1553" s="33">
        <f t="shared" si="87"/>
        <v>2</v>
      </c>
      <c r="B1553" s="34">
        <v>46203</v>
      </c>
      <c r="C1553" s="7" t="s">
        <v>266</v>
      </c>
      <c r="D1553" s="35">
        <v>26</v>
      </c>
      <c r="E1553" s="33">
        <f>DAY(TableAopCalendar[[#This Row],[Date]])</f>
        <v>30</v>
      </c>
      <c r="F1553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53" s="33" t="str">
        <f t="shared" si="88"/>
        <v>Week 5</v>
      </c>
      <c r="H1553" s="33" t="str">
        <f t="shared" si="89"/>
        <v>June 26 Week 5</v>
      </c>
      <c r="I1553" s="33" t="str">
        <f>CONCATENATE(UPPER(TableAopCalendar[[#This Row],[Month]])," ",TableAopCalendar[[#This Row],[Year]])</f>
        <v>JUNE 26</v>
      </c>
      <c r="J1553" s="8" t="s">
        <v>274</v>
      </c>
      <c r="K1553" s="33" t="str">
        <f>CONCATENATE(TableAopCalendar[[#This Row],[Month for Plan]]," ",TableAopCalendar[[#This Row],[Plan]])</f>
        <v>JUNE 26 PLANNED</v>
      </c>
    </row>
    <row r="1554" spans="1:11" x14ac:dyDescent="0.25">
      <c r="A1554" s="33">
        <f t="shared" si="87"/>
        <v>1</v>
      </c>
      <c r="B1554" s="34">
        <v>46204</v>
      </c>
      <c r="C1554" s="7" t="s">
        <v>267</v>
      </c>
      <c r="D1554" s="35">
        <v>26</v>
      </c>
      <c r="E1554" s="33">
        <f>DAY(TableAopCalendar[[#This Row],[Date]])</f>
        <v>1</v>
      </c>
      <c r="F155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54" s="33" t="str">
        <f t="shared" si="88"/>
        <v>Week 1</v>
      </c>
      <c r="H1554" s="33" t="str">
        <f t="shared" si="89"/>
        <v>July 26 Week 1</v>
      </c>
      <c r="I1554" s="33" t="str">
        <f>CONCATENATE(UPPER(TableAopCalendar[[#This Row],[Month]])," ",TableAopCalendar[[#This Row],[Year]])</f>
        <v>JULY 26</v>
      </c>
      <c r="J1554" s="8" t="s">
        <v>274</v>
      </c>
      <c r="K1554" s="33" t="str">
        <f>CONCATENATE(TableAopCalendar[[#This Row],[Month for Plan]]," ",TableAopCalendar[[#This Row],[Plan]])</f>
        <v>JULY 26 PLANNED</v>
      </c>
    </row>
    <row r="1555" spans="1:11" x14ac:dyDescent="0.25">
      <c r="A1555" s="33">
        <f t="shared" si="87"/>
        <v>2</v>
      </c>
      <c r="B1555" s="34">
        <v>46205</v>
      </c>
      <c r="C1555" s="7" t="s">
        <v>267</v>
      </c>
      <c r="D1555" s="35">
        <v>26</v>
      </c>
      <c r="E1555" s="33">
        <f>DAY(TableAopCalendar[[#This Row],[Date]])</f>
        <v>2</v>
      </c>
      <c r="F155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55" s="33" t="str">
        <f t="shared" si="88"/>
        <v>Week 1</v>
      </c>
      <c r="H1555" s="33" t="str">
        <f t="shared" si="89"/>
        <v>July 26 Week 1</v>
      </c>
      <c r="I1555" s="33" t="str">
        <f>CONCATENATE(UPPER(TableAopCalendar[[#This Row],[Month]])," ",TableAopCalendar[[#This Row],[Year]])</f>
        <v>JULY 26</v>
      </c>
      <c r="J1555" s="8" t="s">
        <v>274</v>
      </c>
      <c r="K1555" s="33" t="str">
        <f>CONCATENATE(TableAopCalendar[[#This Row],[Month for Plan]]," ",TableAopCalendar[[#This Row],[Plan]])</f>
        <v>JULY 26 PLANNED</v>
      </c>
    </row>
    <row r="1556" spans="1:11" x14ac:dyDescent="0.25">
      <c r="A1556" s="33">
        <f t="shared" si="87"/>
        <v>3</v>
      </c>
      <c r="B1556" s="34">
        <v>46206</v>
      </c>
      <c r="C1556" s="7" t="s">
        <v>267</v>
      </c>
      <c r="D1556" s="35">
        <v>26</v>
      </c>
      <c r="E1556" s="33">
        <f>DAY(TableAopCalendar[[#This Row],[Date]])</f>
        <v>3</v>
      </c>
      <c r="F155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56" s="33" t="str">
        <f t="shared" si="88"/>
        <v>Week 1</v>
      </c>
      <c r="H1556" s="33" t="str">
        <f t="shared" si="89"/>
        <v>July 26 Week 1</v>
      </c>
      <c r="I1556" s="33" t="str">
        <f>CONCATENATE(UPPER(TableAopCalendar[[#This Row],[Month]])," ",TableAopCalendar[[#This Row],[Year]])</f>
        <v>JULY 26</v>
      </c>
      <c r="J1556" s="8" t="s">
        <v>274</v>
      </c>
      <c r="K1556" s="33" t="str">
        <f>CONCATENATE(TableAopCalendar[[#This Row],[Month for Plan]]," ",TableAopCalendar[[#This Row],[Plan]])</f>
        <v>JULY 26 PLANNED</v>
      </c>
    </row>
    <row r="1557" spans="1:11" x14ac:dyDescent="0.25">
      <c r="A1557" s="33">
        <f t="shared" si="87"/>
        <v>4</v>
      </c>
      <c r="B1557" s="34">
        <v>46207</v>
      </c>
      <c r="C1557" s="7" t="s">
        <v>267</v>
      </c>
      <c r="D1557" s="35">
        <v>26</v>
      </c>
      <c r="E1557" s="33">
        <f>DAY(TableAopCalendar[[#This Row],[Date]])</f>
        <v>4</v>
      </c>
      <c r="F155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57" s="33" t="str">
        <f t="shared" si="88"/>
        <v>Week 1</v>
      </c>
      <c r="H1557" s="33" t="str">
        <f t="shared" si="89"/>
        <v>July 26 Week 1</v>
      </c>
      <c r="I1557" s="33" t="str">
        <f>CONCATENATE(UPPER(TableAopCalendar[[#This Row],[Month]])," ",TableAopCalendar[[#This Row],[Year]])</f>
        <v>JULY 26</v>
      </c>
      <c r="J1557" s="8" t="s">
        <v>274</v>
      </c>
      <c r="K1557" s="33" t="str">
        <f>CONCATENATE(TableAopCalendar[[#This Row],[Month for Plan]]," ",TableAopCalendar[[#This Row],[Plan]])</f>
        <v>JULY 26 PLANNED</v>
      </c>
    </row>
    <row r="1558" spans="1:11" x14ac:dyDescent="0.25">
      <c r="A1558" s="33">
        <f t="shared" si="87"/>
        <v>5</v>
      </c>
      <c r="B1558" s="34">
        <v>46208</v>
      </c>
      <c r="C1558" s="7" t="s">
        <v>267</v>
      </c>
      <c r="D1558" s="35">
        <v>26</v>
      </c>
      <c r="E1558" s="33">
        <f>DAY(TableAopCalendar[[#This Row],[Date]])</f>
        <v>5</v>
      </c>
      <c r="F155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58" s="33" t="str">
        <f t="shared" si="88"/>
        <v>Week 1</v>
      </c>
      <c r="H1558" s="33" t="str">
        <f t="shared" si="89"/>
        <v>July 26 Week 1</v>
      </c>
      <c r="I1558" s="33" t="str">
        <f>CONCATENATE(UPPER(TableAopCalendar[[#This Row],[Month]])," ",TableAopCalendar[[#This Row],[Year]])</f>
        <v>JULY 26</v>
      </c>
      <c r="J1558" s="8" t="s">
        <v>274</v>
      </c>
      <c r="K1558" s="33" t="str">
        <f>CONCATENATE(TableAopCalendar[[#This Row],[Month for Plan]]," ",TableAopCalendar[[#This Row],[Plan]])</f>
        <v>JULY 26 PLANNED</v>
      </c>
    </row>
    <row r="1559" spans="1:11" x14ac:dyDescent="0.25">
      <c r="A1559" s="33">
        <f t="shared" si="87"/>
        <v>6</v>
      </c>
      <c r="B1559" s="34">
        <v>46209</v>
      </c>
      <c r="C1559" s="7" t="s">
        <v>267</v>
      </c>
      <c r="D1559" s="35">
        <v>26</v>
      </c>
      <c r="E1559" s="33">
        <f>DAY(TableAopCalendar[[#This Row],[Date]])</f>
        <v>6</v>
      </c>
      <c r="F155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59" s="33" t="str">
        <f t="shared" si="88"/>
        <v>Week 1</v>
      </c>
      <c r="H1559" s="33" t="str">
        <f t="shared" si="89"/>
        <v>July 26 Week 1</v>
      </c>
      <c r="I1559" s="33" t="str">
        <f>CONCATENATE(UPPER(TableAopCalendar[[#This Row],[Month]])," ",TableAopCalendar[[#This Row],[Year]])</f>
        <v>JULY 26</v>
      </c>
      <c r="J1559" s="8" t="s">
        <v>274</v>
      </c>
      <c r="K1559" s="33" t="str">
        <f>CONCATENATE(TableAopCalendar[[#This Row],[Month for Plan]]," ",TableAopCalendar[[#This Row],[Plan]])</f>
        <v>JULY 26 PLANNED</v>
      </c>
    </row>
    <row r="1560" spans="1:11" x14ac:dyDescent="0.25">
      <c r="A1560" s="33">
        <f t="shared" si="87"/>
        <v>7</v>
      </c>
      <c r="B1560" s="34">
        <v>46210</v>
      </c>
      <c r="C1560" s="7" t="s">
        <v>267</v>
      </c>
      <c r="D1560" s="35">
        <v>26</v>
      </c>
      <c r="E1560" s="33">
        <f>DAY(TableAopCalendar[[#This Row],[Date]])</f>
        <v>7</v>
      </c>
      <c r="F156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60" s="33" t="str">
        <f t="shared" si="88"/>
        <v>Week 1</v>
      </c>
      <c r="H1560" s="33" t="str">
        <f t="shared" si="89"/>
        <v>July 26 Week 1</v>
      </c>
      <c r="I1560" s="33" t="str">
        <f>CONCATENATE(UPPER(TableAopCalendar[[#This Row],[Month]])," ",TableAopCalendar[[#This Row],[Year]])</f>
        <v>JULY 26</v>
      </c>
      <c r="J1560" s="8" t="s">
        <v>274</v>
      </c>
      <c r="K1560" s="33" t="str">
        <f>CONCATENATE(TableAopCalendar[[#This Row],[Month for Plan]]," ",TableAopCalendar[[#This Row],[Plan]])</f>
        <v>JULY 26 PLANNED</v>
      </c>
    </row>
    <row r="1561" spans="1:11" x14ac:dyDescent="0.25">
      <c r="A1561" s="33">
        <f t="shared" si="87"/>
        <v>1</v>
      </c>
      <c r="B1561" s="34">
        <v>46211</v>
      </c>
      <c r="C1561" s="7" t="s">
        <v>267</v>
      </c>
      <c r="D1561" s="35">
        <v>26</v>
      </c>
      <c r="E1561" s="33">
        <f>DAY(TableAopCalendar[[#This Row],[Date]])</f>
        <v>8</v>
      </c>
      <c r="F156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61" s="33" t="str">
        <f t="shared" si="88"/>
        <v>Week 2</v>
      </c>
      <c r="H1561" s="33" t="str">
        <f t="shared" si="89"/>
        <v>July 26 Week 2</v>
      </c>
      <c r="I1561" s="33" t="str">
        <f>CONCATENATE(UPPER(TableAopCalendar[[#This Row],[Month]])," ",TableAopCalendar[[#This Row],[Year]])</f>
        <v>JULY 26</v>
      </c>
      <c r="J1561" s="8" t="s">
        <v>274</v>
      </c>
      <c r="K1561" s="33" t="str">
        <f>CONCATENATE(TableAopCalendar[[#This Row],[Month for Plan]]," ",TableAopCalendar[[#This Row],[Plan]])</f>
        <v>JULY 26 PLANNED</v>
      </c>
    </row>
    <row r="1562" spans="1:11" x14ac:dyDescent="0.25">
      <c r="A1562" s="33">
        <f t="shared" si="87"/>
        <v>2</v>
      </c>
      <c r="B1562" s="34">
        <v>46212</v>
      </c>
      <c r="C1562" s="7" t="s">
        <v>267</v>
      </c>
      <c r="D1562" s="35">
        <v>26</v>
      </c>
      <c r="E1562" s="33">
        <f>DAY(TableAopCalendar[[#This Row],[Date]])</f>
        <v>9</v>
      </c>
      <c r="F156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62" s="33" t="str">
        <f t="shared" si="88"/>
        <v>Week 2</v>
      </c>
      <c r="H1562" s="33" t="str">
        <f t="shared" si="89"/>
        <v>July 26 Week 2</v>
      </c>
      <c r="I1562" s="33" t="str">
        <f>CONCATENATE(UPPER(TableAopCalendar[[#This Row],[Month]])," ",TableAopCalendar[[#This Row],[Year]])</f>
        <v>JULY 26</v>
      </c>
      <c r="J1562" s="8" t="s">
        <v>274</v>
      </c>
      <c r="K1562" s="33" t="str">
        <f>CONCATENATE(TableAopCalendar[[#This Row],[Month for Plan]]," ",TableAopCalendar[[#This Row],[Plan]])</f>
        <v>JULY 26 PLANNED</v>
      </c>
    </row>
    <row r="1563" spans="1:11" x14ac:dyDescent="0.25">
      <c r="A1563" s="33">
        <f t="shared" si="87"/>
        <v>3</v>
      </c>
      <c r="B1563" s="34">
        <v>46213</v>
      </c>
      <c r="C1563" s="7" t="s">
        <v>267</v>
      </c>
      <c r="D1563" s="35">
        <v>26</v>
      </c>
      <c r="E1563" s="33">
        <f>DAY(TableAopCalendar[[#This Row],[Date]])</f>
        <v>10</v>
      </c>
      <c r="F156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63" s="33" t="str">
        <f t="shared" si="88"/>
        <v>Week 2</v>
      </c>
      <c r="H1563" s="33" t="str">
        <f t="shared" si="89"/>
        <v>July 26 Week 2</v>
      </c>
      <c r="I1563" s="33" t="str">
        <f>CONCATENATE(UPPER(TableAopCalendar[[#This Row],[Month]])," ",TableAopCalendar[[#This Row],[Year]])</f>
        <v>JULY 26</v>
      </c>
      <c r="J1563" s="8" t="s">
        <v>274</v>
      </c>
      <c r="K1563" s="33" t="str">
        <f>CONCATENATE(TableAopCalendar[[#This Row],[Month for Plan]]," ",TableAopCalendar[[#This Row],[Plan]])</f>
        <v>JULY 26 PLANNED</v>
      </c>
    </row>
    <row r="1564" spans="1:11" x14ac:dyDescent="0.25">
      <c r="A1564" s="33">
        <f t="shared" si="87"/>
        <v>4</v>
      </c>
      <c r="B1564" s="34">
        <v>46214</v>
      </c>
      <c r="C1564" s="7" t="s">
        <v>267</v>
      </c>
      <c r="D1564" s="35">
        <v>26</v>
      </c>
      <c r="E1564" s="33">
        <f>DAY(TableAopCalendar[[#This Row],[Date]])</f>
        <v>11</v>
      </c>
      <c r="F156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64" s="33" t="str">
        <f t="shared" si="88"/>
        <v>Week 2</v>
      </c>
      <c r="H1564" s="33" t="str">
        <f t="shared" si="89"/>
        <v>July 26 Week 2</v>
      </c>
      <c r="I1564" s="33" t="str">
        <f>CONCATENATE(UPPER(TableAopCalendar[[#This Row],[Month]])," ",TableAopCalendar[[#This Row],[Year]])</f>
        <v>JULY 26</v>
      </c>
      <c r="J1564" s="8" t="s">
        <v>274</v>
      </c>
      <c r="K1564" s="33" t="str">
        <f>CONCATENATE(TableAopCalendar[[#This Row],[Month for Plan]]," ",TableAopCalendar[[#This Row],[Plan]])</f>
        <v>JULY 26 PLANNED</v>
      </c>
    </row>
    <row r="1565" spans="1:11" x14ac:dyDescent="0.25">
      <c r="A1565" s="33">
        <f t="shared" si="87"/>
        <v>5</v>
      </c>
      <c r="B1565" s="34">
        <v>46215</v>
      </c>
      <c r="C1565" s="7" t="s">
        <v>267</v>
      </c>
      <c r="D1565" s="35">
        <v>26</v>
      </c>
      <c r="E1565" s="33">
        <f>DAY(TableAopCalendar[[#This Row],[Date]])</f>
        <v>12</v>
      </c>
      <c r="F156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65" s="33" t="str">
        <f t="shared" si="88"/>
        <v>Week 2</v>
      </c>
      <c r="H1565" s="33" t="str">
        <f t="shared" si="89"/>
        <v>July 26 Week 2</v>
      </c>
      <c r="I1565" s="33" t="str">
        <f>CONCATENATE(UPPER(TableAopCalendar[[#This Row],[Month]])," ",TableAopCalendar[[#This Row],[Year]])</f>
        <v>JULY 26</v>
      </c>
      <c r="J1565" s="8" t="s">
        <v>274</v>
      </c>
      <c r="K1565" s="33" t="str">
        <f>CONCATENATE(TableAopCalendar[[#This Row],[Month for Plan]]," ",TableAopCalendar[[#This Row],[Plan]])</f>
        <v>JULY 26 PLANNED</v>
      </c>
    </row>
    <row r="1566" spans="1:11" x14ac:dyDescent="0.25">
      <c r="A1566" s="33">
        <f t="shared" si="87"/>
        <v>6</v>
      </c>
      <c r="B1566" s="34">
        <v>46216</v>
      </c>
      <c r="C1566" s="7" t="s">
        <v>267</v>
      </c>
      <c r="D1566" s="35">
        <v>26</v>
      </c>
      <c r="E1566" s="33">
        <f>DAY(TableAopCalendar[[#This Row],[Date]])</f>
        <v>13</v>
      </c>
      <c r="F156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66" s="33" t="str">
        <f t="shared" si="88"/>
        <v>Week 2</v>
      </c>
      <c r="H1566" s="33" t="str">
        <f t="shared" si="89"/>
        <v>July 26 Week 2</v>
      </c>
      <c r="I1566" s="33" t="str">
        <f>CONCATENATE(UPPER(TableAopCalendar[[#This Row],[Month]])," ",TableAopCalendar[[#This Row],[Year]])</f>
        <v>JULY 26</v>
      </c>
      <c r="J1566" s="8" t="s">
        <v>274</v>
      </c>
      <c r="K1566" s="33" t="str">
        <f>CONCATENATE(TableAopCalendar[[#This Row],[Month for Plan]]," ",TableAopCalendar[[#This Row],[Plan]])</f>
        <v>JULY 26 PLANNED</v>
      </c>
    </row>
    <row r="1567" spans="1:11" x14ac:dyDescent="0.25">
      <c r="A1567" s="33">
        <f t="shared" si="87"/>
        <v>7</v>
      </c>
      <c r="B1567" s="34">
        <v>46217</v>
      </c>
      <c r="C1567" s="7" t="s">
        <v>267</v>
      </c>
      <c r="D1567" s="35">
        <v>26</v>
      </c>
      <c r="E1567" s="33">
        <f>DAY(TableAopCalendar[[#This Row],[Date]])</f>
        <v>14</v>
      </c>
      <c r="F156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67" s="33" t="str">
        <f t="shared" si="88"/>
        <v>Week 2</v>
      </c>
      <c r="H1567" s="33" t="str">
        <f t="shared" si="89"/>
        <v>July 26 Week 2</v>
      </c>
      <c r="I1567" s="33" t="str">
        <f>CONCATENATE(UPPER(TableAopCalendar[[#This Row],[Month]])," ",TableAopCalendar[[#This Row],[Year]])</f>
        <v>JULY 26</v>
      </c>
      <c r="J1567" s="8" t="s">
        <v>274</v>
      </c>
      <c r="K1567" s="33" t="str">
        <f>CONCATENATE(TableAopCalendar[[#This Row],[Month for Plan]]," ",TableAopCalendar[[#This Row],[Plan]])</f>
        <v>JULY 26 PLANNED</v>
      </c>
    </row>
    <row r="1568" spans="1:11" x14ac:dyDescent="0.25">
      <c r="A1568" s="33">
        <f t="shared" si="87"/>
        <v>1</v>
      </c>
      <c r="B1568" s="34">
        <v>46218</v>
      </c>
      <c r="C1568" s="7" t="s">
        <v>267</v>
      </c>
      <c r="D1568" s="35">
        <v>26</v>
      </c>
      <c r="E1568" s="33">
        <f>DAY(TableAopCalendar[[#This Row],[Date]])</f>
        <v>15</v>
      </c>
      <c r="F156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68" s="33" t="str">
        <f t="shared" si="88"/>
        <v>Week 3</v>
      </c>
      <c r="H1568" s="33" t="str">
        <f t="shared" si="89"/>
        <v>July 26 Week 3</v>
      </c>
      <c r="I1568" s="33" t="str">
        <f>CONCATENATE(UPPER(TableAopCalendar[[#This Row],[Month]])," ",TableAopCalendar[[#This Row],[Year]])</f>
        <v>JULY 26</v>
      </c>
      <c r="J1568" s="8" t="s">
        <v>274</v>
      </c>
      <c r="K1568" s="33" t="str">
        <f>CONCATENATE(TableAopCalendar[[#This Row],[Month for Plan]]," ",TableAopCalendar[[#This Row],[Plan]])</f>
        <v>JULY 26 PLANNED</v>
      </c>
    </row>
    <row r="1569" spans="1:11" x14ac:dyDescent="0.25">
      <c r="A1569" s="33">
        <f t="shared" si="87"/>
        <v>2</v>
      </c>
      <c r="B1569" s="34">
        <v>46219</v>
      </c>
      <c r="C1569" s="7" t="s">
        <v>267</v>
      </c>
      <c r="D1569" s="35">
        <v>26</v>
      </c>
      <c r="E1569" s="33">
        <f>DAY(TableAopCalendar[[#This Row],[Date]])</f>
        <v>16</v>
      </c>
      <c r="F156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69" s="33" t="str">
        <f t="shared" si="88"/>
        <v>Week 3</v>
      </c>
      <c r="H1569" s="33" t="str">
        <f t="shared" si="89"/>
        <v>July 26 Week 3</v>
      </c>
      <c r="I1569" s="33" t="str">
        <f>CONCATENATE(UPPER(TableAopCalendar[[#This Row],[Month]])," ",TableAopCalendar[[#This Row],[Year]])</f>
        <v>JULY 26</v>
      </c>
      <c r="J1569" s="8" t="s">
        <v>274</v>
      </c>
      <c r="K1569" s="33" t="str">
        <f>CONCATENATE(TableAopCalendar[[#This Row],[Month for Plan]]," ",TableAopCalendar[[#This Row],[Plan]])</f>
        <v>JULY 26 PLANNED</v>
      </c>
    </row>
    <row r="1570" spans="1:11" x14ac:dyDescent="0.25">
      <c r="A1570" s="33">
        <f t="shared" si="87"/>
        <v>3</v>
      </c>
      <c r="B1570" s="34">
        <v>46220</v>
      </c>
      <c r="C1570" s="7" t="s">
        <v>267</v>
      </c>
      <c r="D1570" s="35">
        <v>26</v>
      </c>
      <c r="E1570" s="33">
        <f>DAY(TableAopCalendar[[#This Row],[Date]])</f>
        <v>17</v>
      </c>
      <c r="F157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70" s="33" t="str">
        <f t="shared" si="88"/>
        <v>Week 3</v>
      </c>
      <c r="H1570" s="33" t="str">
        <f t="shared" si="89"/>
        <v>July 26 Week 3</v>
      </c>
      <c r="I1570" s="33" t="str">
        <f>CONCATENATE(UPPER(TableAopCalendar[[#This Row],[Month]])," ",TableAopCalendar[[#This Row],[Year]])</f>
        <v>JULY 26</v>
      </c>
      <c r="J1570" s="8" t="s">
        <v>274</v>
      </c>
      <c r="K1570" s="33" t="str">
        <f>CONCATENATE(TableAopCalendar[[#This Row],[Month for Plan]]," ",TableAopCalendar[[#This Row],[Plan]])</f>
        <v>JULY 26 PLANNED</v>
      </c>
    </row>
    <row r="1571" spans="1:11" x14ac:dyDescent="0.25">
      <c r="A1571" s="33">
        <f t="shared" si="87"/>
        <v>4</v>
      </c>
      <c r="B1571" s="34">
        <v>46221</v>
      </c>
      <c r="C1571" s="7" t="s">
        <v>267</v>
      </c>
      <c r="D1571" s="35">
        <v>26</v>
      </c>
      <c r="E1571" s="33">
        <f>DAY(TableAopCalendar[[#This Row],[Date]])</f>
        <v>18</v>
      </c>
      <c r="F157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71" s="33" t="str">
        <f t="shared" si="88"/>
        <v>Week 3</v>
      </c>
      <c r="H1571" s="33" t="str">
        <f t="shared" si="89"/>
        <v>July 26 Week 3</v>
      </c>
      <c r="I1571" s="33" t="str">
        <f>CONCATENATE(UPPER(TableAopCalendar[[#This Row],[Month]])," ",TableAopCalendar[[#This Row],[Year]])</f>
        <v>JULY 26</v>
      </c>
      <c r="J1571" s="8" t="s">
        <v>274</v>
      </c>
      <c r="K1571" s="33" t="str">
        <f>CONCATENATE(TableAopCalendar[[#This Row],[Month for Plan]]," ",TableAopCalendar[[#This Row],[Plan]])</f>
        <v>JULY 26 PLANNED</v>
      </c>
    </row>
    <row r="1572" spans="1:11" x14ac:dyDescent="0.25">
      <c r="A1572" s="33">
        <f t="shared" si="87"/>
        <v>5</v>
      </c>
      <c r="B1572" s="34">
        <v>46222</v>
      </c>
      <c r="C1572" s="7" t="s">
        <v>267</v>
      </c>
      <c r="D1572" s="35">
        <v>26</v>
      </c>
      <c r="E1572" s="33">
        <f>DAY(TableAopCalendar[[#This Row],[Date]])</f>
        <v>19</v>
      </c>
      <c r="F157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72" s="33" t="str">
        <f t="shared" si="88"/>
        <v>Week 3</v>
      </c>
      <c r="H1572" s="33" t="str">
        <f t="shared" si="89"/>
        <v>July 26 Week 3</v>
      </c>
      <c r="I1572" s="33" t="str">
        <f>CONCATENATE(UPPER(TableAopCalendar[[#This Row],[Month]])," ",TableAopCalendar[[#This Row],[Year]])</f>
        <v>JULY 26</v>
      </c>
      <c r="J1572" s="8" t="s">
        <v>274</v>
      </c>
      <c r="K1572" s="33" t="str">
        <f>CONCATENATE(TableAopCalendar[[#This Row],[Month for Plan]]," ",TableAopCalendar[[#This Row],[Plan]])</f>
        <v>JULY 26 PLANNED</v>
      </c>
    </row>
    <row r="1573" spans="1:11" x14ac:dyDescent="0.25">
      <c r="A1573" s="33">
        <f t="shared" si="87"/>
        <v>6</v>
      </c>
      <c r="B1573" s="34">
        <v>46223</v>
      </c>
      <c r="C1573" s="7" t="s">
        <v>267</v>
      </c>
      <c r="D1573" s="35">
        <v>26</v>
      </c>
      <c r="E1573" s="33">
        <f>DAY(TableAopCalendar[[#This Row],[Date]])</f>
        <v>20</v>
      </c>
      <c r="F157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73" s="33" t="str">
        <f t="shared" si="88"/>
        <v>Week 3</v>
      </c>
      <c r="H1573" s="33" t="str">
        <f t="shared" si="89"/>
        <v>July 26 Week 3</v>
      </c>
      <c r="I1573" s="33" t="str">
        <f>CONCATENATE(UPPER(TableAopCalendar[[#This Row],[Month]])," ",TableAopCalendar[[#This Row],[Year]])</f>
        <v>JULY 26</v>
      </c>
      <c r="J1573" s="8" t="s">
        <v>274</v>
      </c>
      <c r="K1573" s="33" t="str">
        <f>CONCATENATE(TableAopCalendar[[#This Row],[Month for Plan]]," ",TableAopCalendar[[#This Row],[Plan]])</f>
        <v>JULY 26 PLANNED</v>
      </c>
    </row>
    <row r="1574" spans="1:11" x14ac:dyDescent="0.25">
      <c r="A1574" s="33">
        <f t="shared" si="87"/>
        <v>7</v>
      </c>
      <c r="B1574" s="34">
        <v>46224</v>
      </c>
      <c r="C1574" s="7" t="s">
        <v>267</v>
      </c>
      <c r="D1574" s="35">
        <v>26</v>
      </c>
      <c r="E1574" s="33">
        <f>DAY(TableAopCalendar[[#This Row],[Date]])</f>
        <v>21</v>
      </c>
      <c r="F157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74" s="33" t="str">
        <f t="shared" si="88"/>
        <v>Week 3</v>
      </c>
      <c r="H1574" s="33" t="str">
        <f t="shared" si="89"/>
        <v>July 26 Week 3</v>
      </c>
      <c r="I1574" s="33" t="str">
        <f>CONCATENATE(UPPER(TableAopCalendar[[#This Row],[Month]])," ",TableAopCalendar[[#This Row],[Year]])</f>
        <v>JULY 26</v>
      </c>
      <c r="J1574" s="8" t="s">
        <v>274</v>
      </c>
      <c r="K1574" s="33" t="str">
        <f>CONCATENATE(TableAopCalendar[[#This Row],[Month for Plan]]," ",TableAopCalendar[[#This Row],[Plan]])</f>
        <v>JULY 26 PLANNED</v>
      </c>
    </row>
    <row r="1575" spans="1:11" x14ac:dyDescent="0.25">
      <c r="A1575" s="33">
        <f t="shared" si="87"/>
        <v>1</v>
      </c>
      <c r="B1575" s="34">
        <v>46225</v>
      </c>
      <c r="C1575" s="7" t="s">
        <v>267</v>
      </c>
      <c r="D1575" s="35">
        <v>26</v>
      </c>
      <c r="E1575" s="33">
        <f>DAY(TableAopCalendar[[#This Row],[Date]])</f>
        <v>22</v>
      </c>
      <c r="F157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75" s="33" t="str">
        <f t="shared" si="88"/>
        <v>Week 4</v>
      </c>
      <c r="H1575" s="33" t="str">
        <f t="shared" si="89"/>
        <v>July 26 Week 4</v>
      </c>
      <c r="I1575" s="33" t="str">
        <f>CONCATENATE(UPPER(TableAopCalendar[[#This Row],[Month]])," ",TableAopCalendar[[#This Row],[Year]])</f>
        <v>JULY 26</v>
      </c>
      <c r="J1575" s="8" t="s">
        <v>274</v>
      </c>
      <c r="K1575" s="33" t="str">
        <f>CONCATENATE(TableAopCalendar[[#This Row],[Month for Plan]]," ",TableAopCalendar[[#This Row],[Plan]])</f>
        <v>JULY 26 PLANNED</v>
      </c>
    </row>
    <row r="1576" spans="1:11" x14ac:dyDescent="0.25">
      <c r="A1576" s="33">
        <f t="shared" si="87"/>
        <v>2</v>
      </c>
      <c r="B1576" s="34">
        <v>46226</v>
      </c>
      <c r="C1576" s="7" t="s">
        <v>267</v>
      </c>
      <c r="D1576" s="35">
        <v>26</v>
      </c>
      <c r="E1576" s="33">
        <f>DAY(TableAopCalendar[[#This Row],[Date]])</f>
        <v>23</v>
      </c>
      <c r="F157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76" s="33" t="str">
        <f t="shared" si="88"/>
        <v>Week 4</v>
      </c>
      <c r="H1576" s="33" t="str">
        <f t="shared" si="89"/>
        <v>July 26 Week 4</v>
      </c>
      <c r="I1576" s="33" t="str">
        <f>CONCATENATE(UPPER(TableAopCalendar[[#This Row],[Month]])," ",TableAopCalendar[[#This Row],[Year]])</f>
        <v>JULY 26</v>
      </c>
      <c r="J1576" s="8" t="s">
        <v>274</v>
      </c>
      <c r="K1576" s="33" t="str">
        <f>CONCATENATE(TableAopCalendar[[#This Row],[Month for Plan]]," ",TableAopCalendar[[#This Row],[Plan]])</f>
        <v>JULY 26 PLANNED</v>
      </c>
    </row>
    <row r="1577" spans="1:11" x14ac:dyDescent="0.25">
      <c r="A1577" s="33">
        <f t="shared" si="87"/>
        <v>3</v>
      </c>
      <c r="B1577" s="34">
        <v>46227</v>
      </c>
      <c r="C1577" s="7" t="s">
        <v>267</v>
      </c>
      <c r="D1577" s="35">
        <v>26</v>
      </c>
      <c r="E1577" s="33">
        <f>DAY(TableAopCalendar[[#This Row],[Date]])</f>
        <v>24</v>
      </c>
      <c r="F157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77" s="33" t="str">
        <f t="shared" si="88"/>
        <v>Week 4</v>
      </c>
      <c r="H1577" s="33" t="str">
        <f t="shared" si="89"/>
        <v>July 26 Week 4</v>
      </c>
      <c r="I1577" s="33" t="str">
        <f>CONCATENATE(UPPER(TableAopCalendar[[#This Row],[Month]])," ",TableAopCalendar[[#This Row],[Year]])</f>
        <v>JULY 26</v>
      </c>
      <c r="J1577" s="8" t="s">
        <v>274</v>
      </c>
      <c r="K1577" s="33" t="str">
        <f>CONCATENATE(TableAopCalendar[[#This Row],[Month for Plan]]," ",TableAopCalendar[[#This Row],[Plan]])</f>
        <v>JULY 26 PLANNED</v>
      </c>
    </row>
    <row r="1578" spans="1:11" x14ac:dyDescent="0.25">
      <c r="A1578" s="33">
        <f t="shared" si="87"/>
        <v>4</v>
      </c>
      <c r="B1578" s="34">
        <v>46228</v>
      </c>
      <c r="C1578" s="7" t="s">
        <v>267</v>
      </c>
      <c r="D1578" s="35">
        <v>26</v>
      </c>
      <c r="E1578" s="33">
        <f>DAY(TableAopCalendar[[#This Row],[Date]])</f>
        <v>25</v>
      </c>
      <c r="F157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78" s="33" t="str">
        <f t="shared" si="88"/>
        <v>Week 4</v>
      </c>
      <c r="H1578" s="33" t="str">
        <f t="shared" si="89"/>
        <v>July 26 Week 4</v>
      </c>
      <c r="I1578" s="33" t="str">
        <f>CONCATENATE(UPPER(TableAopCalendar[[#This Row],[Month]])," ",TableAopCalendar[[#This Row],[Year]])</f>
        <v>JULY 26</v>
      </c>
      <c r="J1578" s="8" t="s">
        <v>274</v>
      </c>
      <c r="K1578" s="33" t="str">
        <f>CONCATENATE(TableAopCalendar[[#This Row],[Month for Plan]]," ",TableAopCalendar[[#This Row],[Plan]])</f>
        <v>JULY 26 PLANNED</v>
      </c>
    </row>
    <row r="1579" spans="1:11" x14ac:dyDescent="0.25">
      <c r="A1579" s="33">
        <f t="shared" si="87"/>
        <v>5</v>
      </c>
      <c r="B1579" s="34">
        <v>46229</v>
      </c>
      <c r="C1579" s="7" t="s">
        <v>267</v>
      </c>
      <c r="D1579" s="35">
        <v>26</v>
      </c>
      <c r="E1579" s="33">
        <f>DAY(TableAopCalendar[[#This Row],[Date]])</f>
        <v>26</v>
      </c>
      <c r="F157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79" s="33" t="str">
        <f t="shared" si="88"/>
        <v>Week 4</v>
      </c>
      <c r="H1579" s="33" t="str">
        <f t="shared" si="89"/>
        <v>July 26 Week 4</v>
      </c>
      <c r="I1579" s="33" t="str">
        <f>CONCATENATE(UPPER(TableAopCalendar[[#This Row],[Month]])," ",TableAopCalendar[[#This Row],[Year]])</f>
        <v>JULY 26</v>
      </c>
      <c r="J1579" s="8" t="s">
        <v>274</v>
      </c>
      <c r="K1579" s="33" t="str">
        <f>CONCATENATE(TableAopCalendar[[#This Row],[Month for Plan]]," ",TableAopCalendar[[#This Row],[Plan]])</f>
        <v>JULY 26 PLANNED</v>
      </c>
    </row>
    <row r="1580" spans="1:11" x14ac:dyDescent="0.25">
      <c r="A1580" s="33">
        <f t="shared" si="87"/>
        <v>6</v>
      </c>
      <c r="B1580" s="34">
        <v>46230</v>
      </c>
      <c r="C1580" s="7" t="s">
        <v>267</v>
      </c>
      <c r="D1580" s="35">
        <v>26</v>
      </c>
      <c r="E1580" s="33">
        <f>DAY(TableAopCalendar[[#This Row],[Date]])</f>
        <v>27</v>
      </c>
      <c r="F158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80" s="33" t="str">
        <f t="shared" si="88"/>
        <v>Week 4</v>
      </c>
      <c r="H1580" s="33" t="str">
        <f t="shared" si="89"/>
        <v>July 26 Week 4</v>
      </c>
      <c r="I1580" s="33" t="str">
        <f>CONCATENATE(UPPER(TableAopCalendar[[#This Row],[Month]])," ",TableAopCalendar[[#This Row],[Year]])</f>
        <v>JULY 26</v>
      </c>
      <c r="J1580" s="8" t="s">
        <v>274</v>
      </c>
      <c r="K1580" s="33" t="str">
        <f>CONCATENATE(TableAopCalendar[[#This Row],[Month for Plan]]," ",TableAopCalendar[[#This Row],[Plan]])</f>
        <v>JULY 26 PLANNED</v>
      </c>
    </row>
    <row r="1581" spans="1:11" x14ac:dyDescent="0.25">
      <c r="A1581" s="33">
        <f t="shared" si="87"/>
        <v>7</v>
      </c>
      <c r="B1581" s="34">
        <v>46231</v>
      </c>
      <c r="C1581" s="7" t="s">
        <v>267</v>
      </c>
      <c r="D1581" s="35">
        <v>26</v>
      </c>
      <c r="E1581" s="33">
        <f>DAY(TableAopCalendar[[#This Row],[Date]])</f>
        <v>28</v>
      </c>
      <c r="F158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581" s="33" t="str">
        <f t="shared" si="88"/>
        <v>Week 4</v>
      </c>
      <c r="H1581" s="33" t="str">
        <f t="shared" si="89"/>
        <v>July 26 Week 4</v>
      </c>
      <c r="I1581" s="33" t="str">
        <f>CONCATENATE(UPPER(TableAopCalendar[[#This Row],[Month]])," ",TableAopCalendar[[#This Row],[Year]])</f>
        <v>JULY 26</v>
      </c>
      <c r="J1581" s="8" t="s">
        <v>274</v>
      </c>
      <c r="K1581" s="33" t="str">
        <f>CONCATENATE(TableAopCalendar[[#This Row],[Month for Plan]]," ",TableAopCalendar[[#This Row],[Plan]])</f>
        <v>JULY 26 PLANNED</v>
      </c>
    </row>
    <row r="1582" spans="1:11" x14ac:dyDescent="0.25">
      <c r="A1582" s="33">
        <f t="shared" si="87"/>
        <v>1</v>
      </c>
      <c r="B1582" s="34">
        <v>46232</v>
      </c>
      <c r="C1582" s="7" t="s">
        <v>267</v>
      </c>
      <c r="D1582" s="35">
        <v>26</v>
      </c>
      <c r="E1582" s="33">
        <f>DAY(TableAopCalendar[[#This Row],[Date]])</f>
        <v>29</v>
      </c>
      <c r="F158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82" s="33" t="str">
        <f t="shared" si="88"/>
        <v>Week 5</v>
      </c>
      <c r="H1582" s="33" t="str">
        <f t="shared" si="89"/>
        <v>July 26 Week 5</v>
      </c>
      <c r="I1582" s="33" t="str">
        <f>CONCATENATE(UPPER(TableAopCalendar[[#This Row],[Month]])," ",TableAopCalendar[[#This Row],[Year]])</f>
        <v>JULY 26</v>
      </c>
      <c r="J1582" s="8" t="s">
        <v>274</v>
      </c>
      <c r="K1582" s="33" t="str">
        <f>CONCATENATE(TableAopCalendar[[#This Row],[Month for Plan]]," ",TableAopCalendar[[#This Row],[Plan]])</f>
        <v>JULY 26 PLANNED</v>
      </c>
    </row>
    <row r="1583" spans="1:11" x14ac:dyDescent="0.25">
      <c r="A1583" s="33">
        <f t="shared" si="87"/>
        <v>2</v>
      </c>
      <c r="B1583" s="34">
        <v>46233</v>
      </c>
      <c r="C1583" s="7" t="s">
        <v>267</v>
      </c>
      <c r="D1583" s="35">
        <v>26</v>
      </c>
      <c r="E1583" s="33">
        <f>DAY(TableAopCalendar[[#This Row],[Date]])</f>
        <v>30</v>
      </c>
      <c r="F1583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83" s="33" t="str">
        <f t="shared" si="88"/>
        <v>Week 5</v>
      </c>
      <c r="H1583" s="33" t="str">
        <f t="shared" si="89"/>
        <v>July 26 Week 5</v>
      </c>
      <c r="I1583" s="33" t="str">
        <f>CONCATENATE(UPPER(TableAopCalendar[[#This Row],[Month]])," ",TableAopCalendar[[#This Row],[Year]])</f>
        <v>JULY 26</v>
      </c>
      <c r="J1583" s="8" t="s">
        <v>274</v>
      </c>
      <c r="K1583" s="33" t="str">
        <f>CONCATENATE(TableAopCalendar[[#This Row],[Month for Plan]]," ",TableAopCalendar[[#This Row],[Plan]])</f>
        <v>JULY 26 PLANNED</v>
      </c>
    </row>
    <row r="1584" spans="1:11" x14ac:dyDescent="0.25">
      <c r="A1584" s="33">
        <f t="shared" si="87"/>
        <v>3</v>
      </c>
      <c r="B1584" s="34">
        <v>46234</v>
      </c>
      <c r="C1584" s="7" t="s">
        <v>267</v>
      </c>
      <c r="D1584" s="35">
        <v>26</v>
      </c>
      <c r="E1584" s="33">
        <f>DAY(TableAopCalendar[[#This Row],[Date]])</f>
        <v>31</v>
      </c>
      <c r="F1584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584" s="33" t="str">
        <f t="shared" si="88"/>
        <v>Week 5</v>
      </c>
      <c r="H1584" s="33" t="str">
        <f t="shared" si="89"/>
        <v>July 26 Week 5</v>
      </c>
      <c r="I1584" s="33" t="str">
        <f>CONCATENATE(UPPER(TableAopCalendar[[#This Row],[Month]])," ",TableAopCalendar[[#This Row],[Year]])</f>
        <v>JULY 26</v>
      </c>
      <c r="J1584" s="8" t="s">
        <v>274</v>
      </c>
      <c r="K1584" s="33" t="str">
        <f>CONCATENATE(TableAopCalendar[[#This Row],[Month for Plan]]," ",TableAopCalendar[[#This Row],[Plan]])</f>
        <v>JULY 26 PLANNED</v>
      </c>
    </row>
    <row r="1585" spans="1:11" x14ac:dyDescent="0.25">
      <c r="A1585" s="33">
        <f t="shared" si="87"/>
        <v>1</v>
      </c>
      <c r="B1585" s="34">
        <v>46235</v>
      </c>
      <c r="C1585" s="7" t="s">
        <v>268</v>
      </c>
      <c r="D1585" s="35">
        <v>26</v>
      </c>
      <c r="E1585" s="33">
        <f>DAY(TableAopCalendar[[#This Row],[Date]])</f>
        <v>1</v>
      </c>
      <c r="F158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85" s="33" t="str">
        <f t="shared" si="88"/>
        <v>Week 1</v>
      </c>
      <c r="H1585" s="33" t="str">
        <f t="shared" si="89"/>
        <v>August 26 Week 1</v>
      </c>
      <c r="I1585" s="33" t="str">
        <f>CONCATENATE(UPPER(TableAopCalendar[[#This Row],[Month]])," ",TableAopCalendar[[#This Row],[Year]])</f>
        <v>AUGUST 26</v>
      </c>
      <c r="J1585" s="8" t="s">
        <v>274</v>
      </c>
      <c r="K1585" s="33" t="str">
        <f>CONCATENATE(TableAopCalendar[[#This Row],[Month for Plan]]," ",TableAopCalendar[[#This Row],[Plan]])</f>
        <v>AUGUST 26 PLANNED</v>
      </c>
    </row>
    <row r="1586" spans="1:11" x14ac:dyDescent="0.25">
      <c r="A1586" s="33">
        <f t="shared" si="87"/>
        <v>2</v>
      </c>
      <c r="B1586" s="34">
        <v>46236</v>
      </c>
      <c r="C1586" s="7" t="s">
        <v>268</v>
      </c>
      <c r="D1586" s="35">
        <v>26</v>
      </c>
      <c r="E1586" s="33">
        <f>DAY(TableAopCalendar[[#This Row],[Date]])</f>
        <v>2</v>
      </c>
      <c r="F158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86" s="33" t="str">
        <f t="shared" si="88"/>
        <v>Week 1</v>
      </c>
      <c r="H1586" s="33" t="str">
        <f t="shared" si="89"/>
        <v>August 26 Week 1</v>
      </c>
      <c r="I1586" s="33" t="str">
        <f>CONCATENATE(UPPER(TableAopCalendar[[#This Row],[Month]])," ",TableAopCalendar[[#This Row],[Year]])</f>
        <v>AUGUST 26</v>
      </c>
      <c r="J1586" s="8" t="s">
        <v>274</v>
      </c>
      <c r="K1586" s="33" t="str">
        <f>CONCATENATE(TableAopCalendar[[#This Row],[Month for Plan]]," ",TableAopCalendar[[#This Row],[Plan]])</f>
        <v>AUGUST 26 PLANNED</v>
      </c>
    </row>
    <row r="1587" spans="1:11" x14ac:dyDescent="0.25">
      <c r="A1587" s="33">
        <f t="shared" si="87"/>
        <v>3</v>
      </c>
      <c r="B1587" s="34">
        <v>46237</v>
      </c>
      <c r="C1587" s="7" t="s">
        <v>268</v>
      </c>
      <c r="D1587" s="35">
        <v>26</v>
      </c>
      <c r="E1587" s="33">
        <f>DAY(TableAopCalendar[[#This Row],[Date]])</f>
        <v>3</v>
      </c>
      <c r="F158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87" s="33" t="str">
        <f t="shared" si="88"/>
        <v>Week 1</v>
      </c>
      <c r="H1587" s="33" t="str">
        <f t="shared" si="89"/>
        <v>August 26 Week 1</v>
      </c>
      <c r="I1587" s="33" t="str">
        <f>CONCATENATE(UPPER(TableAopCalendar[[#This Row],[Month]])," ",TableAopCalendar[[#This Row],[Year]])</f>
        <v>AUGUST 26</v>
      </c>
      <c r="J1587" s="8" t="s">
        <v>274</v>
      </c>
      <c r="K1587" s="33" t="str">
        <f>CONCATENATE(TableAopCalendar[[#This Row],[Month for Plan]]," ",TableAopCalendar[[#This Row],[Plan]])</f>
        <v>AUGUST 26 PLANNED</v>
      </c>
    </row>
    <row r="1588" spans="1:11" x14ac:dyDescent="0.25">
      <c r="A1588" s="33">
        <f t="shared" si="87"/>
        <v>4</v>
      </c>
      <c r="B1588" s="34">
        <v>46238</v>
      </c>
      <c r="C1588" s="7" t="s">
        <v>268</v>
      </c>
      <c r="D1588" s="35">
        <v>26</v>
      </c>
      <c r="E1588" s="33">
        <f>DAY(TableAopCalendar[[#This Row],[Date]])</f>
        <v>4</v>
      </c>
      <c r="F158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88" s="33" t="str">
        <f t="shared" si="88"/>
        <v>Week 1</v>
      </c>
      <c r="H1588" s="33" t="str">
        <f t="shared" si="89"/>
        <v>August 26 Week 1</v>
      </c>
      <c r="I1588" s="33" t="str">
        <f>CONCATENATE(UPPER(TableAopCalendar[[#This Row],[Month]])," ",TableAopCalendar[[#This Row],[Year]])</f>
        <v>AUGUST 26</v>
      </c>
      <c r="J1588" s="8" t="s">
        <v>274</v>
      </c>
      <c r="K1588" s="33" t="str">
        <f>CONCATENATE(TableAopCalendar[[#This Row],[Month for Plan]]," ",TableAopCalendar[[#This Row],[Plan]])</f>
        <v>AUGUST 26 PLANNED</v>
      </c>
    </row>
    <row r="1589" spans="1:11" x14ac:dyDescent="0.25">
      <c r="A1589" s="33">
        <f t="shared" si="87"/>
        <v>5</v>
      </c>
      <c r="B1589" s="34">
        <v>46239</v>
      </c>
      <c r="C1589" s="7" t="s">
        <v>268</v>
      </c>
      <c r="D1589" s="35">
        <v>26</v>
      </c>
      <c r="E1589" s="33">
        <f>DAY(TableAopCalendar[[#This Row],[Date]])</f>
        <v>5</v>
      </c>
      <c r="F158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89" s="33" t="str">
        <f t="shared" si="88"/>
        <v>Week 1</v>
      </c>
      <c r="H1589" s="33" t="str">
        <f t="shared" si="89"/>
        <v>August 26 Week 1</v>
      </c>
      <c r="I1589" s="33" t="str">
        <f>CONCATENATE(UPPER(TableAopCalendar[[#This Row],[Month]])," ",TableAopCalendar[[#This Row],[Year]])</f>
        <v>AUGUST 26</v>
      </c>
      <c r="J1589" s="8" t="s">
        <v>274</v>
      </c>
      <c r="K1589" s="33" t="str">
        <f>CONCATENATE(TableAopCalendar[[#This Row],[Month for Plan]]," ",TableAopCalendar[[#This Row],[Plan]])</f>
        <v>AUGUST 26 PLANNED</v>
      </c>
    </row>
    <row r="1590" spans="1:11" x14ac:dyDescent="0.25">
      <c r="A1590" s="33">
        <f t="shared" si="87"/>
        <v>6</v>
      </c>
      <c r="B1590" s="34">
        <v>46240</v>
      </c>
      <c r="C1590" s="7" t="s">
        <v>268</v>
      </c>
      <c r="D1590" s="35">
        <v>26</v>
      </c>
      <c r="E1590" s="33">
        <f>DAY(TableAopCalendar[[#This Row],[Date]])</f>
        <v>6</v>
      </c>
      <c r="F159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90" s="33" t="str">
        <f t="shared" si="88"/>
        <v>Week 1</v>
      </c>
      <c r="H1590" s="33" t="str">
        <f t="shared" si="89"/>
        <v>August 26 Week 1</v>
      </c>
      <c r="I1590" s="33" t="str">
        <f>CONCATENATE(UPPER(TableAopCalendar[[#This Row],[Month]])," ",TableAopCalendar[[#This Row],[Year]])</f>
        <v>AUGUST 26</v>
      </c>
      <c r="J1590" s="8" t="s">
        <v>274</v>
      </c>
      <c r="K1590" s="33" t="str">
        <f>CONCATENATE(TableAopCalendar[[#This Row],[Month for Plan]]," ",TableAopCalendar[[#This Row],[Plan]])</f>
        <v>AUGUST 26 PLANNED</v>
      </c>
    </row>
    <row r="1591" spans="1:11" x14ac:dyDescent="0.25">
      <c r="A1591" s="33">
        <f t="shared" si="87"/>
        <v>7</v>
      </c>
      <c r="B1591" s="34">
        <v>46241</v>
      </c>
      <c r="C1591" s="7" t="s">
        <v>268</v>
      </c>
      <c r="D1591" s="35">
        <v>26</v>
      </c>
      <c r="E1591" s="33">
        <f>DAY(TableAopCalendar[[#This Row],[Date]])</f>
        <v>7</v>
      </c>
      <c r="F159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591" s="33" t="str">
        <f t="shared" si="88"/>
        <v>Week 1</v>
      </c>
      <c r="H1591" s="33" t="str">
        <f t="shared" si="89"/>
        <v>August 26 Week 1</v>
      </c>
      <c r="I1591" s="33" t="str">
        <f>CONCATENATE(UPPER(TableAopCalendar[[#This Row],[Month]])," ",TableAopCalendar[[#This Row],[Year]])</f>
        <v>AUGUST 26</v>
      </c>
      <c r="J1591" s="8" t="s">
        <v>274</v>
      </c>
      <c r="K1591" s="33" t="str">
        <f>CONCATENATE(TableAopCalendar[[#This Row],[Month for Plan]]," ",TableAopCalendar[[#This Row],[Plan]])</f>
        <v>AUGUST 26 PLANNED</v>
      </c>
    </row>
    <row r="1592" spans="1:11" x14ac:dyDescent="0.25">
      <c r="A1592" s="33">
        <f t="shared" si="87"/>
        <v>1</v>
      </c>
      <c r="B1592" s="34">
        <v>46242</v>
      </c>
      <c r="C1592" s="7" t="s">
        <v>268</v>
      </c>
      <c r="D1592" s="35">
        <v>26</v>
      </c>
      <c r="E1592" s="33">
        <f>DAY(TableAopCalendar[[#This Row],[Date]])</f>
        <v>8</v>
      </c>
      <c r="F159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92" s="33" t="str">
        <f t="shared" si="88"/>
        <v>Week 2</v>
      </c>
      <c r="H1592" s="33" t="str">
        <f t="shared" si="89"/>
        <v>August 26 Week 2</v>
      </c>
      <c r="I1592" s="33" t="str">
        <f>CONCATENATE(UPPER(TableAopCalendar[[#This Row],[Month]])," ",TableAopCalendar[[#This Row],[Year]])</f>
        <v>AUGUST 26</v>
      </c>
      <c r="J1592" s="8" t="s">
        <v>274</v>
      </c>
      <c r="K1592" s="33" t="str">
        <f>CONCATENATE(TableAopCalendar[[#This Row],[Month for Plan]]," ",TableAopCalendar[[#This Row],[Plan]])</f>
        <v>AUGUST 26 PLANNED</v>
      </c>
    </row>
    <row r="1593" spans="1:11" x14ac:dyDescent="0.25">
      <c r="A1593" s="33">
        <f t="shared" si="87"/>
        <v>2</v>
      </c>
      <c r="B1593" s="34">
        <v>46243</v>
      </c>
      <c r="C1593" s="7" t="s">
        <v>268</v>
      </c>
      <c r="D1593" s="35">
        <v>26</v>
      </c>
      <c r="E1593" s="33">
        <f>DAY(TableAopCalendar[[#This Row],[Date]])</f>
        <v>9</v>
      </c>
      <c r="F159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93" s="33" t="str">
        <f t="shared" si="88"/>
        <v>Week 2</v>
      </c>
      <c r="H1593" s="33" t="str">
        <f t="shared" si="89"/>
        <v>August 26 Week 2</v>
      </c>
      <c r="I1593" s="33" t="str">
        <f>CONCATENATE(UPPER(TableAopCalendar[[#This Row],[Month]])," ",TableAopCalendar[[#This Row],[Year]])</f>
        <v>AUGUST 26</v>
      </c>
      <c r="J1593" s="8" t="s">
        <v>274</v>
      </c>
      <c r="K1593" s="33" t="str">
        <f>CONCATENATE(TableAopCalendar[[#This Row],[Month for Plan]]," ",TableAopCalendar[[#This Row],[Plan]])</f>
        <v>AUGUST 26 PLANNED</v>
      </c>
    </row>
    <row r="1594" spans="1:11" x14ac:dyDescent="0.25">
      <c r="A1594" s="33">
        <f t="shared" si="87"/>
        <v>3</v>
      </c>
      <c r="B1594" s="34">
        <v>46244</v>
      </c>
      <c r="C1594" s="7" t="s">
        <v>268</v>
      </c>
      <c r="D1594" s="35">
        <v>26</v>
      </c>
      <c r="E1594" s="33">
        <f>DAY(TableAopCalendar[[#This Row],[Date]])</f>
        <v>10</v>
      </c>
      <c r="F159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94" s="33" t="str">
        <f t="shared" si="88"/>
        <v>Week 2</v>
      </c>
      <c r="H1594" s="33" t="str">
        <f t="shared" si="89"/>
        <v>August 26 Week 2</v>
      </c>
      <c r="I1594" s="33" t="str">
        <f>CONCATENATE(UPPER(TableAopCalendar[[#This Row],[Month]])," ",TableAopCalendar[[#This Row],[Year]])</f>
        <v>AUGUST 26</v>
      </c>
      <c r="J1594" s="8" t="s">
        <v>274</v>
      </c>
      <c r="K1594" s="33" t="str">
        <f>CONCATENATE(TableAopCalendar[[#This Row],[Month for Plan]]," ",TableAopCalendar[[#This Row],[Plan]])</f>
        <v>AUGUST 26 PLANNED</v>
      </c>
    </row>
    <row r="1595" spans="1:11" x14ac:dyDescent="0.25">
      <c r="A1595" s="33">
        <f t="shared" si="87"/>
        <v>4</v>
      </c>
      <c r="B1595" s="34">
        <v>46245</v>
      </c>
      <c r="C1595" s="7" t="s">
        <v>268</v>
      </c>
      <c r="D1595" s="35">
        <v>26</v>
      </c>
      <c r="E1595" s="33">
        <f>DAY(TableAopCalendar[[#This Row],[Date]])</f>
        <v>11</v>
      </c>
      <c r="F159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95" s="33" t="str">
        <f t="shared" si="88"/>
        <v>Week 2</v>
      </c>
      <c r="H1595" s="33" t="str">
        <f t="shared" si="89"/>
        <v>August 26 Week 2</v>
      </c>
      <c r="I1595" s="33" t="str">
        <f>CONCATENATE(UPPER(TableAopCalendar[[#This Row],[Month]])," ",TableAopCalendar[[#This Row],[Year]])</f>
        <v>AUGUST 26</v>
      </c>
      <c r="J1595" s="8" t="s">
        <v>274</v>
      </c>
      <c r="K1595" s="33" t="str">
        <f>CONCATENATE(TableAopCalendar[[#This Row],[Month for Plan]]," ",TableAopCalendar[[#This Row],[Plan]])</f>
        <v>AUGUST 26 PLANNED</v>
      </c>
    </row>
    <row r="1596" spans="1:11" x14ac:dyDescent="0.25">
      <c r="A1596" s="33">
        <f t="shared" si="87"/>
        <v>5</v>
      </c>
      <c r="B1596" s="34">
        <v>46246</v>
      </c>
      <c r="C1596" s="7" t="s">
        <v>268</v>
      </c>
      <c r="D1596" s="35">
        <v>26</v>
      </c>
      <c r="E1596" s="33">
        <f>DAY(TableAopCalendar[[#This Row],[Date]])</f>
        <v>12</v>
      </c>
      <c r="F159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96" s="33" t="str">
        <f t="shared" si="88"/>
        <v>Week 2</v>
      </c>
      <c r="H1596" s="33" t="str">
        <f t="shared" si="89"/>
        <v>August 26 Week 2</v>
      </c>
      <c r="I1596" s="33" t="str">
        <f>CONCATENATE(UPPER(TableAopCalendar[[#This Row],[Month]])," ",TableAopCalendar[[#This Row],[Year]])</f>
        <v>AUGUST 26</v>
      </c>
      <c r="J1596" s="8" t="s">
        <v>274</v>
      </c>
      <c r="K1596" s="33" t="str">
        <f>CONCATENATE(TableAopCalendar[[#This Row],[Month for Plan]]," ",TableAopCalendar[[#This Row],[Plan]])</f>
        <v>AUGUST 26 PLANNED</v>
      </c>
    </row>
    <row r="1597" spans="1:11" x14ac:dyDescent="0.25">
      <c r="A1597" s="33">
        <f t="shared" si="87"/>
        <v>6</v>
      </c>
      <c r="B1597" s="34">
        <v>46247</v>
      </c>
      <c r="C1597" s="7" t="s">
        <v>268</v>
      </c>
      <c r="D1597" s="35">
        <v>26</v>
      </c>
      <c r="E1597" s="33">
        <f>DAY(TableAopCalendar[[#This Row],[Date]])</f>
        <v>13</v>
      </c>
      <c r="F159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97" s="33" t="str">
        <f t="shared" si="88"/>
        <v>Week 2</v>
      </c>
      <c r="H1597" s="33" t="str">
        <f t="shared" si="89"/>
        <v>August 26 Week 2</v>
      </c>
      <c r="I1597" s="33" t="str">
        <f>CONCATENATE(UPPER(TableAopCalendar[[#This Row],[Month]])," ",TableAopCalendar[[#This Row],[Year]])</f>
        <v>AUGUST 26</v>
      </c>
      <c r="J1597" s="8" t="s">
        <v>274</v>
      </c>
      <c r="K1597" s="33" t="str">
        <f>CONCATENATE(TableAopCalendar[[#This Row],[Month for Plan]]," ",TableAopCalendar[[#This Row],[Plan]])</f>
        <v>AUGUST 26 PLANNED</v>
      </c>
    </row>
    <row r="1598" spans="1:11" x14ac:dyDescent="0.25">
      <c r="A1598" s="33">
        <f t="shared" si="87"/>
        <v>7</v>
      </c>
      <c r="B1598" s="34">
        <v>46248</v>
      </c>
      <c r="C1598" s="7" t="s">
        <v>268</v>
      </c>
      <c r="D1598" s="35">
        <v>26</v>
      </c>
      <c r="E1598" s="33">
        <f>DAY(TableAopCalendar[[#This Row],[Date]])</f>
        <v>14</v>
      </c>
      <c r="F159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598" s="33" t="str">
        <f t="shared" si="88"/>
        <v>Week 2</v>
      </c>
      <c r="H1598" s="33" t="str">
        <f t="shared" si="89"/>
        <v>August 26 Week 2</v>
      </c>
      <c r="I1598" s="33" t="str">
        <f>CONCATENATE(UPPER(TableAopCalendar[[#This Row],[Month]])," ",TableAopCalendar[[#This Row],[Year]])</f>
        <v>AUGUST 26</v>
      </c>
      <c r="J1598" s="8" t="s">
        <v>274</v>
      </c>
      <c r="K1598" s="33" t="str">
        <f>CONCATENATE(TableAopCalendar[[#This Row],[Month for Plan]]," ",TableAopCalendar[[#This Row],[Plan]])</f>
        <v>AUGUST 26 PLANNED</v>
      </c>
    </row>
    <row r="1599" spans="1:11" x14ac:dyDescent="0.25">
      <c r="A1599" s="33">
        <f t="shared" si="87"/>
        <v>1</v>
      </c>
      <c r="B1599" s="34">
        <v>46249</v>
      </c>
      <c r="C1599" s="7" t="s">
        <v>268</v>
      </c>
      <c r="D1599" s="35">
        <v>26</v>
      </c>
      <c r="E1599" s="33">
        <f>DAY(TableAopCalendar[[#This Row],[Date]])</f>
        <v>15</v>
      </c>
      <c r="F159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599" s="33" t="str">
        <f t="shared" si="88"/>
        <v>Week 3</v>
      </c>
      <c r="H1599" s="33" t="str">
        <f t="shared" si="89"/>
        <v>August 26 Week 3</v>
      </c>
      <c r="I1599" s="33" t="str">
        <f>CONCATENATE(UPPER(TableAopCalendar[[#This Row],[Month]])," ",TableAopCalendar[[#This Row],[Year]])</f>
        <v>AUGUST 26</v>
      </c>
      <c r="J1599" s="8" t="s">
        <v>274</v>
      </c>
      <c r="K1599" s="33" t="str">
        <f>CONCATENATE(TableAopCalendar[[#This Row],[Month for Plan]]," ",TableAopCalendar[[#This Row],[Plan]])</f>
        <v>AUGUST 26 PLANNED</v>
      </c>
    </row>
    <row r="1600" spans="1:11" x14ac:dyDescent="0.25">
      <c r="A1600" s="33">
        <f t="shared" si="87"/>
        <v>2</v>
      </c>
      <c r="B1600" s="34">
        <v>46250</v>
      </c>
      <c r="C1600" s="7" t="s">
        <v>268</v>
      </c>
      <c r="D1600" s="35">
        <v>26</v>
      </c>
      <c r="E1600" s="33">
        <f>DAY(TableAopCalendar[[#This Row],[Date]])</f>
        <v>16</v>
      </c>
      <c r="F160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00" s="33" t="str">
        <f t="shared" si="88"/>
        <v>Week 3</v>
      </c>
      <c r="H1600" s="33" t="str">
        <f t="shared" si="89"/>
        <v>August 26 Week 3</v>
      </c>
      <c r="I1600" s="33" t="str">
        <f>CONCATENATE(UPPER(TableAopCalendar[[#This Row],[Month]])," ",TableAopCalendar[[#This Row],[Year]])</f>
        <v>AUGUST 26</v>
      </c>
      <c r="J1600" s="8" t="s">
        <v>274</v>
      </c>
      <c r="K1600" s="33" t="str">
        <f>CONCATENATE(TableAopCalendar[[#This Row],[Month for Plan]]," ",TableAopCalendar[[#This Row],[Plan]])</f>
        <v>AUGUST 26 PLANNED</v>
      </c>
    </row>
    <row r="1601" spans="1:11" x14ac:dyDescent="0.25">
      <c r="A1601" s="33">
        <f t="shared" si="87"/>
        <v>3</v>
      </c>
      <c r="B1601" s="34">
        <v>46251</v>
      </c>
      <c r="C1601" s="7" t="s">
        <v>268</v>
      </c>
      <c r="D1601" s="35">
        <v>26</v>
      </c>
      <c r="E1601" s="33">
        <f>DAY(TableAopCalendar[[#This Row],[Date]])</f>
        <v>17</v>
      </c>
      <c r="F160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01" s="33" t="str">
        <f t="shared" si="88"/>
        <v>Week 3</v>
      </c>
      <c r="H1601" s="33" t="str">
        <f t="shared" si="89"/>
        <v>August 26 Week 3</v>
      </c>
      <c r="I1601" s="33" t="str">
        <f>CONCATENATE(UPPER(TableAopCalendar[[#This Row],[Month]])," ",TableAopCalendar[[#This Row],[Year]])</f>
        <v>AUGUST 26</v>
      </c>
      <c r="J1601" s="8" t="s">
        <v>274</v>
      </c>
      <c r="K1601" s="33" t="str">
        <f>CONCATENATE(TableAopCalendar[[#This Row],[Month for Plan]]," ",TableAopCalendar[[#This Row],[Plan]])</f>
        <v>AUGUST 26 PLANNED</v>
      </c>
    </row>
    <row r="1602" spans="1:11" x14ac:dyDescent="0.25">
      <c r="A1602" s="33">
        <f t="shared" si="87"/>
        <v>4</v>
      </c>
      <c r="B1602" s="34">
        <v>46252</v>
      </c>
      <c r="C1602" s="7" t="s">
        <v>268</v>
      </c>
      <c r="D1602" s="35">
        <v>26</v>
      </c>
      <c r="E1602" s="33">
        <f>DAY(TableAopCalendar[[#This Row],[Date]])</f>
        <v>18</v>
      </c>
      <c r="F160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02" s="33" t="str">
        <f t="shared" si="88"/>
        <v>Week 3</v>
      </c>
      <c r="H1602" s="33" t="str">
        <f t="shared" si="89"/>
        <v>August 26 Week 3</v>
      </c>
      <c r="I1602" s="33" t="str">
        <f>CONCATENATE(UPPER(TableAopCalendar[[#This Row],[Month]])," ",TableAopCalendar[[#This Row],[Year]])</f>
        <v>AUGUST 26</v>
      </c>
      <c r="J1602" s="8" t="s">
        <v>274</v>
      </c>
      <c r="K1602" s="33" t="str">
        <f>CONCATENATE(TableAopCalendar[[#This Row],[Month for Plan]]," ",TableAopCalendar[[#This Row],[Plan]])</f>
        <v>AUGUST 26 PLANNED</v>
      </c>
    </row>
    <row r="1603" spans="1:11" x14ac:dyDescent="0.25">
      <c r="A1603" s="33">
        <f t="shared" si="87"/>
        <v>5</v>
      </c>
      <c r="B1603" s="34">
        <v>46253</v>
      </c>
      <c r="C1603" s="7" t="s">
        <v>268</v>
      </c>
      <c r="D1603" s="35">
        <v>26</v>
      </c>
      <c r="E1603" s="33">
        <f>DAY(TableAopCalendar[[#This Row],[Date]])</f>
        <v>19</v>
      </c>
      <c r="F160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03" s="33" t="str">
        <f t="shared" si="88"/>
        <v>Week 3</v>
      </c>
      <c r="H1603" s="33" t="str">
        <f t="shared" si="89"/>
        <v>August 26 Week 3</v>
      </c>
      <c r="I1603" s="33" t="str">
        <f>CONCATENATE(UPPER(TableAopCalendar[[#This Row],[Month]])," ",TableAopCalendar[[#This Row],[Year]])</f>
        <v>AUGUST 26</v>
      </c>
      <c r="J1603" s="8" t="s">
        <v>274</v>
      </c>
      <c r="K1603" s="33" t="str">
        <f>CONCATENATE(TableAopCalendar[[#This Row],[Month for Plan]]," ",TableAopCalendar[[#This Row],[Plan]])</f>
        <v>AUGUST 26 PLANNED</v>
      </c>
    </row>
    <row r="1604" spans="1:11" x14ac:dyDescent="0.25">
      <c r="A1604" s="33">
        <f t="shared" si="87"/>
        <v>6</v>
      </c>
      <c r="B1604" s="34">
        <v>46254</v>
      </c>
      <c r="C1604" s="7" t="s">
        <v>268</v>
      </c>
      <c r="D1604" s="35">
        <v>26</v>
      </c>
      <c r="E1604" s="33">
        <f>DAY(TableAopCalendar[[#This Row],[Date]])</f>
        <v>20</v>
      </c>
      <c r="F160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04" s="33" t="str">
        <f t="shared" si="88"/>
        <v>Week 3</v>
      </c>
      <c r="H1604" s="33" t="str">
        <f t="shared" si="89"/>
        <v>August 26 Week 3</v>
      </c>
      <c r="I1604" s="33" t="str">
        <f>CONCATENATE(UPPER(TableAopCalendar[[#This Row],[Month]])," ",TableAopCalendar[[#This Row],[Year]])</f>
        <v>AUGUST 26</v>
      </c>
      <c r="J1604" s="8" t="s">
        <v>274</v>
      </c>
      <c r="K1604" s="33" t="str">
        <f>CONCATENATE(TableAopCalendar[[#This Row],[Month for Plan]]," ",TableAopCalendar[[#This Row],[Plan]])</f>
        <v>AUGUST 26 PLANNED</v>
      </c>
    </row>
    <row r="1605" spans="1:11" x14ac:dyDescent="0.25">
      <c r="A1605" s="33">
        <f t="shared" si="87"/>
        <v>7</v>
      </c>
      <c r="B1605" s="34">
        <v>46255</v>
      </c>
      <c r="C1605" s="7" t="s">
        <v>268</v>
      </c>
      <c r="D1605" s="35">
        <v>26</v>
      </c>
      <c r="E1605" s="33">
        <f>DAY(TableAopCalendar[[#This Row],[Date]])</f>
        <v>21</v>
      </c>
      <c r="F160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05" s="33" t="str">
        <f t="shared" si="88"/>
        <v>Week 3</v>
      </c>
      <c r="H1605" s="33" t="str">
        <f t="shared" si="89"/>
        <v>August 26 Week 3</v>
      </c>
      <c r="I1605" s="33" t="str">
        <f>CONCATENATE(UPPER(TableAopCalendar[[#This Row],[Month]])," ",TableAopCalendar[[#This Row],[Year]])</f>
        <v>AUGUST 26</v>
      </c>
      <c r="J1605" s="8" t="s">
        <v>274</v>
      </c>
      <c r="K1605" s="33" t="str">
        <f>CONCATENATE(TableAopCalendar[[#This Row],[Month for Plan]]," ",TableAopCalendar[[#This Row],[Plan]])</f>
        <v>AUGUST 26 PLANNED</v>
      </c>
    </row>
    <row r="1606" spans="1:11" x14ac:dyDescent="0.25">
      <c r="A1606" s="33">
        <f t="shared" si="87"/>
        <v>1</v>
      </c>
      <c r="B1606" s="34">
        <v>46256</v>
      </c>
      <c r="C1606" s="7" t="s">
        <v>268</v>
      </c>
      <c r="D1606" s="35">
        <v>26</v>
      </c>
      <c r="E1606" s="33">
        <f>DAY(TableAopCalendar[[#This Row],[Date]])</f>
        <v>22</v>
      </c>
      <c r="F160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06" s="33" t="str">
        <f t="shared" si="88"/>
        <v>Week 4</v>
      </c>
      <c r="H1606" s="33" t="str">
        <f t="shared" si="89"/>
        <v>August 26 Week 4</v>
      </c>
      <c r="I1606" s="33" t="str">
        <f>CONCATENATE(UPPER(TableAopCalendar[[#This Row],[Month]])," ",TableAopCalendar[[#This Row],[Year]])</f>
        <v>AUGUST 26</v>
      </c>
      <c r="J1606" s="8" t="s">
        <v>274</v>
      </c>
      <c r="K1606" s="33" t="str">
        <f>CONCATENATE(TableAopCalendar[[#This Row],[Month for Plan]]," ",TableAopCalendar[[#This Row],[Plan]])</f>
        <v>AUGUST 26 PLANNED</v>
      </c>
    </row>
    <row r="1607" spans="1:11" x14ac:dyDescent="0.25">
      <c r="A1607" s="33">
        <f t="shared" si="87"/>
        <v>2</v>
      </c>
      <c r="B1607" s="34">
        <v>46257</v>
      </c>
      <c r="C1607" s="7" t="s">
        <v>268</v>
      </c>
      <c r="D1607" s="35">
        <v>26</v>
      </c>
      <c r="E1607" s="33">
        <f>DAY(TableAopCalendar[[#This Row],[Date]])</f>
        <v>23</v>
      </c>
      <c r="F160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07" s="33" t="str">
        <f t="shared" si="88"/>
        <v>Week 4</v>
      </c>
      <c r="H1607" s="33" t="str">
        <f t="shared" si="89"/>
        <v>August 26 Week 4</v>
      </c>
      <c r="I1607" s="33" t="str">
        <f>CONCATENATE(UPPER(TableAopCalendar[[#This Row],[Month]])," ",TableAopCalendar[[#This Row],[Year]])</f>
        <v>AUGUST 26</v>
      </c>
      <c r="J1607" s="8" t="s">
        <v>274</v>
      </c>
      <c r="K1607" s="33" t="str">
        <f>CONCATENATE(TableAopCalendar[[#This Row],[Month for Plan]]," ",TableAopCalendar[[#This Row],[Plan]])</f>
        <v>AUGUST 26 PLANNED</v>
      </c>
    </row>
    <row r="1608" spans="1:11" x14ac:dyDescent="0.25">
      <c r="A1608" s="33">
        <f t="shared" si="87"/>
        <v>3</v>
      </c>
      <c r="B1608" s="34">
        <v>46258</v>
      </c>
      <c r="C1608" s="7" t="s">
        <v>268</v>
      </c>
      <c r="D1608" s="35">
        <v>26</v>
      </c>
      <c r="E1608" s="33">
        <f>DAY(TableAopCalendar[[#This Row],[Date]])</f>
        <v>24</v>
      </c>
      <c r="F160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08" s="33" t="str">
        <f t="shared" si="88"/>
        <v>Week 4</v>
      </c>
      <c r="H1608" s="33" t="str">
        <f t="shared" si="89"/>
        <v>August 26 Week 4</v>
      </c>
      <c r="I1608" s="33" t="str">
        <f>CONCATENATE(UPPER(TableAopCalendar[[#This Row],[Month]])," ",TableAopCalendar[[#This Row],[Year]])</f>
        <v>AUGUST 26</v>
      </c>
      <c r="J1608" s="8" t="s">
        <v>274</v>
      </c>
      <c r="K1608" s="33" t="str">
        <f>CONCATENATE(TableAopCalendar[[#This Row],[Month for Plan]]," ",TableAopCalendar[[#This Row],[Plan]])</f>
        <v>AUGUST 26 PLANNED</v>
      </c>
    </row>
    <row r="1609" spans="1:11" x14ac:dyDescent="0.25">
      <c r="A1609" s="33">
        <f t="shared" si="87"/>
        <v>4</v>
      </c>
      <c r="B1609" s="34">
        <v>46259</v>
      </c>
      <c r="C1609" s="7" t="s">
        <v>268</v>
      </c>
      <c r="D1609" s="35">
        <v>26</v>
      </c>
      <c r="E1609" s="33">
        <f>DAY(TableAopCalendar[[#This Row],[Date]])</f>
        <v>25</v>
      </c>
      <c r="F160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09" s="33" t="str">
        <f t="shared" si="88"/>
        <v>Week 4</v>
      </c>
      <c r="H1609" s="33" t="str">
        <f t="shared" si="89"/>
        <v>August 26 Week 4</v>
      </c>
      <c r="I1609" s="33" t="str">
        <f>CONCATENATE(UPPER(TableAopCalendar[[#This Row],[Month]])," ",TableAopCalendar[[#This Row],[Year]])</f>
        <v>AUGUST 26</v>
      </c>
      <c r="J1609" s="8" t="s">
        <v>274</v>
      </c>
      <c r="K1609" s="33" t="str">
        <f>CONCATENATE(TableAopCalendar[[#This Row],[Month for Plan]]," ",TableAopCalendar[[#This Row],[Plan]])</f>
        <v>AUGUST 26 PLANNED</v>
      </c>
    </row>
    <row r="1610" spans="1:11" x14ac:dyDescent="0.25">
      <c r="A1610" s="33">
        <f t="shared" si="87"/>
        <v>5</v>
      </c>
      <c r="B1610" s="34">
        <v>46260</v>
      </c>
      <c r="C1610" s="7" t="s">
        <v>268</v>
      </c>
      <c r="D1610" s="35">
        <v>26</v>
      </c>
      <c r="E1610" s="33">
        <f>DAY(TableAopCalendar[[#This Row],[Date]])</f>
        <v>26</v>
      </c>
      <c r="F161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10" s="33" t="str">
        <f t="shared" si="88"/>
        <v>Week 4</v>
      </c>
      <c r="H1610" s="33" t="str">
        <f t="shared" si="89"/>
        <v>August 26 Week 4</v>
      </c>
      <c r="I1610" s="33" t="str">
        <f>CONCATENATE(UPPER(TableAopCalendar[[#This Row],[Month]])," ",TableAopCalendar[[#This Row],[Year]])</f>
        <v>AUGUST 26</v>
      </c>
      <c r="J1610" s="8" t="s">
        <v>274</v>
      </c>
      <c r="K1610" s="33" t="str">
        <f>CONCATENATE(TableAopCalendar[[#This Row],[Month for Plan]]," ",TableAopCalendar[[#This Row],[Plan]])</f>
        <v>AUGUST 26 PLANNED</v>
      </c>
    </row>
    <row r="1611" spans="1:11" x14ac:dyDescent="0.25">
      <c r="A1611" s="33">
        <f t="shared" ref="A1611:A1674" si="90">IF(G1611=G1610,A1610+1,1)</f>
        <v>6</v>
      </c>
      <c r="B1611" s="34">
        <v>46261</v>
      </c>
      <c r="C1611" s="7" t="s">
        <v>268</v>
      </c>
      <c r="D1611" s="35">
        <v>26</v>
      </c>
      <c r="E1611" s="33">
        <f>DAY(TableAopCalendar[[#This Row],[Date]])</f>
        <v>27</v>
      </c>
      <c r="F161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11" s="33" t="str">
        <f t="shared" ref="G1611:G1674" si="91">"Week"&amp;" "&amp;F1611</f>
        <v>Week 4</v>
      </c>
      <c r="H1611" s="33" t="str">
        <f t="shared" ref="H1611:H1674" si="92">CONCATENATE(C1611," ",D1611," ",G1611)</f>
        <v>August 26 Week 4</v>
      </c>
      <c r="I1611" s="33" t="str">
        <f>CONCATENATE(UPPER(TableAopCalendar[[#This Row],[Month]])," ",TableAopCalendar[[#This Row],[Year]])</f>
        <v>AUGUST 26</v>
      </c>
      <c r="J1611" s="8" t="s">
        <v>274</v>
      </c>
      <c r="K1611" s="33" t="str">
        <f>CONCATENATE(TableAopCalendar[[#This Row],[Month for Plan]]," ",TableAopCalendar[[#This Row],[Plan]])</f>
        <v>AUGUST 26 PLANNED</v>
      </c>
    </row>
    <row r="1612" spans="1:11" x14ac:dyDescent="0.25">
      <c r="A1612" s="33">
        <f t="shared" si="90"/>
        <v>7</v>
      </c>
      <c r="B1612" s="34">
        <v>46262</v>
      </c>
      <c r="C1612" s="7" t="s">
        <v>268</v>
      </c>
      <c r="D1612" s="35">
        <v>26</v>
      </c>
      <c r="E1612" s="33">
        <f>DAY(TableAopCalendar[[#This Row],[Date]])</f>
        <v>28</v>
      </c>
      <c r="F161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12" s="33" t="str">
        <f t="shared" si="91"/>
        <v>Week 4</v>
      </c>
      <c r="H1612" s="33" t="str">
        <f t="shared" si="92"/>
        <v>August 26 Week 4</v>
      </c>
      <c r="I1612" s="33" t="str">
        <f>CONCATENATE(UPPER(TableAopCalendar[[#This Row],[Month]])," ",TableAopCalendar[[#This Row],[Year]])</f>
        <v>AUGUST 26</v>
      </c>
      <c r="J1612" s="8" t="s">
        <v>274</v>
      </c>
      <c r="K1612" s="33" t="str">
        <f>CONCATENATE(TableAopCalendar[[#This Row],[Month for Plan]]," ",TableAopCalendar[[#This Row],[Plan]])</f>
        <v>AUGUST 26 PLANNED</v>
      </c>
    </row>
    <row r="1613" spans="1:11" x14ac:dyDescent="0.25">
      <c r="A1613" s="33">
        <f t="shared" si="90"/>
        <v>1</v>
      </c>
      <c r="B1613" s="34">
        <v>46263</v>
      </c>
      <c r="C1613" s="7" t="s">
        <v>268</v>
      </c>
      <c r="D1613" s="35">
        <v>26</v>
      </c>
      <c r="E1613" s="33">
        <f>DAY(TableAopCalendar[[#This Row],[Date]])</f>
        <v>29</v>
      </c>
      <c r="F1613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13" s="33" t="str">
        <f t="shared" si="91"/>
        <v>Week 5</v>
      </c>
      <c r="H1613" s="33" t="str">
        <f t="shared" si="92"/>
        <v>August 26 Week 5</v>
      </c>
      <c r="I1613" s="33" t="str">
        <f>CONCATENATE(UPPER(TableAopCalendar[[#This Row],[Month]])," ",TableAopCalendar[[#This Row],[Year]])</f>
        <v>AUGUST 26</v>
      </c>
      <c r="J1613" s="8" t="s">
        <v>274</v>
      </c>
      <c r="K1613" s="33" t="str">
        <f>CONCATENATE(TableAopCalendar[[#This Row],[Month for Plan]]," ",TableAopCalendar[[#This Row],[Plan]])</f>
        <v>AUGUST 26 PLANNED</v>
      </c>
    </row>
    <row r="1614" spans="1:11" x14ac:dyDescent="0.25">
      <c r="A1614" s="33">
        <f t="shared" si="90"/>
        <v>2</v>
      </c>
      <c r="B1614" s="34">
        <v>46264</v>
      </c>
      <c r="C1614" s="7" t="s">
        <v>268</v>
      </c>
      <c r="D1614" s="35">
        <v>26</v>
      </c>
      <c r="E1614" s="33">
        <f>DAY(TableAopCalendar[[#This Row],[Date]])</f>
        <v>30</v>
      </c>
      <c r="F1614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14" s="33" t="str">
        <f t="shared" si="91"/>
        <v>Week 5</v>
      </c>
      <c r="H1614" s="33" t="str">
        <f t="shared" si="92"/>
        <v>August 26 Week 5</v>
      </c>
      <c r="I1614" s="33" t="str">
        <f>CONCATENATE(UPPER(TableAopCalendar[[#This Row],[Month]])," ",TableAopCalendar[[#This Row],[Year]])</f>
        <v>AUGUST 26</v>
      </c>
      <c r="J1614" s="8" t="s">
        <v>274</v>
      </c>
      <c r="K1614" s="33" t="str">
        <f>CONCATENATE(TableAopCalendar[[#This Row],[Month for Plan]]," ",TableAopCalendar[[#This Row],[Plan]])</f>
        <v>AUGUST 26 PLANNED</v>
      </c>
    </row>
    <row r="1615" spans="1:11" x14ac:dyDescent="0.25">
      <c r="A1615" s="33">
        <f t="shared" si="90"/>
        <v>3</v>
      </c>
      <c r="B1615" s="34">
        <v>46265</v>
      </c>
      <c r="C1615" s="7" t="s">
        <v>268</v>
      </c>
      <c r="D1615" s="35">
        <v>26</v>
      </c>
      <c r="E1615" s="33">
        <f>DAY(TableAopCalendar[[#This Row],[Date]])</f>
        <v>31</v>
      </c>
      <c r="F1615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15" s="33" t="str">
        <f t="shared" si="91"/>
        <v>Week 5</v>
      </c>
      <c r="H1615" s="33" t="str">
        <f t="shared" si="92"/>
        <v>August 26 Week 5</v>
      </c>
      <c r="I1615" s="33" t="str">
        <f>CONCATENATE(UPPER(TableAopCalendar[[#This Row],[Month]])," ",TableAopCalendar[[#This Row],[Year]])</f>
        <v>AUGUST 26</v>
      </c>
      <c r="J1615" s="8" t="s">
        <v>274</v>
      </c>
      <c r="K1615" s="33" t="str">
        <f>CONCATENATE(TableAopCalendar[[#This Row],[Month for Plan]]," ",TableAopCalendar[[#This Row],[Plan]])</f>
        <v>AUGUST 26 PLANNED</v>
      </c>
    </row>
    <row r="1616" spans="1:11" x14ac:dyDescent="0.25">
      <c r="A1616" s="33">
        <f t="shared" si="90"/>
        <v>1</v>
      </c>
      <c r="B1616" s="34">
        <v>46266</v>
      </c>
      <c r="C1616" s="7" t="s">
        <v>269</v>
      </c>
      <c r="D1616" s="35">
        <v>26</v>
      </c>
      <c r="E1616" s="33">
        <f>DAY(TableAopCalendar[[#This Row],[Date]])</f>
        <v>1</v>
      </c>
      <c r="F161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16" s="33" t="str">
        <f t="shared" si="91"/>
        <v>Week 1</v>
      </c>
      <c r="H1616" s="33" t="str">
        <f t="shared" si="92"/>
        <v>September 26 Week 1</v>
      </c>
      <c r="I1616" s="33" t="str">
        <f>CONCATENATE(UPPER(TableAopCalendar[[#This Row],[Month]])," ",TableAopCalendar[[#This Row],[Year]])</f>
        <v>SEPTEMBER 26</v>
      </c>
      <c r="J1616" s="8" t="s">
        <v>274</v>
      </c>
      <c r="K1616" s="33" t="str">
        <f>CONCATENATE(TableAopCalendar[[#This Row],[Month for Plan]]," ",TableAopCalendar[[#This Row],[Plan]])</f>
        <v>SEPTEMBER 26 PLANNED</v>
      </c>
    </row>
    <row r="1617" spans="1:11" x14ac:dyDescent="0.25">
      <c r="A1617" s="33">
        <f t="shared" si="90"/>
        <v>2</v>
      </c>
      <c r="B1617" s="34">
        <v>46267</v>
      </c>
      <c r="C1617" s="7" t="s">
        <v>269</v>
      </c>
      <c r="D1617" s="35">
        <v>26</v>
      </c>
      <c r="E1617" s="33">
        <f>DAY(TableAopCalendar[[#This Row],[Date]])</f>
        <v>2</v>
      </c>
      <c r="F161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17" s="33" t="str">
        <f t="shared" si="91"/>
        <v>Week 1</v>
      </c>
      <c r="H1617" s="33" t="str">
        <f t="shared" si="92"/>
        <v>September 26 Week 1</v>
      </c>
      <c r="I1617" s="33" t="str">
        <f>CONCATENATE(UPPER(TableAopCalendar[[#This Row],[Month]])," ",TableAopCalendar[[#This Row],[Year]])</f>
        <v>SEPTEMBER 26</v>
      </c>
      <c r="J1617" s="8" t="s">
        <v>274</v>
      </c>
      <c r="K1617" s="33" t="str">
        <f>CONCATENATE(TableAopCalendar[[#This Row],[Month for Plan]]," ",TableAopCalendar[[#This Row],[Plan]])</f>
        <v>SEPTEMBER 26 PLANNED</v>
      </c>
    </row>
    <row r="1618" spans="1:11" x14ac:dyDescent="0.25">
      <c r="A1618" s="33">
        <f t="shared" si="90"/>
        <v>3</v>
      </c>
      <c r="B1618" s="34">
        <v>46268</v>
      </c>
      <c r="C1618" s="7" t="s">
        <v>269</v>
      </c>
      <c r="D1618" s="35">
        <v>26</v>
      </c>
      <c r="E1618" s="33">
        <f>DAY(TableAopCalendar[[#This Row],[Date]])</f>
        <v>3</v>
      </c>
      <c r="F161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18" s="33" t="str">
        <f t="shared" si="91"/>
        <v>Week 1</v>
      </c>
      <c r="H1618" s="33" t="str">
        <f t="shared" si="92"/>
        <v>September 26 Week 1</v>
      </c>
      <c r="I1618" s="33" t="str">
        <f>CONCATENATE(UPPER(TableAopCalendar[[#This Row],[Month]])," ",TableAopCalendar[[#This Row],[Year]])</f>
        <v>SEPTEMBER 26</v>
      </c>
      <c r="J1618" s="8" t="s">
        <v>274</v>
      </c>
      <c r="K1618" s="33" t="str">
        <f>CONCATENATE(TableAopCalendar[[#This Row],[Month for Plan]]," ",TableAopCalendar[[#This Row],[Plan]])</f>
        <v>SEPTEMBER 26 PLANNED</v>
      </c>
    </row>
    <row r="1619" spans="1:11" x14ac:dyDescent="0.25">
      <c r="A1619" s="33">
        <f t="shared" si="90"/>
        <v>4</v>
      </c>
      <c r="B1619" s="34">
        <v>46269</v>
      </c>
      <c r="C1619" s="7" t="s">
        <v>269</v>
      </c>
      <c r="D1619" s="35">
        <v>26</v>
      </c>
      <c r="E1619" s="33">
        <f>DAY(TableAopCalendar[[#This Row],[Date]])</f>
        <v>4</v>
      </c>
      <c r="F161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19" s="33" t="str">
        <f t="shared" si="91"/>
        <v>Week 1</v>
      </c>
      <c r="H1619" s="33" t="str">
        <f t="shared" si="92"/>
        <v>September 26 Week 1</v>
      </c>
      <c r="I1619" s="33" t="str">
        <f>CONCATENATE(UPPER(TableAopCalendar[[#This Row],[Month]])," ",TableAopCalendar[[#This Row],[Year]])</f>
        <v>SEPTEMBER 26</v>
      </c>
      <c r="J1619" s="8" t="s">
        <v>274</v>
      </c>
      <c r="K1619" s="33" t="str">
        <f>CONCATENATE(TableAopCalendar[[#This Row],[Month for Plan]]," ",TableAopCalendar[[#This Row],[Plan]])</f>
        <v>SEPTEMBER 26 PLANNED</v>
      </c>
    </row>
    <row r="1620" spans="1:11" x14ac:dyDescent="0.25">
      <c r="A1620" s="33">
        <f t="shared" si="90"/>
        <v>5</v>
      </c>
      <c r="B1620" s="34">
        <v>46270</v>
      </c>
      <c r="C1620" s="7" t="s">
        <v>269</v>
      </c>
      <c r="D1620" s="35">
        <v>26</v>
      </c>
      <c r="E1620" s="33">
        <f>DAY(TableAopCalendar[[#This Row],[Date]])</f>
        <v>5</v>
      </c>
      <c r="F162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20" s="33" t="str">
        <f t="shared" si="91"/>
        <v>Week 1</v>
      </c>
      <c r="H1620" s="33" t="str">
        <f t="shared" si="92"/>
        <v>September 26 Week 1</v>
      </c>
      <c r="I1620" s="33" t="str">
        <f>CONCATENATE(UPPER(TableAopCalendar[[#This Row],[Month]])," ",TableAopCalendar[[#This Row],[Year]])</f>
        <v>SEPTEMBER 26</v>
      </c>
      <c r="J1620" s="8" t="s">
        <v>274</v>
      </c>
      <c r="K1620" s="33" t="str">
        <f>CONCATENATE(TableAopCalendar[[#This Row],[Month for Plan]]," ",TableAopCalendar[[#This Row],[Plan]])</f>
        <v>SEPTEMBER 26 PLANNED</v>
      </c>
    </row>
    <row r="1621" spans="1:11" x14ac:dyDescent="0.25">
      <c r="A1621" s="33">
        <f t="shared" si="90"/>
        <v>6</v>
      </c>
      <c r="B1621" s="34">
        <v>46271</v>
      </c>
      <c r="C1621" s="7" t="s">
        <v>269</v>
      </c>
      <c r="D1621" s="35">
        <v>26</v>
      </c>
      <c r="E1621" s="33">
        <f>DAY(TableAopCalendar[[#This Row],[Date]])</f>
        <v>6</v>
      </c>
      <c r="F162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21" s="33" t="str">
        <f t="shared" si="91"/>
        <v>Week 1</v>
      </c>
      <c r="H1621" s="33" t="str">
        <f t="shared" si="92"/>
        <v>September 26 Week 1</v>
      </c>
      <c r="I1621" s="33" t="str">
        <f>CONCATENATE(UPPER(TableAopCalendar[[#This Row],[Month]])," ",TableAopCalendar[[#This Row],[Year]])</f>
        <v>SEPTEMBER 26</v>
      </c>
      <c r="J1621" s="8" t="s">
        <v>274</v>
      </c>
      <c r="K1621" s="33" t="str">
        <f>CONCATENATE(TableAopCalendar[[#This Row],[Month for Plan]]," ",TableAopCalendar[[#This Row],[Plan]])</f>
        <v>SEPTEMBER 26 PLANNED</v>
      </c>
    </row>
    <row r="1622" spans="1:11" x14ac:dyDescent="0.25">
      <c r="A1622" s="33">
        <f t="shared" si="90"/>
        <v>7</v>
      </c>
      <c r="B1622" s="34">
        <v>46272</v>
      </c>
      <c r="C1622" s="7" t="s">
        <v>269</v>
      </c>
      <c r="D1622" s="35">
        <v>26</v>
      </c>
      <c r="E1622" s="33">
        <f>DAY(TableAopCalendar[[#This Row],[Date]])</f>
        <v>7</v>
      </c>
      <c r="F162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22" s="33" t="str">
        <f t="shared" si="91"/>
        <v>Week 1</v>
      </c>
      <c r="H1622" s="33" t="str">
        <f t="shared" si="92"/>
        <v>September 26 Week 1</v>
      </c>
      <c r="I1622" s="33" t="str">
        <f>CONCATENATE(UPPER(TableAopCalendar[[#This Row],[Month]])," ",TableAopCalendar[[#This Row],[Year]])</f>
        <v>SEPTEMBER 26</v>
      </c>
      <c r="J1622" s="8" t="s">
        <v>274</v>
      </c>
      <c r="K1622" s="33" t="str">
        <f>CONCATENATE(TableAopCalendar[[#This Row],[Month for Plan]]," ",TableAopCalendar[[#This Row],[Plan]])</f>
        <v>SEPTEMBER 26 PLANNED</v>
      </c>
    </row>
    <row r="1623" spans="1:11" x14ac:dyDescent="0.25">
      <c r="A1623" s="33">
        <f t="shared" si="90"/>
        <v>1</v>
      </c>
      <c r="B1623" s="34">
        <v>46273</v>
      </c>
      <c r="C1623" s="7" t="s">
        <v>269</v>
      </c>
      <c r="D1623" s="35">
        <v>26</v>
      </c>
      <c r="E1623" s="33">
        <f>DAY(TableAopCalendar[[#This Row],[Date]])</f>
        <v>8</v>
      </c>
      <c r="F162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3" s="33" t="str">
        <f t="shared" si="91"/>
        <v>Week 2</v>
      </c>
      <c r="H1623" s="33" t="str">
        <f t="shared" si="92"/>
        <v>September 26 Week 2</v>
      </c>
      <c r="I1623" s="33" t="str">
        <f>CONCATENATE(UPPER(TableAopCalendar[[#This Row],[Month]])," ",TableAopCalendar[[#This Row],[Year]])</f>
        <v>SEPTEMBER 26</v>
      </c>
      <c r="J1623" s="8" t="s">
        <v>274</v>
      </c>
      <c r="K1623" s="33" t="str">
        <f>CONCATENATE(TableAopCalendar[[#This Row],[Month for Plan]]," ",TableAopCalendar[[#This Row],[Plan]])</f>
        <v>SEPTEMBER 26 PLANNED</v>
      </c>
    </row>
    <row r="1624" spans="1:11" x14ac:dyDescent="0.25">
      <c r="A1624" s="33">
        <f t="shared" si="90"/>
        <v>2</v>
      </c>
      <c r="B1624" s="34">
        <v>46274</v>
      </c>
      <c r="C1624" s="7" t="s">
        <v>269</v>
      </c>
      <c r="D1624" s="35">
        <v>26</v>
      </c>
      <c r="E1624" s="33">
        <f>DAY(TableAopCalendar[[#This Row],[Date]])</f>
        <v>9</v>
      </c>
      <c r="F162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4" s="33" t="str">
        <f t="shared" si="91"/>
        <v>Week 2</v>
      </c>
      <c r="H1624" s="33" t="str">
        <f t="shared" si="92"/>
        <v>September 26 Week 2</v>
      </c>
      <c r="I1624" s="33" t="str">
        <f>CONCATENATE(UPPER(TableAopCalendar[[#This Row],[Month]])," ",TableAopCalendar[[#This Row],[Year]])</f>
        <v>SEPTEMBER 26</v>
      </c>
      <c r="J1624" s="8" t="s">
        <v>274</v>
      </c>
      <c r="K1624" s="33" t="str">
        <f>CONCATENATE(TableAopCalendar[[#This Row],[Month for Plan]]," ",TableAopCalendar[[#This Row],[Plan]])</f>
        <v>SEPTEMBER 26 PLANNED</v>
      </c>
    </row>
    <row r="1625" spans="1:11" x14ac:dyDescent="0.25">
      <c r="A1625" s="33">
        <f t="shared" si="90"/>
        <v>3</v>
      </c>
      <c r="B1625" s="34">
        <v>46275</v>
      </c>
      <c r="C1625" s="7" t="s">
        <v>269</v>
      </c>
      <c r="D1625" s="35">
        <v>26</v>
      </c>
      <c r="E1625" s="33">
        <f>DAY(TableAopCalendar[[#This Row],[Date]])</f>
        <v>10</v>
      </c>
      <c r="F162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5" s="33" t="str">
        <f t="shared" si="91"/>
        <v>Week 2</v>
      </c>
      <c r="H1625" s="33" t="str">
        <f t="shared" si="92"/>
        <v>September 26 Week 2</v>
      </c>
      <c r="I1625" s="33" t="str">
        <f>CONCATENATE(UPPER(TableAopCalendar[[#This Row],[Month]])," ",TableAopCalendar[[#This Row],[Year]])</f>
        <v>SEPTEMBER 26</v>
      </c>
      <c r="J1625" s="8" t="s">
        <v>274</v>
      </c>
      <c r="K1625" s="33" t="str">
        <f>CONCATENATE(TableAopCalendar[[#This Row],[Month for Plan]]," ",TableAopCalendar[[#This Row],[Plan]])</f>
        <v>SEPTEMBER 26 PLANNED</v>
      </c>
    </row>
    <row r="1626" spans="1:11" x14ac:dyDescent="0.25">
      <c r="A1626" s="33">
        <f t="shared" si="90"/>
        <v>4</v>
      </c>
      <c r="B1626" s="34">
        <v>46276</v>
      </c>
      <c r="C1626" s="7" t="s">
        <v>269</v>
      </c>
      <c r="D1626" s="35">
        <v>26</v>
      </c>
      <c r="E1626" s="33">
        <f>DAY(TableAopCalendar[[#This Row],[Date]])</f>
        <v>11</v>
      </c>
      <c r="F162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6" s="33" t="str">
        <f t="shared" si="91"/>
        <v>Week 2</v>
      </c>
      <c r="H1626" s="33" t="str">
        <f t="shared" si="92"/>
        <v>September 26 Week 2</v>
      </c>
      <c r="I1626" s="33" t="str">
        <f>CONCATENATE(UPPER(TableAopCalendar[[#This Row],[Month]])," ",TableAopCalendar[[#This Row],[Year]])</f>
        <v>SEPTEMBER 26</v>
      </c>
      <c r="J1626" s="8" t="s">
        <v>274</v>
      </c>
      <c r="K1626" s="33" t="str">
        <f>CONCATENATE(TableAopCalendar[[#This Row],[Month for Plan]]," ",TableAopCalendar[[#This Row],[Plan]])</f>
        <v>SEPTEMBER 26 PLANNED</v>
      </c>
    </row>
    <row r="1627" spans="1:11" x14ac:dyDescent="0.25">
      <c r="A1627" s="33">
        <f t="shared" si="90"/>
        <v>5</v>
      </c>
      <c r="B1627" s="34">
        <v>46277</v>
      </c>
      <c r="C1627" s="7" t="s">
        <v>269</v>
      </c>
      <c r="D1627" s="35">
        <v>26</v>
      </c>
      <c r="E1627" s="33">
        <f>DAY(TableAopCalendar[[#This Row],[Date]])</f>
        <v>12</v>
      </c>
      <c r="F162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7" s="33" t="str">
        <f t="shared" si="91"/>
        <v>Week 2</v>
      </c>
      <c r="H1627" s="33" t="str">
        <f t="shared" si="92"/>
        <v>September 26 Week 2</v>
      </c>
      <c r="I1627" s="33" t="str">
        <f>CONCATENATE(UPPER(TableAopCalendar[[#This Row],[Month]])," ",TableAopCalendar[[#This Row],[Year]])</f>
        <v>SEPTEMBER 26</v>
      </c>
      <c r="J1627" s="8" t="s">
        <v>274</v>
      </c>
      <c r="K1627" s="33" t="str">
        <f>CONCATENATE(TableAopCalendar[[#This Row],[Month for Plan]]," ",TableAopCalendar[[#This Row],[Plan]])</f>
        <v>SEPTEMBER 26 PLANNED</v>
      </c>
    </row>
    <row r="1628" spans="1:11" x14ac:dyDescent="0.25">
      <c r="A1628" s="33">
        <f t="shared" si="90"/>
        <v>6</v>
      </c>
      <c r="B1628" s="34">
        <v>46278</v>
      </c>
      <c r="C1628" s="7" t="s">
        <v>269</v>
      </c>
      <c r="D1628" s="35">
        <v>26</v>
      </c>
      <c r="E1628" s="33">
        <f>DAY(TableAopCalendar[[#This Row],[Date]])</f>
        <v>13</v>
      </c>
      <c r="F162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8" s="33" t="str">
        <f t="shared" si="91"/>
        <v>Week 2</v>
      </c>
      <c r="H1628" s="33" t="str">
        <f t="shared" si="92"/>
        <v>September 26 Week 2</v>
      </c>
      <c r="I1628" s="33" t="str">
        <f>CONCATENATE(UPPER(TableAopCalendar[[#This Row],[Month]])," ",TableAopCalendar[[#This Row],[Year]])</f>
        <v>SEPTEMBER 26</v>
      </c>
      <c r="J1628" s="8" t="s">
        <v>274</v>
      </c>
      <c r="K1628" s="33" t="str">
        <f>CONCATENATE(TableAopCalendar[[#This Row],[Month for Plan]]," ",TableAopCalendar[[#This Row],[Plan]])</f>
        <v>SEPTEMBER 26 PLANNED</v>
      </c>
    </row>
    <row r="1629" spans="1:11" x14ac:dyDescent="0.25">
      <c r="A1629" s="33">
        <f t="shared" si="90"/>
        <v>7</v>
      </c>
      <c r="B1629" s="34">
        <v>46279</v>
      </c>
      <c r="C1629" s="7" t="s">
        <v>269</v>
      </c>
      <c r="D1629" s="35">
        <v>26</v>
      </c>
      <c r="E1629" s="33">
        <f>DAY(TableAopCalendar[[#This Row],[Date]])</f>
        <v>14</v>
      </c>
      <c r="F162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29" s="33" t="str">
        <f t="shared" si="91"/>
        <v>Week 2</v>
      </c>
      <c r="H1629" s="33" t="str">
        <f t="shared" si="92"/>
        <v>September 26 Week 2</v>
      </c>
      <c r="I1629" s="33" t="str">
        <f>CONCATENATE(UPPER(TableAopCalendar[[#This Row],[Month]])," ",TableAopCalendar[[#This Row],[Year]])</f>
        <v>SEPTEMBER 26</v>
      </c>
      <c r="J1629" s="8" t="s">
        <v>274</v>
      </c>
      <c r="K1629" s="33" t="str">
        <f>CONCATENATE(TableAopCalendar[[#This Row],[Month for Plan]]," ",TableAopCalendar[[#This Row],[Plan]])</f>
        <v>SEPTEMBER 26 PLANNED</v>
      </c>
    </row>
    <row r="1630" spans="1:11" x14ac:dyDescent="0.25">
      <c r="A1630" s="33">
        <f t="shared" si="90"/>
        <v>1</v>
      </c>
      <c r="B1630" s="34">
        <v>46280</v>
      </c>
      <c r="C1630" s="7" t="s">
        <v>269</v>
      </c>
      <c r="D1630" s="35">
        <v>26</v>
      </c>
      <c r="E1630" s="33">
        <f>DAY(TableAopCalendar[[#This Row],[Date]])</f>
        <v>15</v>
      </c>
      <c r="F163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30" s="33" t="str">
        <f t="shared" si="91"/>
        <v>Week 3</v>
      </c>
      <c r="H1630" s="33" t="str">
        <f t="shared" si="92"/>
        <v>September 26 Week 3</v>
      </c>
      <c r="I1630" s="33" t="str">
        <f>CONCATENATE(UPPER(TableAopCalendar[[#This Row],[Month]])," ",TableAopCalendar[[#This Row],[Year]])</f>
        <v>SEPTEMBER 26</v>
      </c>
      <c r="J1630" s="8" t="s">
        <v>274</v>
      </c>
      <c r="K1630" s="33" t="str">
        <f>CONCATENATE(TableAopCalendar[[#This Row],[Month for Plan]]," ",TableAopCalendar[[#This Row],[Plan]])</f>
        <v>SEPTEMBER 26 PLANNED</v>
      </c>
    </row>
    <row r="1631" spans="1:11" x14ac:dyDescent="0.25">
      <c r="A1631" s="33">
        <f t="shared" si="90"/>
        <v>2</v>
      </c>
      <c r="B1631" s="34">
        <v>46281</v>
      </c>
      <c r="C1631" s="7" t="s">
        <v>269</v>
      </c>
      <c r="D1631" s="35">
        <v>26</v>
      </c>
      <c r="E1631" s="33">
        <f>DAY(TableAopCalendar[[#This Row],[Date]])</f>
        <v>16</v>
      </c>
      <c r="F163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31" s="33" t="str">
        <f t="shared" si="91"/>
        <v>Week 3</v>
      </c>
      <c r="H1631" s="33" t="str">
        <f t="shared" si="92"/>
        <v>September 26 Week 3</v>
      </c>
      <c r="I1631" s="33" t="str">
        <f>CONCATENATE(UPPER(TableAopCalendar[[#This Row],[Month]])," ",TableAopCalendar[[#This Row],[Year]])</f>
        <v>SEPTEMBER 26</v>
      </c>
      <c r="J1631" s="8" t="s">
        <v>274</v>
      </c>
      <c r="K1631" s="33" t="str">
        <f>CONCATENATE(TableAopCalendar[[#This Row],[Month for Plan]]," ",TableAopCalendar[[#This Row],[Plan]])</f>
        <v>SEPTEMBER 26 PLANNED</v>
      </c>
    </row>
    <row r="1632" spans="1:11" x14ac:dyDescent="0.25">
      <c r="A1632" s="33">
        <f t="shared" si="90"/>
        <v>3</v>
      </c>
      <c r="B1632" s="34">
        <v>46282</v>
      </c>
      <c r="C1632" s="7" t="s">
        <v>269</v>
      </c>
      <c r="D1632" s="35">
        <v>26</v>
      </c>
      <c r="E1632" s="33">
        <f>DAY(TableAopCalendar[[#This Row],[Date]])</f>
        <v>17</v>
      </c>
      <c r="F163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32" s="33" t="str">
        <f t="shared" si="91"/>
        <v>Week 3</v>
      </c>
      <c r="H1632" s="33" t="str">
        <f t="shared" si="92"/>
        <v>September 26 Week 3</v>
      </c>
      <c r="I1632" s="33" t="str">
        <f>CONCATENATE(UPPER(TableAopCalendar[[#This Row],[Month]])," ",TableAopCalendar[[#This Row],[Year]])</f>
        <v>SEPTEMBER 26</v>
      </c>
      <c r="J1632" s="8" t="s">
        <v>274</v>
      </c>
      <c r="K1632" s="33" t="str">
        <f>CONCATENATE(TableAopCalendar[[#This Row],[Month for Plan]]," ",TableAopCalendar[[#This Row],[Plan]])</f>
        <v>SEPTEMBER 26 PLANNED</v>
      </c>
    </row>
    <row r="1633" spans="1:11" x14ac:dyDescent="0.25">
      <c r="A1633" s="33">
        <f t="shared" si="90"/>
        <v>4</v>
      </c>
      <c r="B1633" s="34">
        <v>46283</v>
      </c>
      <c r="C1633" s="7" t="s">
        <v>269</v>
      </c>
      <c r="D1633" s="35">
        <v>26</v>
      </c>
      <c r="E1633" s="33">
        <f>DAY(TableAopCalendar[[#This Row],[Date]])</f>
        <v>18</v>
      </c>
      <c r="F163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33" s="33" t="str">
        <f t="shared" si="91"/>
        <v>Week 3</v>
      </c>
      <c r="H1633" s="33" t="str">
        <f t="shared" si="92"/>
        <v>September 26 Week 3</v>
      </c>
      <c r="I1633" s="33" t="str">
        <f>CONCATENATE(UPPER(TableAopCalendar[[#This Row],[Month]])," ",TableAopCalendar[[#This Row],[Year]])</f>
        <v>SEPTEMBER 26</v>
      </c>
      <c r="J1633" s="8" t="s">
        <v>274</v>
      </c>
      <c r="K1633" s="33" t="str">
        <f>CONCATENATE(TableAopCalendar[[#This Row],[Month for Plan]]," ",TableAopCalendar[[#This Row],[Plan]])</f>
        <v>SEPTEMBER 26 PLANNED</v>
      </c>
    </row>
    <row r="1634" spans="1:11" x14ac:dyDescent="0.25">
      <c r="A1634" s="33">
        <f t="shared" si="90"/>
        <v>5</v>
      </c>
      <c r="B1634" s="34">
        <v>46284</v>
      </c>
      <c r="C1634" s="7" t="s">
        <v>269</v>
      </c>
      <c r="D1634" s="35">
        <v>26</v>
      </c>
      <c r="E1634" s="33">
        <f>DAY(TableAopCalendar[[#This Row],[Date]])</f>
        <v>19</v>
      </c>
      <c r="F163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34" s="33" t="str">
        <f t="shared" si="91"/>
        <v>Week 3</v>
      </c>
      <c r="H1634" s="33" t="str">
        <f t="shared" si="92"/>
        <v>September 26 Week 3</v>
      </c>
      <c r="I1634" s="33" t="str">
        <f>CONCATENATE(UPPER(TableAopCalendar[[#This Row],[Month]])," ",TableAopCalendar[[#This Row],[Year]])</f>
        <v>SEPTEMBER 26</v>
      </c>
      <c r="J1634" s="8" t="s">
        <v>274</v>
      </c>
      <c r="K1634" s="33" t="str">
        <f>CONCATENATE(TableAopCalendar[[#This Row],[Month for Plan]]," ",TableAopCalendar[[#This Row],[Plan]])</f>
        <v>SEPTEMBER 26 PLANNED</v>
      </c>
    </row>
    <row r="1635" spans="1:11" x14ac:dyDescent="0.25">
      <c r="A1635" s="33">
        <f t="shared" si="90"/>
        <v>6</v>
      </c>
      <c r="B1635" s="34">
        <v>46285</v>
      </c>
      <c r="C1635" s="7" t="s">
        <v>269</v>
      </c>
      <c r="D1635" s="35">
        <v>26</v>
      </c>
      <c r="E1635" s="33">
        <f>DAY(TableAopCalendar[[#This Row],[Date]])</f>
        <v>20</v>
      </c>
      <c r="F163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35" s="33" t="str">
        <f t="shared" si="91"/>
        <v>Week 3</v>
      </c>
      <c r="H1635" s="33" t="str">
        <f t="shared" si="92"/>
        <v>September 26 Week 3</v>
      </c>
      <c r="I1635" s="33" t="str">
        <f>CONCATENATE(UPPER(TableAopCalendar[[#This Row],[Month]])," ",TableAopCalendar[[#This Row],[Year]])</f>
        <v>SEPTEMBER 26</v>
      </c>
      <c r="J1635" s="8" t="s">
        <v>274</v>
      </c>
      <c r="K1635" s="33" t="str">
        <f>CONCATENATE(TableAopCalendar[[#This Row],[Month for Plan]]," ",TableAopCalendar[[#This Row],[Plan]])</f>
        <v>SEPTEMBER 26 PLANNED</v>
      </c>
    </row>
    <row r="1636" spans="1:11" x14ac:dyDescent="0.25">
      <c r="A1636" s="33">
        <f t="shared" si="90"/>
        <v>7</v>
      </c>
      <c r="B1636" s="34">
        <v>46286</v>
      </c>
      <c r="C1636" s="7" t="s">
        <v>269</v>
      </c>
      <c r="D1636" s="35">
        <v>26</v>
      </c>
      <c r="E1636" s="33">
        <f>DAY(TableAopCalendar[[#This Row],[Date]])</f>
        <v>21</v>
      </c>
      <c r="F163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36" s="33" t="str">
        <f t="shared" si="91"/>
        <v>Week 3</v>
      </c>
      <c r="H1636" s="33" t="str">
        <f t="shared" si="92"/>
        <v>September 26 Week 3</v>
      </c>
      <c r="I1636" s="33" t="str">
        <f>CONCATENATE(UPPER(TableAopCalendar[[#This Row],[Month]])," ",TableAopCalendar[[#This Row],[Year]])</f>
        <v>SEPTEMBER 26</v>
      </c>
      <c r="J1636" s="8" t="s">
        <v>274</v>
      </c>
      <c r="K1636" s="33" t="str">
        <f>CONCATENATE(TableAopCalendar[[#This Row],[Month for Plan]]," ",TableAopCalendar[[#This Row],[Plan]])</f>
        <v>SEPTEMBER 26 PLANNED</v>
      </c>
    </row>
    <row r="1637" spans="1:11" x14ac:dyDescent="0.25">
      <c r="A1637" s="33">
        <f t="shared" si="90"/>
        <v>1</v>
      </c>
      <c r="B1637" s="34">
        <v>46287</v>
      </c>
      <c r="C1637" s="7" t="s">
        <v>269</v>
      </c>
      <c r="D1637" s="35">
        <v>26</v>
      </c>
      <c r="E1637" s="33">
        <f>DAY(TableAopCalendar[[#This Row],[Date]])</f>
        <v>22</v>
      </c>
      <c r="F163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37" s="33" t="str">
        <f t="shared" si="91"/>
        <v>Week 4</v>
      </c>
      <c r="H1637" s="33" t="str">
        <f t="shared" si="92"/>
        <v>September 26 Week 4</v>
      </c>
      <c r="I1637" s="33" t="str">
        <f>CONCATENATE(UPPER(TableAopCalendar[[#This Row],[Month]])," ",TableAopCalendar[[#This Row],[Year]])</f>
        <v>SEPTEMBER 26</v>
      </c>
      <c r="J1637" s="8" t="s">
        <v>274</v>
      </c>
      <c r="K1637" s="33" t="str">
        <f>CONCATENATE(TableAopCalendar[[#This Row],[Month for Plan]]," ",TableAopCalendar[[#This Row],[Plan]])</f>
        <v>SEPTEMBER 26 PLANNED</v>
      </c>
    </row>
    <row r="1638" spans="1:11" x14ac:dyDescent="0.25">
      <c r="A1638" s="33">
        <f t="shared" si="90"/>
        <v>2</v>
      </c>
      <c r="B1638" s="34">
        <v>46288</v>
      </c>
      <c r="C1638" s="7" t="s">
        <v>269</v>
      </c>
      <c r="D1638" s="35">
        <v>26</v>
      </c>
      <c r="E1638" s="33">
        <f>DAY(TableAopCalendar[[#This Row],[Date]])</f>
        <v>23</v>
      </c>
      <c r="F163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38" s="33" t="str">
        <f t="shared" si="91"/>
        <v>Week 4</v>
      </c>
      <c r="H1638" s="33" t="str">
        <f t="shared" si="92"/>
        <v>September 26 Week 4</v>
      </c>
      <c r="I1638" s="33" t="str">
        <f>CONCATENATE(UPPER(TableAopCalendar[[#This Row],[Month]])," ",TableAopCalendar[[#This Row],[Year]])</f>
        <v>SEPTEMBER 26</v>
      </c>
      <c r="J1638" s="8" t="s">
        <v>274</v>
      </c>
      <c r="K1638" s="33" t="str">
        <f>CONCATENATE(TableAopCalendar[[#This Row],[Month for Plan]]," ",TableAopCalendar[[#This Row],[Plan]])</f>
        <v>SEPTEMBER 26 PLANNED</v>
      </c>
    </row>
    <row r="1639" spans="1:11" x14ac:dyDescent="0.25">
      <c r="A1639" s="33">
        <f t="shared" si="90"/>
        <v>3</v>
      </c>
      <c r="B1639" s="34">
        <v>46289</v>
      </c>
      <c r="C1639" s="7" t="s">
        <v>269</v>
      </c>
      <c r="D1639" s="35">
        <v>26</v>
      </c>
      <c r="E1639" s="33">
        <f>DAY(TableAopCalendar[[#This Row],[Date]])</f>
        <v>24</v>
      </c>
      <c r="F163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39" s="33" t="str">
        <f t="shared" si="91"/>
        <v>Week 4</v>
      </c>
      <c r="H1639" s="33" t="str">
        <f t="shared" si="92"/>
        <v>September 26 Week 4</v>
      </c>
      <c r="I1639" s="33" t="str">
        <f>CONCATENATE(UPPER(TableAopCalendar[[#This Row],[Month]])," ",TableAopCalendar[[#This Row],[Year]])</f>
        <v>SEPTEMBER 26</v>
      </c>
      <c r="J1639" s="8" t="s">
        <v>274</v>
      </c>
      <c r="K1639" s="33" t="str">
        <f>CONCATENATE(TableAopCalendar[[#This Row],[Month for Plan]]," ",TableAopCalendar[[#This Row],[Plan]])</f>
        <v>SEPTEMBER 26 PLANNED</v>
      </c>
    </row>
    <row r="1640" spans="1:11" x14ac:dyDescent="0.25">
      <c r="A1640" s="33">
        <f t="shared" si="90"/>
        <v>4</v>
      </c>
      <c r="B1640" s="34">
        <v>46290</v>
      </c>
      <c r="C1640" s="7" t="s">
        <v>269</v>
      </c>
      <c r="D1640" s="35">
        <v>26</v>
      </c>
      <c r="E1640" s="33">
        <f>DAY(TableAopCalendar[[#This Row],[Date]])</f>
        <v>25</v>
      </c>
      <c r="F164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40" s="33" t="str">
        <f t="shared" si="91"/>
        <v>Week 4</v>
      </c>
      <c r="H1640" s="33" t="str">
        <f t="shared" si="92"/>
        <v>September 26 Week 4</v>
      </c>
      <c r="I1640" s="33" t="str">
        <f>CONCATENATE(UPPER(TableAopCalendar[[#This Row],[Month]])," ",TableAopCalendar[[#This Row],[Year]])</f>
        <v>SEPTEMBER 26</v>
      </c>
      <c r="J1640" s="8" t="s">
        <v>274</v>
      </c>
      <c r="K1640" s="33" t="str">
        <f>CONCATENATE(TableAopCalendar[[#This Row],[Month for Plan]]," ",TableAopCalendar[[#This Row],[Plan]])</f>
        <v>SEPTEMBER 26 PLANNED</v>
      </c>
    </row>
    <row r="1641" spans="1:11" x14ac:dyDescent="0.25">
      <c r="A1641" s="33">
        <f t="shared" si="90"/>
        <v>5</v>
      </c>
      <c r="B1641" s="34">
        <v>46291</v>
      </c>
      <c r="C1641" s="7" t="s">
        <v>269</v>
      </c>
      <c r="D1641" s="35">
        <v>26</v>
      </c>
      <c r="E1641" s="33">
        <f>DAY(TableAopCalendar[[#This Row],[Date]])</f>
        <v>26</v>
      </c>
      <c r="F164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41" s="33" t="str">
        <f t="shared" si="91"/>
        <v>Week 4</v>
      </c>
      <c r="H1641" s="33" t="str">
        <f t="shared" si="92"/>
        <v>September 26 Week 4</v>
      </c>
      <c r="I1641" s="33" t="str">
        <f>CONCATENATE(UPPER(TableAopCalendar[[#This Row],[Month]])," ",TableAopCalendar[[#This Row],[Year]])</f>
        <v>SEPTEMBER 26</v>
      </c>
      <c r="J1641" s="8" t="s">
        <v>274</v>
      </c>
      <c r="K1641" s="33" t="str">
        <f>CONCATENATE(TableAopCalendar[[#This Row],[Month for Plan]]," ",TableAopCalendar[[#This Row],[Plan]])</f>
        <v>SEPTEMBER 26 PLANNED</v>
      </c>
    </row>
    <row r="1642" spans="1:11" x14ac:dyDescent="0.25">
      <c r="A1642" s="33">
        <f t="shared" si="90"/>
        <v>6</v>
      </c>
      <c r="B1642" s="34">
        <v>46292</v>
      </c>
      <c r="C1642" s="7" t="s">
        <v>269</v>
      </c>
      <c r="D1642" s="35">
        <v>26</v>
      </c>
      <c r="E1642" s="33">
        <f>DAY(TableAopCalendar[[#This Row],[Date]])</f>
        <v>27</v>
      </c>
      <c r="F164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42" s="33" t="str">
        <f t="shared" si="91"/>
        <v>Week 4</v>
      </c>
      <c r="H1642" s="33" t="str">
        <f t="shared" si="92"/>
        <v>September 26 Week 4</v>
      </c>
      <c r="I1642" s="33" t="str">
        <f>CONCATENATE(UPPER(TableAopCalendar[[#This Row],[Month]])," ",TableAopCalendar[[#This Row],[Year]])</f>
        <v>SEPTEMBER 26</v>
      </c>
      <c r="J1642" s="8" t="s">
        <v>274</v>
      </c>
      <c r="K1642" s="33" t="str">
        <f>CONCATENATE(TableAopCalendar[[#This Row],[Month for Plan]]," ",TableAopCalendar[[#This Row],[Plan]])</f>
        <v>SEPTEMBER 26 PLANNED</v>
      </c>
    </row>
    <row r="1643" spans="1:11" x14ac:dyDescent="0.25">
      <c r="A1643" s="33">
        <f t="shared" si="90"/>
        <v>7</v>
      </c>
      <c r="B1643" s="34">
        <v>46293</v>
      </c>
      <c r="C1643" s="7" t="s">
        <v>269</v>
      </c>
      <c r="D1643" s="35">
        <v>26</v>
      </c>
      <c r="E1643" s="33">
        <f>DAY(TableAopCalendar[[#This Row],[Date]])</f>
        <v>28</v>
      </c>
      <c r="F164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43" s="33" t="str">
        <f t="shared" si="91"/>
        <v>Week 4</v>
      </c>
      <c r="H1643" s="33" t="str">
        <f t="shared" si="92"/>
        <v>September 26 Week 4</v>
      </c>
      <c r="I1643" s="33" t="str">
        <f>CONCATENATE(UPPER(TableAopCalendar[[#This Row],[Month]])," ",TableAopCalendar[[#This Row],[Year]])</f>
        <v>SEPTEMBER 26</v>
      </c>
      <c r="J1643" s="8" t="s">
        <v>274</v>
      </c>
      <c r="K1643" s="33" t="str">
        <f>CONCATENATE(TableAopCalendar[[#This Row],[Month for Plan]]," ",TableAopCalendar[[#This Row],[Plan]])</f>
        <v>SEPTEMBER 26 PLANNED</v>
      </c>
    </row>
    <row r="1644" spans="1:11" x14ac:dyDescent="0.25">
      <c r="A1644" s="33">
        <f t="shared" si="90"/>
        <v>1</v>
      </c>
      <c r="B1644" s="34">
        <v>46294</v>
      </c>
      <c r="C1644" s="7" t="s">
        <v>269</v>
      </c>
      <c r="D1644" s="35">
        <v>26</v>
      </c>
      <c r="E1644" s="33">
        <f>DAY(TableAopCalendar[[#This Row],[Date]])</f>
        <v>29</v>
      </c>
      <c r="F1644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44" s="33" t="str">
        <f t="shared" si="91"/>
        <v>Week 5</v>
      </c>
      <c r="H1644" s="33" t="str">
        <f t="shared" si="92"/>
        <v>September 26 Week 5</v>
      </c>
      <c r="I1644" s="33" t="str">
        <f>CONCATENATE(UPPER(TableAopCalendar[[#This Row],[Month]])," ",TableAopCalendar[[#This Row],[Year]])</f>
        <v>SEPTEMBER 26</v>
      </c>
      <c r="J1644" s="8" t="s">
        <v>274</v>
      </c>
      <c r="K1644" s="33" t="str">
        <f>CONCATENATE(TableAopCalendar[[#This Row],[Month for Plan]]," ",TableAopCalendar[[#This Row],[Plan]])</f>
        <v>SEPTEMBER 26 PLANNED</v>
      </c>
    </row>
    <row r="1645" spans="1:11" x14ac:dyDescent="0.25">
      <c r="A1645" s="33">
        <f t="shared" si="90"/>
        <v>2</v>
      </c>
      <c r="B1645" s="34">
        <v>46295</v>
      </c>
      <c r="C1645" s="7" t="s">
        <v>269</v>
      </c>
      <c r="D1645" s="35">
        <v>26</v>
      </c>
      <c r="E1645" s="33">
        <f>DAY(TableAopCalendar[[#This Row],[Date]])</f>
        <v>30</v>
      </c>
      <c r="F1645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45" s="33" t="str">
        <f t="shared" si="91"/>
        <v>Week 5</v>
      </c>
      <c r="H1645" s="33" t="str">
        <f t="shared" si="92"/>
        <v>September 26 Week 5</v>
      </c>
      <c r="I1645" s="33" t="str">
        <f>CONCATENATE(UPPER(TableAopCalendar[[#This Row],[Month]])," ",TableAopCalendar[[#This Row],[Year]])</f>
        <v>SEPTEMBER 26</v>
      </c>
      <c r="J1645" s="8" t="s">
        <v>274</v>
      </c>
      <c r="K1645" s="33" t="str">
        <f>CONCATENATE(TableAopCalendar[[#This Row],[Month for Plan]]," ",TableAopCalendar[[#This Row],[Plan]])</f>
        <v>SEPTEMBER 26 PLANNED</v>
      </c>
    </row>
    <row r="1646" spans="1:11" x14ac:dyDescent="0.25">
      <c r="A1646" s="33">
        <f t="shared" si="90"/>
        <v>1</v>
      </c>
      <c r="B1646" s="34">
        <v>46296</v>
      </c>
      <c r="C1646" s="7" t="s">
        <v>114</v>
      </c>
      <c r="D1646" s="35">
        <v>26</v>
      </c>
      <c r="E1646" s="33">
        <f>DAY(TableAopCalendar[[#This Row],[Date]])</f>
        <v>1</v>
      </c>
      <c r="F164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46" s="33" t="str">
        <f t="shared" si="91"/>
        <v>Week 1</v>
      </c>
      <c r="H1646" s="33" t="str">
        <f t="shared" si="92"/>
        <v>October 26 Week 1</v>
      </c>
      <c r="I1646" s="33" t="str">
        <f>CONCATENATE(UPPER(TableAopCalendar[[#This Row],[Month]])," ",TableAopCalendar[[#This Row],[Year]])</f>
        <v>OCTOBER 26</v>
      </c>
      <c r="J1646" s="8" t="s">
        <v>274</v>
      </c>
      <c r="K1646" s="33" t="str">
        <f>CONCATENATE(TableAopCalendar[[#This Row],[Month for Plan]]," ",TableAopCalendar[[#This Row],[Plan]])</f>
        <v>OCTOBER 26 PLANNED</v>
      </c>
    </row>
    <row r="1647" spans="1:11" x14ac:dyDescent="0.25">
      <c r="A1647" s="33">
        <f t="shared" si="90"/>
        <v>2</v>
      </c>
      <c r="B1647" s="34">
        <v>46297</v>
      </c>
      <c r="C1647" s="7" t="s">
        <v>114</v>
      </c>
      <c r="D1647" s="35">
        <v>26</v>
      </c>
      <c r="E1647" s="33">
        <f>DAY(TableAopCalendar[[#This Row],[Date]])</f>
        <v>2</v>
      </c>
      <c r="F164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47" s="33" t="str">
        <f t="shared" si="91"/>
        <v>Week 1</v>
      </c>
      <c r="H1647" s="33" t="str">
        <f t="shared" si="92"/>
        <v>October 26 Week 1</v>
      </c>
      <c r="I1647" s="33" t="str">
        <f>CONCATENATE(UPPER(TableAopCalendar[[#This Row],[Month]])," ",TableAopCalendar[[#This Row],[Year]])</f>
        <v>OCTOBER 26</v>
      </c>
      <c r="J1647" s="8" t="s">
        <v>274</v>
      </c>
      <c r="K1647" s="33" t="str">
        <f>CONCATENATE(TableAopCalendar[[#This Row],[Month for Plan]]," ",TableAopCalendar[[#This Row],[Plan]])</f>
        <v>OCTOBER 26 PLANNED</v>
      </c>
    </row>
    <row r="1648" spans="1:11" x14ac:dyDescent="0.25">
      <c r="A1648" s="33">
        <f t="shared" si="90"/>
        <v>3</v>
      </c>
      <c r="B1648" s="34">
        <v>46298</v>
      </c>
      <c r="C1648" s="7" t="s">
        <v>114</v>
      </c>
      <c r="D1648" s="35">
        <v>26</v>
      </c>
      <c r="E1648" s="33">
        <f>DAY(TableAopCalendar[[#This Row],[Date]])</f>
        <v>3</v>
      </c>
      <c r="F164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48" s="33" t="str">
        <f t="shared" si="91"/>
        <v>Week 1</v>
      </c>
      <c r="H1648" s="33" t="str">
        <f t="shared" si="92"/>
        <v>October 26 Week 1</v>
      </c>
      <c r="I1648" s="33" t="str">
        <f>CONCATENATE(UPPER(TableAopCalendar[[#This Row],[Month]])," ",TableAopCalendar[[#This Row],[Year]])</f>
        <v>OCTOBER 26</v>
      </c>
      <c r="J1648" s="8" t="s">
        <v>274</v>
      </c>
      <c r="K1648" s="33" t="str">
        <f>CONCATENATE(TableAopCalendar[[#This Row],[Month for Plan]]," ",TableAopCalendar[[#This Row],[Plan]])</f>
        <v>OCTOBER 26 PLANNED</v>
      </c>
    </row>
    <row r="1649" spans="1:11" x14ac:dyDescent="0.25">
      <c r="A1649" s="33">
        <f t="shared" si="90"/>
        <v>4</v>
      </c>
      <c r="B1649" s="34">
        <v>46299</v>
      </c>
      <c r="C1649" s="7" t="s">
        <v>114</v>
      </c>
      <c r="D1649" s="35">
        <v>26</v>
      </c>
      <c r="E1649" s="33">
        <f>DAY(TableAopCalendar[[#This Row],[Date]])</f>
        <v>4</v>
      </c>
      <c r="F164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49" s="33" t="str">
        <f t="shared" si="91"/>
        <v>Week 1</v>
      </c>
      <c r="H1649" s="33" t="str">
        <f t="shared" si="92"/>
        <v>October 26 Week 1</v>
      </c>
      <c r="I1649" s="33" t="str">
        <f>CONCATENATE(UPPER(TableAopCalendar[[#This Row],[Month]])," ",TableAopCalendar[[#This Row],[Year]])</f>
        <v>OCTOBER 26</v>
      </c>
      <c r="J1649" s="8" t="s">
        <v>274</v>
      </c>
      <c r="K1649" s="33" t="str">
        <f>CONCATENATE(TableAopCalendar[[#This Row],[Month for Plan]]," ",TableAopCalendar[[#This Row],[Plan]])</f>
        <v>OCTOBER 26 PLANNED</v>
      </c>
    </row>
    <row r="1650" spans="1:11" x14ac:dyDescent="0.25">
      <c r="A1650" s="33">
        <f t="shared" si="90"/>
        <v>5</v>
      </c>
      <c r="B1650" s="34">
        <v>46300</v>
      </c>
      <c r="C1650" s="7" t="s">
        <v>114</v>
      </c>
      <c r="D1650" s="35">
        <v>26</v>
      </c>
      <c r="E1650" s="33">
        <f>DAY(TableAopCalendar[[#This Row],[Date]])</f>
        <v>5</v>
      </c>
      <c r="F165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50" s="33" t="str">
        <f t="shared" si="91"/>
        <v>Week 1</v>
      </c>
      <c r="H1650" s="33" t="str">
        <f t="shared" si="92"/>
        <v>October 26 Week 1</v>
      </c>
      <c r="I1650" s="33" t="str">
        <f>CONCATENATE(UPPER(TableAopCalendar[[#This Row],[Month]])," ",TableAopCalendar[[#This Row],[Year]])</f>
        <v>OCTOBER 26</v>
      </c>
      <c r="J1650" s="8" t="s">
        <v>274</v>
      </c>
      <c r="K1650" s="33" t="str">
        <f>CONCATENATE(TableAopCalendar[[#This Row],[Month for Plan]]," ",TableAopCalendar[[#This Row],[Plan]])</f>
        <v>OCTOBER 26 PLANNED</v>
      </c>
    </row>
    <row r="1651" spans="1:11" x14ac:dyDescent="0.25">
      <c r="A1651" s="33">
        <f t="shared" si="90"/>
        <v>6</v>
      </c>
      <c r="B1651" s="34">
        <v>46301</v>
      </c>
      <c r="C1651" s="7" t="s">
        <v>114</v>
      </c>
      <c r="D1651" s="35">
        <v>26</v>
      </c>
      <c r="E1651" s="33">
        <f>DAY(TableAopCalendar[[#This Row],[Date]])</f>
        <v>6</v>
      </c>
      <c r="F165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51" s="33" t="str">
        <f t="shared" si="91"/>
        <v>Week 1</v>
      </c>
      <c r="H1651" s="33" t="str">
        <f t="shared" si="92"/>
        <v>October 26 Week 1</v>
      </c>
      <c r="I1651" s="33" t="str">
        <f>CONCATENATE(UPPER(TableAopCalendar[[#This Row],[Month]])," ",TableAopCalendar[[#This Row],[Year]])</f>
        <v>OCTOBER 26</v>
      </c>
      <c r="J1651" s="8" t="s">
        <v>274</v>
      </c>
      <c r="K1651" s="33" t="str">
        <f>CONCATENATE(TableAopCalendar[[#This Row],[Month for Plan]]," ",TableAopCalendar[[#This Row],[Plan]])</f>
        <v>OCTOBER 26 PLANNED</v>
      </c>
    </row>
    <row r="1652" spans="1:11" x14ac:dyDescent="0.25">
      <c r="A1652" s="33">
        <f t="shared" si="90"/>
        <v>7</v>
      </c>
      <c r="B1652" s="34">
        <v>46302</v>
      </c>
      <c r="C1652" s="7" t="s">
        <v>114</v>
      </c>
      <c r="D1652" s="35">
        <v>26</v>
      </c>
      <c r="E1652" s="33">
        <f>DAY(TableAopCalendar[[#This Row],[Date]])</f>
        <v>7</v>
      </c>
      <c r="F165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52" s="33" t="str">
        <f t="shared" si="91"/>
        <v>Week 1</v>
      </c>
      <c r="H1652" s="33" t="str">
        <f t="shared" si="92"/>
        <v>October 26 Week 1</v>
      </c>
      <c r="I1652" s="33" t="str">
        <f>CONCATENATE(UPPER(TableAopCalendar[[#This Row],[Month]])," ",TableAopCalendar[[#This Row],[Year]])</f>
        <v>OCTOBER 26</v>
      </c>
      <c r="J1652" s="8" t="s">
        <v>274</v>
      </c>
      <c r="K1652" s="33" t="str">
        <f>CONCATENATE(TableAopCalendar[[#This Row],[Month for Plan]]," ",TableAopCalendar[[#This Row],[Plan]])</f>
        <v>OCTOBER 26 PLANNED</v>
      </c>
    </row>
    <row r="1653" spans="1:11" x14ac:dyDescent="0.25">
      <c r="A1653" s="33">
        <f t="shared" si="90"/>
        <v>1</v>
      </c>
      <c r="B1653" s="34">
        <v>46303</v>
      </c>
      <c r="C1653" s="7" t="s">
        <v>114</v>
      </c>
      <c r="D1653" s="35">
        <v>26</v>
      </c>
      <c r="E1653" s="33">
        <f>DAY(TableAopCalendar[[#This Row],[Date]])</f>
        <v>8</v>
      </c>
      <c r="F165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3" s="33" t="str">
        <f t="shared" si="91"/>
        <v>Week 2</v>
      </c>
      <c r="H1653" s="33" t="str">
        <f t="shared" si="92"/>
        <v>October 26 Week 2</v>
      </c>
      <c r="I1653" s="33" t="str">
        <f>CONCATENATE(UPPER(TableAopCalendar[[#This Row],[Month]])," ",TableAopCalendar[[#This Row],[Year]])</f>
        <v>OCTOBER 26</v>
      </c>
      <c r="J1653" s="8" t="s">
        <v>274</v>
      </c>
      <c r="K1653" s="33" t="str">
        <f>CONCATENATE(TableAopCalendar[[#This Row],[Month for Plan]]," ",TableAopCalendar[[#This Row],[Plan]])</f>
        <v>OCTOBER 26 PLANNED</v>
      </c>
    </row>
    <row r="1654" spans="1:11" x14ac:dyDescent="0.25">
      <c r="A1654" s="33">
        <f t="shared" si="90"/>
        <v>2</v>
      </c>
      <c r="B1654" s="34">
        <v>46304</v>
      </c>
      <c r="C1654" s="7" t="s">
        <v>114</v>
      </c>
      <c r="D1654" s="35">
        <v>26</v>
      </c>
      <c r="E1654" s="33">
        <f>DAY(TableAopCalendar[[#This Row],[Date]])</f>
        <v>9</v>
      </c>
      <c r="F165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4" s="33" t="str">
        <f t="shared" si="91"/>
        <v>Week 2</v>
      </c>
      <c r="H1654" s="33" t="str">
        <f t="shared" si="92"/>
        <v>October 26 Week 2</v>
      </c>
      <c r="I1654" s="33" t="str">
        <f>CONCATENATE(UPPER(TableAopCalendar[[#This Row],[Month]])," ",TableAopCalendar[[#This Row],[Year]])</f>
        <v>OCTOBER 26</v>
      </c>
      <c r="J1654" s="8" t="s">
        <v>274</v>
      </c>
      <c r="K1654" s="33" t="str">
        <f>CONCATENATE(TableAopCalendar[[#This Row],[Month for Plan]]," ",TableAopCalendar[[#This Row],[Plan]])</f>
        <v>OCTOBER 26 PLANNED</v>
      </c>
    </row>
    <row r="1655" spans="1:11" x14ac:dyDescent="0.25">
      <c r="A1655" s="33">
        <f t="shared" si="90"/>
        <v>3</v>
      </c>
      <c r="B1655" s="34">
        <v>46305</v>
      </c>
      <c r="C1655" s="7" t="s">
        <v>114</v>
      </c>
      <c r="D1655" s="35">
        <v>26</v>
      </c>
      <c r="E1655" s="33">
        <f>DAY(TableAopCalendar[[#This Row],[Date]])</f>
        <v>10</v>
      </c>
      <c r="F165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5" s="33" t="str">
        <f t="shared" si="91"/>
        <v>Week 2</v>
      </c>
      <c r="H1655" s="33" t="str">
        <f t="shared" si="92"/>
        <v>October 26 Week 2</v>
      </c>
      <c r="I1655" s="33" t="str">
        <f>CONCATENATE(UPPER(TableAopCalendar[[#This Row],[Month]])," ",TableAopCalendar[[#This Row],[Year]])</f>
        <v>OCTOBER 26</v>
      </c>
      <c r="J1655" s="8" t="s">
        <v>274</v>
      </c>
      <c r="K1655" s="33" t="str">
        <f>CONCATENATE(TableAopCalendar[[#This Row],[Month for Plan]]," ",TableAopCalendar[[#This Row],[Plan]])</f>
        <v>OCTOBER 26 PLANNED</v>
      </c>
    </row>
    <row r="1656" spans="1:11" x14ac:dyDescent="0.25">
      <c r="A1656" s="33">
        <f t="shared" si="90"/>
        <v>4</v>
      </c>
      <c r="B1656" s="34">
        <v>46306</v>
      </c>
      <c r="C1656" s="7" t="s">
        <v>114</v>
      </c>
      <c r="D1656" s="35">
        <v>26</v>
      </c>
      <c r="E1656" s="33">
        <f>DAY(TableAopCalendar[[#This Row],[Date]])</f>
        <v>11</v>
      </c>
      <c r="F165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6" s="33" t="str">
        <f t="shared" si="91"/>
        <v>Week 2</v>
      </c>
      <c r="H1656" s="33" t="str">
        <f t="shared" si="92"/>
        <v>October 26 Week 2</v>
      </c>
      <c r="I1656" s="33" t="str">
        <f>CONCATENATE(UPPER(TableAopCalendar[[#This Row],[Month]])," ",TableAopCalendar[[#This Row],[Year]])</f>
        <v>OCTOBER 26</v>
      </c>
      <c r="J1656" s="8" t="s">
        <v>274</v>
      </c>
      <c r="K1656" s="33" t="str">
        <f>CONCATENATE(TableAopCalendar[[#This Row],[Month for Plan]]," ",TableAopCalendar[[#This Row],[Plan]])</f>
        <v>OCTOBER 26 PLANNED</v>
      </c>
    </row>
    <row r="1657" spans="1:11" x14ac:dyDescent="0.25">
      <c r="A1657" s="33">
        <f t="shared" si="90"/>
        <v>5</v>
      </c>
      <c r="B1657" s="34">
        <v>46307</v>
      </c>
      <c r="C1657" s="7" t="s">
        <v>114</v>
      </c>
      <c r="D1657" s="35">
        <v>26</v>
      </c>
      <c r="E1657" s="33">
        <f>DAY(TableAopCalendar[[#This Row],[Date]])</f>
        <v>12</v>
      </c>
      <c r="F165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7" s="33" t="str">
        <f t="shared" si="91"/>
        <v>Week 2</v>
      </c>
      <c r="H1657" s="33" t="str">
        <f t="shared" si="92"/>
        <v>October 26 Week 2</v>
      </c>
      <c r="I1657" s="33" t="str">
        <f>CONCATENATE(UPPER(TableAopCalendar[[#This Row],[Month]])," ",TableAopCalendar[[#This Row],[Year]])</f>
        <v>OCTOBER 26</v>
      </c>
      <c r="J1657" s="8" t="s">
        <v>274</v>
      </c>
      <c r="K1657" s="33" t="str">
        <f>CONCATENATE(TableAopCalendar[[#This Row],[Month for Plan]]," ",TableAopCalendar[[#This Row],[Plan]])</f>
        <v>OCTOBER 26 PLANNED</v>
      </c>
    </row>
    <row r="1658" spans="1:11" x14ac:dyDescent="0.25">
      <c r="A1658" s="33">
        <f t="shared" si="90"/>
        <v>6</v>
      </c>
      <c r="B1658" s="34">
        <v>46308</v>
      </c>
      <c r="C1658" s="7" t="s">
        <v>114</v>
      </c>
      <c r="D1658" s="35">
        <v>26</v>
      </c>
      <c r="E1658" s="33">
        <f>DAY(TableAopCalendar[[#This Row],[Date]])</f>
        <v>13</v>
      </c>
      <c r="F165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8" s="33" t="str">
        <f t="shared" si="91"/>
        <v>Week 2</v>
      </c>
      <c r="H1658" s="33" t="str">
        <f t="shared" si="92"/>
        <v>October 26 Week 2</v>
      </c>
      <c r="I1658" s="33" t="str">
        <f>CONCATENATE(UPPER(TableAopCalendar[[#This Row],[Month]])," ",TableAopCalendar[[#This Row],[Year]])</f>
        <v>OCTOBER 26</v>
      </c>
      <c r="J1658" s="8" t="s">
        <v>274</v>
      </c>
      <c r="K1658" s="33" t="str">
        <f>CONCATENATE(TableAopCalendar[[#This Row],[Month for Plan]]," ",TableAopCalendar[[#This Row],[Plan]])</f>
        <v>OCTOBER 26 PLANNED</v>
      </c>
    </row>
    <row r="1659" spans="1:11" x14ac:dyDescent="0.25">
      <c r="A1659" s="33">
        <f t="shared" si="90"/>
        <v>7</v>
      </c>
      <c r="B1659" s="34">
        <v>46309</v>
      </c>
      <c r="C1659" s="7" t="s">
        <v>114</v>
      </c>
      <c r="D1659" s="35">
        <v>26</v>
      </c>
      <c r="E1659" s="33">
        <f>DAY(TableAopCalendar[[#This Row],[Date]])</f>
        <v>14</v>
      </c>
      <c r="F165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59" s="33" t="str">
        <f t="shared" si="91"/>
        <v>Week 2</v>
      </c>
      <c r="H1659" s="33" t="str">
        <f t="shared" si="92"/>
        <v>October 26 Week 2</v>
      </c>
      <c r="I1659" s="33" t="str">
        <f>CONCATENATE(UPPER(TableAopCalendar[[#This Row],[Month]])," ",TableAopCalendar[[#This Row],[Year]])</f>
        <v>OCTOBER 26</v>
      </c>
      <c r="J1659" s="8" t="s">
        <v>274</v>
      </c>
      <c r="K1659" s="33" t="str">
        <f>CONCATENATE(TableAopCalendar[[#This Row],[Month for Plan]]," ",TableAopCalendar[[#This Row],[Plan]])</f>
        <v>OCTOBER 26 PLANNED</v>
      </c>
    </row>
    <row r="1660" spans="1:11" x14ac:dyDescent="0.25">
      <c r="A1660" s="33">
        <f t="shared" si="90"/>
        <v>1</v>
      </c>
      <c r="B1660" s="34">
        <v>46310</v>
      </c>
      <c r="C1660" s="7" t="s">
        <v>114</v>
      </c>
      <c r="D1660" s="35">
        <v>26</v>
      </c>
      <c r="E1660" s="33">
        <f>DAY(TableAopCalendar[[#This Row],[Date]])</f>
        <v>15</v>
      </c>
      <c r="F166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60" s="33" t="str">
        <f t="shared" si="91"/>
        <v>Week 3</v>
      </c>
      <c r="H1660" s="33" t="str">
        <f t="shared" si="92"/>
        <v>October 26 Week 3</v>
      </c>
      <c r="I1660" s="33" t="str">
        <f>CONCATENATE(UPPER(TableAopCalendar[[#This Row],[Month]])," ",TableAopCalendar[[#This Row],[Year]])</f>
        <v>OCTOBER 26</v>
      </c>
      <c r="J1660" s="8" t="s">
        <v>274</v>
      </c>
      <c r="K1660" s="33" t="str">
        <f>CONCATENATE(TableAopCalendar[[#This Row],[Month for Plan]]," ",TableAopCalendar[[#This Row],[Plan]])</f>
        <v>OCTOBER 26 PLANNED</v>
      </c>
    </row>
    <row r="1661" spans="1:11" x14ac:dyDescent="0.25">
      <c r="A1661" s="33">
        <f t="shared" si="90"/>
        <v>2</v>
      </c>
      <c r="B1661" s="34">
        <v>46311</v>
      </c>
      <c r="C1661" s="7" t="s">
        <v>114</v>
      </c>
      <c r="D1661" s="35">
        <v>26</v>
      </c>
      <c r="E1661" s="33">
        <f>DAY(TableAopCalendar[[#This Row],[Date]])</f>
        <v>16</v>
      </c>
      <c r="F166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61" s="33" t="str">
        <f t="shared" si="91"/>
        <v>Week 3</v>
      </c>
      <c r="H1661" s="33" t="str">
        <f t="shared" si="92"/>
        <v>October 26 Week 3</v>
      </c>
      <c r="I1661" s="33" t="str">
        <f>CONCATENATE(UPPER(TableAopCalendar[[#This Row],[Month]])," ",TableAopCalendar[[#This Row],[Year]])</f>
        <v>OCTOBER 26</v>
      </c>
      <c r="J1661" s="8" t="s">
        <v>274</v>
      </c>
      <c r="K1661" s="33" t="str">
        <f>CONCATENATE(TableAopCalendar[[#This Row],[Month for Plan]]," ",TableAopCalendar[[#This Row],[Plan]])</f>
        <v>OCTOBER 26 PLANNED</v>
      </c>
    </row>
    <row r="1662" spans="1:11" x14ac:dyDescent="0.25">
      <c r="A1662" s="33">
        <f t="shared" si="90"/>
        <v>3</v>
      </c>
      <c r="B1662" s="34">
        <v>46312</v>
      </c>
      <c r="C1662" s="7" t="s">
        <v>114</v>
      </c>
      <c r="D1662" s="35">
        <v>26</v>
      </c>
      <c r="E1662" s="33">
        <f>DAY(TableAopCalendar[[#This Row],[Date]])</f>
        <v>17</v>
      </c>
      <c r="F166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62" s="33" t="str">
        <f t="shared" si="91"/>
        <v>Week 3</v>
      </c>
      <c r="H1662" s="33" t="str">
        <f t="shared" si="92"/>
        <v>October 26 Week 3</v>
      </c>
      <c r="I1662" s="33" t="str">
        <f>CONCATENATE(UPPER(TableAopCalendar[[#This Row],[Month]])," ",TableAopCalendar[[#This Row],[Year]])</f>
        <v>OCTOBER 26</v>
      </c>
      <c r="J1662" s="8" t="s">
        <v>274</v>
      </c>
      <c r="K1662" s="33" t="str">
        <f>CONCATENATE(TableAopCalendar[[#This Row],[Month for Plan]]," ",TableAopCalendar[[#This Row],[Plan]])</f>
        <v>OCTOBER 26 PLANNED</v>
      </c>
    </row>
    <row r="1663" spans="1:11" x14ac:dyDescent="0.25">
      <c r="A1663" s="33">
        <f t="shared" si="90"/>
        <v>4</v>
      </c>
      <c r="B1663" s="34">
        <v>46313</v>
      </c>
      <c r="C1663" s="7" t="s">
        <v>114</v>
      </c>
      <c r="D1663" s="35">
        <v>26</v>
      </c>
      <c r="E1663" s="33">
        <f>DAY(TableAopCalendar[[#This Row],[Date]])</f>
        <v>18</v>
      </c>
      <c r="F166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63" s="33" t="str">
        <f t="shared" si="91"/>
        <v>Week 3</v>
      </c>
      <c r="H1663" s="33" t="str">
        <f t="shared" si="92"/>
        <v>October 26 Week 3</v>
      </c>
      <c r="I1663" s="33" t="str">
        <f>CONCATENATE(UPPER(TableAopCalendar[[#This Row],[Month]])," ",TableAopCalendar[[#This Row],[Year]])</f>
        <v>OCTOBER 26</v>
      </c>
      <c r="J1663" s="8" t="s">
        <v>274</v>
      </c>
      <c r="K1663" s="33" t="str">
        <f>CONCATENATE(TableAopCalendar[[#This Row],[Month for Plan]]," ",TableAopCalendar[[#This Row],[Plan]])</f>
        <v>OCTOBER 26 PLANNED</v>
      </c>
    </row>
    <row r="1664" spans="1:11" x14ac:dyDescent="0.25">
      <c r="A1664" s="33">
        <f t="shared" si="90"/>
        <v>5</v>
      </c>
      <c r="B1664" s="34">
        <v>46314</v>
      </c>
      <c r="C1664" s="7" t="s">
        <v>114</v>
      </c>
      <c r="D1664" s="35">
        <v>26</v>
      </c>
      <c r="E1664" s="33">
        <f>DAY(TableAopCalendar[[#This Row],[Date]])</f>
        <v>19</v>
      </c>
      <c r="F166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64" s="33" t="str">
        <f t="shared" si="91"/>
        <v>Week 3</v>
      </c>
      <c r="H1664" s="33" t="str">
        <f t="shared" si="92"/>
        <v>October 26 Week 3</v>
      </c>
      <c r="I1664" s="33" t="str">
        <f>CONCATENATE(UPPER(TableAopCalendar[[#This Row],[Month]])," ",TableAopCalendar[[#This Row],[Year]])</f>
        <v>OCTOBER 26</v>
      </c>
      <c r="J1664" s="8" t="s">
        <v>274</v>
      </c>
      <c r="K1664" s="33" t="str">
        <f>CONCATENATE(TableAopCalendar[[#This Row],[Month for Plan]]," ",TableAopCalendar[[#This Row],[Plan]])</f>
        <v>OCTOBER 26 PLANNED</v>
      </c>
    </row>
    <row r="1665" spans="1:11" x14ac:dyDescent="0.25">
      <c r="A1665" s="33">
        <f t="shared" si="90"/>
        <v>6</v>
      </c>
      <c r="B1665" s="34">
        <v>46315</v>
      </c>
      <c r="C1665" s="7" t="s">
        <v>114</v>
      </c>
      <c r="D1665" s="35">
        <v>26</v>
      </c>
      <c r="E1665" s="33">
        <f>DAY(TableAopCalendar[[#This Row],[Date]])</f>
        <v>20</v>
      </c>
      <c r="F166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65" s="33" t="str">
        <f t="shared" si="91"/>
        <v>Week 3</v>
      </c>
      <c r="H1665" s="33" t="str">
        <f t="shared" si="92"/>
        <v>October 26 Week 3</v>
      </c>
      <c r="I1665" s="33" t="str">
        <f>CONCATENATE(UPPER(TableAopCalendar[[#This Row],[Month]])," ",TableAopCalendar[[#This Row],[Year]])</f>
        <v>OCTOBER 26</v>
      </c>
      <c r="J1665" s="8" t="s">
        <v>274</v>
      </c>
      <c r="K1665" s="33" t="str">
        <f>CONCATENATE(TableAopCalendar[[#This Row],[Month for Plan]]," ",TableAopCalendar[[#This Row],[Plan]])</f>
        <v>OCTOBER 26 PLANNED</v>
      </c>
    </row>
    <row r="1666" spans="1:11" x14ac:dyDescent="0.25">
      <c r="A1666" s="33">
        <f t="shared" si="90"/>
        <v>7</v>
      </c>
      <c r="B1666" s="34">
        <v>46316</v>
      </c>
      <c r="C1666" s="7" t="s">
        <v>114</v>
      </c>
      <c r="D1666" s="35">
        <v>26</v>
      </c>
      <c r="E1666" s="33">
        <f>DAY(TableAopCalendar[[#This Row],[Date]])</f>
        <v>21</v>
      </c>
      <c r="F166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66" s="33" t="str">
        <f t="shared" si="91"/>
        <v>Week 3</v>
      </c>
      <c r="H1666" s="33" t="str">
        <f t="shared" si="92"/>
        <v>October 26 Week 3</v>
      </c>
      <c r="I1666" s="33" t="str">
        <f>CONCATENATE(UPPER(TableAopCalendar[[#This Row],[Month]])," ",TableAopCalendar[[#This Row],[Year]])</f>
        <v>OCTOBER 26</v>
      </c>
      <c r="J1666" s="8" t="s">
        <v>274</v>
      </c>
      <c r="K1666" s="33" t="str">
        <f>CONCATENATE(TableAopCalendar[[#This Row],[Month for Plan]]," ",TableAopCalendar[[#This Row],[Plan]])</f>
        <v>OCTOBER 26 PLANNED</v>
      </c>
    </row>
    <row r="1667" spans="1:11" x14ac:dyDescent="0.25">
      <c r="A1667" s="33">
        <f t="shared" si="90"/>
        <v>1</v>
      </c>
      <c r="B1667" s="34">
        <v>46317</v>
      </c>
      <c r="C1667" s="7" t="s">
        <v>114</v>
      </c>
      <c r="D1667" s="35">
        <v>26</v>
      </c>
      <c r="E1667" s="33">
        <f>DAY(TableAopCalendar[[#This Row],[Date]])</f>
        <v>22</v>
      </c>
      <c r="F166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67" s="33" t="str">
        <f t="shared" si="91"/>
        <v>Week 4</v>
      </c>
      <c r="H1667" s="33" t="str">
        <f t="shared" si="92"/>
        <v>October 26 Week 4</v>
      </c>
      <c r="I1667" s="33" t="str">
        <f>CONCATENATE(UPPER(TableAopCalendar[[#This Row],[Month]])," ",TableAopCalendar[[#This Row],[Year]])</f>
        <v>OCTOBER 26</v>
      </c>
      <c r="J1667" s="8" t="s">
        <v>274</v>
      </c>
      <c r="K1667" s="33" t="str">
        <f>CONCATENATE(TableAopCalendar[[#This Row],[Month for Plan]]," ",TableAopCalendar[[#This Row],[Plan]])</f>
        <v>OCTOBER 26 PLANNED</v>
      </c>
    </row>
    <row r="1668" spans="1:11" x14ac:dyDescent="0.25">
      <c r="A1668" s="33">
        <f t="shared" si="90"/>
        <v>2</v>
      </c>
      <c r="B1668" s="34">
        <v>46318</v>
      </c>
      <c r="C1668" s="7" t="s">
        <v>114</v>
      </c>
      <c r="D1668" s="35">
        <v>26</v>
      </c>
      <c r="E1668" s="33">
        <f>DAY(TableAopCalendar[[#This Row],[Date]])</f>
        <v>23</v>
      </c>
      <c r="F166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68" s="33" t="str">
        <f t="shared" si="91"/>
        <v>Week 4</v>
      </c>
      <c r="H1668" s="33" t="str">
        <f t="shared" si="92"/>
        <v>October 26 Week 4</v>
      </c>
      <c r="I1668" s="33" t="str">
        <f>CONCATENATE(UPPER(TableAopCalendar[[#This Row],[Month]])," ",TableAopCalendar[[#This Row],[Year]])</f>
        <v>OCTOBER 26</v>
      </c>
      <c r="J1668" s="8" t="s">
        <v>274</v>
      </c>
      <c r="K1668" s="33" t="str">
        <f>CONCATENATE(TableAopCalendar[[#This Row],[Month for Plan]]," ",TableAopCalendar[[#This Row],[Plan]])</f>
        <v>OCTOBER 26 PLANNED</v>
      </c>
    </row>
    <row r="1669" spans="1:11" x14ac:dyDescent="0.25">
      <c r="A1669" s="33">
        <f t="shared" si="90"/>
        <v>3</v>
      </c>
      <c r="B1669" s="34">
        <v>46319</v>
      </c>
      <c r="C1669" s="7" t="s">
        <v>114</v>
      </c>
      <c r="D1669" s="35">
        <v>26</v>
      </c>
      <c r="E1669" s="33">
        <f>DAY(TableAopCalendar[[#This Row],[Date]])</f>
        <v>24</v>
      </c>
      <c r="F166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69" s="33" t="str">
        <f t="shared" si="91"/>
        <v>Week 4</v>
      </c>
      <c r="H1669" s="33" t="str">
        <f t="shared" si="92"/>
        <v>October 26 Week 4</v>
      </c>
      <c r="I1669" s="33" t="str">
        <f>CONCATENATE(UPPER(TableAopCalendar[[#This Row],[Month]])," ",TableAopCalendar[[#This Row],[Year]])</f>
        <v>OCTOBER 26</v>
      </c>
      <c r="J1669" s="8" t="s">
        <v>274</v>
      </c>
      <c r="K1669" s="33" t="str">
        <f>CONCATENATE(TableAopCalendar[[#This Row],[Month for Plan]]," ",TableAopCalendar[[#This Row],[Plan]])</f>
        <v>OCTOBER 26 PLANNED</v>
      </c>
    </row>
    <row r="1670" spans="1:11" x14ac:dyDescent="0.25">
      <c r="A1670" s="33">
        <f t="shared" si="90"/>
        <v>4</v>
      </c>
      <c r="B1670" s="34">
        <v>46320</v>
      </c>
      <c r="C1670" s="7" t="s">
        <v>114</v>
      </c>
      <c r="D1670" s="35">
        <v>26</v>
      </c>
      <c r="E1670" s="33">
        <f>DAY(TableAopCalendar[[#This Row],[Date]])</f>
        <v>25</v>
      </c>
      <c r="F167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70" s="33" t="str">
        <f t="shared" si="91"/>
        <v>Week 4</v>
      </c>
      <c r="H1670" s="33" t="str">
        <f t="shared" si="92"/>
        <v>October 26 Week 4</v>
      </c>
      <c r="I1670" s="33" t="str">
        <f>CONCATENATE(UPPER(TableAopCalendar[[#This Row],[Month]])," ",TableAopCalendar[[#This Row],[Year]])</f>
        <v>OCTOBER 26</v>
      </c>
      <c r="J1670" s="8" t="s">
        <v>274</v>
      </c>
      <c r="K1670" s="33" t="str">
        <f>CONCATENATE(TableAopCalendar[[#This Row],[Month for Plan]]," ",TableAopCalendar[[#This Row],[Plan]])</f>
        <v>OCTOBER 26 PLANNED</v>
      </c>
    </row>
    <row r="1671" spans="1:11" x14ac:dyDescent="0.25">
      <c r="A1671" s="33">
        <f t="shared" si="90"/>
        <v>5</v>
      </c>
      <c r="B1671" s="34">
        <v>46321</v>
      </c>
      <c r="C1671" s="7" t="s">
        <v>114</v>
      </c>
      <c r="D1671" s="35">
        <v>26</v>
      </c>
      <c r="E1671" s="33">
        <f>DAY(TableAopCalendar[[#This Row],[Date]])</f>
        <v>26</v>
      </c>
      <c r="F167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71" s="33" t="str">
        <f t="shared" si="91"/>
        <v>Week 4</v>
      </c>
      <c r="H1671" s="33" t="str">
        <f t="shared" si="92"/>
        <v>October 26 Week 4</v>
      </c>
      <c r="I1671" s="33" t="str">
        <f>CONCATENATE(UPPER(TableAopCalendar[[#This Row],[Month]])," ",TableAopCalendar[[#This Row],[Year]])</f>
        <v>OCTOBER 26</v>
      </c>
      <c r="J1671" s="8" t="s">
        <v>274</v>
      </c>
      <c r="K1671" s="33" t="str">
        <f>CONCATENATE(TableAopCalendar[[#This Row],[Month for Plan]]," ",TableAopCalendar[[#This Row],[Plan]])</f>
        <v>OCTOBER 26 PLANNED</v>
      </c>
    </row>
    <row r="1672" spans="1:11" x14ac:dyDescent="0.25">
      <c r="A1672" s="33">
        <f t="shared" si="90"/>
        <v>6</v>
      </c>
      <c r="B1672" s="34">
        <v>46322</v>
      </c>
      <c r="C1672" s="7" t="s">
        <v>114</v>
      </c>
      <c r="D1672" s="35">
        <v>26</v>
      </c>
      <c r="E1672" s="33">
        <f>DAY(TableAopCalendar[[#This Row],[Date]])</f>
        <v>27</v>
      </c>
      <c r="F167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72" s="33" t="str">
        <f t="shared" si="91"/>
        <v>Week 4</v>
      </c>
      <c r="H1672" s="33" t="str">
        <f t="shared" si="92"/>
        <v>October 26 Week 4</v>
      </c>
      <c r="I1672" s="33" t="str">
        <f>CONCATENATE(UPPER(TableAopCalendar[[#This Row],[Month]])," ",TableAopCalendar[[#This Row],[Year]])</f>
        <v>OCTOBER 26</v>
      </c>
      <c r="J1672" s="8" t="s">
        <v>274</v>
      </c>
      <c r="K1672" s="33" t="str">
        <f>CONCATENATE(TableAopCalendar[[#This Row],[Month for Plan]]," ",TableAopCalendar[[#This Row],[Plan]])</f>
        <v>OCTOBER 26 PLANNED</v>
      </c>
    </row>
    <row r="1673" spans="1:11" x14ac:dyDescent="0.25">
      <c r="A1673" s="33">
        <f t="shared" si="90"/>
        <v>7</v>
      </c>
      <c r="B1673" s="34">
        <v>46323</v>
      </c>
      <c r="C1673" s="7" t="s">
        <v>114</v>
      </c>
      <c r="D1673" s="35">
        <v>26</v>
      </c>
      <c r="E1673" s="33">
        <f>DAY(TableAopCalendar[[#This Row],[Date]])</f>
        <v>28</v>
      </c>
      <c r="F167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73" s="33" t="str">
        <f t="shared" si="91"/>
        <v>Week 4</v>
      </c>
      <c r="H1673" s="33" t="str">
        <f t="shared" si="92"/>
        <v>October 26 Week 4</v>
      </c>
      <c r="I1673" s="33" t="str">
        <f>CONCATENATE(UPPER(TableAopCalendar[[#This Row],[Month]])," ",TableAopCalendar[[#This Row],[Year]])</f>
        <v>OCTOBER 26</v>
      </c>
      <c r="J1673" s="8" t="s">
        <v>274</v>
      </c>
      <c r="K1673" s="33" t="str">
        <f>CONCATENATE(TableAopCalendar[[#This Row],[Month for Plan]]," ",TableAopCalendar[[#This Row],[Plan]])</f>
        <v>OCTOBER 26 PLANNED</v>
      </c>
    </row>
    <row r="1674" spans="1:11" x14ac:dyDescent="0.25">
      <c r="A1674" s="33">
        <f t="shared" si="90"/>
        <v>1</v>
      </c>
      <c r="B1674" s="34">
        <v>46324</v>
      </c>
      <c r="C1674" s="7" t="s">
        <v>114</v>
      </c>
      <c r="D1674" s="35">
        <v>26</v>
      </c>
      <c r="E1674" s="33">
        <f>DAY(TableAopCalendar[[#This Row],[Date]])</f>
        <v>29</v>
      </c>
      <c r="F1674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74" s="33" t="str">
        <f t="shared" si="91"/>
        <v>Week 5</v>
      </c>
      <c r="H1674" s="33" t="str">
        <f t="shared" si="92"/>
        <v>October 26 Week 5</v>
      </c>
      <c r="I1674" s="33" t="str">
        <f>CONCATENATE(UPPER(TableAopCalendar[[#This Row],[Month]])," ",TableAopCalendar[[#This Row],[Year]])</f>
        <v>OCTOBER 26</v>
      </c>
      <c r="J1674" s="8" t="s">
        <v>274</v>
      </c>
      <c r="K1674" s="33" t="str">
        <f>CONCATENATE(TableAopCalendar[[#This Row],[Month for Plan]]," ",TableAopCalendar[[#This Row],[Plan]])</f>
        <v>OCTOBER 26 PLANNED</v>
      </c>
    </row>
    <row r="1675" spans="1:11" x14ac:dyDescent="0.25">
      <c r="A1675" s="33">
        <f t="shared" ref="A1675:A1738" si="93">IF(G1675=G1674,A1674+1,1)</f>
        <v>2</v>
      </c>
      <c r="B1675" s="34">
        <v>46325</v>
      </c>
      <c r="C1675" s="7" t="s">
        <v>114</v>
      </c>
      <c r="D1675" s="35">
        <v>26</v>
      </c>
      <c r="E1675" s="33">
        <f>DAY(TableAopCalendar[[#This Row],[Date]])</f>
        <v>30</v>
      </c>
      <c r="F1675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75" s="33" t="str">
        <f t="shared" ref="G1675:G1738" si="94">"Week"&amp;" "&amp;F1675</f>
        <v>Week 5</v>
      </c>
      <c r="H1675" s="33" t="str">
        <f t="shared" ref="H1675:H1738" si="95">CONCATENATE(C1675," ",D1675," ",G1675)</f>
        <v>October 26 Week 5</v>
      </c>
      <c r="I1675" s="33" t="str">
        <f>CONCATENATE(UPPER(TableAopCalendar[[#This Row],[Month]])," ",TableAopCalendar[[#This Row],[Year]])</f>
        <v>OCTOBER 26</v>
      </c>
      <c r="J1675" s="8" t="s">
        <v>274</v>
      </c>
      <c r="K1675" s="33" t="str">
        <f>CONCATENATE(TableAopCalendar[[#This Row],[Month for Plan]]," ",TableAopCalendar[[#This Row],[Plan]])</f>
        <v>OCTOBER 26 PLANNED</v>
      </c>
    </row>
    <row r="1676" spans="1:11" x14ac:dyDescent="0.25">
      <c r="A1676" s="33">
        <f t="shared" si="93"/>
        <v>3</v>
      </c>
      <c r="B1676" s="34">
        <v>46326</v>
      </c>
      <c r="C1676" s="7" t="s">
        <v>114</v>
      </c>
      <c r="D1676" s="35">
        <v>26</v>
      </c>
      <c r="E1676" s="33">
        <f>DAY(TableAopCalendar[[#This Row],[Date]])</f>
        <v>31</v>
      </c>
      <c r="F1676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676" s="33" t="str">
        <f t="shared" si="94"/>
        <v>Week 5</v>
      </c>
      <c r="H1676" s="33" t="str">
        <f t="shared" si="95"/>
        <v>October 26 Week 5</v>
      </c>
      <c r="I1676" s="33" t="str">
        <f>CONCATENATE(UPPER(TableAopCalendar[[#This Row],[Month]])," ",TableAopCalendar[[#This Row],[Year]])</f>
        <v>OCTOBER 26</v>
      </c>
      <c r="J1676" s="8" t="s">
        <v>274</v>
      </c>
      <c r="K1676" s="33" t="str">
        <f>CONCATENATE(TableAopCalendar[[#This Row],[Month for Plan]]," ",TableAopCalendar[[#This Row],[Plan]])</f>
        <v>OCTOBER 26 PLANNED</v>
      </c>
    </row>
    <row r="1677" spans="1:11" x14ac:dyDescent="0.25">
      <c r="A1677" s="33">
        <f t="shared" si="93"/>
        <v>1</v>
      </c>
      <c r="B1677" s="34">
        <v>46327</v>
      </c>
      <c r="C1677" s="7" t="s">
        <v>117</v>
      </c>
      <c r="D1677" s="35">
        <v>26</v>
      </c>
      <c r="E1677" s="33">
        <f>DAY(TableAopCalendar[[#This Row],[Date]])</f>
        <v>1</v>
      </c>
      <c r="F167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77" s="33" t="str">
        <f t="shared" si="94"/>
        <v>Week 1</v>
      </c>
      <c r="H1677" s="33" t="str">
        <f t="shared" si="95"/>
        <v>November 26 Week 1</v>
      </c>
      <c r="I1677" s="33" t="str">
        <f>CONCATENATE(UPPER(TableAopCalendar[[#This Row],[Month]])," ",TableAopCalendar[[#This Row],[Year]])</f>
        <v>NOVEMBER 26</v>
      </c>
      <c r="J1677" s="8" t="s">
        <v>274</v>
      </c>
      <c r="K1677" s="33" t="str">
        <f>CONCATENATE(TableAopCalendar[[#This Row],[Month for Plan]]," ",TableAopCalendar[[#This Row],[Plan]])</f>
        <v>NOVEMBER 26 PLANNED</v>
      </c>
    </row>
    <row r="1678" spans="1:11" x14ac:dyDescent="0.25">
      <c r="A1678" s="33">
        <f t="shared" si="93"/>
        <v>2</v>
      </c>
      <c r="B1678" s="34">
        <v>46328</v>
      </c>
      <c r="C1678" s="7" t="s">
        <v>117</v>
      </c>
      <c r="D1678" s="35">
        <v>26</v>
      </c>
      <c r="E1678" s="33">
        <f>DAY(TableAopCalendar[[#This Row],[Date]])</f>
        <v>2</v>
      </c>
      <c r="F167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78" s="33" t="str">
        <f t="shared" si="94"/>
        <v>Week 1</v>
      </c>
      <c r="H1678" s="33" t="str">
        <f t="shared" si="95"/>
        <v>November 26 Week 1</v>
      </c>
      <c r="I1678" s="33" t="str">
        <f>CONCATENATE(UPPER(TableAopCalendar[[#This Row],[Month]])," ",TableAopCalendar[[#This Row],[Year]])</f>
        <v>NOVEMBER 26</v>
      </c>
      <c r="J1678" s="8" t="s">
        <v>274</v>
      </c>
      <c r="K1678" s="33" t="str">
        <f>CONCATENATE(TableAopCalendar[[#This Row],[Month for Plan]]," ",TableAopCalendar[[#This Row],[Plan]])</f>
        <v>NOVEMBER 26 PLANNED</v>
      </c>
    </row>
    <row r="1679" spans="1:11" x14ac:dyDescent="0.25">
      <c r="A1679" s="33">
        <f t="shared" si="93"/>
        <v>3</v>
      </c>
      <c r="B1679" s="34">
        <v>46329</v>
      </c>
      <c r="C1679" s="7" t="s">
        <v>117</v>
      </c>
      <c r="D1679" s="35">
        <v>26</v>
      </c>
      <c r="E1679" s="33">
        <f>DAY(TableAopCalendar[[#This Row],[Date]])</f>
        <v>3</v>
      </c>
      <c r="F167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79" s="33" t="str">
        <f t="shared" si="94"/>
        <v>Week 1</v>
      </c>
      <c r="H1679" s="33" t="str">
        <f t="shared" si="95"/>
        <v>November 26 Week 1</v>
      </c>
      <c r="I1679" s="33" t="str">
        <f>CONCATENATE(UPPER(TableAopCalendar[[#This Row],[Month]])," ",TableAopCalendar[[#This Row],[Year]])</f>
        <v>NOVEMBER 26</v>
      </c>
      <c r="J1679" s="8" t="s">
        <v>274</v>
      </c>
      <c r="K1679" s="33" t="str">
        <f>CONCATENATE(TableAopCalendar[[#This Row],[Month for Plan]]," ",TableAopCalendar[[#This Row],[Plan]])</f>
        <v>NOVEMBER 26 PLANNED</v>
      </c>
    </row>
    <row r="1680" spans="1:11" x14ac:dyDescent="0.25">
      <c r="A1680" s="33">
        <f t="shared" si="93"/>
        <v>4</v>
      </c>
      <c r="B1680" s="34">
        <v>46330</v>
      </c>
      <c r="C1680" s="7" t="s">
        <v>117</v>
      </c>
      <c r="D1680" s="35">
        <v>26</v>
      </c>
      <c r="E1680" s="33">
        <f>DAY(TableAopCalendar[[#This Row],[Date]])</f>
        <v>4</v>
      </c>
      <c r="F168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80" s="33" t="str">
        <f t="shared" si="94"/>
        <v>Week 1</v>
      </c>
      <c r="H1680" s="33" t="str">
        <f t="shared" si="95"/>
        <v>November 26 Week 1</v>
      </c>
      <c r="I1680" s="33" t="str">
        <f>CONCATENATE(UPPER(TableAopCalendar[[#This Row],[Month]])," ",TableAopCalendar[[#This Row],[Year]])</f>
        <v>NOVEMBER 26</v>
      </c>
      <c r="J1680" s="8" t="s">
        <v>274</v>
      </c>
      <c r="K1680" s="33" t="str">
        <f>CONCATENATE(TableAopCalendar[[#This Row],[Month for Plan]]," ",TableAopCalendar[[#This Row],[Plan]])</f>
        <v>NOVEMBER 26 PLANNED</v>
      </c>
    </row>
    <row r="1681" spans="1:11" x14ac:dyDescent="0.25">
      <c r="A1681" s="33">
        <f t="shared" si="93"/>
        <v>5</v>
      </c>
      <c r="B1681" s="34">
        <v>46331</v>
      </c>
      <c r="C1681" s="7" t="s">
        <v>117</v>
      </c>
      <c r="D1681" s="35">
        <v>26</v>
      </c>
      <c r="E1681" s="33">
        <f>DAY(TableAopCalendar[[#This Row],[Date]])</f>
        <v>5</v>
      </c>
      <c r="F168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81" s="33" t="str">
        <f t="shared" si="94"/>
        <v>Week 1</v>
      </c>
      <c r="H1681" s="33" t="str">
        <f t="shared" si="95"/>
        <v>November 26 Week 1</v>
      </c>
      <c r="I1681" s="33" t="str">
        <f>CONCATENATE(UPPER(TableAopCalendar[[#This Row],[Month]])," ",TableAopCalendar[[#This Row],[Year]])</f>
        <v>NOVEMBER 26</v>
      </c>
      <c r="J1681" s="8" t="s">
        <v>274</v>
      </c>
      <c r="K1681" s="33" t="str">
        <f>CONCATENATE(TableAopCalendar[[#This Row],[Month for Plan]]," ",TableAopCalendar[[#This Row],[Plan]])</f>
        <v>NOVEMBER 26 PLANNED</v>
      </c>
    </row>
    <row r="1682" spans="1:11" x14ac:dyDescent="0.25">
      <c r="A1682" s="33">
        <f t="shared" si="93"/>
        <v>6</v>
      </c>
      <c r="B1682" s="34">
        <v>46332</v>
      </c>
      <c r="C1682" s="7" t="s">
        <v>117</v>
      </c>
      <c r="D1682" s="35">
        <v>26</v>
      </c>
      <c r="E1682" s="33">
        <f>DAY(TableAopCalendar[[#This Row],[Date]])</f>
        <v>6</v>
      </c>
      <c r="F168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82" s="33" t="str">
        <f t="shared" si="94"/>
        <v>Week 1</v>
      </c>
      <c r="H1682" s="33" t="str">
        <f t="shared" si="95"/>
        <v>November 26 Week 1</v>
      </c>
      <c r="I1682" s="33" t="str">
        <f>CONCATENATE(UPPER(TableAopCalendar[[#This Row],[Month]])," ",TableAopCalendar[[#This Row],[Year]])</f>
        <v>NOVEMBER 26</v>
      </c>
      <c r="J1682" s="8" t="s">
        <v>274</v>
      </c>
      <c r="K1682" s="33" t="str">
        <f>CONCATENATE(TableAopCalendar[[#This Row],[Month for Plan]]," ",TableAopCalendar[[#This Row],[Plan]])</f>
        <v>NOVEMBER 26 PLANNED</v>
      </c>
    </row>
    <row r="1683" spans="1:11" x14ac:dyDescent="0.25">
      <c r="A1683" s="33">
        <f t="shared" si="93"/>
        <v>7</v>
      </c>
      <c r="B1683" s="34">
        <v>46333</v>
      </c>
      <c r="C1683" s="7" t="s">
        <v>117</v>
      </c>
      <c r="D1683" s="35">
        <v>26</v>
      </c>
      <c r="E1683" s="33">
        <f>DAY(TableAopCalendar[[#This Row],[Date]])</f>
        <v>7</v>
      </c>
      <c r="F168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683" s="33" t="str">
        <f t="shared" si="94"/>
        <v>Week 1</v>
      </c>
      <c r="H1683" s="33" t="str">
        <f t="shared" si="95"/>
        <v>November 26 Week 1</v>
      </c>
      <c r="I1683" s="33" t="str">
        <f>CONCATENATE(UPPER(TableAopCalendar[[#This Row],[Month]])," ",TableAopCalendar[[#This Row],[Year]])</f>
        <v>NOVEMBER 26</v>
      </c>
      <c r="J1683" s="8" t="s">
        <v>274</v>
      </c>
      <c r="K1683" s="33" t="str">
        <f>CONCATENATE(TableAopCalendar[[#This Row],[Month for Plan]]," ",TableAopCalendar[[#This Row],[Plan]])</f>
        <v>NOVEMBER 26 PLANNED</v>
      </c>
    </row>
    <row r="1684" spans="1:11" x14ac:dyDescent="0.25">
      <c r="A1684" s="33">
        <f t="shared" si="93"/>
        <v>1</v>
      </c>
      <c r="B1684" s="34">
        <v>46334</v>
      </c>
      <c r="C1684" s="7" t="s">
        <v>117</v>
      </c>
      <c r="D1684" s="35">
        <v>26</v>
      </c>
      <c r="E1684" s="33">
        <f>DAY(TableAopCalendar[[#This Row],[Date]])</f>
        <v>8</v>
      </c>
      <c r="F168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84" s="33" t="str">
        <f t="shared" si="94"/>
        <v>Week 2</v>
      </c>
      <c r="H1684" s="33" t="str">
        <f t="shared" si="95"/>
        <v>November 26 Week 2</v>
      </c>
      <c r="I1684" s="33" t="str">
        <f>CONCATENATE(UPPER(TableAopCalendar[[#This Row],[Month]])," ",TableAopCalendar[[#This Row],[Year]])</f>
        <v>NOVEMBER 26</v>
      </c>
      <c r="J1684" s="8" t="s">
        <v>274</v>
      </c>
      <c r="K1684" s="33" t="str">
        <f>CONCATENATE(TableAopCalendar[[#This Row],[Month for Plan]]," ",TableAopCalendar[[#This Row],[Plan]])</f>
        <v>NOVEMBER 26 PLANNED</v>
      </c>
    </row>
    <row r="1685" spans="1:11" x14ac:dyDescent="0.25">
      <c r="A1685" s="33">
        <f t="shared" si="93"/>
        <v>2</v>
      </c>
      <c r="B1685" s="34">
        <v>46335</v>
      </c>
      <c r="C1685" s="7" t="s">
        <v>117</v>
      </c>
      <c r="D1685" s="35">
        <v>26</v>
      </c>
      <c r="E1685" s="33">
        <f>DAY(TableAopCalendar[[#This Row],[Date]])</f>
        <v>9</v>
      </c>
      <c r="F168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85" s="33" t="str">
        <f t="shared" si="94"/>
        <v>Week 2</v>
      </c>
      <c r="H1685" s="33" t="str">
        <f t="shared" si="95"/>
        <v>November 26 Week 2</v>
      </c>
      <c r="I1685" s="33" t="str">
        <f>CONCATENATE(UPPER(TableAopCalendar[[#This Row],[Month]])," ",TableAopCalendar[[#This Row],[Year]])</f>
        <v>NOVEMBER 26</v>
      </c>
      <c r="J1685" s="8" t="s">
        <v>274</v>
      </c>
      <c r="K1685" s="33" t="str">
        <f>CONCATENATE(TableAopCalendar[[#This Row],[Month for Plan]]," ",TableAopCalendar[[#This Row],[Plan]])</f>
        <v>NOVEMBER 26 PLANNED</v>
      </c>
    </row>
    <row r="1686" spans="1:11" x14ac:dyDescent="0.25">
      <c r="A1686" s="33">
        <f t="shared" si="93"/>
        <v>3</v>
      </c>
      <c r="B1686" s="34">
        <v>46336</v>
      </c>
      <c r="C1686" s="7" t="s">
        <v>117</v>
      </c>
      <c r="D1686" s="35">
        <v>26</v>
      </c>
      <c r="E1686" s="33">
        <f>DAY(TableAopCalendar[[#This Row],[Date]])</f>
        <v>10</v>
      </c>
      <c r="F168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86" s="33" t="str">
        <f t="shared" si="94"/>
        <v>Week 2</v>
      </c>
      <c r="H1686" s="33" t="str">
        <f t="shared" si="95"/>
        <v>November 26 Week 2</v>
      </c>
      <c r="I1686" s="33" t="str">
        <f>CONCATENATE(UPPER(TableAopCalendar[[#This Row],[Month]])," ",TableAopCalendar[[#This Row],[Year]])</f>
        <v>NOVEMBER 26</v>
      </c>
      <c r="J1686" s="8" t="s">
        <v>274</v>
      </c>
      <c r="K1686" s="33" t="str">
        <f>CONCATENATE(TableAopCalendar[[#This Row],[Month for Plan]]," ",TableAopCalendar[[#This Row],[Plan]])</f>
        <v>NOVEMBER 26 PLANNED</v>
      </c>
    </row>
    <row r="1687" spans="1:11" x14ac:dyDescent="0.25">
      <c r="A1687" s="33">
        <f t="shared" si="93"/>
        <v>4</v>
      </c>
      <c r="B1687" s="34">
        <v>46337</v>
      </c>
      <c r="C1687" s="7" t="s">
        <v>117</v>
      </c>
      <c r="D1687" s="35">
        <v>26</v>
      </c>
      <c r="E1687" s="33">
        <f>DAY(TableAopCalendar[[#This Row],[Date]])</f>
        <v>11</v>
      </c>
      <c r="F168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87" s="33" t="str">
        <f t="shared" si="94"/>
        <v>Week 2</v>
      </c>
      <c r="H1687" s="33" t="str">
        <f t="shared" si="95"/>
        <v>November 26 Week 2</v>
      </c>
      <c r="I1687" s="33" t="str">
        <f>CONCATENATE(UPPER(TableAopCalendar[[#This Row],[Month]])," ",TableAopCalendar[[#This Row],[Year]])</f>
        <v>NOVEMBER 26</v>
      </c>
      <c r="J1687" s="8" t="s">
        <v>274</v>
      </c>
      <c r="K1687" s="33" t="str">
        <f>CONCATENATE(TableAopCalendar[[#This Row],[Month for Plan]]," ",TableAopCalendar[[#This Row],[Plan]])</f>
        <v>NOVEMBER 26 PLANNED</v>
      </c>
    </row>
    <row r="1688" spans="1:11" x14ac:dyDescent="0.25">
      <c r="A1688" s="33">
        <f t="shared" si="93"/>
        <v>5</v>
      </c>
      <c r="B1688" s="34">
        <v>46338</v>
      </c>
      <c r="C1688" s="7" t="s">
        <v>117</v>
      </c>
      <c r="D1688" s="35">
        <v>26</v>
      </c>
      <c r="E1688" s="33">
        <f>DAY(TableAopCalendar[[#This Row],[Date]])</f>
        <v>12</v>
      </c>
      <c r="F168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88" s="33" t="str">
        <f t="shared" si="94"/>
        <v>Week 2</v>
      </c>
      <c r="H1688" s="33" t="str">
        <f t="shared" si="95"/>
        <v>November 26 Week 2</v>
      </c>
      <c r="I1688" s="33" t="str">
        <f>CONCATENATE(UPPER(TableAopCalendar[[#This Row],[Month]])," ",TableAopCalendar[[#This Row],[Year]])</f>
        <v>NOVEMBER 26</v>
      </c>
      <c r="J1688" s="8" t="s">
        <v>274</v>
      </c>
      <c r="K1688" s="33" t="str">
        <f>CONCATENATE(TableAopCalendar[[#This Row],[Month for Plan]]," ",TableAopCalendar[[#This Row],[Plan]])</f>
        <v>NOVEMBER 26 PLANNED</v>
      </c>
    </row>
    <row r="1689" spans="1:11" x14ac:dyDescent="0.25">
      <c r="A1689" s="33">
        <f t="shared" si="93"/>
        <v>6</v>
      </c>
      <c r="B1689" s="34">
        <v>46339</v>
      </c>
      <c r="C1689" s="7" t="s">
        <v>117</v>
      </c>
      <c r="D1689" s="35">
        <v>26</v>
      </c>
      <c r="E1689" s="33">
        <f>DAY(TableAopCalendar[[#This Row],[Date]])</f>
        <v>13</v>
      </c>
      <c r="F168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89" s="33" t="str">
        <f t="shared" si="94"/>
        <v>Week 2</v>
      </c>
      <c r="H1689" s="33" t="str">
        <f t="shared" si="95"/>
        <v>November 26 Week 2</v>
      </c>
      <c r="I1689" s="33" t="str">
        <f>CONCATENATE(UPPER(TableAopCalendar[[#This Row],[Month]])," ",TableAopCalendar[[#This Row],[Year]])</f>
        <v>NOVEMBER 26</v>
      </c>
      <c r="J1689" s="8" t="s">
        <v>274</v>
      </c>
      <c r="K1689" s="33" t="str">
        <f>CONCATENATE(TableAopCalendar[[#This Row],[Month for Plan]]," ",TableAopCalendar[[#This Row],[Plan]])</f>
        <v>NOVEMBER 26 PLANNED</v>
      </c>
    </row>
    <row r="1690" spans="1:11" x14ac:dyDescent="0.25">
      <c r="A1690" s="33">
        <f t="shared" si="93"/>
        <v>7</v>
      </c>
      <c r="B1690" s="34">
        <v>46340</v>
      </c>
      <c r="C1690" s="7" t="s">
        <v>117</v>
      </c>
      <c r="D1690" s="35">
        <v>26</v>
      </c>
      <c r="E1690" s="33">
        <f>DAY(TableAopCalendar[[#This Row],[Date]])</f>
        <v>14</v>
      </c>
      <c r="F169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690" s="33" t="str">
        <f t="shared" si="94"/>
        <v>Week 2</v>
      </c>
      <c r="H1690" s="33" t="str">
        <f t="shared" si="95"/>
        <v>November 26 Week 2</v>
      </c>
      <c r="I1690" s="33" t="str">
        <f>CONCATENATE(UPPER(TableAopCalendar[[#This Row],[Month]])," ",TableAopCalendar[[#This Row],[Year]])</f>
        <v>NOVEMBER 26</v>
      </c>
      <c r="J1690" s="8" t="s">
        <v>274</v>
      </c>
      <c r="K1690" s="33" t="str">
        <f>CONCATENATE(TableAopCalendar[[#This Row],[Month for Plan]]," ",TableAopCalendar[[#This Row],[Plan]])</f>
        <v>NOVEMBER 26 PLANNED</v>
      </c>
    </row>
    <row r="1691" spans="1:11" x14ac:dyDescent="0.25">
      <c r="A1691" s="33">
        <f t="shared" si="93"/>
        <v>1</v>
      </c>
      <c r="B1691" s="34">
        <v>46341</v>
      </c>
      <c r="C1691" s="7" t="s">
        <v>117</v>
      </c>
      <c r="D1691" s="35">
        <v>26</v>
      </c>
      <c r="E1691" s="33">
        <f>DAY(TableAopCalendar[[#This Row],[Date]])</f>
        <v>15</v>
      </c>
      <c r="F169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1" s="33" t="str">
        <f t="shared" si="94"/>
        <v>Week 3</v>
      </c>
      <c r="H1691" s="33" t="str">
        <f t="shared" si="95"/>
        <v>November 26 Week 3</v>
      </c>
      <c r="I1691" s="33" t="str">
        <f>CONCATENATE(UPPER(TableAopCalendar[[#This Row],[Month]])," ",TableAopCalendar[[#This Row],[Year]])</f>
        <v>NOVEMBER 26</v>
      </c>
      <c r="J1691" s="8" t="s">
        <v>274</v>
      </c>
      <c r="K1691" s="33" t="str">
        <f>CONCATENATE(TableAopCalendar[[#This Row],[Month for Plan]]," ",TableAopCalendar[[#This Row],[Plan]])</f>
        <v>NOVEMBER 26 PLANNED</v>
      </c>
    </row>
    <row r="1692" spans="1:11" x14ac:dyDescent="0.25">
      <c r="A1692" s="33">
        <f t="shared" si="93"/>
        <v>2</v>
      </c>
      <c r="B1692" s="34">
        <v>46342</v>
      </c>
      <c r="C1692" s="7" t="s">
        <v>117</v>
      </c>
      <c r="D1692" s="35">
        <v>26</v>
      </c>
      <c r="E1692" s="33">
        <f>DAY(TableAopCalendar[[#This Row],[Date]])</f>
        <v>16</v>
      </c>
      <c r="F169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2" s="33" t="str">
        <f t="shared" si="94"/>
        <v>Week 3</v>
      </c>
      <c r="H1692" s="33" t="str">
        <f t="shared" si="95"/>
        <v>November 26 Week 3</v>
      </c>
      <c r="I1692" s="33" t="str">
        <f>CONCATENATE(UPPER(TableAopCalendar[[#This Row],[Month]])," ",TableAopCalendar[[#This Row],[Year]])</f>
        <v>NOVEMBER 26</v>
      </c>
      <c r="J1692" s="8" t="s">
        <v>274</v>
      </c>
      <c r="K1692" s="33" t="str">
        <f>CONCATENATE(TableAopCalendar[[#This Row],[Month for Plan]]," ",TableAopCalendar[[#This Row],[Plan]])</f>
        <v>NOVEMBER 26 PLANNED</v>
      </c>
    </row>
    <row r="1693" spans="1:11" x14ac:dyDescent="0.25">
      <c r="A1693" s="33">
        <f t="shared" si="93"/>
        <v>3</v>
      </c>
      <c r="B1693" s="34">
        <v>46343</v>
      </c>
      <c r="C1693" s="7" t="s">
        <v>117</v>
      </c>
      <c r="D1693" s="35">
        <v>26</v>
      </c>
      <c r="E1693" s="33">
        <f>DAY(TableAopCalendar[[#This Row],[Date]])</f>
        <v>17</v>
      </c>
      <c r="F169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3" s="33" t="str">
        <f t="shared" si="94"/>
        <v>Week 3</v>
      </c>
      <c r="H1693" s="33" t="str">
        <f t="shared" si="95"/>
        <v>November 26 Week 3</v>
      </c>
      <c r="I1693" s="33" t="str">
        <f>CONCATENATE(UPPER(TableAopCalendar[[#This Row],[Month]])," ",TableAopCalendar[[#This Row],[Year]])</f>
        <v>NOVEMBER 26</v>
      </c>
      <c r="J1693" s="8" t="s">
        <v>274</v>
      </c>
      <c r="K1693" s="33" t="str">
        <f>CONCATENATE(TableAopCalendar[[#This Row],[Month for Plan]]," ",TableAopCalendar[[#This Row],[Plan]])</f>
        <v>NOVEMBER 26 PLANNED</v>
      </c>
    </row>
    <row r="1694" spans="1:11" x14ac:dyDescent="0.25">
      <c r="A1694" s="33">
        <f t="shared" si="93"/>
        <v>4</v>
      </c>
      <c r="B1694" s="34">
        <v>46344</v>
      </c>
      <c r="C1694" s="7" t="s">
        <v>117</v>
      </c>
      <c r="D1694" s="35">
        <v>26</v>
      </c>
      <c r="E1694" s="33">
        <f>DAY(TableAopCalendar[[#This Row],[Date]])</f>
        <v>18</v>
      </c>
      <c r="F169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4" s="33" t="str">
        <f t="shared" si="94"/>
        <v>Week 3</v>
      </c>
      <c r="H1694" s="33" t="str">
        <f t="shared" si="95"/>
        <v>November 26 Week 3</v>
      </c>
      <c r="I1694" s="33" t="str">
        <f>CONCATENATE(UPPER(TableAopCalendar[[#This Row],[Month]])," ",TableAopCalendar[[#This Row],[Year]])</f>
        <v>NOVEMBER 26</v>
      </c>
      <c r="J1694" s="8" t="s">
        <v>274</v>
      </c>
      <c r="K1694" s="33" t="str">
        <f>CONCATENATE(TableAopCalendar[[#This Row],[Month for Plan]]," ",TableAopCalendar[[#This Row],[Plan]])</f>
        <v>NOVEMBER 26 PLANNED</v>
      </c>
    </row>
    <row r="1695" spans="1:11" x14ac:dyDescent="0.25">
      <c r="A1695" s="33">
        <f t="shared" si="93"/>
        <v>5</v>
      </c>
      <c r="B1695" s="34">
        <v>46345</v>
      </c>
      <c r="C1695" s="7" t="s">
        <v>117</v>
      </c>
      <c r="D1695" s="35">
        <v>26</v>
      </c>
      <c r="E1695" s="33">
        <f>DAY(TableAopCalendar[[#This Row],[Date]])</f>
        <v>19</v>
      </c>
      <c r="F169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5" s="33" t="str">
        <f t="shared" si="94"/>
        <v>Week 3</v>
      </c>
      <c r="H1695" s="33" t="str">
        <f t="shared" si="95"/>
        <v>November 26 Week 3</v>
      </c>
      <c r="I1695" s="33" t="str">
        <f>CONCATENATE(UPPER(TableAopCalendar[[#This Row],[Month]])," ",TableAopCalendar[[#This Row],[Year]])</f>
        <v>NOVEMBER 26</v>
      </c>
      <c r="J1695" s="8" t="s">
        <v>274</v>
      </c>
      <c r="K1695" s="33" t="str">
        <f>CONCATENATE(TableAopCalendar[[#This Row],[Month for Plan]]," ",TableAopCalendar[[#This Row],[Plan]])</f>
        <v>NOVEMBER 26 PLANNED</v>
      </c>
    </row>
    <row r="1696" spans="1:11" x14ac:dyDescent="0.25">
      <c r="A1696" s="33">
        <f t="shared" si="93"/>
        <v>6</v>
      </c>
      <c r="B1696" s="34">
        <v>46346</v>
      </c>
      <c r="C1696" s="7" t="s">
        <v>117</v>
      </c>
      <c r="D1696" s="35">
        <v>26</v>
      </c>
      <c r="E1696" s="33">
        <f>DAY(TableAopCalendar[[#This Row],[Date]])</f>
        <v>20</v>
      </c>
      <c r="F169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6" s="33" t="str">
        <f t="shared" si="94"/>
        <v>Week 3</v>
      </c>
      <c r="H1696" s="33" t="str">
        <f t="shared" si="95"/>
        <v>November 26 Week 3</v>
      </c>
      <c r="I1696" s="33" t="str">
        <f>CONCATENATE(UPPER(TableAopCalendar[[#This Row],[Month]])," ",TableAopCalendar[[#This Row],[Year]])</f>
        <v>NOVEMBER 26</v>
      </c>
      <c r="J1696" s="8" t="s">
        <v>274</v>
      </c>
      <c r="K1696" s="33" t="str">
        <f>CONCATENATE(TableAopCalendar[[#This Row],[Month for Plan]]," ",TableAopCalendar[[#This Row],[Plan]])</f>
        <v>NOVEMBER 26 PLANNED</v>
      </c>
    </row>
    <row r="1697" spans="1:11" x14ac:dyDescent="0.25">
      <c r="A1697" s="33">
        <f t="shared" si="93"/>
        <v>7</v>
      </c>
      <c r="B1697" s="34">
        <v>46347</v>
      </c>
      <c r="C1697" s="7" t="s">
        <v>117</v>
      </c>
      <c r="D1697" s="35">
        <v>26</v>
      </c>
      <c r="E1697" s="33">
        <f>DAY(TableAopCalendar[[#This Row],[Date]])</f>
        <v>21</v>
      </c>
      <c r="F169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697" s="33" t="str">
        <f t="shared" si="94"/>
        <v>Week 3</v>
      </c>
      <c r="H1697" s="33" t="str">
        <f t="shared" si="95"/>
        <v>November 26 Week 3</v>
      </c>
      <c r="I1697" s="33" t="str">
        <f>CONCATENATE(UPPER(TableAopCalendar[[#This Row],[Month]])," ",TableAopCalendar[[#This Row],[Year]])</f>
        <v>NOVEMBER 26</v>
      </c>
      <c r="J1697" s="8" t="s">
        <v>274</v>
      </c>
      <c r="K1697" s="33" t="str">
        <f>CONCATENATE(TableAopCalendar[[#This Row],[Month for Plan]]," ",TableAopCalendar[[#This Row],[Plan]])</f>
        <v>NOVEMBER 26 PLANNED</v>
      </c>
    </row>
    <row r="1698" spans="1:11" x14ac:dyDescent="0.25">
      <c r="A1698" s="33">
        <f t="shared" si="93"/>
        <v>1</v>
      </c>
      <c r="B1698" s="34">
        <v>46348</v>
      </c>
      <c r="C1698" s="7" t="s">
        <v>117</v>
      </c>
      <c r="D1698" s="35">
        <v>26</v>
      </c>
      <c r="E1698" s="33">
        <f>DAY(TableAopCalendar[[#This Row],[Date]])</f>
        <v>22</v>
      </c>
      <c r="F169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98" s="33" t="str">
        <f t="shared" si="94"/>
        <v>Week 4</v>
      </c>
      <c r="H1698" s="33" t="str">
        <f t="shared" si="95"/>
        <v>November 26 Week 4</v>
      </c>
      <c r="I1698" s="33" t="str">
        <f>CONCATENATE(UPPER(TableAopCalendar[[#This Row],[Month]])," ",TableAopCalendar[[#This Row],[Year]])</f>
        <v>NOVEMBER 26</v>
      </c>
      <c r="J1698" s="8" t="s">
        <v>274</v>
      </c>
      <c r="K1698" s="33" t="str">
        <f>CONCATENATE(TableAopCalendar[[#This Row],[Month for Plan]]," ",TableAopCalendar[[#This Row],[Plan]])</f>
        <v>NOVEMBER 26 PLANNED</v>
      </c>
    </row>
    <row r="1699" spans="1:11" x14ac:dyDescent="0.25">
      <c r="A1699" s="33">
        <f t="shared" si="93"/>
        <v>2</v>
      </c>
      <c r="B1699" s="34">
        <v>46349</v>
      </c>
      <c r="C1699" s="7" t="s">
        <v>117</v>
      </c>
      <c r="D1699" s="35">
        <v>26</v>
      </c>
      <c r="E1699" s="33">
        <f>DAY(TableAopCalendar[[#This Row],[Date]])</f>
        <v>23</v>
      </c>
      <c r="F169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699" s="33" t="str">
        <f t="shared" si="94"/>
        <v>Week 4</v>
      </c>
      <c r="H1699" s="33" t="str">
        <f t="shared" si="95"/>
        <v>November 26 Week 4</v>
      </c>
      <c r="I1699" s="33" t="str">
        <f>CONCATENATE(UPPER(TableAopCalendar[[#This Row],[Month]])," ",TableAopCalendar[[#This Row],[Year]])</f>
        <v>NOVEMBER 26</v>
      </c>
      <c r="J1699" s="8" t="s">
        <v>274</v>
      </c>
      <c r="K1699" s="33" t="str">
        <f>CONCATENATE(TableAopCalendar[[#This Row],[Month for Plan]]," ",TableAopCalendar[[#This Row],[Plan]])</f>
        <v>NOVEMBER 26 PLANNED</v>
      </c>
    </row>
    <row r="1700" spans="1:11" x14ac:dyDescent="0.25">
      <c r="A1700" s="33">
        <f t="shared" si="93"/>
        <v>3</v>
      </c>
      <c r="B1700" s="34">
        <v>46350</v>
      </c>
      <c r="C1700" s="7" t="s">
        <v>117</v>
      </c>
      <c r="D1700" s="35">
        <v>26</v>
      </c>
      <c r="E1700" s="33">
        <f>DAY(TableAopCalendar[[#This Row],[Date]])</f>
        <v>24</v>
      </c>
      <c r="F170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00" s="33" t="str">
        <f t="shared" si="94"/>
        <v>Week 4</v>
      </c>
      <c r="H1700" s="33" t="str">
        <f t="shared" si="95"/>
        <v>November 26 Week 4</v>
      </c>
      <c r="I1700" s="33" t="str">
        <f>CONCATENATE(UPPER(TableAopCalendar[[#This Row],[Month]])," ",TableAopCalendar[[#This Row],[Year]])</f>
        <v>NOVEMBER 26</v>
      </c>
      <c r="J1700" s="8" t="s">
        <v>274</v>
      </c>
      <c r="K1700" s="33" t="str">
        <f>CONCATENATE(TableAopCalendar[[#This Row],[Month for Plan]]," ",TableAopCalendar[[#This Row],[Plan]])</f>
        <v>NOVEMBER 26 PLANNED</v>
      </c>
    </row>
    <row r="1701" spans="1:11" x14ac:dyDescent="0.25">
      <c r="A1701" s="33">
        <f t="shared" si="93"/>
        <v>4</v>
      </c>
      <c r="B1701" s="34">
        <v>46351</v>
      </c>
      <c r="C1701" s="7" t="s">
        <v>117</v>
      </c>
      <c r="D1701" s="35">
        <v>26</v>
      </c>
      <c r="E1701" s="33">
        <f>DAY(TableAopCalendar[[#This Row],[Date]])</f>
        <v>25</v>
      </c>
      <c r="F170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01" s="33" t="str">
        <f t="shared" si="94"/>
        <v>Week 4</v>
      </c>
      <c r="H1701" s="33" t="str">
        <f t="shared" si="95"/>
        <v>November 26 Week 4</v>
      </c>
      <c r="I1701" s="33" t="str">
        <f>CONCATENATE(UPPER(TableAopCalendar[[#This Row],[Month]])," ",TableAopCalendar[[#This Row],[Year]])</f>
        <v>NOVEMBER 26</v>
      </c>
      <c r="J1701" s="8" t="s">
        <v>274</v>
      </c>
      <c r="K1701" s="33" t="str">
        <f>CONCATENATE(TableAopCalendar[[#This Row],[Month for Plan]]," ",TableAopCalendar[[#This Row],[Plan]])</f>
        <v>NOVEMBER 26 PLANNED</v>
      </c>
    </row>
    <row r="1702" spans="1:11" x14ac:dyDescent="0.25">
      <c r="A1702" s="33">
        <f t="shared" si="93"/>
        <v>5</v>
      </c>
      <c r="B1702" s="34">
        <v>46352</v>
      </c>
      <c r="C1702" s="7" t="s">
        <v>117</v>
      </c>
      <c r="D1702" s="35">
        <v>26</v>
      </c>
      <c r="E1702" s="33">
        <f>DAY(TableAopCalendar[[#This Row],[Date]])</f>
        <v>26</v>
      </c>
      <c r="F170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02" s="33" t="str">
        <f t="shared" si="94"/>
        <v>Week 4</v>
      </c>
      <c r="H1702" s="33" t="str">
        <f t="shared" si="95"/>
        <v>November 26 Week 4</v>
      </c>
      <c r="I1702" s="33" t="str">
        <f>CONCATENATE(UPPER(TableAopCalendar[[#This Row],[Month]])," ",TableAopCalendar[[#This Row],[Year]])</f>
        <v>NOVEMBER 26</v>
      </c>
      <c r="J1702" s="8" t="s">
        <v>274</v>
      </c>
      <c r="K1702" s="33" t="str">
        <f>CONCATENATE(TableAopCalendar[[#This Row],[Month for Plan]]," ",TableAopCalendar[[#This Row],[Plan]])</f>
        <v>NOVEMBER 26 PLANNED</v>
      </c>
    </row>
    <row r="1703" spans="1:11" x14ac:dyDescent="0.25">
      <c r="A1703" s="33">
        <f t="shared" si="93"/>
        <v>6</v>
      </c>
      <c r="B1703" s="34">
        <v>46353</v>
      </c>
      <c r="C1703" s="7" t="s">
        <v>117</v>
      </c>
      <c r="D1703" s="35">
        <v>26</v>
      </c>
      <c r="E1703" s="33">
        <f>DAY(TableAopCalendar[[#This Row],[Date]])</f>
        <v>27</v>
      </c>
      <c r="F170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03" s="33" t="str">
        <f t="shared" si="94"/>
        <v>Week 4</v>
      </c>
      <c r="H1703" s="33" t="str">
        <f t="shared" si="95"/>
        <v>November 26 Week 4</v>
      </c>
      <c r="I1703" s="33" t="str">
        <f>CONCATENATE(UPPER(TableAopCalendar[[#This Row],[Month]])," ",TableAopCalendar[[#This Row],[Year]])</f>
        <v>NOVEMBER 26</v>
      </c>
      <c r="J1703" s="8" t="s">
        <v>274</v>
      </c>
      <c r="K1703" s="33" t="str">
        <f>CONCATENATE(TableAopCalendar[[#This Row],[Month for Plan]]," ",TableAopCalendar[[#This Row],[Plan]])</f>
        <v>NOVEMBER 26 PLANNED</v>
      </c>
    </row>
    <row r="1704" spans="1:11" x14ac:dyDescent="0.25">
      <c r="A1704" s="33">
        <f t="shared" si="93"/>
        <v>7</v>
      </c>
      <c r="B1704" s="34">
        <v>46354</v>
      </c>
      <c r="C1704" s="7" t="s">
        <v>117</v>
      </c>
      <c r="D1704" s="35">
        <v>26</v>
      </c>
      <c r="E1704" s="33">
        <f>DAY(TableAopCalendar[[#This Row],[Date]])</f>
        <v>28</v>
      </c>
      <c r="F170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04" s="33" t="str">
        <f t="shared" si="94"/>
        <v>Week 4</v>
      </c>
      <c r="H1704" s="33" t="str">
        <f t="shared" si="95"/>
        <v>November 26 Week 4</v>
      </c>
      <c r="I1704" s="33" t="str">
        <f>CONCATENATE(UPPER(TableAopCalendar[[#This Row],[Month]])," ",TableAopCalendar[[#This Row],[Year]])</f>
        <v>NOVEMBER 26</v>
      </c>
      <c r="J1704" s="8" t="s">
        <v>274</v>
      </c>
      <c r="K1704" s="33" t="str">
        <f>CONCATENATE(TableAopCalendar[[#This Row],[Month for Plan]]," ",TableAopCalendar[[#This Row],[Plan]])</f>
        <v>NOVEMBER 26 PLANNED</v>
      </c>
    </row>
    <row r="1705" spans="1:11" x14ac:dyDescent="0.25">
      <c r="A1705" s="33">
        <f t="shared" si="93"/>
        <v>1</v>
      </c>
      <c r="B1705" s="34">
        <v>46355</v>
      </c>
      <c r="C1705" s="7" t="s">
        <v>117</v>
      </c>
      <c r="D1705" s="35">
        <v>26</v>
      </c>
      <c r="E1705" s="33">
        <f>DAY(TableAopCalendar[[#This Row],[Date]])</f>
        <v>29</v>
      </c>
      <c r="F1705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05" s="33" t="str">
        <f t="shared" si="94"/>
        <v>Week 5</v>
      </c>
      <c r="H1705" s="33" t="str">
        <f t="shared" si="95"/>
        <v>November 26 Week 5</v>
      </c>
      <c r="I1705" s="33" t="str">
        <f>CONCATENATE(UPPER(TableAopCalendar[[#This Row],[Month]])," ",TableAopCalendar[[#This Row],[Year]])</f>
        <v>NOVEMBER 26</v>
      </c>
      <c r="J1705" s="8" t="s">
        <v>274</v>
      </c>
      <c r="K1705" s="33" t="str">
        <f>CONCATENATE(TableAopCalendar[[#This Row],[Month for Plan]]," ",TableAopCalendar[[#This Row],[Plan]])</f>
        <v>NOVEMBER 26 PLANNED</v>
      </c>
    </row>
    <row r="1706" spans="1:11" x14ac:dyDescent="0.25">
      <c r="A1706" s="33">
        <f t="shared" si="93"/>
        <v>2</v>
      </c>
      <c r="B1706" s="34">
        <v>46356</v>
      </c>
      <c r="C1706" s="7" t="s">
        <v>117</v>
      </c>
      <c r="D1706" s="35">
        <v>26</v>
      </c>
      <c r="E1706" s="33">
        <f>DAY(TableAopCalendar[[#This Row],[Date]])</f>
        <v>30</v>
      </c>
      <c r="F1706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06" s="33" t="str">
        <f t="shared" si="94"/>
        <v>Week 5</v>
      </c>
      <c r="H1706" s="33" t="str">
        <f t="shared" si="95"/>
        <v>November 26 Week 5</v>
      </c>
      <c r="I1706" s="33" t="str">
        <f>CONCATENATE(UPPER(TableAopCalendar[[#This Row],[Month]])," ",TableAopCalendar[[#This Row],[Year]])</f>
        <v>NOVEMBER 26</v>
      </c>
      <c r="J1706" s="8" t="s">
        <v>274</v>
      </c>
      <c r="K1706" s="33" t="str">
        <f>CONCATENATE(TableAopCalendar[[#This Row],[Month for Plan]]," ",TableAopCalendar[[#This Row],[Plan]])</f>
        <v>NOVEMBER 26 PLANNED</v>
      </c>
    </row>
    <row r="1707" spans="1:11" x14ac:dyDescent="0.25">
      <c r="A1707" s="33">
        <f t="shared" si="93"/>
        <v>1</v>
      </c>
      <c r="B1707" s="34">
        <v>46357</v>
      </c>
      <c r="C1707" s="7" t="s">
        <v>270</v>
      </c>
      <c r="D1707" s="35">
        <v>26</v>
      </c>
      <c r="E1707" s="33">
        <f>DAY(TableAopCalendar[[#This Row],[Date]])</f>
        <v>1</v>
      </c>
      <c r="F170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07" s="33" t="str">
        <f t="shared" si="94"/>
        <v>Week 1</v>
      </c>
      <c r="H1707" s="33" t="str">
        <f t="shared" si="95"/>
        <v>December 26 Week 1</v>
      </c>
      <c r="I1707" s="33" t="str">
        <f>CONCATENATE(UPPER(TableAopCalendar[[#This Row],[Month]])," ",TableAopCalendar[[#This Row],[Year]])</f>
        <v>DECEMBER 26</v>
      </c>
      <c r="J1707" s="8" t="s">
        <v>274</v>
      </c>
      <c r="K1707" s="33" t="str">
        <f>CONCATENATE(TableAopCalendar[[#This Row],[Month for Plan]]," ",TableAopCalendar[[#This Row],[Plan]])</f>
        <v>DECEMBER 26 PLANNED</v>
      </c>
    </row>
    <row r="1708" spans="1:11" x14ac:dyDescent="0.25">
      <c r="A1708" s="33">
        <f t="shared" si="93"/>
        <v>2</v>
      </c>
      <c r="B1708" s="34">
        <v>46358</v>
      </c>
      <c r="C1708" s="7" t="s">
        <v>270</v>
      </c>
      <c r="D1708" s="35">
        <v>26</v>
      </c>
      <c r="E1708" s="33">
        <f>DAY(TableAopCalendar[[#This Row],[Date]])</f>
        <v>2</v>
      </c>
      <c r="F170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08" s="33" t="str">
        <f t="shared" si="94"/>
        <v>Week 1</v>
      </c>
      <c r="H1708" s="33" t="str">
        <f t="shared" si="95"/>
        <v>December 26 Week 1</v>
      </c>
      <c r="I1708" s="33" t="str">
        <f>CONCATENATE(UPPER(TableAopCalendar[[#This Row],[Month]])," ",TableAopCalendar[[#This Row],[Year]])</f>
        <v>DECEMBER 26</v>
      </c>
      <c r="J1708" s="8" t="s">
        <v>274</v>
      </c>
      <c r="K1708" s="33" t="str">
        <f>CONCATENATE(TableAopCalendar[[#This Row],[Month for Plan]]," ",TableAopCalendar[[#This Row],[Plan]])</f>
        <v>DECEMBER 26 PLANNED</v>
      </c>
    </row>
    <row r="1709" spans="1:11" x14ac:dyDescent="0.25">
      <c r="A1709" s="33">
        <f t="shared" si="93"/>
        <v>3</v>
      </c>
      <c r="B1709" s="34">
        <v>46359</v>
      </c>
      <c r="C1709" s="7" t="s">
        <v>270</v>
      </c>
      <c r="D1709" s="35">
        <v>26</v>
      </c>
      <c r="E1709" s="33">
        <f>DAY(TableAopCalendar[[#This Row],[Date]])</f>
        <v>3</v>
      </c>
      <c r="F170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09" s="33" t="str">
        <f t="shared" si="94"/>
        <v>Week 1</v>
      </c>
      <c r="H1709" s="33" t="str">
        <f t="shared" si="95"/>
        <v>December 26 Week 1</v>
      </c>
      <c r="I1709" s="33" t="str">
        <f>CONCATENATE(UPPER(TableAopCalendar[[#This Row],[Month]])," ",TableAopCalendar[[#This Row],[Year]])</f>
        <v>DECEMBER 26</v>
      </c>
      <c r="J1709" s="8" t="s">
        <v>274</v>
      </c>
      <c r="K1709" s="33" t="str">
        <f>CONCATENATE(TableAopCalendar[[#This Row],[Month for Plan]]," ",TableAopCalendar[[#This Row],[Plan]])</f>
        <v>DECEMBER 26 PLANNED</v>
      </c>
    </row>
    <row r="1710" spans="1:11" x14ac:dyDescent="0.25">
      <c r="A1710" s="33">
        <f t="shared" si="93"/>
        <v>4</v>
      </c>
      <c r="B1710" s="34">
        <v>46360</v>
      </c>
      <c r="C1710" s="7" t="s">
        <v>270</v>
      </c>
      <c r="D1710" s="35">
        <v>26</v>
      </c>
      <c r="E1710" s="33">
        <f>DAY(TableAopCalendar[[#This Row],[Date]])</f>
        <v>4</v>
      </c>
      <c r="F171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10" s="33" t="str">
        <f t="shared" si="94"/>
        <v>Week 1</v>
      </c>
      <c r="H1710" s="33" t="str">
        <f t="shared" si="95"/>
        <v>December 26 Week 1</v>
      </c>
      <c r="I1710" s="33" t="str">
        <f>CONCATENATE(UPPER(TableAopCalendar[[#This Row],[Month]])," ",TableAopCalendar[[#This Row],[Year]])</f>
        <v>DECEMBER 26</v>
      </c>
      <c r="J1710" s="8" t="s">
        <v>274</v>
      </c>
      <c r="K1710" s="33" t="str">
        <f>CONCATENATE(TableAopCalendar[[#This Row],[Month for Plan]]," ",TableAopCalendar[[#This Row],[Plan]])</f>
        <v>DECEMBER 26 PLANNED</v>
      </c>
    </row>
    <row r="1711" spans="1:11" x14ac:dyDescent="0.25">
      <c r="A1711" s="33">
        <f t="shared" si="93"/>
        <v>5</v>
      </c>
      <c r="B1711" s="34">
        <v>46361</v>
      </c>
      <c r="C1711" s="7" t="s">
        <v>270</v>
      </c>
      <c r="D1711" s="35">
        <v>26</v>
      </c>
      <c r="E1711" s="33">
        <f>DAY(TableAopCalendar[[#This Row],[Date]])</f>
        <v>5</v>
      </c>
      <c r="F171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11" s="33" t="str">
        <f t="shared" si="94"/>
        <v>Week 1</v>
      </c>
      <c r="H1711" s="33" t="str">
        <f t="shared" si="95"/>
        <v>December 26 Week 1</v>
      </c>
      <c r="I1711" s="33" t="str">
        <f>CONCATENATE(UPPER(TableAopCalendar[[#This Row],[Month]])," ",TableAopCalendar[[#This Row],[Year]])</f>
        <v>DECEMBER 26</v>
      </c>
      <c r="J1711" s="8" t="s">
        <v>274</v>
      </c>
      <c r="K1711" s="33" t="str">
        <f>CONCATENATE(TableAopCalendar[[#This Row],[Month for Plan]]," ",TableAopCalendar[[#This Row],[Plan]])</f>
        <v>DECEMBER 26 PLANNED</v>
      </c>
    </row>
    <row r="1712" spans="1:11" x14ac:dyDescent="0.25">
      <c r="A1712" s="33">
        <f t="shared" si="93"/>
        <v>6</v>
      </c>
      <c r="B1712" s="34">
        <v>46362</v>
      </c>
      <c r="C1712" s="7" t="s">
        <v>270</v>
      </c>
      <c r="D1712" s="35">
        <v>26</v>
      </c>
      <c r="E1712" s="33">
        <f>DAY(TableAopCalendar[[#This Row],[Date]])</f>
        <v>6</v>
      </c>
      <c r="F171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12" s="33" t="str">
        <f t="shared" si="94"/>
        <v>Week 1</v>
      </c>
      <c r="H1712" s="33" t="str">
        <f t="shared" si="95"/>
        <v>December 26 Week 1</v>
      </c>
      <c r="I1712" s="33" t="str">
        <f>CONCATENATE(UPPER(TableAopCalendar[[#This Row],[Month]])," ",TableAopCalendar[[#This Row],[Year]])</f>
        <v>DECEMBER 26</v>
      </c>
      <c r="J1712" s="8" t="s">
        <v>274</v>
      </c>
      <c r="K1712" s="33" t="str">
        <f>CONCATENATE(TableAopCalendar[[#This Row],[Month for Plan]]," ",TableAopCalendar[[#This Row],[Plan]])</f>
        <v>DECEMBER 26 PLANNED</v>
      </c>
    </row>
    <row r="1713" spans="1:11" x14ac:dyDescent="0.25">
      <c r="A1713" s="33">
        <f t="shared" si="93"/>
        <v>7</v>
      </c>
      <c r="B1713" s="34">
        <v>46363</v>
      </c>
      <c r="C1713" s="7" t="s">
        <v>270</v>
      </c>
      <c r="D1713" s="35">
        <v>26</v>
      </c>
      <c r="E1713" s="33">
        <f>DAY(TableAopCalendar[[#This Row],[Date]])</f>
        <v>7</v>
      </c>
      <c r="F171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13" s="33" t="str">
        <f t="shared" si="94"/>
        <v>Week 1</v>
      </c>
      <c r="H1713" s="33" t="str">
        <f t="shared" si="95"/>
        <v>December 26 Week 1</v>
      </c>
      <c r="I1713" s="33" t="str">
        <f>CONCATENATE(UPPER(TableAopCalendar[[#This Row],[Month]])," ",TableAopCalendar[[#This Row],[Year]])</f>
        <v>DECEMBER 26</v>
      </c>
      <c r="J1713" s="8" t="s">
        <v>274</v>
      </c>
      <c r="K1713" s="33" t="str">
        <f>CONCATENATE(TableAopCalendar[[#This Row],[Month for Plan]]," ",TableAopCalendar[[#This Row],[Plan]])</f>
        <v>DECEMBER 26 PLANNED</v>
      </c>
    </row>
    <row r="1714" spans="1:11" x14ac:dyDescent="0.25">
      <c r="A1714" s="33">
        <f t="shared" si="93"/>
        <v>1</v>
      </c>
      <c r="B1714" s="34">
        <v>46364</v>
      </c>
      <c r="C1714" s="7" t="s">
        <v>270</v>
      </c>
      <c r="D1714" s="35">
        <v>26</v>
      </c>
      <c r="E1714" s="33">
        <f>DAY(TableAopCalendar[[#This Row],[Date]])</f>
        <v>8</v>
      </c>
      <c r="F171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14" s="33" t="str">
        <f t="shared" si="94"/>
        <v>Week 2</v>
      </c>
      <c r="H1714" s="33" t="str">
        <f t="shared" si="95"/>
        <v>December 26 Week 2</v>
      </c>
      <c r="I1714" s="33" t="str">
        <f>CONCATENATE(UPPER(TableAopCalendar[[#This Row],[Month]])," ",TableAopCalendar[[#This Row],[Year]])</f>
        <v>DECEMBER 26</v>
      </c>
      <c r="J1714" s="8" t="s">
        <v>274</v>
      </c>
      <c r="K1714" s="33" t="str">
        <f>CONCATENATE(TableAopCalendar[[#This Row],[Month for Plan]]," ",TableAopCalendar[[#This Row],[Plan]])</f>
        <v>DECEMBER 26 PLANNED</v>
      </c>
    </row>
    <row r="1715" spans="1:11" x14ac:dyDescent="0.25">
      <c r="A1715" s="33">
        <f t="shared" si="93"/>
        <v>2</v>
      </c>
      <c r="B1715" s="34">
        <v>46365</v>
      </c>
      <c r="C1715" s="7" t="s">
        <v>270</v>
      </c>
      <c r="D1715" s="35">
        <v>26</v>
      </c>
      <c r="E1715" s="33">
        <f>DAY(TableAopCalendar[[#This Row],[Date]])</f>
        <v>9</v>
      </c>
      <c r="F171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15" s="33" t="str">
        <f t="shared" si="94"/>
        <v>Week 2</v>
      </c>
      <c r="H1715" s="33" t="str">
        <f t="shared" si="95"/>
        <v>December 26 Week 2</v>
      </c>
      <c r="I1715" s="33" t="str">
        <f>CONCATENATE(UPPER(TableAopCalendar[[#This Row],[Month]])," ",TableAopCalendar[[#This Row],[Year]])</f>
        <v>DECEMBER 26</v>
      </c>
      <c r="J1715" s="8" t="s">
        <v>274</v>
      </c>
      <c r="K1715" s="33" t="str">
        <f>CONCATENATE(TableAopCalendar[[#This Row],[Month for Plan]]," ",TableAopCalendar[[#This Row],[Plan]])</f>
        <v>DECEMBER 26 PLANNED</v>
      </c>
    </row>
    <row r="1716" spans="1:11" x14ac:dyDescent="0.25">
      <c r="A1716" s="33">
        <f t="shared" si="93"/>
        <v>3</v>
      </c>
      <c r="B1716" s="34">
        <v>46366</v>
      </c>
      <c r="C1716" s="7" t="s">
        <v>270</v>
      </c>
      <c r="D1716" s="35">
        <v>26</v>
      </c>
      <c r="E1716" s="33">
        <f>DAY(TableAopCalendar[[#This Row],[Date]])</f>
        <v>10</v>
      </c>
      <c r="F171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16" s="33" t="str">
        <f t="shared" si="94"/>
        <v>Week 2</v>
      </c>
      <c r="H1716" s="33" t="str">
        <f t="shared" si="95"/>
        <v>December 26 Week 2</v>
      </c>
      <c r="I1716" s="33" t="str">
        <f>CONCATENATE(UPPER(TableAopCalendar[[#This Row],[Month]])," ",TableAopCalendar[[#This Row],[Year]])</f>
        <v>DECEMBER 26</v>
      </c>
      <c r="J1716" s="8" t="s">
        <v>274</v>
      </c>
      <c r="K1716" s="33" t="str">
        <f>CONCATENATE(TableAopCalendar[[#This Row],[Month for Plan]]," ",TableAopCalendar[[#This Row],[Plan]])</f>
        <v>DECEMBER 26 PLANNED</v>
      </c>
    </row>
    <row r="1717" spans="1:11" x14ac:dyDescent="0.25">
      <c r="A1717" s="33">
        <f t="shared" si="93"/>
        <v>4</v>
      </c>
      <c r="B1717" s="34">
        <v>46367</v>
      </c>
      <c r="C1717" s="7" t="s">
        <v>270</v>
      </c>
      <c r="D1717" s="35">
        <v>26</v>
      </c>
      <c r="E1717" s="33">
        <f>DAY(TableAopCalendar[[#This Row],[Date]])</f>
        <v>11</v>
      </c>
      <c r="F171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17" s="33" t="str">
        <f t="shared" si="94"/>
        <v>Week 2</v>
      </c>
      <c r="H1717" s="33" t="str">
        <f t="shared" si="95"/>
        <v>December 26 Week 2</v>
      </c>
      <c r="I1717" s="33" t="str">
        <f>CONCATENATE(UPPER(TableAopCalendar[[#This Row],[Month]])," ",TableAopCalendar[[#This Row],[Year]])</f>
        <v>DECEMBER 26</v>
      </c>
      <c r="J1717" s="8" t="s">
        <v>274</v>
      </c>
      <c r="K1717" s="33" t="str">
        <f>CONCATENATE(TableAopCalendar[[#This Row],[Month for Plan]]," ",TableAopCalendar[[#This Row],[Plan]])</f>
        <v>DECEMBER 26 PLANNED</v>
      </c>
    </row>
    <row r="1718" spans="1:11" x14ac:dyDescent="0.25">
      <c r="A1718" s="33">
        <f t="shared" si="93"/>
        <v>5</v>
      </c>
      <c r="B1718" s="34">
        <v>46368</v>
      </c>
      <c r="C1718" s="7" t="s">
        <v>270</v>
      </c>
      <c r="D1718" s="35">
        <v>26</v>
      </c>
      <c r="E1718" s="33">
        <f>DAY(TableAopCalendar[[#This Row],[Date]])</f>
        <v>12</v>
      </c>
      <c r="F171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18" s="33" t="str">
        <f t="shared" si="94"/>
        <v>Week 2</v>
      </c>
      <c r="H1718" s="33" t="str">
        <f t="shared" si="95"/>
        <v>December 26 Week 2</v>
      </c>
      <c r="I1718" s="33" t="str">
        <f>CONCATENATE(UPPER(TableAopCalendar[[#This Row],[Month]])," ",TableAopCalendar[[#This Row],[Year]])</f>
        <v>DECEMBER 26</v>
      </c>
      <c r="J1718" s="8" t="s">
        <v>274</v>
      </c>
      <c r="K1718" s="33" t="str">
        <f>CONCATENATE(TableAopCalendar[[#This Row],[Month for Plan]]," ",TableAopCalendar[[#This Row],[Plan]])</f>
        <v>DECEMBER 26 PLANNED</v>
      </c>
    </row>
    <row r="1719" spans="1:11" x14ac:dyDescent="0.25">
      <c r="A1719" s="33">
        <f t="shared" si="93"/>
        <v>6</v>
      </c>
      <c r="B1719" s="34">
        <v>46369</v>
      </c>
      <c r="C1719" s="7" t="s">
        <v>270</v>
      </c>
      <c r="D1719" s="35">
        <v>26</v>
      </c>
      <c r="E1719" s="33">
        <f>DAY(TableAopCalendar[[#This Row],[Date]])</f>
        <v>13</v>
      </c>
      <c r="F171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19" s="33" t="str">
        <f t="shared" si="94"/>
        <v>Week 2</v>
      </c>
      <c r="H1719" s="33" t="str">
        <f t="shared" si="95"/>
        <v>December 26 Week 2</v>
      </c>
      <c r="I1719" s="33" t="str">
        <f>CONCATENATE(UPPER(TableAopCalendar[[#This Row],[Month]])," ",TableAopCalendar[[#This Row],[Year]])</f>
        <v>DECEMBER 26</v>
      </c>
      <c r="J1719" s="8" t="s">
        <v>274</v>
      </c>
      <c r="K1719" s="33" t="str">
        <f>CONCATENATE(TableAopCalendar[[#This Row],[Month for Plan]]," ",TableAopCalendar[[#This Row],[Plan]])</f>
        <v>DECEMBER 26 PLANNED</v>
      </c>
    </row>
    <row r="1720" spans="1:11" x14ac:dyDescent="0.25">
      <c r="A1720" s="33">
        <f t="shared" si="93"/>
        <v>7</v>
      </c>
      <c r="B1720" s="34">
        <v>46370</v>
      </c>
      <c r="C1720" s="7" t="s">
        <v>270</v>
      </c>
      <c r="D1720" s="35">
        <v>26</v>
      </c>
      <c r="E1720" s="33">
        <f>DAY(TableAopCalendar[[#This Row],[Date]])</f>
        <v>14</v>
      </c>
      <c r="F172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20" s="33" t="str">
        <f t="shared" si="94"/>
        <v>Week 2</v>
      </c>
      <c r="H1720" s="33" t="str">
        <f t="shared" si="95"/>
        <v>December 26 Week 2</v>
      </c>
      <c r="I1720" s="33" t="str">
        <f>CONCATENATE(UPPER(TableAopCalendar[[#This Row],[Month]])," ",TableAopCalendar[[#This Row],[Year]])</f>
        <v>DECEMBER 26</v>
      </c>
      <c r="J1720" s="8" t="s">
        <v>274</v>
      </c>
      <c r="K1720" s="33" t="str">
        <f>CONCATENATE(TableAopCalendar[[#This Row],[Month for Plan]]," ",TableAopCalendar[[#This Row],[Plan]])</f>
        <v>DECEMBER 26 PLANNED</v>
      </c>
    </row>
    <row r="1721" spans="1:11" x14ac:dyDescent="0.25">
      <c r="A1721" s="33">
        <f t="shared" si="93"/>
        <v>1</v>
      </c>
      <c r="B1721" s="34">
        <v>46371</v>
      </c>
      <c r="C1721" s="7" t="s">
        <v>270</v>
      </c>
      <c r="D1721" s="35">
        <v>26</v>
      </c>
      <c r="E1721" s="33">
        <f>DAY(TableAopCalendar[[#This Row],[Date]])</f>
        <v>15</v>
      </c>
      <c r="F172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1" s="33" t="str">
        <f t="shared" si="94"/>
        <v>Week 3</v>
      </c>
      <c r="H1721" s="33" t="str">
        <f t="shared" si="95"/>
        <v>December 26 Week 3</v>
      </c>
      <c r="I1721" s="33" t="str">
        <f>CONCATENATE(UPPER(TableAopCalendar[[#This Row],[Month]])," ",TableAopCalendar[[#This Row],[Year]])</f>
        <v>DECEMBER 26</v>
      </c>
      <c r="J1721" s="8" t="s">
        <v>274</v>
      </c>
      <c r="K1721" s="33" t="str">
        <f>CONCATENATE(TableAopCalendar[[#This Row],[Month for Plan]]," ",TableAopCalendar[[#This Row],[Plan]])</f>
        <v>DECEMBER 26 PLANNED</v>
      </c>
    </row>
    <row r="1722" spans="1:11" x14ac:dyDescent="0.25">
      <c r="A1722" s="33">
        <f t="shared" si="93"/>
        <v>2</v>
      </c>
      <c r="B1722" s="34">
        <v>46372</v>
      </c>
      <c r="C1722" s="7" t="s">
        <v>270</v>
      </c>
      <c r="D1722" s="35">
        <v>26</v>
      </c>
      <c r="E1722" s="33">
        <f>DAY(TableAopCalendar[[#This Row],[Date]])</f>
        <v>16</v>
      </c>
      <c r="F172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2" s="33" t="str">
        <f t="shared" si="94"/>
        <v>Week 3</v>
      </c>
      <c r="H1722" s="33" t="str">
        <f t="shared" si="95"/>
        <v>December 26 Week 3</v>
      </c>
      <c r="I1722" s="33" t="str">
        <f>CONCATENATE(UPPER(TableAopCalendar[[#This Row],[Month]])," ",TableAopCalendar[[#This Row],[Year]])</f>
        <v>DECEMBER 26</v>
      </c>
      <c r="J1722" s="8" t="s">
        <v>274</v>
      </c>
      <c r="K1722" s="33" t="str">
        <f>CONCATENATE(TableAopCalendar[[#This Row],[Month for Plan]]," ",TableAopCalendar[[#This Row],[Plan]])</f>
        <v>DECEMBER 26 PLANNED</v>
      </c>
    </row>
    <row r="1723" spans="1:11" x14ac:dyDescent="0.25">
      <c r="A1723" s="33">
        <f t="shared" si="93"/>
        <v>3</v>
      </c>
      <c r="B1723" s="34">
        <v>46373</v>
      </c>
      <c r="C1723" s="7" t="s">
        <v>270</v>
      </c>
      <c r="D1723" s="35">
        <v>26</v>
      </c>
      <c r="E1723" s="33">
        <f>DAY(TableAopCalendar[[#This Row],[Date]])</f>
        <v>17</v>
      </c>
      <c r="F172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3" s="33" t="str">
        <f t="shared" si="94"/>
        <v>Week 3</v>
      </c>
      <c r="H1723" s="33" t="str">
        <f t="shared" si="95"/>
        <v>December 26 Week 3</v>
      </c>
      <c r="I1723" s="33" t="str">
        <f>CONCATENATE(UPPER(TableAopCalendar[[#This Row],[Month]])," ",TableAopCalendar[[#This Row],[Year]])</f>
        <v>DECEMBER 26</v>
      </c>
      <c r="J1723" s="8" t="s">
        <v>274</v>
      </c>
      <c r="K1723" s="33" t="str">
        <f>CONCATENATE(TableAopCalendar[[#This Row],[Month for Plan]]," ",TableAopCalendar[[#This Row],[Plan]])</f>
        <v>DECEMBER 26 PLANNED</v>
      </c>
    </row>
    <row r="1724" spans="1:11" x14ac:dyDescent="0.25">
      <c r="A1724" s="33">
        <f t="shared" si="93"/>
        <v>4</v>
      </c>
      <c r="B1724" s="34">
        <v>46374</v>
      </c>
      <c r="C1724" s="7" t="s">
        <v>270</v>
      </c>
      <c r="D1724" s="35">
        <v>26</v>
      </c>
      <c r="E1724" s="33">
        <f>DAY(TableAopCalendar[[#This Row],[Date]])</f>
        <v>18</v>
      </c>
      <c r="F172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4" s="33" t="str">
        <f t="shared" si="94"/>
        <v>Week 3</v>
      </c>
      <c r="H1724" s="33" t="str">
        <f t="shared" si="95"/>
        <v>December 26 Week 3</v>
      </c>
      <c r="I1724" s="33" t="str">
        <f>CONCATENATE(UPPER(TableAopCalendar[[#This Row],[Month]])," ",TableAopCalendar[[#This Row],[Year]])</f>
        <v>DECEMBER 26</v>
      </c>
      <c r="J1724" s="8" t="s">
        <v>274</v>
      </c>
      <c r="K1724" s="33" t="str">
        <f>CONCATENATE(TableAopCalendar[[#This Row],[Month for Plan]]," ",TableAopCalendar[[#This Row],[Plan]])</f>
        <v>DECEMBER 26 PLANNED</v>
      </c>
    </row>
    <row r="1725" spans="1:11" x14ac:dyDescent="0.25">
      <c r="A1725" s="33">
        <f t="shared" si="93"/>
        <v>5</v>
      </c>
      <c r="B1725" s="34">
        <v>46375</v>
      </c>
      <c r="C1725" s="7" t="s">
        <v>270</v>
      </c>
      <c r="D1725" s="35">
        <v>26</v>
      </c>
      <c r="E1725" s="33">
        <f>DAY(TableAopCalendar[[#This Row],[Date]])</f>
        <v>19</v>
      </c>
      <c r="F172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5" s="33" t="str">
        <f t="shared" si="94"/>
        <v>Week 3</v>
      </c>
      <c r="H1725" s="33" t="str">
        <f t="shared" si="95"/>
        <v>December 26 Week 3</v>
      </c>
      <c r="I1725" s="33" t="str">
        <f>CONCATENATE(UPPER(TableAopCalendar[[#This Row],[Month]])," ",TableAopCalendar[[#This Row],[Year]])</f>
        <v>DECEMBER 26</v>
      </c>
      <c r="J1725" s="8" t="s">
        <v>274</v>
      </c>
      <c r="K1725" s="33" t="str">
        <f>CONCATENATE(TableAopCalendar[[#This Row],[Month for Plan]]," ",TableAopCalendar[[#This Row],[Plan]])</f>
        <v>DECEMBER 26 PLANNED</v>
      </c>
    </row>
    <row r="1726" spans="1:11" x14ac:dyDescent="0.25">
      <c r="A1726" s="33">
        <f t="shared" si="93"/>
        <v>6</v>
      </c>
      <c r="B1726" s="34">
        <v>46376</v>
      </c>
      <c r="C1726" s="7" t="s">
        <v>270</v>
      </c>
      <c r="D1726" s="35">
        <v>26</v>
      </c>
      <c r="E1726" s="33">
        <f>DAY(TableAopCalendar[[#This Row],[Date]])</f>
        <v>20</v>
      </c>
      <c r="F172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6" s="33" t="str">
        <f t="shared" si="94"/>
        <v>Week 3</v>
      </c>
      <c r="H1726" s="33" t="str">
        <f t="shared" si="95"/>
        <v>December 26 Week 3</v>
      </c>
      <c r="I1726" s="33" t="str">
        <f>CONCATENATE(UPPER(TableAopCalendar[[#This Row],[Month]])," ",TableAopCalendar[[#This Row],[Year]])</f>
        <v>DECEMBER 26</v>
      </c>
      <c r="J1726" s="8" t="s">
        <v>274</v>
      </c>
      <c r="K1726" s="33" t="str">
        <f>CONCATENATE(TableAopCalendar[[#This Row],[Month for Plan]]," ",TableAopCalendar[[#This Row],[Plan]])</f>
        <v>DECEMBER 26 PLANNED</v>
      </c>
    </row>
    <row r="1727" spans="1:11" x14ac:dyDescent="0.25">
      <c r="A1727" s="33">
        <f t="shared" si="93"/>
        <v>7</v>
      </c>
      <c r="B1727" s="34">
        <v>46377</v>
      </c>
      <c r="C1727" s="7" t="s">
        <v>270</v>
      </c>
      <c r="D1727" s="35">
        <v>26</v>
      </c>
      <c r="E1727" s="33">
        <f>DAY(TableAopCalendar[[#This Row],[Date]])</f>
        <v>21</v>
      </c>
      <c r="F172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27" s="33" t="str">
        <f t="shared" si="94"/>
        <v>Week 3</v>
      </c>
      <c r="H1727" s="33" t="str">
        <f t="shared" si="95"/>
        <v>December 26 Week 3</v>
      </c>
      <c r="I1727" s="33" t="str">
        <f>CONCATENATE(UPPER(TableAopCalendar[[#This Row],[Month]])," ",TableAopCalendar[[#This Row],[Year]])</f>
        <v>DECEMBER 26</v>
      </c>
      <c r="J1727" s="8" t="s">
        <v>274</v>
      </c>
      <c r="K1727" s="33" t="str">
        <f>CONCATENATE(TableAopCalendar[[#This Row],[Month for Plan]]," ",TableAopCalendar[[#This Row],[Plan]])</f>
        <v>DECEMBER 26 PLANNED</v>
      </c>
    </row>
    <row r="1728" spans="1:11" x14ac:dyDescent="0.25">
      <c r="A1728" s="33">
        <f t="shared" si="93"/>
        <v>1</v>
      </c>
      <c r="B1728" s="34">
        <v>46378</v>
      </c>
      <c r="C1728" s="7" t="s">
        <v>270</v>
      </c>
      <c r="D1728" s="35">
        <v>26</v>
      </c>
      <c r="E1728" s="33">
        <f>DAY(TableAopCalendar[[#This Row],[Date]])</f>
        <v>22</v>
      </c>
      <c r="F172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28" s="33" t="str">
        <f t="shared" si="94"/>
        <v>Week 4</v>
      </c>
      <c r="H1728" s="33" t="str">
        <f t="shared" si="95"/>
        <v>December 26 Week 4</v>
      </c>
      <c r="I1728" s="33" t="str">
        <f>CONCATENATE(UPPER(TableAopCalendar[[#This Row],[Month]])," ",TableAopCalendar[[#This Row],[Year]])</f>
        <v>DECEMBER 26</v>
      </c>
      <c r="J1728" s="8" t="s">
        <v>274</v>
      </c>
      <c r="K1728" s="33" t="str">
        <f>CONCATENATE(TableAopCalendar[[#This Row],[Month for Plan]]," ",TableAopCalendar[[#This Row],[Plan]])</f>
        <v>DECEMBER 26 PLANNED</v>
      </c>
    </row>
    <row r="1729" spans="1:11" x14ac:dyDescent="0.25">
      <c r="A1729" s="33">
        <f t="shared" si="93"/>
        <v>2</v>
      </c>
      <c r="B1729" s="34">
        <v>46379</v>
      </c>
      <c r="C1729" s="7" t="s">
        <v>270</v>
      </c>
      <c r="D1729" s="35">
        <v>26</v>
      </c>
      <c r="E1729" s="33">
        <f>DAY(TableAopCalendar[[#This Row],[Date]])</f>
        <v>23</v>
      </c>
      <c r="F172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29" s="33" t="str">
        <f t="shared" si="94"/>
        <v>Week 4</v>
      </c>
      <c r="H1729" s="33" t="str">
        <f t="shared" si="95"/>
        <v>December 26 Week 4</v>
      </c>
      <c r="I1729" s="33" t="str">
        <f>CONCATENATE(UPPER(TableAopCalendar[[#This Row],[Month]])," ",TableAopCalendar[[#This Row],[Year]])</f>
        <v>DECEMBER 26</v>
      </c>
      <c r="J1729" s="8" t="s">
        <v>274</v>
      </c>
      <c r="K1729" s="33" t="str">
        <f>CONCATENATE(TableAopCalendar[[#This Row],[Month for Plan]]," ",TableAopCalendar[[#This Row],[Plan]])</f>
        <v>DECEMBER 26 PLANNED</v>
      </c>
    </row>
    <row r="1730" spans="1:11" x14ac:dyDescent="0.25">
      <c r="A1730" s="33">
        <f t="shared" si="93"/>
        <v>3</v>
      </c>
      <c r="B1730" s="34">
        <v>46380</v>
      </c>
      <c r="C1730" s="7" t="s">
        <v>270</v>
      </c>
      <c r="D1730" s="35">
        <v>26</v>
      </c>
      <c r="E1730" s="33">
        <f>DAY(TableAopCalendar[[#This Row],[Date]])</f>
        <v>24</v>
      </c>
      <c r="F173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30" s="33" t="str">
        <f t="shared" si="94"/>
        <v>Week 4</v>
      </c>
      <c r="H1730" s="33" t="str">
        <f t="shared" si="95"/>
        <v>December 26 Week 4</v>
      </c>
      <c r="I1730" s="33" t="str">
        <f>CONCATENATE(UPPER(TableAopCalendar[[#This Row],[Month]])," ",TableAopCalendar[[#This Row],[Year]])</f>
        <v>DECEMBER 26</v>
      </c>
      <c r="J1730" s="8" t="s">
        <v>274</v>
      </c>
      <c r="K1730" s="33" t="str">
        <f>CONCATENATE(TableAopCalendar[[#This Row],[Month for Plan]]," ",TableAopCalendar[[#This Row],[Plan]])</f>
        <v>DECEMBER 26 PLANNED</v>
      </c>
    </row>
    <row r="1731" spans="1:11" x14ac:dyDescent="0.25">
      <c r="A1731" s="33">
        <f t="shared" si="93"/>
        <v>4</v>
      </c>
      <c r="B1731" s="34">
        <v>46381</v>
      </c>
      <c r="C1731" s="7" t="s">
        <v>270</v>
      </c>
      <c r="D1731" s="35">
        <v>26</v>
      </c>
      <c r="E1731" s="33">
        <f>DAY(TableAopCalendar[[#This Row],[Date]])</f>
        <v>25</v>
      </c>
      <c r="F173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31" s="33" t="str">
        <f t="shared" si="94"/>
        <v>Week 4</v>
      </c>
      <c r="H1731" s="33" t="str">
        <f t="shared" si="95"/>
        <v>December 26 Week 4</v>
      </c>
      <c r="I1731" s="33" t="str">
        <f>CONCATENATE(UPPER(TableAopCalendar[[#This Row],[Month]])," ",TableAopCalendar[[#This Row],[Year]])</f>
        <v>DECEMBER 26</v>
      </c>
      <c r="J1731" s="8" t="s">
        <v>274</v>
      </c>
      <c r="K1731" s="33" t="str">
        <f>CONCATENATE(TableAopCalendar[[#This Row],[Month for Plan]]," ",TableAopCalendar[[#This Row],[Plan]])</f>
        <v>DECEMBER 26 PLANNED</v>
      </c>
    </row>
    <row r="1732" spans="1:11" x14ac:dyDescent="0.25">
      <c r="A1732" s="33">
        <f t="shared" si="93"/>
        <v>5</v>
      </c>
      <c r="B1732" s="34">
        <v>46382</v>
      </c>
      <c r="C1732" s="7" t="s">
        <v>270</v>
      </c>
      <c r="D1732" s="35">
        <v>26</v>
      </c>
      <c r="E1732" s="33">
        <f>DAY(TableAopCalendar[[#This Row],[Date]])</f>
        <v>26</v>
      </c>
      <c r="F173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32" s="33" t="str">
        <f t="shared" si="94"/>
        <v>Week 4</v>
      </c>
      <c r="H1732" s="33" t="str">
        <f t="shared" si="95"/>
        <v>December 26 Week 4</v>
      </c>
      <c r="I1732" s="33" t="str">
        <f>CONCATENATE(UPPER(TableAopCalendar[[#This Row],[Month]])," ",TableAopCalendar[[#This Row],[Year]])</f>
        <v>DECEMBER 26</v>
      </c>
      <c r="J1732" s="8" t="s">
        <v>274</v>
      </c>
      <c r="K1732" s="33" t="str">
        <f>CONCATENATE(TableAopCalendar[[#This Row],[Month for Plan]]," ",TableAopCalendar[[#This Row],[Plan]])</f>
        <v>DECEMBER 26 PLANNED</v>
      </c>
    </row>
    <row r="1733" spans="1:11" x14ac:dyDescent="0.25">
      <c r="A1733" s="33">
        <f t="shared" si="93"/>
        <v>6</v>
      </c>
      <c r="B1733" s="34">
        <v>46383</v>
      </c>
      <c r="C1733" s="7" t="s">
        <v>270</v>
      </c>
      <c r="D1733" s="35">
        <v>26</v>
      </c>
      <c r="E1733" s="33">
        <f>DAY(TableAopCalendar[[#This Row],[Date]])</f>
        <v>27</v>
      </c>
      <c r="F173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33" s="33" t="str">
        <f t="shared" si="94"/>
        <v>Week 4</v>
      </c>
      <c r="H1733" s="33" t="str">
        <f t="shared" si="95"/>
        <v>December 26 Week 4</v>
      </c>
      <c r="I1733" s="33" t="str">
        <f>CONCATENATE(UPPER(TableAopCalendar[[#This Row],[Month]])," ",TableAopCalendar[[#This Row],[Year]])</f>
        <v>DECEMBER 26</v>
      </c>
      <c r="J1733" s="8" t="s">
        <v>274</v>
      </c>
      <c r="K1733" s="33" t="str">
        <f>CONCATENATE(TableAopCalendar[[#This Row],[Month for Plan]]," ",TableAopCalendar[[#This Row],[Plan]])</f>
        <v>DECEMBER 26 PLANNED</v>
      </c>
    </row>
    <row r="1734" spans="1:11" x14ac:dyDescent="0.25">
      <c r="A1734" s="33">
        <f t="shared" si="93"/>
        <v>7</v>
      </c>
      <c r="B1734" s="34">
        <v>46384</v>
      </c>
      <c r="C1734" s="7" t="s">
        <v>270</v>
      </c>
      <c r="D1734" s="35">
        <v>26</v>
      </c>
      <c r="E1734" s="33">
        <f>DAY(TableAopCalendar[[#This Row],[Date]])</f>
        <v>28</v>
      </c>
      <c r="F173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34" s="33" t="str">
        <f t="shared" si="94"/>
        <v>Week 4</v>
      </c>
      <c r="H1734" s="33" t="str">
        <f t="shared" si="95"/>
        <v>December 26 Week 4</v>
      </c>
      <c r="I1734" s="33" t="str">
        <f>CONCATENATE(UPPER(TableAopCalendar[[#This Row],[Month]])," ",TableAopCalendar[[#This Row],[Year]])</f>
        <v>DECEMBER 26</v>
      </c>
      <c r="J1734" s="8" t="s">
        <v>274</v>
      </c>
      <c r="K1734" s="33" t="str">
        <f>CONCATENATE(TableAopCalendar[[#This Row],[Month for Plan]]," ",TableAopCalendar[[#This Row],[Plan]])</f>
        <v>DECEMBER 26 PLANNED</v>
      </c>
    </row>
    <row r="1735" spans="1:11" x14ac:dyDescent="0.25">
      <c r="A1735" s="33">
        <f t="shared" si="93"/>
        <v>1</v>
      </c>
      <c r="B1735" s="34">
        <v>46385</v>
      </c>
      <c r="C1735" s="7" t="s">
        <v>270</v>
      </c>
      <c r="D1735" s="35">
        <v>26</v>
      </c>
      <c r="E1735" s="33">
        <f>DAY(TableAopCalendar[[#This Row],[Date]])</f>
        <v>29</v>
      </c>
      <c r="F1735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35" s="33" t="str">
        <f t="shared" si="94"/>
        <v>Week 5</v>
      </c>
      <c r="H1735" s="33" t="str">
        <f t="shared" si="95"/>
        <v>December 26 Week 5</v>
      </c>
      <c r="I1735" s="33" t="str">
        <f>CONCATENATE(UPPER(TableAopCalendar[[#This Row],[Month]])," ",TableAopCalendar[[#This Row],[Year]])</f>
        <v>DECEMBER 26</v>
      </c>
      <c r="J1735" s="8" t="s">
        <v>274</v>
      </c>
      <c r="K1735" s="33" t="str">
        <f>CONCATENATE(TableAopCalendar[[#This Row],[Month for Plan]]," ",TableAopCalendar[[#This Row],[Plan]])</f>
        <v>DECEMBER 26 PLANNED</v>
      </c>
    </row>
    <row r="1736" spans="1:11" x14ac:dyDescent="0.25">
      <c r="A1736" s="33">
        <f t="shared" si="93"/>
        <v>2</v>
      </c>
      <c r="B1736" s="34">
        <v>46386</v>
      </c>
      <c r="C1736" s="7" t="s">
        <v>270</v>
      </c>
      <c r="D1736" s="35">
        <v>26</v>
      </c>
      <c r="E1736" s="33">
        <f>DAY(TableAopCalendar[[#This Row],[Date]])</f>
        <v>30</v>
      </c>
      <c r="F1736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36" s="33" t="str">
        <f t="shared" si="94"/>
        <v>Week 5</v>
      </c>
      <c r="H1736" s="33" t="str">
        <f t="shared" si="95"/>
        <v>December 26 Week 5</v>
      </c>
      <c r="I1736" s="33" t="str">
        <f>CONCATENATE(UPPER(TableAopCalendar[[#This Row],[Month]])," ",TableAopCalendar[[#This Row],[Year]])</f>
        <v>DECEMBER 26</v>
      </c>
      <c r="J1736" s="8" t="s">
        <v>274</v>
      </c>
      <c r="K1736" s="33" t="str">
        <f>CONCATENATE(TableAopCalendar[[#This Row],[Month for Plan]]," ",TableAopCalendar[[#This Row],[Plan]])</f>
        <v>DECEMBER 26 PLANNED</v>
      </c>
    </row>
    <row r="1737" spans="1:11" x14ac:dyDescent="0.25">
      <c r="A1737" s="33">
        <f t="shared" si="93"/>
        <v>3</v>
      </c>
      <c r="B1737" s="34">
        <v>46387</v>
      </c>
      <c r="C1737" s="7" t="s">
        <v>270</v>
      </c>
      <c r="D1737" s="35">
        <v>26</v>
      </c>
      <c r="E1737" s="33">
        <f>DAY(TableAopCalendar[[#This Row],[Date]])</f>
        <v>31</v>
      </c>
      <c r="F173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37" s="33" t="str">
        <f t="shared" si="94"/>
        <v>Week 5</v>
      </c>
      <c r="H1737" s="33" t="str">
        <f t="shared" si="95"/>
        <v>December 26 Week 5</v>
      </c>
      <c r="I1737" s="33" t="str">
        <f>CONCATENATE(UPPER(TableAopCalendar[[#This Row],[Month]])," ",TableAopCalendar[[#This Row],[Year]])</f>
        <v>DECEMBER 26</v>
      </c>
      <c r="J1737" s="8" t="s">
        <v>274</v>
      </c>
      <c r="K1737" s="33" t="str">
        <f>CONCATENATE(TableAopCalendar[[#This Row],[Month for Plan]]," ",TableAopCalendar[[#This Row],[Plan]])</f>
        <v>DECEMBER 26 PLANNED</v>
      </c>
    </row>
    <row r="1738" spans="1:11" x14ac:dyDescent="0.25">
      <c r="A1738" s="33">
        <f t="shared" si="93"/>
        <v>1</v>
      </c>
      <c r="B1738" s="34">
        <v>46388</v>
      </c>
      <c r="C1738" s="7" t="s">
        <v>271</v>
      </c>
      <c r="D1738" s="35">
        <v>27</v>
      </c>
      <c r="E1738" s="33">
        <f>DAY(TableAopCalendar[[#This Row],[Date]])</f>
        <v>1</v>
      </c>
      <c r="F173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38" s="33" t="str">
        <f t="shared" si="94"/>
        <v>Week 1</v>
      </c>
      <c r="H1738" s="33" t="str">
        <f t="shared" si="95"/>
        <v>January 27 Week 1</v>
      </c>
      <c r="I1738" s="33" t="str">
        <f>CONCATENATE(UPPER(TableAopCalendar[[#This Row],[Month]])," ",TableAopCalendar[[#This Row],[Year]])</f>
        <v>JANUARY 27</v>
      </c>
      <c r="J1738" s="8" t="s">
        <v>274</v>
      </c>
      <c r="K1738" s="33" t="str">
        <f>CONCATENATE(TableAopCalendar[[#This Row],[Month for Plan]]," ",TableAopCalendar[[#This Row],[Plan]])</f>
        <v>JANUARY 27 PLANNED</v>
      </c>
    </row>
    <row r="1739" spans="1:11" x14ac:dyDescent="0.25">
      <c r="A1739" s="33">
        <f t="shared" ref="A1739:A1802" si="96">IF(G1739=G1738,A1738+1,1)</f>
        <v>2</v>
      </c>
      <c r="B1739" s="34">
        <v>46389</v>
      </c>
      <c r="C1739" s="7" t="s">
        <v>271</v>
      </c>
      <c r="D1739" s="35">
        <v>27</v>
      </c>
      <c r="E1739" s="33">
        <f>DAY(TableAopCalendar[[#This Row],[Date]])</f>
        <v>2</v>
      </c>
      <c r="F173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39" s="33" t="str">
        <f t="shared" ref="G1739:G1802" si="97">"Week"&amp;" "&amp;F1739</f>
        <v>Week 1</v>
      </c>
      <c r="H1739" s="33" t="str">
        <f t="shared" ref="H1739:H1802" si="98">CONCATENATE(C1739," ",D1739," ",G1739)</f>
        <v>January 27 Week 1</v>
      </c>
      <c r="I1739" s="33" t="str">
        <f>CONCATENATE(UPPER(TableAopCalendar[[#This Row],[Month]])," ",TableAopCalendar[[#This Row],[Year]])</f>
        <v>JANUARY 27</v>
      </c>
      <c r="J1739" s="8" t="s">
        <v>274</v>
      </c>
      <c r="K1739" s="33" t="str">
        <f>CONCATENATE(TableAopCalendar[[#This Row],[Month for Plan]]," ",TableAopCalendar[[#This Row],[Plan]])</f>
        <v>JANUARY 27 PLANNED</v>
      </c>
    </row>
    <row r="1740" spans="1:11" x14ac:dyDescent="0.25">
      <c r="A1740" s="33">
        <f t="shared" si="96"/>
        <v>3</v>
      </c>
      <c r="B1740" s="34">
        <v>46390</v>
      </c>
      <c r="C1740" s="7" t="s">
        <v>271</v>
      </c>
      <c r="D1740" s="35">
        <v>27</v>
      </c>
      <c r="E1740" s="33">
        <f>DAY(TableAopCalendar[[#This Row],[Date]])</f>
        <v>3</v>
      </c>
      <c r="F174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40" s="33" t="str">
        <f t="shared" si="97"/>
        <v>Week 1</v>
      </c>
      <c r="H1740" s="33" t="str">
        <f t="shared" si="98"/>
        <v>January 27 Week 1</v>
      </c>
      <c r="I1740" s="33" t="str">
        <f>CONCATENATE(UPPER(TableAopCalendar[[#This Row],[Month]])," ",TableAopCalendar[[#This Row],[Year]])</f>
        <v>JANUARY 27</v>
      </c>
      <c r="J1740" s="8" t="s">
        <v>274</v>
      </c>
      <c r="K1740" s="33" t="str">
        <f>CONCATENATE(TableAopCalendar[[#This Row],[Month for Plan]]," ",TableAopCalendar[[#This Row],[Plan]])</f>
        <v>JANUARY 27 PLANNED</v>
      </c>
    </row>
    <row r="1741" spans="1:11" x14ac:dyDescent="0.25">
      <c r="A1741" s="33">
        <f t="shared" si="96"/>
        <v>4</v>
      </c>
      <c r="B1741" s="34">
        <v>46391</v>
      </c>
      <c r="C1741" s="7" t="s">
        <v>271</v>
      </c>
      <c r="D1741" s="35">
        <v>27</v>
      </c>
      <c r="E1741" s="33">
        <f>DAY(TableAopCalendar[[#This Row],[Date]])</f>
        <v>4</v>
      </c>
      <c r="F174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41" s="33" t="str">
        <f t="shared" si="97"/>
        <v>Week 1</v>
      </c>
      <c r="H1741" s="33" t="str">
        <f t="shared" si="98"/>
        <v>January 27 Week 1</v>
      </c>
      <c r="I1741" s="33" t="str">
        <f>CONCATENATE(UPPER(TableAopCalendar[[#This Row],[Month]])," ",TableAopCalendar[[#This Row],[Year]])</f>
        <v>JANUARY 27</v>
      </c>
      <c r="J1741" s="8" t="s">
        <v>274</v>
      </c>
      <c r="K1741" s="33" t="str">
        <f>CONCATENATE(TableAopCalendar[[#This Row],[Month for Plan]]," ",TableAopCalendar[[#This Row],[Plan]])</f>
        <v>JANUARY 27 PLANNED</v>
      </c>
    </row>
    <row r="1742" spans="1:11" x14ac:dyDescent="0.25">
      <c r="A1742" s="33">
        <f t="shared" si="96"/>
        <v>5</v>
      </c>
      <c r="B1742" s="34">
        <v>46392</v>
      </c>
      <c r="C1742" s="7" t="s">
        <v>271</v>
      </c>
      <c r="D1742" s="35">
        <v>27</v>
      </c>
      <c r="E1742" s="33">
        <f>DAY(TableAopCalendar[[#This Row],[Date]])</f>
        <v>5</v>
      </c>
      <c r="F174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42" s="33" t="str">
        <f t="shared" si="97"/>
        <v>Week 1</v>
      </c>
      <c r="H1742" s="33" t="str">
        <f t="shared" si="98"/>
        <v>January 27 Week 1</v>
      </c>
      <c r="I1742" s="33" t="str">
        <f>CONCATENATE(UPPER(TableAopCalendar[[#This Row],[Month]])," ",TableAopCalendar[[#This Row],[Year]])</f>
        <v>JANUARY 27</v>
      </c>
      <c r="J1742" s="8" t="s">
        <v>274</v>
      </c>
      <c r="K1742" s="33" t="str">
        <f>CONCATENATE(TableAopCalendar[[#This Row],[Month for Plan]]," ",TableAopCalendar[[#This Row],[Plan]])</f>
        <v>JANUARY 27 PLANNED</v>
      </c>
    </row>
    <row r="1743" spans="1:11" x14ac:dyDescent="0.25">
      <c r="A1743" s="33">
        <f t="shared" si="96"/>
        <v>6</v>
      </c>
      <c r="B1743" s="34">
        <v>46393</v>
      </c>
      <c r="C1743" s="7" t="s">
        <v>271</v>
      </c>
      <c r="D1743" s="35">
        <v>27</v>
      </c>
      <c r="E1743" s="33">
        <f>DAY(TableAopCalendar[[#This Row],[Date]])</f>
        <v>6</v>
      </c>
      <c r="F174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43" s="33" t="str">
        <f t="shared" si="97"/>
        <v>Week 1</v>
      </c>
      <c r="H1743" s="33" t="str">
        <f t="shared" si="98"/>
        <v>January 27 Week 1</v>
      </c>
      <c r="I1743" s="33" t="str">
        <f>CONCATENATE(UPPER(TableAopCalendar[[#This Row],[Month]])," ",TableAopCalendar[[#This Row],[Year]])</f>
        <v>JANUARY 27</v>
      </c>
      <c r="J1743" s="8" t="s">
        <v>274</v>
      </c>
      <c r="K1743" s="33" t="str">
        <f>CONCATENATE(TableAopCalendar[[#This Row],[Month for Plan]]," ",TableAopCalendar[[#This Row],[Plan]])</f>
        <v>JANUARY 27 PLANNED</v>
      </c>
    </row>
    <row r="1744" spans="1:11" x14ac:dyDescent="0.25">
      <c r="A1744" s="33">
        <f t="shared" si="96"/>
        <v>7</v>
      </c>
      <c r="B1744" s="34">
        <v>46394</v>
      </c>
      <c r="C1744" s="7" t="s">
        <v>271</v>
      </c>
      <c r="D1744" s="35">
        <v>27</v>
      </c>
      <c r="E1744" s="33">
        <f>DAY(TableAopCalendar[[#This Row],[Date]])</f>
        <v>7</v>
      </c>
      <c r="F174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44" s="33" t="str">
        <f t="shared" si="97"/>
        <v>Week 1</v>
      </c>
      <c r="H1744" s="33" t="str">
        <f t="shared" si="98"/>
        <v>January 27 Week 1</v>
      </c>
      <c r="I1744" s="33" t="str">
        <f>CONCATENATE(UPPER(TableAopCalendar[[#This Row],[Month]])," ",TableAopCalendar[[#This Row],[Year]])</f>
        <v>JANUARY 27</v>
      </c>
      <c r="J1744" s="8" t="s">
        <v>274</v>
      </c>
      <c r="K1744" s="33" t="str">
        <f>CONCATENATE(TableAopCalendar[[#This Row],[Month for Plan]]," ",TableAopCalendar[[#This Row],[Plan]])</f>
        <v>JANUARY 27 PLANNED</v>
      </c>
    </row>
    <row r="1745" spans="1:11" x14ac:dyDescent="0.25">
      <c r="A1745" s="33">
        <f t="shared" si="96"/>
        <v>1</v>
      </c>
      <c r="B1745" s="34">
        <v>46395</v>
      </c>
      <c r="C1745" s="7" t="s">
        <v>271</v>
      </c>
      <c r="D1745" s="35">
        <v>27</v>
      </c>
      <c r="E1745" s="33">
        <f>DAY(TableAopCalendar[[#This Row],[Date]])</f>
        <v>8</v>
      </c>
      <c r="F174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45" s="33" t="str">
        <f t="shared" si="97"/>
        <v>Week 2</v>
      </c>
      <c r="H1745" s="33" t="str">
        <f t="shared" si="98"/>
        <v>January 27 Week 2</v>
      </c>
      <c r="I1745" s="33" t="str">
        <f>CONCATENATE(UPPER(TableAopCalendar[[#This Row],[Month]])," ",TableAopCalendar[[#This Row],[Year]])</f>
        <v>JANUARY 27</v>
      </c>
      <c r="J1745" s="8" t="s">
        <v>274</v>
      </c>
      <c r="K1745" s="33" t="str">
        <f>CONCATENATE(TableAopCalendar[[#This Row],[Month for Plan]]," ",TableAopCalendar[[#This Row],[Plan]])</f>
        <v>JANUARY 27 PLANNED</v>
      </c>
    </row>
    <row r="1746" spans="1:11" x14ac:dyDescent="0.25">
      <c r="A1746" s="33">
        <f t="shared" si="96"/>
        <v>2</v>
      </c>
      <c r="B1746" s="34">
        <v>46396</v>
      </c>
      <c r="C1746" s="7" t="s">
        <v>271</v>
      </c>
      <c r="D1746" s="35">
        <v>27</v>
      </c>
      <c r="E1746" s="33">
        <f>DAY(TableAopCalendar[[#This Row],[Date]])</f>
        <v>9</v>
      </c>
      <c r="F174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46" s="33" t="str">
        <f t="shared" si="97"/>
        <v>Week 2</v>
      </c>
      <c r="H1746" s="33" t="str">
        <f t="shared" si="98"/>
        <v>January 27 Week 2</v>
      </c>
      <c r="I1746" s="33" t="str">
        <f>CONCATENATE(UPPER(TableAopCalendar[[#This Row],[Month]])," ",TableAopCalendar[[#This Row],[Year]])</f>
        <v>JANUARY 27</v>
      </c>
      <c r="J1746" s="8" t="s">
        <v>274</v>
      </c>
      <c r="K1746" s="33" t="str">
        <f>CONCATENATE(TableAopCalendar[[#This Row],[Month for Plan]]," ",TableAopCalendar[[#This Row],[Plan]])</f>
        <v>JANUARY 27 PLANNED</v>
      </c>
    </row>
    <row r="1747" spans="1:11" x14ac:dyDescent="0.25">
      <c r="A1747" s="33">
        <f t="shared" si="96"/>
        <v>3</v>
      </c>
      <c r="B1747" s="34">
        <v>46397</v>
      </c>
      <c r="C1747" s="7" t="s">
        <v>271</v>
      </c>
      <c r="D1747" s="35">
        <v>27</v>
      </c>
      <c r="E1747" s="33">
        <f>DAY(TableAopCalendar[[#This Row],[Date]])</f>
        <v>10</v>
      </c>
      <c r="F174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47" s="33" t="str">
        <f t="shared" si="97"/>
        <v>Week 2</v>
      </c>
      <c r="H1747" s="33" t="str">
        <f t="shared" si="98"/>
        <v>January 27 Week 2</v>
      </c>
      <c r="I1747" s="33" t="str">
        <f>CONCATENATE(UPPER(TableAopCalendar[[#This Row],[Month]])," ",TableAopCalendar[[#This Row],[Year]])</f>
        <v>JANUARY 27</v>
      </c>
      <c r="J1747" s="8" t="s">
        <v>274</v>
      </c>
      <c r="K1747" s="33" t="str">
        <f>CONCATENATE(TableAopCalendar[[#This Row],[Month for Plan]]," ",TableAopCalendar[[#This Row],[Plan]])</f>
        <v>JANUARY 27 PLANNED</v>
      </c>
    </row>
    <row r="1748" spans="1:11" x14ac:dyDescent="0.25">
      <c r="A1748" s="33">
        <f t="shared" si="96"/>
        <v>4</v>
      </c>
      <c r="B1748" s="34">
        <v>46398</v>
      </c>
      <c r="C1748" s="7" t="s">
        <v>271</v>
      </c>
      <c r="D1748" s="35">
        <v>27</v>
      </c>
      <c r="E1748" s="33">
        <f>DAY(TableAopCalendar[[#This Row],[Date]])</f>
        <v>11</v>
      </c>
      <c r="F174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48" s="33" t="str">
        <f t="shared" si="97"/>
        <v>Week 2</v>
      </c>
      <c r="H1748" s="33" t="str">
        <f t="shared" si="98"/>
        <v>January 27 Week 2</v>
      </c>
      <c r="I1748" s="33" t="str">
        <f>CONCATENATE(UPPER(TableAopCalendar[[#This Row],[Month]])," ",TableAopCalendar[[#This Row],[Year]])</f>
        <v>JANUARY 27</v>
      </c>
      <c r="J1748" s="8" t="s">
        <v>274</v>
      </c>
      <c r="K1748" s="33" t="str">
        <f>CONCATENATE(TableAopCalendar[[#This Row],[Month for Plan]]," ",TableAopCalendar[[#This Row],[Plan]])</f>
        <v>JANUARY 27 PLANNED</v>
      </c>
    </row>
    <row r="1749" spans="1:11" x14ac:dyDescent="0.25">
      <c r="A1749" s="33">
        <f t="shared" si="96"/>
        <v>5</v>
      </c>
      <c r="B1749" s="34">
        <v>46399</v>
      </c>
      <c r="C1749" s="7" t="s">
        <v>271</v>
      </c>
      <c r="D1749" s="35">
        <v>27</v>
      </c>
      <c r="E1749" s="33">
        <f>DAY(TableAopCalendar[[#This Row],[Date]])</f>
        <v>12</v>
      </c>
      <c r="F174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49" s="33" t="str">
        <f t="shared" si="97"/>
        <v>Week 2</v>
      </c>
      <c r="H1749" s="33" t="str">
        <f t="shared" si="98"/>
        <v>January 27 Week 2</v>
      </c>
      <c r="I1749" s="33" t="str">
        <f>CONCATENATE(UPPER(TableAopCalendar[[#This Row],[Month]])," ",TableAopCalendar[[#This Row],[Year]])</f>
        <v>JANUARY 27</v>
      </c>
      <c r="J1749" s="8" t="s">
        <v>274</v>
      </c>
      <c r="K1749" s="33" t="str">
        <f>CONCATENATE(TableAopCalendar[[#This Row],[Month for Plan]]," ",TableAopCalendar[[#This Row],[Plan]])</f>
        <v>JANUARY 27 PLANNED</v>
      </c>
    </row>
    <row r="1750" spans="1:11" x14ac:dyDescent="0.25">
      <c r="A1750" s="33">
        <f t="shared" si="96"/>
        <v>6</v>
      </c>
      <c r="B1750" s="34">
        <v>46400</v>
      </c>
      <c r="C1750" s="7" t="s">
        <v>271</v>
      </c>
      <c r="D1750" s="35">
        <v>27</v>
      </c>
      <c r="E1750" s="33">
        <f>DAY(TableAopCalendar[[#This Row],[Date]])</f>
        <v>13</v>
      </c>
      <c r="F175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50" s="33" t="str">
        <f t="shared" si="97"/>
        <v>Week 2</v>
      </c>
      <c r="H1750" s="33" t="str">
        <f t="shared" si="98"/>
        <v>January 27 Week 2</v>
      </c>
      <c r="I1750" s="33" t="str">
        <f>CONCATENATE(UPPER(TableAopCalendar[[#This Row],[Month]])," ",TableAopCalendar[[#This Row],[Year]])</f>
        <v>JANUARY 27</v>
      </c>
      <c r="J1750" s="8" t="s">
        <v>274</v>
      </c>
      <c r="K1750" s="33" t="str">
        <f>CONCATENATE(TableAopCalendar[[#This Row],[Month for Plan]]," ",TableAopCalendar[[#This Row],[Plan]])</f>
        <v>JANUARY 27 PLANNED</v>
      </c>
    </row>
    <row r="1751" spans="1:11" x14ac:dyDescent="0.25">
      <c r="A1751" s="33">
        <f t="shared" si="96"/>
        <v>7</v>
      </c>
      <c r="B1751" s="34">
        <v>46401</v>
      </c>
      <c r="C1751" s="7" t="s">
        <v>271</v>
      </c>
      <c r="D1751" s="35">
        <v>27</v>
      </c>
      <c r="E1751" s="33">
        <f>DAY(TableAopCalendar[[#This Row],[Date]])</f>
        <v>14</v>
      </c>
      <c r="F175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51" s="33" t="str">
        <f t="shared" si="97"/>
        <v>Week 2</v>
      </c>
      <c r="H1751" s="33" t="str">
        <f t="shared" si="98"/>
        <v>January 27 Week 2</v>
      </c>
      <c r="I1751" s="33" t="str">
        <f>CONCATENATE(UPPER(TableAopCalendar[[#This Row],[Month]])," ",TableAopCalendar[[#This Row],[Year]])</f>
        <v>JANUARY 27</v>
      </c>
      <c r="J1751" s="8" t="s">
        <v>274</v>
      </c>
      <c r="K1751" s="33" t="str">
        <f>CONCATENATE(TableAopCalendar[[#This Row],[Month for Plan]]," ",TableAopCalendar[[#This Row],[Plan]])</f>
        <v>JANUARY 27 PLANNED</v>
      </c>
    </row>
    <row r="1752" spans="1:11" x14ac:dyDescent="0.25">
      <c r="A1752" s="33">
        <f t="shared" si="96"/>
        <v>1</v>
      </c>
      <c r="B1752" s="34">
        <v>46402</v>
      </c>
      <c r="C1752" s="7" t="s">
        <v>271</v>
      </c>
      <c r="D1752" s="35">
        <v>27</v>
      </c>
      <c r="E1752" s="33">
        <f>DAY(TableAopCalendar[[#This Row],[Date]])</f>
        <v>15</v>
      </c>
      <c r="F175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2" s="33" t="str">
        <f t="shared" si="97"/>
        <v>Week 3</v>
      </c>
      <c r="H1752" s="33" t="str">
        <f t="shared" si="98"/>
        <v>January 27 Week 3</v>
      </c>
      <c r="I1752" s="33" t="str">
        <f>CONCATENATE(UPPER(TableAopCalendar[[#This Row],[Month]])," ",TableAopCalendar[[#This Row],[Year]])</f>
        <v>JANUARY 27</v>
      </c>
      <c r="J1752" s="8" t="s">
        <v>274</v>
      </c>
      <c r="K1752" s="33" t="str">
        <f>CONCATENATE(TableAopCalendar[[#This Row],[Month for Plan]]," ",TableAopCalendar[[#This Row],[Plan]])</f>
        <v>JANUARY 27 PLANNED</v>
      </c>
    </row>
    <row r="1753" spans="1:11" x14ac:dyDescent="0.25">
      <c r="A1753" s="33">
        <f t="shared" si="96"/>
        <v>2</v>
      </c>
      <c r="B1753" s="34">
        <v>46403</v>
      </c>
      <c r="C1753" s="7" t="s">
        <v>271</v>
      </c>
      <c r="D1753" s="35">
        <v>27</v>
      </c>
      <c r="E1753" s="33">
        <f>DAY(TableAopCalendar[[#This Row],[Date]])</f>
        <v>16</v>
      </c>
      <c r="F175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3" s="33" t="str">
        <f t="shared" si="97"/>
        <v>Week 3</v>
      </c>
      <c r="H1753" s="33" t="str">
        <f t="shared" si="98"/>
        <v>January 27 Week 3</v>
      </c>
      <c r="I1753" s="33" t="str">
        <f>CONCATENATE(UPPER(TableAopCalendar[[#This Row],[Month]])," ",TableAopCalendar[[#This Row],[Year]])</f>
        <v>JANUARY 27</v>
      </c>
      <c r="J1753" s="8" t="s">
        <v>274</v>
      </c>
      <c r="K1753" s="33" t="str">
        <f>CONCATENATE(TableAopCalendar[[#This Row],[Month for Plan]]," ",TableAopCalendar[[#This Row],[Plan]])</f>
        <v>JANUARY 27 PLANNED</v>
      </c>
    </row>
    <row r="1754" spans="1:11" x14ac:dyDescent="0.25">
      <c r="A1754" s="33">
        <f t="shared" si="96"/>
        <v>3</v>
      </c>
      <c r="B1754" s="34">
        <v>46404</v>
      </c>
      <c r="C1754" s="7" t="s">
        <v>271</v>
      </c>
      <c r="D1754" s="35">
        <v>27</v>
      </c>
      <c r="E1754" s="33">
        <f>DAY(TableAopCalendar[[#This Row],[Date]])</f>
        <v>17</v>
      </c>
      <c r="F175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4" s="33" t="str">
        <f t="shared" si="97"/>
        <v>Week 3</v>
      </c>
      <c r="H1754" s="33" t="str">
        <f t="shared" si="98"/>
        <v>January 27 Week 3</v>
      </c>
      <c r="I1754" s="33" t="str">
        <f>CONCATENATE(UPPER(TableAopCalendar[[#This Row],[Month]])," ",TableAopCalendar[[#This Row],[Year]])</f>
        <v>JANUARY 27</v>
      </c>
      <c r="J1754" s="8" t="s">
        <v>274</v>
      </c>
      <c r="K1754" s="33" t="str">
        <f>CONCATENATE(TableAopCalendar[[#This Row],[Month for Plan]]," ",TableAopCalendar[[#This Row],[Plan]])</f>
        <v>JANUARY 27 PLANNED</v>
      </c>
    </row>
    <row r="1755" spans="1:11" x14ac:dyDescent="0.25">
      <c r="A1755" s="33">
        <f t="shared" si="96"/>
        <v>4</v>
      </c>
      <c r="B1755" s="34">
        <v>46405</v>
      </c>
      <c r="C1755" s="7" t="s">
        <v>271</v>
      </c>
      <c r="D1755" s="35">
        <v>27</v>
      </c>
      <c r="E1755" s="33">
        <f>DAY(TableAopCalendar[[#This Row],[Date]])</f>
        <v>18</v>
      </c>
      <c r="F175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5" s="33" t="str">
        <f t="shared" si="97"/>
        <v>Week 3</v>
      </c>
      <c r="H1755" s="33" t="str">
        <f t="shared" si="98"/>
        <v>January 27 Week 3</v>
      </c>
      <c r="I1755" s="33" t="str">
        <f>CONCATENATE(UPPER(TableAopCalendar[[#This Row],[Month]])," ",TableAopCalendar[[#This Row],[Year]])</f>
        <v>JANUARY 27</v>
      </c>
      <c r="J1755" s="8" t="s">
        <v>274</v>
      </c>
      <c r="K1755" s="33" t="str">
        <f>CONCATENATE(TableAopCalendar[[#This Row],[Month for Plan]]," ",TableAopCalendar[[#This Row],[Plan]])</f>
        <v>JANUARY 27 PLANNED</v>
      </c>
    </row>
    <row r="1756" spans="1:11" x14ac:dyDescent="0.25">
      <c r="A1756" s="33">
        <f t="shared" si="96"/>
        <v>5</v>
      </c>
      <c r="B1756" s="34">
        <v>46406</v>
      </c>
      <c r="C1756" s="7" t="s">
        <v>271</v>
      </c>
      <c r="D1756" s="35">
        <v>27</v>
      </c>
      <c r="E1756" s="33">
        <f>DAY(TableAopCalendar[[#This Row],[Date]])</f>
        <v>19</v>
      </c>
      <c r="F175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6" s="33" t="str">
        <f t="shared" si="97"/>
        <v>Week 3</v>
      </c>
      <c r="H1756" s="33" t="str">
        <f t="shared" si="98"/>
        <v>January 27 Week 3</v>
      </c>
      <c r="I1756" s="33" t="str">
        <f>CONCATENATE(UPPER(TableAopCalendar[[#This Row],[Month]])," ",TableAopCalendar[[#This Row],[Year]])</f>
        <v>JANUARY 27</v>
      </c>
      <c r="J1756" s="8" t="s">
        <v>274</v>
      </c>
      <c r="K1756" s="33" t="str">
        <f>CONCATENATE(TableAopCalendar[[#This Row],[Month for Plan]]," ",TableAopCalendar[[#This Row],[Plan]])</f>
        <v>JANUARY 27 PLANNED</v>
      </c>
    </row>
    <row r="1757" spans="1:11" x14ac:dyDescent="0.25">
      <c r="A1757" s="33">
        <f t="shared" si="96"/>
        <v>6</v>
      </c>
      <c r="B1757" s="34">
        <v>46407</v>
      </c>
      <c r="C1757" s="7" t="s">
        <v>271</v>
      </c>
      <c r="D1757" s="35">
        <v>27</v>
      </c>
      <c r="E1757" s="33">
        <f>DAY(TableAopCalendar[[#This Row],[Date]])</f>
        <v>20</v>
      </c>
      <c r="F175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7" s="33" t="str">
        <f t="shared" si="97"/>
        <v>Week 3</v>
      </c>
      <c r="H1757" s="33" t="str">
        <f t="shared" si="98"/>
        <v>January 27 Week 3</v>
      </c>
      <c r="I1757" s="33" t="str">
        <f>CONCATENATE(UPPER(TableAopCalendar[[#This Row],[Month]])," ",TableAopCalendar[[#This Row],[Year]])</f>
        <v>JANUARY 27</v>
      </c>
      <c r="J1757" s="8" t="s">
        <v>274</v>
      </c>
      <c r="K1757" s="33" t="str">
        <f>CONCATENATE(TableAopCalendar[[#This Row],[Month for Plan]]," ",TableAopCalendar[[#This Row],[Plan]])</f>
        <v>JANUARY 27 PLANNED</v>
      </c>
    </row>
    <row r="1758" spans="1:11" x14ac:dyDescent="0.25">
      <c r="A1758" s="33">
        <f t="shared" si="96"/>
        <v>7</v>
      </c>
      <c r="B1758" s="34">
        <v>46408</v>
      </c>
      <c r="C1758" s="7" t="s">
        <v>271</v>
      </c>
      <c r="D1758" s="35">
        <v>27</v>
      </c>
      <c r="E1758" s="33">
        <f>DAY(TableAopCalendar[[#This Row],[Date]])</f>
        <v>21</v>
      </c>
      <c r="F175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58" s="33" t="str">
        <f t="shared" si="97"/>
        <v>Week 3</v>
      </c>
      <c r="H1758" s="33" t="str">
        <f t="shared" si="98"/>
        <v>January 27 Week 3</v>
      </c>
      <c r="I1758" s="33" t="str">
        <f>CONCATENATE(UPPER(TableAopCalendar[[#This Row],[Month]])," ",TableAopCalendar[[#This Row],[Year]])</f>
        <v>JANUARY 27</v>
      </c>
      <c r="J1758" s="8" t="s">
        <v>274</v>
      </c>
      <c r="K1758" s="33" t="str">
        <f>CONCATENATE(TableAopCalendar[[#This Row],[Month for Plan]]," ",TableAopCalendar[[#This Row],[Plan]])</f>
        <v>JANUARY 27 PLANNED</v>
      </c>
    </row>
    <row r="1759" spans="1:11" x14ac:dyDescent="0.25">
      <c r="A1759" s="33">
        <f t="shared" si="96"/>
        <v>1</v>
      </c>
      <c r="B1759" s="34">
        <v>46409</v>
      </c>
      <c r="C1759" s="7" t="s">
        <v>271</v>
      </c>
      <c r="D1759" s="35">
        <v>27</v>
      </c>
      <c r="E1759" s="33">
        <f>DAY(TableAopCalendar[[#This Row],[Date]])</f>
        <v>22</v>
      </c>
      <c r="F175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59" s="33" t="str">
        <f t="shared" si="97"/>
        <v>Week 4</v>
      </c>
      <c r="H1759" s="33" t="str">
        <f t="shared" si="98"/>
        <v>January 27 Week 4</v>
      </c>
      <c r="I1759" s="33" t="str">
        <f>CONCATENATE(UPPER(TableAopCalendar[[#This Row],[Month]])," ",TableAopCalendar[[#This Row],[Year]])</f>
        <v>JANUARY 27</v>
      </c>
      <c r="J1759" s="8" t="s">
        <v>274</v>
      </c>
      <c r="K1759" s="33" t="str">
        <f>CONCATENATE(TableAopCalendar[[#This Row],[Month for Plan]]," ",TableAopCalendar[[#This Row],[Plan]])</f>
        <v>JANUARY 27 PLANNED</v>
      </c>
    </row>
    <row r="1760" spans="1:11" x14ac:dyDescent="0.25">
      <c r="A1760" s="33">
        <f t="shared" si="96"/>
        <v>2</v>
      </c>
      <c r="B1760" s="34">
        <v>46410</v>
      </c>
      <c r="C1760" s="7" t="s">
        <v>271</v>
      </c>
      <c r="D1760" s="35">
        <v>27</v>
      </c>
      <c r="E1760" s="33">
        <f>DAY(TableAopCalendar[[#This Row],[Date]])</f>
        <v>23</v>
      </c>
      <c r="F176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60" s="33" t="str">
        <f t="shared" si="97"/>
        <v>Week 4</v>
      </c>
      <c r="H1760" s="33" t="str">
        <f t="shared" si="98"/>
        <v>January 27 Week 4</v>
      </c>
      <c r="I1760" s="33" t="str">
        <f>CONCATENATE(UPPER(TableAopCalendar[[#This Row],[Month]])," ",TableAopCalendar[[#This Row],[Year]])</f>
        <v>JANUARY 27</v>
      </c>
      <c r="J1760" s="8" t="s">
        <v>274</v>
      </c>
      <c r="K1760" s="33" t="str">
        <f>CONCATENATE(TableAopCalendar[[#This Row],[Month for Plan]]," ",TableAopCalendar[[#This Row],[Plan]])</f>
        <v>JANUARY 27 PLANNED</v>
      </c>
    </row>
    <row r="1761" spans="1:11" x14ac:dyDescent="0.25">
      <c r="A1761" s="33">
        <f t="shared" si="96"/>
        <v>3</v>
      </c>
      <c r="B1761" s="34">
        <v>46411</v>
      </c>
      <c r="C1761" s="7" t="s">
        <v>271</v>
      </c>
      <c r="D1761" s="35">
        <v>27</v>
      </c>
      <c r="E1761" s="33">
        <f>DAY(TableAopCalendar[[#This Row],[Date]])</f>
        <v>24</v>
      </c>
      <c r="F176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61" s="33" t="str">
        <f t="shared" si="97"/>
        <v>Week 4</v>
      </c>
      <c r="H1761" s="33" t="str">
        <f t="shared" si="98"/>
        <v>January 27 Week 4</v>
      </c>
      <c r="I1761" s="33" t="str">
        <f>CONCATENATE(UPPER(TableAopCalendar[[#This Row],[Month]])," ",TableAopCalendar[[#This Row],[Year]])</f>
        <v>JANUARY 27</v>
      </c>
      <c r="J1761" s="8" t="s">
        <v>274</v>
      </c>
      <c r="K1761" s="33" t="str">
        <f>CONCATENATE(TableAopCalendar[[#This Row],[Month for Plan]]," ",TableAopCalendar[[#This Row],[Plan]])</f>
        <v>JANUARY 27 PLANNED</v>
      </c>
    </row>
    <row r="1762" spans="1:11" x14ac:dyDescent="0.25">
      <c r="A1762" s="33">
        <f t="shared" si="96"/>
        <v>4</v>
      </c>
      <c r="B1762" s="34">
        <v>46412</v>
      </c>
      <c r="C1762" s="7" t="s">
        <v>271</v>
      </c>
      <c r="D1762" s="35">
        <v>27</v>
      </c>
      <c r="E1762" s="33">
        <f>DAY(TableAopCalendar[[#This Row],[Date]])</f>
        <v>25</v>
      </c>
      <c r="F176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62" s="33" t="str">
        <f t="shared" si="97"/>
        <v>Week 4</v>
      </c>
      <c r="H1762" s="33" t="str">
        <f t="shared" si="98"/>
        <v>January 27 Week 4</v>
      </c>
      <c r="I1762" s="33" t="str">
        <f>CONCATENATE(UPPER(TableAopCalendar[[#This Row],[Month]])," ",TableAopCalendar[[#This Row],[Year]])</f>
        <v>JANUARY 27</v>
      </c>
      <c r="J1762" s="8" t="s">
        <v>274</v>
      </c>
      <c r="K1762" s="33" t="str">
        <f>CONCATENATE(TableAopCalendar[[#This Row],[Month for Plan]]," ",TableAopCalendar[[#This Row],[Plan]])</f>
        <v>JANUARY 27 PLANNED</v>
      </c>
    </row>
    <row r="1763" spans="1:11" x14ac:dyDescent="0.25">
      <c r="A1763" s="33">
        <f t="shared" si="96"/>
        <v>5</v>
      </c>
      <c r="B1763" s="34">
        <v>46413</v>
      </c>
      <c r="C1763" s="7" t="s">
        <v>271</v>
      </c>
      <c r="D1763" s="35">
        <v>27</v>
      </c>
      <c r="E1763" s="33">
        <f>DAY(TableAopCalendar[[#This Row],[Date]])</f>
        <v>26</v>
      </c>
      <c r="F176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63" s="33" t="str">
        <f t="shared" si="97"/>
        <v>Week 4</v>
      </c>
      <c r="H1763" s="33" t="str">
        <f t="shared" si="98"/>
        <v>January 27 Week 4</v>
      </c>
      <c r="I1763" s="33" t="str">
        <f>CONCATENATE(UPPER(TableAopCalendar[[#This Row],[Month]])," ",TableAopCalendar[[#This Row],[Year]])</f>
        <v>JANUARY 27</v>
      </c>
      <c r="J1763" s="8" t="s">
        <v>274</v>
      </c>
      <c r="K1763" s="33" t="str">
        <f>CONCATENATE(TableAopCalendar[[#This Row],[Month for Plan]]," ",TableAopCalendar[[#This Row],[Plan]])</f>
        <v>JANUARY 27 PLANNED</v>
      </c>
    </row>
    <row r="1764" spans="1:11" x14ac:dyDescent="0.25">
      <c r="A1764" s="33">
        <f t="shared" si="96"/>
        <v>6</v>
      </c>
      <c r="B1764" s="34">
        <v>46414</v>
      </c>
      <c r="C1764" s="7" t="s">
        <v>271</v>
      </c>
      <c r="D1764" s="35">
        <v>27</v>
      </c>
      <c r="E1764" s="33">
        <f>DAY(TableAopCalendar[[#This Row],[Date]])</f>
        <v>27</v>
      </c>
      <c r="F176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64" s="33" t="str">
        <f t="shared" si="97"/>
        <v>Week 4</v>
      </c>
      <c r="H1764" s="33" t="str">
        <f t="shared" si="98"/>
        <v>January 27 Week 4</v>
      </c>
      <c r="I1764" s="33" t="str">
        <f>CONCATENATE(UPPER(TableAopCalendar[[#This Row],[Month]])," ",TableAopCalendar[[#This Row],[Year]])</f>
        <v>JANUARY 27</v>
      </c>
      <c r="J1764" s="8" t="s">
        <v>274</v>
      </c>
      <c r="K1764" s="33" t="str">
        <f>CONCATENATE(TableAopCalendar[[#This Row],[Month for Plan]]," ",TableAopCalendar[[#This Row],[Plan]])</f>
        <v>JANUARY 27 PLANNED</v>
      </c>
    </row>
    <row r="1765" spans="1:11" x14ac:dyDescent="0.25">
      <c r="A1765" s="33">
        <f t="shared" si="96"/>
        <v>7</v>
      </c>
      <c r="B1765" s="34">
        <v>46415</v>
      </c>
      <c r="C1765" s="7" t="s">
        <v>271</v>
      </c>
      <c r="D1765" s="35">
        <v>27</v>
      </c>
      <c r="E1765" s="33">
        <f>DAY(TableAopCalendar[[#This Row],[Date]])</f>
        <v>28</v>
      </c>
      <c r="F176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65" s="33" t="str">
        <f t="shared" si="97"/>
        <v>Week 4</v>
      </c>
      <c r="H1765" s="33" t="str">
        <f t="shared" si="98"/>
        <v>January 27 Week 4</v>
      </c>
      <c r="I1765" s="33" t="str">
        <f>CONCATENATE(UPPER(TableAopCalendar[[#This Row],[Month]])," ",TableAopCalendar[[#This Row],[Year]])</f>
        <v>JANUARY 27</v>
      </c>
      <c r="J1765" s="8" t="s">
        <v>274</v>
      </c>
      <c r="K1765" s="33" t="str">
        <f>CONCATENATE(TableAopCalendar[[#This Row],[Month for Plan]]," ",TableAopCalendar[[#This Row],[Plan]])</f>
        <v>JANUARY 27 PLANNED</v>
      </c>
    </row>
    <row r="1766" spans="1:11" x14ac:dyDescent="0.25">
      <c r="A1766" s="33">
        <f t="shared" si="96"/>
        <v>1</v>
      </c>
      <c r="B1766" s="34">
        <v>46416</v>
      </c>
      <c r="C1766" s="7" t="s">
        <v>271</v>
      </c>
      <c r="D1766" s="35">
        <v>27</v>
      </c>
      <c r="E1766" s="33">
        <f>DAY(TableAopCalendar[[#This Row],[Date]])</f>
        <v>29</v>
      </c>
      <c r="F1766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66" s="33" t="str">
        <f t="shared" si="97"/>
        <v>Week 5</v>
      </c>
      <c r="H1766" s="33" t="str">
        <f t="shared" si="98"/>
        <v>January 27 Week 5</v>
      </c>
      <c r="I1766" s="33" t="str">
        <f>CONCATENATE(UPPER(TableAopCalendar[[#This Row],[Month]])," ",TableAopCalendar[[#This Row],[Year]])</f>
        <v>JANUARY 27</v>
      </c>
      <c r="J1766" s="8" t="s">
        <v>274</v>
      </c>
      <c r="K1766" s="33" t="str">
        <f>CONCATENATE(TableAopCalendar[[#This Row],[Month for Plan]]," ",TableAopCalendar[[#This Row],[Plan]])</f>
        <v>JANUARY 27 PLANNED</v>
      </c>
    </row>
    <row r="1767" spans="1:11" x14ac:dyDescent="0.25">
      <c r="A1767" s="33">
        <f t="shared" si="96"/>
        <v>2</v>
      </c>
      <c r="B1767" s="34">
        <v>46417</v>
      </c>
      <c r="C1767" s="7" t="s">
        <v>271</v>
      </c>
      <c r="D1767" s="35">
        <v>27</v>
      </c>
      <c r="E1767" s="33">
        <f>DAY(TableAopCalendar[[#This Row],[Date]])</f>
        <v>30</v>
      </c>
      <c r="F176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67" s="33" t="str">
        <f t="shared" si="97"/>
        <v>Week 5</v>
      </c>
      <c r="H1767" s="33" t="str">
        <f t="shared" si="98"/>
        <v>January 27 Week 5</v>
      </c>
      <c r="I1767" s="33" t="str">
        <f>CONCATENATE(UPPER(TableAopCalendar[[#This Row],[Month]])," ",TableAopCalendar[[#This Row],[Year]])</f>
        <v>JANUARY 27</v>
      </c>
      <c r="J1767" s="8" t="s">
        <v>274</v>
      </c>
      <c r="K1767" s="33" t="str">
        <f>CONCATENATE(TableAopCalendar[[#This Row],[Month for Plan]]," ",TableAopCalendar[[#This Row],[Plan]])</f>
        <v>JANUARY 27 PLANNED</v>
      </c>
    </row>
    <row r="1768" spans="1:11" x14ac:dyDescent="0.25">
      <c r="A1768" s="33">
        <f t="shared" si="96"/>
        <v>3</v>
      </c>
      <c r="B1768" s="34">
        <v>46418</v>
      </c>
      <c r="C1768" s="7" t="s">
        <v>271</v>
      </c>
      <c r="D1768" s="35">
        <v>27</v>
      </c>
      <c r="E1768" s="33">
        <f>DAY(TableAopCalendar[[#This Row],[Date]])</f>
        <v>31</v>
      </c>
      <c r="F176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768" s="33" t="str">
        <f t="shared" si="97"/>
        <v>Week 5</v>
      </c>
      <c r="H1768" s="33" t="str">
        <f t="shared" si="98"/>
        <v>January 27 Week 5</v>
      </c>
      <c r="I1768" s="33" t="str">
        <f>CONCATENATE(UPPER(TableAopCalendar[[#This Row],[Month]])," ",TableAopCalendar[[#This Row],[Year]])</f>
        <v>JANUARY 27</v>
      </c>
      <c r="J1768" s="8" t="s">
        <v>274</v>
      </c>
      <c r="K1768" s="33" t="str">
        <f>CONCATENATE(TableAopCalendar[[#This Row],[Month for Plan]]," ",TableAopCalendar[[#This Row],[Plan]])</f>
        <v>JANUARY 27 PLANNED</v>
      </c>
    </row>
    <row r="1769" spans="1:11" x14ac:dyDescent="0.25">
      <c r="A1769" s="33">
        <f t="shared" si="96"/>
        <v>1</v>
      </c>
      <c r="B1769" s="34">
        <v>46419</v>
      </c>
      <c r="C1769" s="7" t="s">
        <v>272</v>
      </c>
      <c r="D1769" s="35">
        <v>27</v>
      </c>
      <c r="E1769" s="33">
        <f>DAY(TableAopCalendar[[#This Row],[Date]])</f>
        <v>1</v>
      </c>
      <c r="F176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69" s="33" t="str">
        <f t="shared" si="97"/>
        <v>Week 1</v>
      </c>
      <c r="H1769" s="33" t="str">
        <f t="shared" si="98"/>
        <v>February 27 Week 1</v>
      </c>
      <c r="I1769" s="33" t="str">
        <f>CONCATENATE(UPPER(TableAopCalendar[[#This Row],[Month]])," ",TableAopCalendar[[#This Row],[Year]])</f>
        <v>FEBRUARY 27</v>
      </c>
      <c r="J1769" s="8" t="s">
        <v>274</v>
      </c>
      <c r="K1769" s="33" t="str">
        <f>CONCATENATE(TableAopCalendar[[#This Row],[Month for Plan]]," ",TableAopCalendar[[#This Row],[Plan]])</f>
        <v>FEBRUARY 27 PLANNED</v>
      </c>
    </row>
    <row r="1770" spans="1:11" x14ac:dyDescent="0.25">
      <c r="A1770" s="33">
        <f t="shared" si="96"/>
        <v>2</v>
      </c>
      <c r="B1770" s="34">
        <v>46420</v>
      </c>
      <c r="C1770" s="7" t="s">
        <v>272</v>
      </c>
      <c r="D1770" s="35">
        <v>27</v>
      </c>
      <c r="E1770" s="33">
        <f>DAY(TableAopCalendar[[#This Row],[Date]])</f>
        <v>2</v>
      </c>
      <c r="F177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70" s="33" t="str">
        <f t="shared" si="97"/>
        <v>Week 1</v>
      </c>
      <c r="H1770" s="33" t="str">
        <f t="shared" si="98"/>
        <v>February 27 Week 1</v>
      </c>
      <c r="I1770" s="33" t="str">
        <f>CONCATENATE(UPPER(TableAopCalendar[[#This Row],[Month]])," ",TableAopCalendar[[#This Row],[Year]])</f>
        <v>FEBRUARY 27</v>
      </c>
      <c r="J1770" s="8" t="s">
        <v>274</v>
      </c>
      <c r="K1770" s="33" t="str">
        <f>CONCATENATE(TableAopCalendar[[#This Row],[Month for Plan]]," ",TableAopCalendar[[#This Row],[Plan]])</f>
        <v>FEBRUARY 27 PLANNED</v>
      </c>
    </row>
    <row r="1771" spans="1:11" x14ac:dyDescent="0.25">
      <c r="A1771" s="33">
        <f t="shared" si="96"/>
        <v>3</v>
      </c>
      <c r="B1771" s="34">
        <v>46421</v>
      </c>
      <c r="C1771" s="7" t="s">
        <v>272</v>
      </c>
      <c r="D1771" s="35">
        <v>27</v>
      </c>
      <c r="E1771" s="33">
        <f>DAY(TableAopCalendar[[#This Row],[Date]])</f>
        <v>3</v>
      </c>
      <c r="F177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71" s="33" t="str">
        <f t="shared" si="97"/>
        <v>Week 1</v>
      </c>
      <c r="H1771" s="33" t="str">
        <f t="shared" si="98"/>
        <v>February 27 Week 1</v>
      </c>
      <c r="I1771" s="33" t="str">
        <f>CONCATENATE(UPPER(TableAopCalendar[[#This Row],[Month]])," ",TableAopCalendar[[#This Row],[Year]])</f>
        <v>FEBRUARY 27</v>
      </c>
      <c r="J1771" s="8" t="s">
        <v>274</v>
      </c>
      <c r="K1771" s="33" t="str">
        <f>CONCATENATE(TableAopCalendar[[#This Row],[Month for Plan]]," ",TableAopCalendar[[#This Row],[Plan]])</f>
        <v>FEBRUARY 27 PLANNED</v>
      </c>
    </row>
    <row r="1772" spans="1:11" x14ac:dyDescent="0.25">
      <c r="A1772" s="33">
        <f t="shared" si="96"/>
        <v>4</v>
      </c>
      <c r="B1772" s="34">
        <v>46422</v>
      </c>
      <c r="C1772" s="7" t="s">
        <v>272</v>
      </c>
      <c r="D1772" s="35">
        <v>27</v>
      </c>
      <c r="E1772" s="33">
        <f>DAY(TableAopCalendar[[#This Row],[Date]])</f>
        <v>4</v>
      </c>
      <c r="F177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72" s="33" t="str">
        <f t="shared" si="97"/>
        <v>Week 1</v>
      </c>
      <c r="H1772" s="33" t="str">
        <f t="shared" si="98"/>
        <v>February 27 Week 1</v>
      </c>
      <c r="I1772" s="33" t="str">
        <f>CONCATENATE(UPPER(TableAopCalendar[[#This Row],[Month]])," ",TableAopCalendar[[#This Row],[Year]])</f>
        <v>FEBRUARY 27</v>
      </c>
      <c r="J1772" s="8" t="s">
        <v>274</v>
      </c>
      <c r="K1772" s="33" t="str">
        <f>CONCATENATE(TableAopCalendar[[#This Row],[Month for Plan]]," ",TableAopCalendar[[#This Row],[Plan]])</f>
        <v>FEBRUARY 27 PLANNED</v>
      </c>
    </row>
    <row r="1773" spans="1:11" x14ac:dyDescent="0.25">
      <c r="A1773" s="33">
        <f t="shared" si="96"/>
        <v>5</v>
      </c>
      <c r="B1773" s="34">
        <v>46423</v>
      </c>
      <c r="C1773" s="7" t="s">
        <v>272</v>
      </c>
      <c r="D1773" s="35">
        <v>27</v>
      </c>
      <c r="E1773" s="33">
        <f>DAY(TableAopCalendar[[#This Row],[Date]])</f>
        <v>5</v>
      </c>
      <c r="F177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73" s="33" t="str">
        <f t="shared" si="97"/>
        <v>Week 1</v>
      </c>
      <c r="H1773" s="33" t="str">
        <f t="shared" si="98"/>
        <v>February 27 Week 1</v>
      </c>
      <c r="I1773" s="33" t="str">
        <f>CONCATENATE(UPPER(TableAopCalendar[[#This Row],[Month]])," ",TableAopCalendar[[#This Row],[Year]])</f>
        <v>FEBRUARY 27</v>
      </c>
      <c r="J1773" s="8" t="s">
        <v>274</v>
      </c>
      <c r="K1773" s="33" t="str">
        <f>CONCATENATE(TableAopCalendar[[#This Row],[Month for Plan]]," ",TableAopCalendar[[#This Row],[Plan]])</f>
        <v>FEBRUARY 27 PLANNED</v>
      </c>
    </row>
    <row r="1774" spans="1:11" x14ac:dyDescent="0.25">
      <c r="A1774" s="33">
        <f t="shared" si="96"/>
        <v>6</v>
      </c>
      <c r="B1774" s="34">
        <v>46424</v>
      </c>
      <c r="C1774" s="7" t="s">
        <v>272</v>
      </c>
      <c r="D1774" s="35">
        <v>27</v>
      </c>
      <c r="E1774" s="33">
        <f>DAY(TableAopCalendar[[#This Row],[Date]])</f>
        <v>6</v>
      </c>
      <c r="F177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74" s="33" t="str">
        <f t="shared" si="97"/>
        <v>Week 1</v>
      </c>
      <c r="H1774" s="33" t="str">
        <f t="shared" si="98"/>
        <v>February 27 Week 1</v>
      </c>
      <c r="I1774" s="33" t="str">
        <f>CONCATENATE(UPPER(TableAopCalendar[[#This Row],[Month]])," ",TableAopCalendar[[#This Row],[Year]])</f>
        <v>FEBRUARY 27</v>
      </c>
      <c r="J1774" s="8" t="s">
        <v>274</v>
      </c>
      <c r="K1774" s="33" t="str">
        <f>CONCATENATE(TableAopCalendar[[#This Row],[Month for Plan]]," ",TableAopCalendar[[#This Row],[Plan]])</f>
        <v>FEBRUARY 27 PLANNED</v>
      </c>
    </row>
    <row r="1775" spans="1:11" x14ac:dyDescent="0.25">
      <c r="A1775" s="33">
        <f t="shared" si="96"/>
        <v>7</v>
      </c>
      <c r="B1775" s="34">
        <v>46425</v>
      </c>
      <c r="C1775" s="7" t="s">
        <v>272</v>
      </c>
      <c r="D1775" s="35">
        <v>27</v>
      </c>
      <c r="E1775" s="33">
        <f>DAY(TableAopCalendar[[#This Row],[Date]])</f>
        <v>7</v>
      </c>
      <c r="F177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75" s="33" t="str">
        <f t="shared" si="97"/>
        <v>Week 1</v>
      </c>
      <c r="H1775" s="33" t="str">
        <f t="shared" si="98"/>
        <v>February 27 Week 1</v>
      </c>
      <c r="I1775" s="33" t="str">
        <f>CONCATENATE(UPPER(TableAopCalendar[[#This Row],[Month]])," ",TableAopCalendar[[#This Row],[Year]])</f>
        <v>FEBRUARY 27</v>
      </c>
      <c r="J1775" s="8" t="s">
        <v>274</v>
      </c>
      <c r="K1775" s="33" t="str">
        <f>CONCATENATE(TableAopCalendar[[#This Row],[Month for Plan]]," ",TableAopCalendar[[#This Row],[Plan]])</f>
        <v>FEBRUARY 27 PLANNED</v>
      </c>
    </row>
    <row r="1776" spans="1:11" x14ac:dyDescent="0.25">
      <c r="A1776" s="33">
        <f t="shared" si="96"/>
        <v>1</v>
      </c>
      <c r="B1776" s="34">
        <v>46426</v>
      </c>
      <c r="C1776" s="7" t="s">
        <v>272</v>
      </c>
      <c r="D1776" s="35">
        <v>27</v>
      </c>
      <c r="E1776" s="33">
        <f>DAY(TableAopCalendar[[#This Row],[Date]])</f>
        <v>8</v>
      </c>
      <c r="F177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76" s="33" t="str">
        <f t="shared" si="97"/>
        <v>Week 2</v>
      </c>
      <c r="H1776" s="33" t="str">
        <f t="shared" si="98"/>
        <v>February 27 Week 2</v>
      </c>
      <c r="I1776" s="33" t="str">
        <f>CONCATENATE(UPPER(TableAopCalendar[[#This Row],[Month]])," ",TableAopCalendar[[#This Row],[Year]])</f>
        <v>FEBRUARY 27</v>
      </c>
      <c r="J1776" s="8" t="s">
        <v>274</v>
      </c>
      <c r="K1776" s="33" t="str">
        <f>CONCATENATE(TableAopCalendar[[#This Row],[Month for Plan]]," ",TableAopCalendar[[#This Row],[Plan]])</f>
        <v>FEBRUARY 27 PLANNED</v>
      </c>
    </row>
    <row r="1777" spans="1:11" x14ac:dyDescent="0.25">
      <c r="A1777" s="33">
        <f t="shared" si="96"/>
        <v>2</v>
      </c>
      <c r="B1777" s="34">
        <v>46427</v>
      </c>
      <c r="C1777" s="7" t="s">
        <v>272</v>
      </c>
      <c r="D1777" s="35">
        <v>27</v>
      </c>
      <c r="E1777" s="33">
        <f>DAY(TableAopCalendar[[#This Row],[Date]])</f>
        <v>9</v>
      </c>
      <c r="F177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77" s="33" t="str">
        <f t="shared" si="97"/>
        <v>Week 2</v>
      </c>
      <c r="H1777" s="33" t="str">
        <f t="shared" si="98"/>
        <v>February 27 Week 2</v>
      </c>
      <c r="I1777" s="33" t="str">
        <f>CONCATENATE(UPPER(TableAopCalendar[[#This Row],[Month]])," ",TableAopCalendar[[#This Row],[Year]])</f>
        <v>FEBRUARY 27</v>
      </c>
      <c r="J1777" s="8" t="s">
        <v>274</v>
      </c>
      <c r="K1777" s="33" t="str">
        <f>CONCATENATE(TableAopCalendar[[#This Row],[Month for Plan]]," ",TableAopCalendar[[#This Row],[Plan]])</f>
        <v>FEBRUARY 27 PLANNED</v>
      </c>
    </row>
    <row r="1778" spans="1:11" x14ac:dyDescent="0.25">
      <c r="A1778" s="33">
        <f t="shared" si="96"/>
        <v>3</v>
      </c>
      <c r="B1778" s="34">
        <v>46428</v>
      </c>
      <c r="C1778" s="7" t="s">
        <v>272</v>
      </c>
      <c r="D1778" s="35">
        <v>27</v>
      </c>
      <c r="E1778" s="33">
        <f>DAY(TableAopCalendar[[#This Row],[Date]])</f>
        <v>10</v>
      </c>
      <c r="F177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78" s="33" t="str">
        <f t="shared" si="97"/>
        <v>Week 2</v>
      </c>
      <c r="H1778" s="33" t="str">
        <f t="shared" si="98"/>
        <v>February 27 Week 2</v>
      </c>
      <c r="I1778" s="33" t="str">
        <f>CONCATENATE(UPPER(TableAopCalendar[[#This Row],[Month]])," ",TableAopCalendar[[#This Row],[Year]])</f>
        <v>FEBRUARY 27</v>
      </c>
      <c r="J1778" s="8" t="s">
        <v>274</v>
      </c>
      <c r="K1778" s="33" t="str">
        <f>CONCATENATE(TableAopCalendar[[#This Row],[Month for Plan]]," ",TableAopCalendar[[#This Row],[Plan]])</f>
        <v>FEBRUARY 27 PLANNED</v>
      </c>
    </row>
    <row r="1779" spans="1:11" x14ac:dyDescent="0.25">
      <c r="A1779" s="33">
        <f t="shared" si="96"/>
        <v>4</v>
      </c>
      <c r="B1779" s="34">
        <v>46429</v>
      </c>
      <c r="C1779" s="7" t="s">
        <v>272</v>
      </c>
      <c r="D1779" s="35">
        <v>27</v>
      </c>
      <c r="E1779" s="33">
        <f>DAY(TableAopCalendar[[#This Row],[Date]])</f>
        <v>11</v>
      </c>
      <c r="F177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79" s="33" t="str">
        <f t="shared" si="97"/>
        <v>Week 2</v>
      </c>
      <c r="H1779" s="33" t="str">
        <f t="shared" si="98"/>
        <v>February 27 Week 2</v>
      </c>
      <c r="I1779" s="33" t="str">
        <f>CONCATENATE(UPPER(TableAopCalendar[[#This Row],[Month]])," ",TableAopCalendar[[#This Row],[Year]])</f>
        <v>FEBRUARY 27</v>
      </c>
      <c r="J1779" s="8" t="s">
        <v>274</v>
      </c>
      <c r="K1779" s="33" t="str">
        <f>CONCATENATE(TableAopCalendar[[#This Row],[Month for Plan]]," ",TableAopCalendar[[#This Row],[Plan]])</f>
        <v>FEBRUARY 27 PLANNED</v>
      </c>
    </row>
    <row r="1780" spans="1:11" x14ac:dyDescent="0.25">
      <c r="A1780" s="33">
        <f t="shared" si="96"/>
        <v>5</v>
      </c>
      <c r="B1780" s="34">
        <v>46430</v>
      </c>
      <c r="C1780" s="7" t="s">
        <v>272</v>
      </c>
      <c r="D1780" s="35">
        <v>27</v>
      </c>
      <c r="E1780" s="33">
        <f>DAY(TableAopCalendar[[#This Row],[Date]])</f>
        <v>12</v>
      </c>
      <c r="F178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80" s="33" t="str">
        <f t="shared" si="97"/>
        <v>Week 2</v>
      </c>
      <c r="H1780" s="33" t="str">
        <f t="shared" si="98"/>
        <v>February 27 Week 2</v>
      </c>
      <c r="I1780" s="33" t="str">
        <f>CONCATENATE(UPPER(TableAopCalendar[[#This Row],[Month]])," ",TableAopCalendar[[#This Row],[Year]])</f>
        <v>FEBRUARY 27</v>
      </c>
      <c r="J1780" s="8" t="s">
        <v>274</v>
      </c>
      <c r="K1780" s="33" t="str">
        <f>CONCATENATE(TableAopCalendar[[#This Row],[Month for Plan]]," ",TableAopCalendar[[#This Row],[Plan]])</f>
        <v>FEBRUARY 27 PLANNED</v>
      </c>
    </row>
    <row r="1781" spans="1:11" x14ac:dyDescent="0.25">
      <c r="A1781" s="33">
        <f t="shared" si="96"/>
        <v>6</v>
      </c>
      <c r="B1781" s="34">
        <v>46431</v>
      </c>
      <c r="C1781" s="7" t="s">
        <v>272</v>
      </c>
      <c r="D1781" s="35">
        <v>27</v>
      </c>
      <c r="E1781" s="33">
        <f>DAY(TableAopCalendar[[#This Row],[Date]])</f>
        <v>13</v>
      </c>
      <c r="F178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81" s="33" t="str">
        <f t="shared" si="97"/>
        <v>Week 2</v>
      </c>
      <c r="H1781" s="33" t="str">
        <f t="shared" si="98"/>
        <v>February 27 Week 2</v>
      </c>
      <c r="I1781" s="33" t="str">
        <f>CONCATENATE(UPPER(TableAopCalendar[[#This Row],[Month]])," ",TableAopCalendar[[#This Row],[Year]])</f>
        <v>FEBRUARY 27</v>
      </c>
      <c r="J1781" s="8" t="s">
        <v>274</v>
      </c>
      <c r="K1781" s="33" t="str">
        <f>CONCATENATE(TableAopCalendar[[#This Row],[Month for Plan]]," ",TableAopCalendar[[#This Row],[Plan]])</f>
        <v>FEBRUARY 27 PLANNED</v>
      </c>
    </row>
    <row r="1782" spans="1:11" x14ac:dyDescent="0.25">
      <c r="A1782" s="33">
        <f t="shared" si="96"/>
        <v>7</v>
      </c>
      <c r="B1782" s="34">
        <v>46432</v>
      </c>
      <c r="C1782" s="7" t="s">
        <v>272</v>
      </c>
      <c r="D1782" s="35">
        <v>27</v>
      </c>
      <c r="E1782" s="33">
        <f>DAY(TableAopCalendar[[#This Row],[Date]])</f>
        <v>14</v>
      </c>
      <c r="F178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782" s="33" t="str">
        <f t="shared" si="97"/>
        <v>Week 2</v>
      </c>
      <c r="H1782" s="33" t="str">
        <f t="shared" si="98"/>
        <v>February 27 Week 2</v>
      </c>
      <c r="I1782" s="33" t="str">
        <f>CONCATENATE(UPPER(TableAopCalendar[[#This Row],[Month]])," ",TableAopCalendar[[#This Row],[Year]])</f>
        <v>FEBRUARY 27</v>
      </c>
      <c r="J1782" s="8" t="s">
        <v>274</v>
      </c>
      <c r="K1782" s="33" t="str">
        <f>CONCATENATE(TableAopCalendar[[#This Row],[Month for Plan]]," ",TableAopCalendar[[#This Row],[Plan]])</f>
        <v>FEBRUARY 27 PLANNED</v>
      </c>
    </row>
    <row r="1783" spans="1:11" x14ac:dyDescent="0.25">
      <c r="A1783" s="33">
        <f t="shared" si="96"/>
        <v>1</v>
      </c>
      <c r="B1783" s="34">
        <v>46433</v>
      </c>
      <c r="C1783" s="7" t="s">
        <v>272</v>
      </c>
      <c r="D1783" s="35">
        <v>27</v>
      </c>
      <c r="E1783" s="33">
        <f>DAY(TableAopCalendar[[#This Row],[Date]])</f>
        <v>15</v>
      </c>
      <c r="F178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83" s="33" t="str">
        <f t="shared" si="97"/>
        <v>Week 3</v>
      </c>
      <c r="H1783" s="33" t="str">
        <f t="shared" si="98"/>
        <v>February 27 Week 3</v>
      </c>
      <c r="I1783" s="33" t="str">
        <f>CONCATENATE(UPPER(TableAopCalendar[[#This Row],[Month]])," ",TableAopCalendar[[#This Row],[Year]])</f>
        <v>FEBRUARY 27</v>
      </c>
      <c r="J1783" s="8" t="s">
        <v>274</v>
      </c>
      <c r="K1783" s="33" t="str">
        <f>CONCATENATE(TableAopCalendar[[#This Row],[Month for Plan]]," ",TableAopCalendar[[#This Row],[Plan]])</f>
        <v>FEBRUARY 27 PLANNED</v>
      </c>
    </row>
    <row r="1784" spans="1:11" x14ac:dyDescent="0.25">
      <c r="A1784" s="33">
        <f t="shared" si="96"/>
        <v>2</v>
      </c>
      <c r="B1784" s="34">
        <v>46434</v>
      </c>
      <c r="C1784" s="7" t="s">
        <v>272</v>
      </c>
      <c r="D1784" s="35">
        <v>27</v>
      </c>
      <c r="E1784" s="33">
        <f>DAY(TableAopCalendar[[#This Row],[Date]])</f>
        <v>16</v>
      </c>
      <c r="F178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84" s="33" t="str">
        <f t="shared" si="97"/>
        <v>Week 3</v>
      </c>
      <c r="H1784" s="33" t="str">
        <f t="shared" si="98"/>
        <v>February 27 Week 3</v>
      </c>
      <c r="I1784" s="33" t="str">
        <f>CONCATENATE(UPPER(TableAopCalendar[[#This Row],[Month]])," ",TableAopCalendar[[#This Row],[Year]])</f>
        <v>FEBRUARY 27</v>
      </c>
      <c r="J1784" s="8" t="s">
        <v>274</v>
      </c>
      <c r="K1784" s="33" t="str">
        <f>CONCATENATE(TableAopCalendar[[#This Row],[Month for Plan]]," ",TableAopCalendar[[#This Row],[Plan]])</f>
        <v>FEBRUARY 27 PLANNED</v>
      </c>
    </row>
    <row r="1785" spans="1:11" x14ac:dyDescent="0.25">
      <c r="A1785" s="33">
        <f t="shared" si="96"/>
        <v>3</v>
      </c>
      <c r="B1785" s="34">
        <v>46435</v>
      </c>
      <c r="C1785" s="7" t="s">
        <v>272</v>
      </c>
      <c r="D1785" s="35">
        <v>27</v>
      </c>
      <c r="E1785" s="33">
        <f>DAY(TableAopCalendar[[#This Row],[Date]])</f>
        <v>17</v>
      </c>
      <c r="F178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85" s="33" t="str">
        <f t="shared" si="97"/>
        <v>Week 3</v>
      </c>
      <c r="H1785" s="33" t="str">
        <f t="shared" si="98"/>
        <v>February 27 Week 3</v>
      </c>
      <c r="I1785" s="33" t="str">
        <f>CONCATENATE(UPPER(TableAopCalendar[[#This Row],[Month]])," ",TableAopCalendar[[#This Row],[Year]])</f>
        <v>FEBRUARY 27</v>
      </c>
      <c r="J1785" s="8" t="s">
        <v>274</v>
      </c>
      <c r="K1785" s="33" t="str">
        <f>CONCATENATE(TableAopCalendar[[#This Row],[Month for Plan]]," ",TableAopCalendar[[#This Row],[Plan]])</f>
        <v>FEBRUARY 27 PLANNED</v>
      </c>
    </row>
    <row r="1786" spans="1:11" x14ac:dyDescent="0.25">
      <c r="A1786" s="33">
        <f t="shared" si="96"/>
        <v>4</v>
      </c>
      <c r="B1786" s="34">
        <v>46436</v>
      </c>
      <c r="C1786" s="7" t="s">
        <v>272</v>
      </c>
      <c r="D1786" s="35">
        <v>27</v>
      </c>
      <c r="E1786" s="33">
        <f>DAY(TableAopCalendar[[#This Row],[Date]])</f>
        <v>18</v>
      </c>
      <c r="F178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86" s="33" t="str">
        <f t="shared" si="97"/>
        <v>Week 3</v>
      </c>
      <c r="H1786" s="33" t="str">
        <f t="shared" si="98"/>
        <v>February 27 Week 3</v>
      </c>
      <c r="I1786" s="33" t="str">
        <f>CONCATENATE(UPPER(TableAopCalendar[[#This Row],[Month]])," ",TableAopCalendar[[#This Row],[Year]])</f>
        <v>FEBRUARY 27</v>
      </c>
      <c r="J1786" s="8" t="s">
        <v>274</v>
      </c>
      <c r="K1786" s="33" t="str">
        <f>CONCATENATE(TableAopCalendar[[#This Row],[Month for Plan]]," ",TableAopCalendar[[#This Row],[Plan]])</f>
        <v>FEBRUARY 27 PLANNED</v>
      </c>
    </row>
    <row r="1787" spans="1:11" x14ac:dyDescent="0.25">
      <c r="A1787" s="33">
        <f t="shared" si="96"/>
        <v>5</v>
      </c>
      <c r="B1787" s="34">
        <v>46437</v>
      </c>
      <c r="C1787" s="7" t="s">
        <v>272</v>
      </c>
      <c r="D1787" s="35">
        <v>27</v>
      </c>
      <c r="E1787" s="33">
        <f>DAY(TableAopCalendar[[#This Row],[Date]])</f>
        <v>19</v>
      </c>
      <c r="F178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87" s="33" t="str">
        <f t="shared" si="97"/>
        <v>Week 3</v>
      </c>
      <c r="H1787" s="33" t="str">
        <f t="shared" si="98"/>
        <v>February 27 Week 3</v>
      </c>
      <c r="I1787" s="33" t="str">
        <f>CONCATENATE(UPPER(TableAopCalendar[[#This Row],[Month]])," ",TableAopCalendar[[#This Row],[Year]])</f>
        <v>FEBRUARY 27</v>
      </c>
      <c r="J1787" s="8" t="s">
        <v>274</v>
      </c>
      <c r="K1787" s="33" t="str">
        <f>CONCATENATE(TableAopCalendar[[#This Row],[Month for Plan]]," ",TableAopCalendar[[#This Row],[Plan]])</f>
        <v>FEBRUARY 27 PLANNED</v>
      </c>
    </row>
    <row r="1788" spans="1:11" x14ac:dyDescent="0.25">
      <c r="A1788" s="33">
        <f t="shared" si="96"/>
        <v>6</v>
      </c>
      <c r="B1788" s="34">
        <v>46438</v>
      </c>
      <c r="C1788" s="7" t="s">
        <v>272</v>
      </c>
      <c r="D1788" s="35">
        <v>27</v>
      </c>
      <c r="E1788" s="33">
        <f>DAY(TableAopCalendar[[#This Row],[Date]])</f>
        <v>20</v>
      </c>
      <c r="F178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88" s="33" t="str">
        <f t="shared" si="97"/>
        <v>Week 3</v>
      </c>
      <c r="H1788" s="33" t="str">
        <f t="shared" si="98"/>
        <v>February 27 Week 3</v>
      </c>
      <c r="I1788" s="33" t="str">
        <f>CONCATENATE(UPPER(TableAopCalendar[[#This Row],[Month]])," ",TableAopCalendar[[#This Row],[Year]])</f>
        <v>FEBRUARY 27</v>
      </c>
      <c r="J1788" s="8" t="s">
        <v>274</v>
      </c>
      <c r="K1788" s="33" t="str">
        <f>CONCATENATE(TableAopCalendar[[#This Row],[Month for Plan]]," ",TableAopCalendar[[#This Row],[Plan]])</f>
        <v>FEBRUARY 27 PLANNED</v>
      </c>
    </row>
    <row r="1789" spans="1:11" x14ac:dyDescent="0.25">
      <c r="A1789" s="33">
        <f t="shared" si="96"/>
        <v>7</v>
      </c>
      <c r="B1789" s="34">
        <v>46439</v>
      </c>
      <c r="C1789" s="7" t="s">
        <v>272</v>
      </c>
      <c r="D1789" s="35">
        <v>27</v>
      </c>
      <c r="E1789" s="33">
        <f>DAY(TableAopCalendar[[#This Row],[Date]])</f>
        <v>21</v>
      </c>
      <c r="F178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789" s="33" t="str">
        <f t="shared" si="97"/>
        <v>Week 3</v>
      </c>
      <c r="H1789" s="33" t="str">
        <f t="shared" si="98"/>
        <v>February 27 Week 3</v>
      </c>
      <c r="I1789" s="33" t="str">
        <f>CONCATENATE(UPPER(TableAopCalendar[[#This Row],[Month]])," ",TableAopCalendar[[#This Row],[Year]])</f>
        <v>FEBRUARY 27</v>
      </c>
      <c r="J1789" s="8" t="s">
        <v>274</v>
      </c>
      <c r="K1789" s="33" t="str">
        <f>CONCATENATE(TableAopCalendar[[#This Row],[Month for Plan]]," ",TableAopCalendar[[#This Row],[Plan]])</f>
        <v>FEBRUARY 27 PLANNED</v>
      </c>
    </row>
    <row r="1790" spans="1:11" x14ac:dyDescent="0.25">
      <c r="A1790" s="33">
        <f t="shared" si="96"/>
        <v>1</v>
      </c>
      <c r="B1790" s="34">
        <v>46440</v>
      </c>
      <c r="C1790" s="7" t="s">
        <v>272</v>
      </c>
      <c r="D1790" s="35">
        <v>27</v>
      </c>
      <c r="E1790" s="33">
        <f>DAY(TableAopCalendar[[#This Row],[Date]])</f>
        <v>22</v>
      </c>
      <c r="F179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0" s="33" t="str">
        <f t="shared" si="97"/>
        <v>Week 4</v>
      </c>
      <c r="H1790" s="33" t="str">
        <f t="shared" si="98"/>
        <v>February 27 Week 4</v>
      </c>
      <c r="I1790" s="33" t="str">
        <f>CONCATENATE(UPPER(TableAopCalendar[[#This Row],[Month]])," ",TableAopCalendar[[#This Row],[Year]])</f>
        <v>FEBRUARY 27</v>
      </c>
      <c r="J1790" s="8" t="s">
        <v>274</v>
      </c>
      <c r="K1790" s="33" t="str">
        <f>CONCATENATE(TableAopCalendar[[#This Row],[Month for Plan]]," ",TableAopCalendar[[#This Row],[Plan]])</f>
        <v>FEBRUARY 27 PLANNED</v>
      </c>
    </row>
    <row r="1791" spans="1:11" x14ac:dyDescent="0.25">
      <c r="A1791" s="33">
        <f t="shared" si="96"/>
        <v>2</v>
      </c>
      <c r="B1791" s="34">
        <v>46441</v>
      </c>
      <c r="C1791" s="7" t="s">
        <v>272</v>
      </c>
      <c r="D1791" s="35">
        <v>27</v>
      </c>
      <c r="E1791" s="33">
        <f>DAY(TableAopCalendar[[#This Row],[Date]])</f>
        <v>23</v>
      </c>
      <c r="F179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1" s="33" t="str">
        <f t="shared" si="97"/>
        <v>Week 4</v>
      </c>
      <c r="H1791" s="33" t="str">
        <f t="shared" si="98"/>
        <v>February 27 Week 4</v>
      </c>
      <c r="I1791" s="33" t="str">
        <f>CONCATENATE(UPPER(TableAopCalendar[[#This Row],[Month]])," ",TableAopCalendar[[#This Row],[Year]])</f>
        <v>FEBRUARY 27</v>
      </c>
      <c r="J1791" s="8" t="s">
        <v>274</v>
      </c>
      <c r="K1791" s="33" t="str">
        <f>CONCATENATE(TableAopCalendar[[#This Row],[Month for Plan]]," ",TableAopCalendar[[#This Row],[Plan]])</f>
        <v>FEBRUARY 27 PLANNED</v>
      </c>
    </row>
    <row r="1792" spans="1:11" x14ac:dyDescent="0.25">
      <c r="A1792" s="33">
        <f t="shared" si="96"/>
        <v>3</v>
      </c>
      <c r="B1792" s="34">
        <v>46442</v>
      </c>
      <c r="C1792" s="7" t="s">
        <v>272</v>
      </c>
      <c r="D1792" s="35">
        <v>27</v>
      </c>
      <c r="E1792" s="33">
        <f>DAY(TableAopCalendar[[#This Row],[Date]])</f>
        <v>24</v>
      </c>
      <c r="F179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2" s="33" t="str">
        <f t="shared" si="97"/>
        <v>Week 4</v>
      </c>
      <c r="H1792" s="33" t="str">
        <f t="shared" si="98"/>
        <v>February 27 Week 4</v>
      </c>
      <c r="I1792" s="33" t="str">
        <f>CONCATENATE(UPPER(TableAopCalendar[[#This Row],[Month]])," ",TableAopCalendar[[#This Row],[Year]])</f>
        <v>FEBRUARY 27</v>
      </c>
      <c r="J1792" s="8" t="s">
        <v>274</v>
      </c>
      <c r="K1792" s="33" t="str">
        <f>CONCATENATE(TableAopCalendar[[#This Row],[Month for Plan]]," ",TableAopCalendar[[#This Row],[Plan]])</f>
        <v>FEBRUARY 27 PLANNED</v>
      </c>
    </row>
    <row r="1793" spans="1:11" x14ac:dyDescent="0.25">
      <c r="A1793" s="33">
        <f t="shared" si="96"/>
        <v>4</v>
      </c>
      <c r="B1793" s="34">
        <v>46443</v>
      </c>
      <c r="C1793" s="7" t="s">
        <v>272</v>
      </c>
      <c r="D1793" s="35">
        <v>27</v>
      </c>
      <c r="E1793" s="33">
        <f>DAY(TableAopCalendar[[#This Row],[Date]])</f>
        <v>25</v>
      </c>
      <c r="F179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3" s="33" t="str">
        <f t="shared" si="97"/>
        <v>Week 4</v>
      </c>
      <c r="H1793" s="33" t="str">
        <f t="shared" si="98"/>
        <v>February 27 Week 4</v>
      </c>
      <c r="I1793" s="33" t="str">
        <f>CONCATENATE(UPPER(TableAopCalendar[[#This Row],[Month]])," ",TableAopCalendar[[#This Row],[Year]])</f>
        <v>FEBRUARY 27</v>
      </c>
      <c r="J1793" s="8" t="s">
        <v>274</v>
      </c>
      <c r="K1793" s="33" t="str">
        <f>CONCATENATE(TableAopCalendar[[#This Row],[Month for Plan]]," ",TableAopCalendar[[#This Row],[Plan]])</f>
        <v>FEBRUARY 27 PLANNED</v>
      </c>
    </row>
    <row r="1794" spans="1:11" x14ac:dyDescent="0.25">
      <c r="A1794" s="33">
        <f t="shared" si="96"/>
        <v>5</v>
      </c>
      <c r="B1794" s="34">
        <v>46444</v>
      </c>
      <c r="C1794" s="7" t="s">
        <v>272</v>
      </c>
      <c r="D1794" s="35">
        <v>27</v>
      </c>
      <c r="E1794" s="33">
        <f>DAY(TableAopCalendar[[#This Row],[Date]])</f>
        <v>26</v>
      </c>
      <c r="F179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4" s="33" t="str">
        <f t="shared" si="97"/>
        <v>Week 4</v>
      </c>
      <c r="H1794" s="33" t="str">
        <f t="shared" si="98"/>
        <v>February 27 Week 4</v>
      </c>
      <c r="I1794" s="33" t="str">
        <f>CONCATENATE(UPPER(TableAopCalendar[[#This Row],[Month]])," ",TableAopCalendar[[#This Row],[Year]])</f>
        <v>FEBRUARY 27</v>
      </c>
      <c r="J1794" s="8" t="s">
        <v>274</v>
      </c>
      <c r="K1794" s="33" t="str">
        <f>CONCATENATE(TableAopCalendar[[#This Row],[Month for Plan]]," ",TableAopCalendar[[#This Row],[Plan]])</f>
        <v>FEBRUARY 27 PLANNED</v>
      </c>
    </row>
    <row r="1795" spans="1:11" x14ac:dyDescent="0.25">
      <c r="A1795" s="33">
        <f t="shared" si="96"/>
        <v>6</v>
      </c>
      <c r="B1795" s="34">
        <v>46445</v>
      </c>
      <c r="C1795" s="7" t="s">
        <v>272</v>
      </c>
      <c r="D1795" s="35">
        <v>27</v>
      </c>
      <c r="E1795" s="33">
        <f>DAY(TableAopCalendar[[#This Row],[Date]])</f>
        <v>27</v>
      </c>
      <c r="F179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5" s="33" t="str">
        <f t="shared" si="97"/>
        <v>Week 4</v>
      </c>
      <c r="H1795" s="33" t="str">
        <f t="shared" si="98"/>
        <v>February 27 Week 4</v>
      </c>
      <c r="I1795" s="33" t="str">
        <f>CONCATENATE(UPPER(TableAopCalendar[[#This Row],[Month]])," ",TableAopCalendar[[#This Row],[Year]])</f>
        <v>FEBRUARY 27</v>
      </c>
      <c r="J1795" s="8" t="s">
        <v>274</v>
      </c>
      <c r="K1795" s="33" t="str">
        <f>CONCATENATE(TableAopCalendar[[#This Row],[Month for Plan]]," ",TableAopCalendar[[#This Row],[Plan]])</f>
        <v>FEBRUARY 27 PLANNED</v>
      </c>
    </row>
    <row r="1796" spans="1:11" x14ac:dyDescent="0.25">
      <c r="A1796" s="33">
        <f t="shared" si="96"/>
        <v>7</v>
      </c>
      <c r="B1796" s="34">
        <v>46446</v>
      </c>
      <c r="C1796" s="7" t="s">
        <v>272</v>
      </c>
      <c r="D1796" s="35">
        <v>27</v>
      </c>
      <c r="E1796" s="33">
        <f>DAY(TableAopCalendar[[#This Row],[Date]])</f>
        <v>28</v>
      </c>
      <c r="F179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796" s="33" t="str">
        <f t="shared" si="97"/>
        <v>Week 4</v>
      </c>
      <c r="H1796" s="33" t="str">
        <f t="shared" si="98"/>
        <v>February 27 Week 4</v>
      </c>
      <c r="I1796" s="33" t="str">
        <f>CONCATENATE(UPPER(TableAopCalendar[[#This Row],[Month]])," ",TableAopCalendar[[#This Row],[Year]])</f>
        <v>FEBRUARY 27</v>
      </c>
      <c r="J1796" s="8" t="s">
        <v>274</v>
      </c>
      <c r="K1796" s="33" t="str">
        <f>CONCATENATE(TableAopCalendar[[#This Row],[Month for Plan]]," ",TableAopCalendar[[#This Row],[Plan]])</f>
        <v>FEBRUARY 27 PLANNED</v>
      </c>
    </row>
    <row r="1797" spans="1:11" x14ac:dyDescent="0.25">
      <c r="A1797" s="33">
        <f t="shared" si="96"/>
        <v>1</v>
      </c>
      <c r="B1797" s="34">
        <v>46447</v>
      </c>
      <c r="C1797" s="7" t="s">
        <v>273</v>
      </c>
      <c r="D1797" s="35">
        <v>27</v>
      </c>
      <c r="E1797" s="33">
        <f>DAY(TableAopCalendar[[#This Row],[Date]])</f>
        <v>1</v>
      </c>
      <c r="F179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97" s="33" t="str">
        <f t="shared" si="97"/>
        <v>Week 1</v>
      </c>
      <c r="H1797" s="33" t="str">
        <f t="shared" si="98"/>
        <v>March 27 Week 1</v>
      </c>
      <c r="I1797" s="33" t="str">
        <f>CONCATENATE(UPPER(TableAopCalendar[[#This Row],[Month]])," ",TableAopCalendar[[#This Row],[Year]])</f>
        <v>MARCH 27</v>
      </c>
      <c r="J1797" s="8" t="s">
        <v>274</v>
      </c>
      <c r="K1797" s="33" t="str">
        <f>CONCATENATE(TableAopCalendar[[#This Row],[Month for Plan]]," ",TableAopCalendar[[#This Row],[Plan]])</f>
        <v>MARCH 27 PLANNED</v>
      </c>
    </row>
    <row r="1798" spans="1:11" x14ac:dyDescent="0.25">
      <c r="A1798" s="33">
        <f t="shared" si="96"/>
        <v>2</v>
      </c>
      <c r="B1798" s="34">
        <v>46448</v>
      </c>
      <c r="C1798" s="7" t="s">
        <v>273</v>
      </c>
      <c r="D1798" s="35">
        <v>27</v>
      </c>
      <c r="E1798" s="33">
        <f>DAY(TableAopCalendar[[#This Row],[Date]])</f>
        <v>2</v>
      </c>
      <c r="F179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98" s="33" t="str">
        <f t="shared" si="97"/>
        <v>Week 1</v>
      </c>
      <c r="H1798" s="33" t="str">
        <f t="shared" si="98"/>
        <v>March 27 Week 1</v>
      </c>
      <c r="I1798" s="33" t="str">
        <f>CONCATENATE(UPPER(TableAopCalendar[[#This Row],[Month]])," ",TableAopCalendar[[#This Row],[Year]])</f>
        <v>MARCH 27</v>
      </c>
      <c r="J1798" s="8" t="s">
        <v>274</v>
      </c>
      <c r="K1798" s="33" t="str">
        <f>CONCATENATE(TableAopCalendar[[#This Row],[Month for Plan]]," ",TableAopCalendar[[#This Row],[Plan]])</f>
        <v>MARCH 27 PLANNED</v>
      </c>
    </row>
    <row r="1799" spans="1:11" x14ac:dyDescent="0.25">
      <c r="A1799" s="33">
        <f t="shared" si="96"/>
        <v>3</v>
      </c>
      <c r="B1799" s="34">
        <v>46449</v>
      </c>
      <c r="C1799" s="7" t="s">
        <v>273</v>
      </c>
      <c r="D1799" s="35">
        <v>27</v>
      </c>
      <c r="E1799" s="33">
        <f>DAY(TableAopCalendar[[#This Row],[Date]])</f>
        <v>3</v>
      </c>
      <c r="F179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799" s="33" t="str">
        <f t="shared" si="97"/>
        <v>Week 1</v>
      </c>
      <c r="H1799" s="33" t="str">
        <f t="shared" si="98"/>
        <v>March 27 Week 1</v>
      </c>
      <c r="I1799" s="33" t="str">
        <f>CONCATENATE(UPPER(TableAopCalendar[[#This Row],[Month]])," ",TableAopCalendar[[#This Row],[Year]])</f>
        <v>MARCH 27</v>
      </c>
      <c r="J1799" s="8" t="s">
        <v>274</v>
      </c>
      <c r="K1799" s="33" t="str">
        <f>CONCATENATE(TableAopCalendar[[#This Row],[Month for Plan]]," ",TableAopCalendar[[#This Row],[Plan]])</f>
        <v>MARCH 27 PLANNED</v>
      </c>
    </row>
    <row r="1800" spans="1:11" x14ac:dyDescent="0.25">
      <c r="A1800" s="33">
        <f t="shared" si="96"/>
        <v>4</v>
      </c>
      <c r="B1800" s="34">
        <v>46450</v>
      </c>
      <c r="C1800" s="7" t="s">
        <v>273</v>
      </c>
      <c r="D1800" s="35">
        <v>27</v>
      </c>
      <c r="E1800" s="33">
        <f>DAY(TableAopCalendar[[#This Row],[Date]])</f>
        <v>4</v>
      </c>
      <c r="F180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00" s="33" t="str">
        <f t="shared" si="97"/>
        <v>Week 1</v>
      </c>
      <c r="H1800" s="33" t="str">
        <f t="shared" si="98"/>
        <v>March 27 Week 1</v>
      </c>
      <c r="I1800" s="33" t="str">
        <f>CONCATENATE(UPPER(TableAopCalendar[[#This Row],[Month]])," ",TableAopCalendar[[#This Row],[Year]])</f>
        <v>MARCH 27</v>
      </c>
      <c r="J1800" s="8" t="s">
        <v>274</v>
      </c>
      <c r="K1800" s="33" t="str">
        <f>CONCATENATE(TableAopCalendar[[#This Row],[Month for Plan]]," ",TableAopCalendar[[#This Row],[Plan]])</f>
        <v>MARCH 27 PLANNED</v>
      </c>
    </row>
    <row r="1801" spans="1:11" x14ac:dyDescent="0.25">
      <c r="A1801" s="33">
        <f t="shared" si="96"/>
        <v>5</v>
      </c>
      <c r="B1801" s="34">
        <v>46451</v>
      </c>
      <c r="C1801" s="7" t="s">
        <v>273</v>
      </c>
      <c r="D1801" s="35">
        <v>27</v>
      </c>
      <c r="E1801" s="33">
        <f>DAY(TableAopCalendar[[#This Row],[Date]])</f>
        <v>5</v>
      </c>
      <c r="F180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01" s="33" t="str">
        <f t="shared" si="97"/>
        <v>Week 1</v>
      </c>
      <c r="H1801" s="33" t="str">
        <f t="shared" si="98"/>
        <v>March 27 Week 1</v>
      </c>
      <c r="I1801" s="33" t="str">
        <f>CONCATENATE(UPPER(TableAopCalendar[[#This Row],[Month]])," ",TableAopCalendar[[#This Row],[Year]])</f>
        <v>MARCH 27</v>
      </c>
      <c r="J1801" s="8" t="s">
        <v>274</v>
      </c>
      <c r="K1801" s="33" t="str">
        <f>CONCATENATE(TableAopCalendar[[#This Row],[Month for Plan]]," ",TableAopCalendar[[#This Row],[Plan]])</f>
        <v>MARCH 27 PLANNED</v>
      </c>
    </row>
    <row r="1802" spans="1:11" x14ac:dyDescent="0.25">
      <c r="A1802" s="33">
        <f t="shared" si="96"/>
        <v>6</v>
      </c>
      <c r="B1802" s="34">
        <v>46452</v>
      </c>
      <c r="C1802" s="7" t="s">
        <v>273</v>
      </c>
      <c r="D1802" s="35">
        <v>27</v>
      </c>
      <c r="E1802" s="33">
        <f>DAY(TableAopCalendar[[#This Row],[Date]])</f>
        <v>6</v>
      </c>
      <c r="F180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02" s="33" t="str">
        <f t="shared" si="97"/>
        <v>Week 1</v>
      </c>
      <c r="H1802" s="33" t="str">
        <f t="shared" si="98"/>
        <v>March 27 Week 1</v>
      </c>
      <c r="I1802" s="33" t="str">
        <f>CONCATENATE(UPPER(TableAopCalendar[[#This Row],[Month]])," ",TableAopCalendar[[#This Row],[Year]])</f>
        <v>MARCH 27</v>
      </c>
      <c r="J1802" s="8" t="s">
        <v>274</v>
      </c>
      <c r="K1802" s="33" t="str">
        <f>CONCATENATE(TableAopCalendar[[#This Row],[Month for Plan]]," ",TableAopCalendar[[#This Row],[Plan]])</f>
        <v>MARCH 27 PLANNED</v>
      </c>
    </row>
    <row r="1803" spans="1:11" x14ac:dyDescent="0.25">
      <c r="A1803" s="33">
        <f t="shared" ref="A1803:A1827" si="99">IF(G1803=G1802,A1802+1,1)</f>
        <v>7</v>
      </c>
      <c r="B1803" s="34">
        <v>46453</v>
      </c>
      <c r="C1803" s="7" t="s">
        <v>273</v>
      </c>
      <c r="D1803" s="35">
        <v>27</v>
      </c>
      <c r="E1803" s="33">
        <f>DAY(TableAopCalendar[[#This Row],[Date]])</f>
        <v>7</v>
      </c>
      <c r="F180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03" s="33" t="str">
        <f t="shared" ref="G1803:G1827" si="100">"Week"&amp;" "&amp;F1803</f>
        <v>Week 1</v>
      </c>
      <c r="H1803" s="33" t="str">
        <f t="shared" ref="H1803:H1827" si="101">CONCATENATE(C1803," ",D1803," ",G1803)</f>
        <v>March 27 Week 1</v>
      </c>
      <c r="I1803" s="33" t="str">
        <f>CONCATENATE(UPPER(TableAopCalendar[[#This Row],[Month]])," ",TableAopCalendar[[#This Row],[Year]])</f>
        <v>MARCH 27</v>
      </c>
      <c r="J1803" s="8" t="s">
        <v>274</v>
      </c>
      <c r="K1803" s="33" t="str">
        <f>CONCATENATE(TableAopCalendar[[#This Row],[Month for Plan]]," ",TableAopCalendar[[#This Row],[Plan]])</f>
        <v>MARCH 27 PLANNED</v>
      </c>
    </row>
    <row r="1804" spans="1:11" x14ac:dyDescent="0.25">
      <c r="A1804" s="33">
        <f t="shared" si="99"/>
        <v>1</v>
      </c>
      <c r="B1804" s="34">
        <v>46454</v>
      </c>
      <c r="C1804" s="7" t="s">
        <v>273</v>
      </c>
      <c r="D1804" s="35">
        <v>27</v>
      </c>
      <c r="E1804" s="33">
        <f>DAY(TableAopCalendar[[#This Row],[Date]])</f>
        <v>8</v>
      </c>
      <c r="F180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04" s="33" t="str">
        <f t="shared" si="100"/>
        <v>Week 2</v>
      </c>
      <c r="H1804" s="33" t="str">
        <f t="shared" si="101"/>
        <v>March 27 Week 2</v>
      </c>
      <c r="I1804" s="33" t="str">
        <f>CONCATENATE(UPPER(TableAopCalendar[[#This Row],[Month]])," ",TableAopCalendar[[#This Row],[Year]])</f>
        <v>MARCH 27</v>
      </c>
      <c r="J1804" s="8" t="s">
        <v>274</v>
      </c>
      <c r="K1804" s="33" t="str">
        <f>CONCATENATE(TableAopCalendar[[#This Row],[Month for Plan]]," ",TableAopCalendar[[#This Row],[Plan]])</f>
        <v>MARCH 27 PLANNED</v>
      </c>
    </row>
    <row r="1805" spans="1:11" x14ac:dyDescent="0.25">
      <c r="A1805" s="33">
        <f t="shared" si="99"/>
        <v>2</v>
      </c>
      <c r="B1805" s="34">
        <v>46455</v>
      </c>
      <c r="C1805" s="7" t="s">
        <v>273</v>
      </c>
      <c r="D1805" s="35">
        <v>27</v>
      </c>
      <c r="E1805" s="33">
        <f>DAY(TableAopCalendar[[#This Row],[Date]])</f>
        <v>9</v>
      </c>
      <c r="F180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05" s="33" t="str">
        <f t="shared" si="100"/>
        <v>Week 2</v>
      </c>
      <c r="H1805" s="33" t="str">
        <f t="shared" si="101"/>
        <v>March 27 Week 2</v>
      </c>
      <c r="I1805" s="33" t="str">
        <f>CONCATENATE(UPPER(TableAopCalendar[[#This Row],[Month]])," ",TableAopCalendar[[#This Row],[Year]])</f>
        <v>MARCH 27</v>
      </c>
      <c r="J1805" s="8" t="s">
        <v>274</v>
      </c>
      <c r="K1805" s="33" t="str">
        <f>CONCATENATE(TableAopCalendar[[#This Row],[Month for Plan]]," ",TableAopCalendar[[#This Row],[Plan]])</f>
        <v>MARCH 27 PLANNED</v>
      </c>
    </row>
    <row r="1806" spans="1:11" x14ac:dyDescent="0.25">
      <c r="A1806" s="33">
        <f t="shared" si="99"/>
        <v>3</v>
      </c>
      <c r="B1806" s="34">
        <v>46456</v>
      </c>
      <c r="C1806" s="7" t="s">
        <v>273</v>
      </c>
      <c r="D1806" s="35">
        <v>27</v>
      </c>
      <c r="E1806" s="33">
        <f>DAY(TableAopCalendar[[#This Row],[Date]])</f>
        <v>10</v>
      </c>
      <c r="F180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06" s="33" t="str">
        <f t="shared" si="100"/>
        <v>Week 2</v>
      </c>
      <c r="H1806" s="33" t="str">
        <f t="shared" si="101"/>
        <v>March 27 Week 2</v>
      </c>
      <c r="I1806" s="33" t="str">
        <f>CONCATENATE(UPPER(TableAopCalendar[[#This Row],[Month]])," ",TableAopCalendar[[#This Row],[Year]])</f>
        <v>MARCH 27</v>
      </c>
      <c r="J1806" s="8" t="s">
        <v>274</v>
      </c>
      <c r="K1806" s="33" t="str">
        <f>CONCATENATE(TableAopCalendar[[#This Row],[Month for Plan]]," ",TableAopCalendar[[#This Row],[Plan]])</f>
        <v>MARCH 27 PLANNED</v>
      </c>
    </row>
    <row r="1807" spans="1:11" x14ac:dyDescent="0.25">
      <c r="A1807" s="33">
        <f t="shared" si="99"/>
        <v>4</v>
      </c>
      <c r="B1807" s="34">
        <v>46457</v>
      </c>
      <c r="C1807" s="7" t="s">
        <v>273</v>
      </c>
      <c r="D1807" s="35">
        <v>27</v>
      </c>
      <c r="E1807" s="33">
        <f>DAY(TableAopCalendar[[#This Row],[Date]])</f>
        <v>11</v>
      </c>
      <c r="F180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07" s="33" t="str">
        <f t="shared" si="100"/>
        <v>Week 2</v>
      </c>
      <c r="H1807" s="33" t="str">
        <f t="shared" si="101"/>
        <v>March 27 Week 2</v>
      </c>
      <c r="I1807" s="33" t="str">
        <f>CONCATENATE(UPPER(TableAopCalendar[[#This Row],[Month]])," ",TableAopCalendar[[#This Row],[Year]])</f>
        <v>MARCH 27</v>
      </c>
      <c r="J1807" s="8" t="s">
        <v>274</v>
      </c>
      <c r="K1807" s="33" t="str">
        <f>CONCATENATE(TableAopCalendar[[#This Row],[Month for Plan]]," ",TableAopCalendar[[#This Row],[Plan]])</f>
        <v>MARCH 27 PLANNED</v>
      </c>
    </row>
    <row r="1808" spans="1:11" x14ac:dyDescent="0.25">
      <c r="A1808" s="33">
        <f t="shared" si="99"/>
        <v>5</v>
      </c>
      <c r="B1808" s="34">
        <v>46458</v>
      </c>
      <c r="C1808" s="7" t="s">
        <v>273</v>
      </c>
      <c r="D1808" s="35">
        <v>27</v>
      </c>
      <c r="E1808" s="33">
        <f>DAY(TableAopCalendar[[#This Row],[Date]])</f>
        <v>12</v>
      </c>
      <c r="F180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08" s="33" t="str">
        <f t="shared" si="100"/>
        <v>Week 2</v>
      </c>
      <c r="H1808" s="33" t="str">
        <f t="shared" si="101"/>
        <v>March 27 Week 2</v>
      </c>
      <c r="I1808" s="33" t="str">
        <f>CONCATENATE(UPPER(TableAopCalendar[[#This Row],[Month]])," ",TableAopCalendar[[#This Row],[Year]])</f>
        <v>MARCH 27</v>
      </c>
      <c r="J1808" s="8" t="s">
        <v>274</v>
      </c>
      <c r="K1808" s="33" t="str">
        <f>CONCATENATE(TableAopCalendar[[#This Row],[Month for Plan]]," ",TableAopCalendar[[#This Row],[Plan]])</f>
        <v>MARCH 27 PLANNED</v>
      </c>
    </row>
    <row r="1809" spans="1:11" x14ac:dyDescent="0.25">
      <c r="A1809" s="33">
        <f t="shared" si="99"/>
        <v>6</v>
      </c>
      <c r="B1809" s="34">
        <v>46459</v>
      </c>
      <c r="C1809" s="7" t="s">
        <v>273</v>
      </c>
      <c r="D1809" s="35">
        <v>27</v>
      </c>
      <c r="E1809" s="33">
        <f>DAY(TableAopCalendar[[#This Row],[Date]])</f>
        <v>13</v>
      </c>
      <c r="F180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09" s="33" t="str">
        <f t="shared" si="100"/>
        <v>Week 2</v>
      </c>
      <c r="H1809" s="33" t="str">
        <f t="shared" si="101"/>
        <v>March 27 Week 2</v>
      </c>
      <c r="I1809" s="33" t="str">
        <f>CONCATENATE(UPPER(TableAopCalendar[[#This Row],[Month]])," ",TableAopCalendar[[#This Row],[Year]])</f>
        <v>MARCH 27</v>
      </c>
      <c r="J1809" s="8" t="s">
        <v>274</v>
      </c>
      <c r="K1809" s="33" t="str">
        <f>CONCATENATE(TableAopCalendar[[#This Row],[Month for Plan]]," ",TableAopCalendar[[#This Row],[Plan]])</f>
        <v>MARCH 27 PLANNED</v>
      </c>
    </row>
    <row r="1810" spans="1:11" x14ac:dyDescent="0.25">
      <c r="A1810" s="33">
        <f t="shared" si="99"/>
        <v>7</v>
      </c>
      <c r="B1810" s="34">
        <v>46460</v>
      </c>
      <c r="C1810" s="7" t="s">
        <v>273</v>
      </c>
      <c r="D1810" s="35">
        <v>27</v>
      </c>
      <c r="E1810" s="33">
        <f>DAY(TableAopCalendar[[#This Row],[Date]])</f>
        <v>14</v>
      </c>
      <c r="F181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10" s="33" t="str">
        <f t="shared" si="100"/>
        <v>Week 2</v>
      </c>
      <c r="H1810" s="33" t="str">
        <f t="shared" si="101"/>
        <v>March 27 Week 2</v>
      </c>
      <c r="I1810" s="33" t="str">
        <f>CONCATENATE(UPPER(TableAopCalendar[[#This Row],[Month]])," ",TableAopCalendar[[#This Row],[Year]])</f>
        <v>MARCH 27</v>
      </c>
      <c r="J1810" s="8" t="s">
        <v>274</v>
      </c>
      <c r="K1810" s="33" t="str">
        <f>CONCATENATE(TableAopCalendar[[#This Row],[Month for Plan]]," ",TableAopCalendar[[#This Row],[Plan]])</f>
        <v>MARCH 27 PLANNED</v>
      </c>
    </row>
    <row r="1811" spans="1:11" x14ac:dyDescent="0.25">
      <c r="A1811" s="33">
        <f t="shared" si="99"/>
        <v>1</v>
      </c>
      <c r="B1811" s="34">
        <v>46461</v>
      </c>
      <c r="C1811" s="7" t="s">
        <v>273</v>
      </c>
      <c r="D1811" s="35">
        <v>27</v>
      </c>
      <c r="E1811" s="33">
        <f>DAY(TableAopCalendar[[#This Row],[Date]])</f>
        <v>15</v>
      </c>
      <c r="F181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11" s="33" t="str">
        <f t="shared" si="100"/>
        <v>Week 3</v>
      </c>
      <c r="H1811" s="33" t="str">
        <f t="shared" si="101"/>
        <v>March 27 Week 3</v>
      </c>
      <c r="I1811" s="33" t="str">
        <f>CONCATENATE(UPPER(TableAopCalendar[[#This Row],[Month]])," ",TableAopCalendar[[#This Row],[Year]])</f>
        <v>MARCH 27</v>
      </c>
      <c r="J1811" s="8" t="s">
        <v>274</v>
      </c>
      <c r="K1811" s="33" t="str">
        <f>CONCATENATE(TableAopCalendar[[#This Row],[Month for Plan]]," ",TableAopCalendar[[#This Row],[Plan]])</f>
        <v>MARCH 27 PLANNED</v>
      </c>
    </row>
    <row r="1812" spans="1:11" x14ac:dyDescent="0.25">
      <c r="A1812" s="33">
        <f t="shared" si="99"/>
        <v>2</v>
      </c>
      <c r="B1812" s="34">
        <v>46462</v>
      </c>
      <c r="C1812" s="7" t="s">
        <v>273</v>
      </c>
      <c r="D1812" s="35">
        <v>27</v>
      </c>
      <c r="E1812" s="33">
        <f>DAY(TableAopCalendar[[#This Row],[Date]])</f>
        <v>16</v>
      </c>
      <c r="F181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12" s="33" t="str">
        <f t="shared" si="100"/>
        <v>Week 3</v>
      </c>
      <c r="H1812" s="33" t="str">
        <f t="shared" si="101"/>
        <v>March 27 Week 3</v>
      </c>
      <c r="I1812" s="33" t="str">
        <f>CONCATENATE(UPPER(TableAopCalendar[[#This Row],[Month]])," ",TableAopCalendar[[#This Row],[Year]])</f>
        <v>MARCH 27</v>
      </c>
      <c r="J1812" s="8" t="s">
        <v>274</v>
      </c>
      <c r="K1812" s="33" t="str">
        <f>CONCATENATE(TableAopCalendar[[#This Row],[Month for Plan]]," ",TableAopCalendar[[#This Row],[Plan]])</f>
        <v>MARCH 27 PLANNED</v>
      </c>
    </row>
    <row r="1813" spans="1:11" x14ac:dyDescent="0.25">
      <c r="A1813" s="33">
        <f t="shared" si="99"/>
        <v>3</v>
      </c>
      <c r="B1813" s="34">
        <v>46463</v>
      </c>
      <c r="C1813" s="7" t="s">
        <v>273</v>
      </c>
      <c r="D1813" s="35">
        <v>27</v>
      </c>
      <c r="E1813" s="33">
        <f>DAY(TableAopCalendar[[#This Row],[Date]])</f>
        <v>17</v>
      </c>
      <c r="F181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13" s="33" t="str">
        <f t="shared" si="100"/>
        <v>Week 3</v>
      </c>
      <c r="H1813" s="33" t="str">
        <f t="shared" si="101"/>
        <v>March 27 Week 3</v>
      </c>
      <c r="I1813" s="33" t="str">
        <f>CONCATENATE(UPPER(TableAopCalendar[[#This Row],[Month]])," ",TableAopCalendar[[#This Row],[Year]])</f>
        <v>MARCH 27</v>
      </c>
      <c r="J1813" s="8" t="s">
        <v>274</v>
      </c>
      <c r="K1813" s="33" t="str">
        <f>CONCATENATE(TableAopCalendar[[#This Row],[Month for Plan]]," ",TableAopCalendar[[#This Row],[Plan]])</f>
        <v>MARCH 27 PLANNED</v>
      </c>
    </row>
    <row r="1814" spans="1:11" x14ac:dyDescent="0.25">
      <c r="A1814" s="33">
        <f t="shared" si="99"/>
        <v>4</v>
      </c>
      <c r="B1814" s="34">
        <v>46464</v>
      </c>
      <c r="C1814" s="7" t="s">
        <v>273</v>
      </c>
      <c r="D1814" s="35">
        <v>27</v>
      </c>
      <c r="E1814" s="33">
        <f>DAY(TableAopCalendar[[#This Row],[Date]])</f>
        <v>18</v>
      </c>
      <c r="F181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14" s="33" t="str">
        <f t="shared" si="100"/>
        <v>Week 3</v>
      </c>
      <c r="H1814" s="33" t="str">
        <f t="shared" si="101"/>
        <v>March 27 Week 3</v>
      </c>
      <c r="I1814" s="33" t="str">
        <f>CONCATENATE(UPPER(TableAopCalendar[[#This Row],[Month]])," ",TableAopCalendar[[#This Row],[Year]])</f>
        <v>MARCH 27</v>
      </c>
      <c r="J1814" s="8" t="s">
        <v>274</v>
      </c>
      <c r="K1814" s="33" t="str">
        <f>CONCATENATE(TableAopCalendar[[#This Row],[Month for Plan]]," ",TableAopCalendar[[#This Row],[Plan]])</f>
        <v>MARCH 27 PLANNED</v>
      </c>
    </row>
    <row r="1815" spans="1:11" x14ac:dyDescent="0.25">
      <c r="A1815" s="33">
        <f t="shared" si="99"/>
        <v>5</v>
      </c>
      <c r="B1815" s="34">
        <v>46465</v>
      </c>
      <c r="C1815" s="7" t="s">
        <v>273</v>
      </c>
      <c r="D1815" s="35">
        <v>27</v>
      </c>
      <c r="E1815" s="33">
        <f>DAY(TableAopCalendar[[#This Row],[Date]])</f>
        <v>19</v>
      </c>
      <c r="F181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15" s="33" t="str">
        <f t="shared" si="100"/>
        <v>Week 3</v>
      </c>
      <c r="H1815" s="33" t="str">
        <f t="shared" si="101"/>
        <v>March 27 Week 3</v>
      </c>
      <c r="I1815" s="33" t="str">
        <f>CONCATENATE(UPPER(TableAopCalendar[[#This Row],[Month]])," ",TableAopCalendar[[#This Row],[Year]])</f>
        <v>MARCH 27</v>
      </c>
      <c r="J1815" s="8" t="s">
        <v>274</v>
      </c>
      <c r="K1815" s="33" t="str">
        <f>CONCATENATE(TableAopCalendar[[#This Row],[Month for Plan]]," ",TableAopCalendar[[#This Row],[Plan]])</f>
        <v>MARCH 27 PLANNED</v>
      </c>
    </row>
    <row r="1816" spans="1:11" x14ac:dyDescent="0.25">
      <c r="A1816" s="33">
        <f t="shared" si="99"/>
        <v>6</v>
      </c>
      <c r="B1816" s="34">
        <v>46466</v>
      </c>
      <c r="C1816" s="7" t="s">
        <v>273</v>
      </c>
      <c r="D1816" s="35">
        <v>27</v>
      </c>
      <c r="E1816" s="33">
        <f>DAY(TableAopCalendar[[#This Row],[Date]])</f>
        <v>20</v>
      </c>
      <c r="F181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16" s="33" t="str">
        <f t="shared" si="100"/>
        <v>Week 3</v>
      </c>
      <c r="H1816" s="33" t="str">
        <f t="shared" si="101"/>
        <v>March 27 Week 3</v>
      </c>
      <c r="I1816" s="33" t="str">
        <f>CONCATENATE(UPPER(TableAopCalendar[[#This Row],[Month]])," ",TableAopCalendar[[#This Row],[Year]])</f>
        <v>MARCH 27</v>
      </c>
      <c r="J1816" s="8" t="s">
        <v>274</v>
      </c>
      <c r="K1816" s="33" t="str">
        <f>CONCATENATE(TableAopCalendar[[#This Row],[Month for Plan]]," ",TableAopCalendar[[#This Row],[Plan]])</f>
        <v>MARCH 27 PLANNED</v>
      </c>
    </row>
    <row r="1817" spans="1:11" x14ac:dyDescent="0.25">
      <c r="A1817" s="33">
        <f t="shared" si="99"/>
        <v>7</v>
      </c>
      <c r="B1817" s="34">
        <v>46467</v>
      </c>
      <c r="C1817" s="7" t="s">
        <v>273</v>
      </c>
      <c r="D1817" s="35">
        <v>27</v>
      </c>
      <c r="E1817" s="33">
        <f>DAY(TableAopCalendar[[#This Row],[Date]])</f>
        <v>21</v>
      </c>
      <c r="F181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17" s="33" t="str">
        <f t="shared" si="100"/>
        <v>Week 3</v>
      </c>
      <c r="H1817" s="33" t="str">
        <f t="shared" si="101"/>
        <v>March 27 Week 3</v>
      </c>
      <c r="I1817" s="33" t="str">
        <f>CONCATENATE(UPPER(TableAopCalendar[[#This Row],[Month]])," ",TableAopCalendar[[#This Row],[Year]])</f>
        <v>MARCH 27</v>
      </c>
      <c r="J1817" s="8" t="s">
        <v>274</v>
      </c>
      <c r="K1817" s="33" t="str">
        <f>CONCATENATE(TableAopCalendar[[#This Row],[Month for Plan]]," ",TableAopCalendar[[#This Row],[Plan]])</f>
        <v>MARCH 27 PLANNED</v>
      </c>
    </row>
    <row r="1818" spans="1:11" x14ac:dyDescent="0.25">
      <c r="A1818" s="33">
        <f t="shared" si="99"/>
        <v>1</v>
      </c>
      <c r="B1818" s="34">
        <v>46468</v>
      </c>
      <c r="C1818" s="7" t="s">
        <v>273</v>
      </c>
      <c r="D1818" s="35">
        <v>27</v>
      </c>
      <c r="E1818" s="33">
        <f>DAY(TableAopCalendar[[#This Row],[Date]])</f>
        <v>22</v>
      </c>
      <c r="F181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18" s="33" t="str">
        <f t="shared" si="100"/>
        <v>Week 4</v>
      </c>
      <c r="H1818" s="33" t="str">
        <f t="shared" si="101"/>
        <v>March 27 Week 4</v>
      </c>
      <c r="I1818" s="33" t="str">
        <f>CONCATENATE(UPPER(TableAopCalendar[[#This Row],[Month]])," ",TableAopCalendar[[#This Row],[Year]])</f>
        <v>MARCH 27</v>
      </c>
      <c r="J1818" s="8" t="s">
        <v>274</v>
      </c>
      <c r="K1818" s="33" t="str">
        <f>CONCATENATE(TableAopCalendar[[#This Row],[Month for Plan]]," ",TableAopCalendar[[#This Row],[Plan]])</f>
        <v>MARCH 27 PLANNED</v>
      </c>
    </row>
    <row r="1819" spans="1:11" x14ac:dyDescent="0.25">
      <c r="A1819" s="33">
        <f t="shared" si="99"/>
        <v>2</v>
      </c>
      <c r="B1819" s="34">
        <v>46469</v>
      </c>
      <c r="C1819" s="7" t="s">
        <v>273</v>
      </c>
      <c r="D1819" s="35">
        <v>27</v>
      </c>
      <c r="E1819" s="33">
        <f>DAY(TableAopCalendar[[#This Row],[Date]])</f>
        <v>23</v>
      </c>
      <c r="F181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19" s="33" t="str">
        <f t="shared" si="100"/>
        <v>Week 4</v>
      </c>
      <c r="H1819" s="33" t="str">
        <f t="shared" si="101"/>
        <v>March 27 Week 4</v>
      </c>
      <c r="I1819" s="33" t="str">
        <f>CONCATENATE(UPPER(TableAopCalendar[[#This Row],[Month]])," ",TableAopCalendar[[#This Row],[Year]])</f>
        <v>MARCH 27</v>
      </c>
      <c r="J1819" s="8" t="s">
        <v>274</v>
      </c>
      <c r="K1819" s="33" t="str">
        <f>CONCATENATE(TableAopCalendar[[#This Row],[Month for Plan]]," ",TableAopCalendar[[#This Row],[Plan]])</f>
        <v>MARCH 27 PLANNED</v>
      </c>
    </row>
    <row r="1820" spans="1:11" x14ac:dyDescent="0.25">
      <c r="A1820" s="33">
        <f t="shared" si="99"/>
        <v>3</v>
      </c>
      <c r="B1820" s="34">
        <v>46470</v>
      </c>
      <c r="C1820" s="7" t="s">
        <v>273</v>
      </c>
      <c r="D1820" s="35">
        <v>27</v>
      </c>
      <c r="E1820" s="33">
        <f>DAY(TableAopCalendar[[#This Row],[Date]])</f>
        <v>24</v>
      </c>
      <c r="F182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20" s="33" t="str">
        <f t="shared" si="100"/>
        <v>Week 4</v>
      </c>
      <c r="H1820" s="33" t="str">
        <f t="shared" si="101"/>
        <v>March 27 Week 4</v>
      </c>
      <c r="I1820" s="33" t="str">
        <f>CONCATENATE(UPPER(TableAopCalendar[[#This Row],[Month]])," ",TableAopCalendar[[#This Row],[Year]])</f>
        <v>MARCH 27</v>
      </c>
      <c r="J1820" s="8" t="s">
        <v>274</v>
      </c>
      <c r="K1820" s="33" t="str">
        <f>CONCATENATE(TableAopCalendar[[#This Row],[Month for Plan]]," ",TableAopCalendar[[#This Row],[Plan]])</f>
        <v>MARCH 27 PLANNED</v>
      </c>
    </row>
    <row r="1821" spans="1:11" x14ac:dyDescent="0.25">
      <c r="A1821" s="33">
        <f t="shared" si="99"/>
        <v>4</v>
      </c>
      <c r="B1821" s="34">
        <v>46471</v>
      </c>
      <c r="C1821" s="7" t="s">
        <v>273</v>
      </c>
      <c r="D1821" s="35">
        <v>27</v>
      </c>
      <c r="E1821" s="33">
        <f>DAY(TableAopCalendar[[#This Row],[Date]])</f>
        <v>25</v>
      </c>
      <c r="F182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21" s="33" t="str">
        <f t="shared" si="100"/>
        <v>Week 4</v>
      </c>
      <c r="H1821" s="33" t="str">
        <f t="shared" si="101"/>
        <v>March 27 Week 4</v>
      </c>
      <c r="I1821" s="33" t="str">
        <f>CONCATENATE(UPPER(TableAopCalendar[[#This Row],[Month]])," ",TableAopCalendar[[#This Row],[Year]])</f>
        <v>MARCH 27</v>
      </c>
      <c r="J1821" s="8" t="s">
        <v>274</v>
      </c>
      <c r="K1821" s="33" t="str">
        <f>CONCATENATE(TableAopCalendar[[#This Row],[Month for Plan]]," ",TableAopCalendar[[#This Row],[Plan]])</f>
        <v>MARCH 27 PLANNED</v>
      </c>
    </row>
    <row r="1822" spans="1:11" x14ac:dyDescent="0.25">
      <c r="A1822" s="33">
        <f t="shared" si="99"/>
        <v>5</v>
      </c>
      <c r="B1822" s="34">
        <v>46472</v>
      </c>
      <c r="C1822" s="7" t="s">
        <v>273</v>
      </c>
      <c r="D1822" s="35">
        <v>27</v>
      </c>
      <c r="E1822" s="33">
        <f>DAY(TableAopCalendar[[#This Row],[Date]])</f>
        <v>26</v>
      </c>
      <c r="F182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22" s="33" t="str">
        <f t="shared" si="100"/>
        <v>Week 4</v>
      </c>
      <c r="H1822" s="33" t="str">
        <f t="shared" si="101"/>
        <v>March 27 Week 4</v>
      </c>
      <c r="I1822" s="33" t="str">
        <f>CONCATENATE(UPPER(TableAopCalendar[[#This Row],[Month]])," ",TableAopCalendar[[#This Row],[Year]])</f>
        <v>MARCH 27</v>
      </c>
      <c r="J1822" s="8" t="s">
        <v>274</v>
      </c>
      <c r="K1822" s="33" t="str">
        <f>CONCATENATE(TableAopCalendar[[#This Row],[Month for Plan]]," ",TableAopCalendar[[#This Row],[Plan]])</f>
        <v>MARCH 27 PLANNED</v>
      </c>
    </row>
    <row r="1823" spans="1:11" x14ac:dyDescent="0.25">
      <c r="A1823" s="33">
        <f t="shared" si="99"/>
        <v>6</v>
      </c>
      <c r="B1823" s="34">
        <v>46473</v>
      </c>
      <c r="C1823" s="7" t="s">
        <v>273</v>
      </c>
      <c r="D1823" s="35">
        <v>27</v>
      </c>
      <c r="E1823" s="33">
        <f>DAY(TableAopCalendar[[#This Row],[Date]])</f>
        <v>27</v>
      </c>
      <c r="F182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23" s="33" t="str">
        <f t="shared" si="100"/>
        <v>Week 4</v>
      </c>
      <c r="H1823" s="33" t="str">
        <f t="shared" si="101"/>
        <v>March 27 Week 4</v>
      </c>
      <c r="I1823" s="33" t="str">
        <f>CONCATENATE(UPPER(TableAopCalendar[[#This Row],[Month]])," ",TableAopCalendar[[#This Row],[Year]])</f>
        <v>MARCH 27</v>
      </c>
      <c r="J1823" s="8" t="s">
        <v>274</v>
      </c>
      <c r="K1823" s="33" t="str">
        <f>CONCATENATE(TableAopCalendar[[#This Row],[Month for Plan]]," ",TableAopCalendar[[#This Row],[Plan]])</f>
        <v>MARCH 27 PLANNED</v>
      </c>
    </row>
    <row r="1824" spans="1:11" x14ac:dyDescent="0.25">
      <c r="A1824" s="33">
        <f t="shared" si="99"/>
        <v>7</v>
      </c>
      <c r="B1824" s="34">
        <v>46474</v>
      </c>
      <c r="C1824" s="7" t="s">
        <v>273</v>
      </c>
      <c r="D1824" s="35">
        <v>27</v>
      </c>
      <c r="E1824" s="33">
        <f>DAY(TableAopCalendar[[#This Row],[Date]])</f>
        <v>28</v>
      </c>
      <c r="F182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24" s="33" t="str">
        <f t="shared" si="100"/>
        <v>Week 4</v>
      </c>
      <c r="H1824" s="33" t="str">
        <f t="shared" si="101"/>
        <v>March 27 Week 4</v>
      </c>
      <c r="I1824" s="33" t="str">
        <f>CONCATENATE(UPPER(TableAopCalendar[[#This Row],[Month]])," ",TableAopCalendar[[#This Row],[Year]])</f>
        <v>MARCH 27</v>
      </c>
      <c r="J1824" s="8" t="s">
        <v>274</v>
      </c>
      <c r="K1824" s="33" t="str">
        <f>CONCATENATE(TableAopCalendar[[#This Row],[Month for Plan]]," ",TableAopCalendar[[#This Row],[Plan]])</f>
        <v>MARCH 27 PLANNED</v>
      </c>
    </row>
    <row r="1825" spans="1:11" x14ac:dyDescent="0.25">
      <c r="A1825" s="33">
        <f t="shared" si="99"/>
        <v>1</v>
      </c>
      <c r="B1825" s="34">
        <v>46475</v>
      </c>
      <c r="C1825" s="7" t="s">
        <v>273</v>
      </c>
      <c r="D1825" s="35">
        <v>27</v>
      </c>
      <c r="E1825" s="33">
        <f>DAY(TableAopCalendar[[#This Row],[Date]])</f>
        <v>29</v>
      </c>
      <c r="F1825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25" s="33" t="str">
        <f t="shared" si="100"/>
        <v>Week 5</v>
      </c>
      <c r="H1825" s="33" t="str">
        <f t="shared" si="101"/>
        <v>March 27 Week 5</v>
      </c>
      <c r="I1825" s="33" t="str">
        <f>CONCATENATE(UPPER(TableAopCalendar[[#This Row],[Month]])," ",TableAopCalendar[[#This Row],[Year]])</f>
        <v>MARCH 27</v>
      </c>
      <c r="J1825" s="8" t="s">
        <v>274</v>
      </c>
      <c r="K1825" s="33" t="str">
        <f>CONCATENATE(TableAopCalendar[[#This Row],[Month for Plan]]," ",TableAopCalendar[[#This Row],[Plan]])</f>
        <v>MARCH 27 PLANNED</v>
      </c>
    </row>
    <row r="1826" spans="1:11" x14ac:dyDescent="0.25">
      <c r="A1826" s="33">
        <f t="shared" si="99"/>
        <v>2</v>
      </c>
      <c r="B1826" s="34">
        <v>46476</v>
      </c>
      <c r="C1826" s="7" t="s">
        <v>273</v>
      </c>
      <c r="D1826" s="35">
        <v>27</v>
      </c>
      <c r="E1826" s="33">
        <f>DAY(TableAopCalendar[[#This Row],[Date]])</f>
        <v>30</v>
      </c>
      <c r="F1826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26" s="33" t="str">
        <f t="shared" si="100"/>
        <v>Week 5</v>
      </c>
      <c r="H1826" s="33" t="str">
        <f t="shared" si="101"/>
        <v>March 27 Week 5</v>
      </c>
      <c r="I1826" s="33" t="str">
        <f>CONCATENATE(UPPER(TableAopCalendar[[#This Row],[Month]])," ",TableAopCalendar[[#This Row],[Year]])</f>
        <v>MARCH 27</v>
      </c>
      <c r="J1826" s="8" t="s">
        <v>274</v>
      </c>
      <c r="K1826" s="33" t="str">
        <f>CONCATENATE(TableAopCalendar[[#This Row],[Month for Plan]]," ",TableAopCalendar[[#This Row],[Plan]])</f>
        <v>MARCH 27 PLANNED</v>
      </c>
    </row>
    <row r="1827" spans="1:11" x14ac:dyDescent="0.25">
      <c r="A1827" s="33">
        <f t="shared" si="99"/>
        <v>3</v>
      </c>
      <c r="B1827" s="34">
        <v>46477</v>
      </c>
      <c r="C1827" s="7" t="s">
        <v>273</v>
      </c>
      <c r="D1827" s="35">
        <v>27</v>
      </c>
      <c r="E1827" s="33">
        <f>DAY(TableAopCalendar[[#This Row],[Date]])</f>
        <v>31</v>
      </c>
      <c r="F182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27" s="33" t="str">
        <f t="shared" si="100"/>
        <v>Week 5</v>
      </c>
      <c r="H1827" s="33" t="str">
        <f t="shared" si="101"/>
        <v>March 27 Week 5</v>
      </c>
      <c r="I1827" s="33" t="str">
        <f>CONCATENATE(UPPER(TableAopCalendar[[#This Row],[Month]])," ",TableAopCalendar[[#This Row],[Year]])</f>
        <v>MARCH 27</v>
      </c>
      <c r="J1827" s="8" t="s">
        <v>274</v>
      </c>
      <c r="K1827" s="33" t="str">
        <f>CONCATENATE(TableAopCalendar[[#This Row],[Month for Plan]]," ",TableAopCalendar[[#This Row],[Plan]])</f>
        <v>MARCH 27 PLANNED</v>
      </c>
    </row>
    <row r="1828" spans="1:11" x14ac:dyDescent="0.25">
      <c r="A1828" s="33">
        <f t="shared" ref="A1828:A1891" si="102">IF(G1828=G1827,A1827+1,1)</f>
        <v>1</v>
      </c>
      <c r="B1828" s="34">
        <v>46478</v>
      </c>
      <c r="C1828" s="7" t="s">
        <v>264</v>
      </c>
      <c r="D1828" s="35">
        <v>27</v>
      </c>
      <c r="E1828" s="33">
        <f>DAY(TableAopCalendar[[#This Row],[Date]])</f>
        <v>1</v>
      </c>
      <c r="F182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28" s="33" t="str">
        <f t="shared" ref="G1828:G1891" si="103">"Week"&amp;" "&amp;F1828</f>
        <v>Week 1</v>
      </c>
      <c r="H1828" s="33" t="str">
        <f t="shared" ref="H1828:H1891" si="104">CONCATENATE(C1828," ",D1828," ",G1828)</f>
        <v>April 27 Week 1</v>
      </c>
      <c r="I1828" s="33" t="str">
        <f>CONCATENATE(UPPER(TableAopCalendar[[#This Row],[Month]])," ",TableAopCalendar[[#This Row],[Year]])</f>
        <v>APRIL 27</v>
      </c>
      <c r="J1828" s="8" t="s">
        <v>274</v>
      </c>
      <c r="K1828" s="33" t="str">
        <f>CONCATENATE(TableAopCalendar[[#This Row],[Month for Plan]]," ",TableAopCalendar[[#This Row],[Plan]])</f>
        <v>APRIL 27 PLANNED</v>
      </c>
    </row>
    <row r="1829" spans="1:11" x14ac:dyDescent="0.25">
      <c r="A1829" s="33">
        <f t="shared" si="102"/>
        <v>2</v>
      </c>
      <c r="B1829" s="34">
        <v>46479</v>
      </c>
      <c r="C1829" s="7" t="s">
        <v>264</v>
      </c>
      <c r="D1829" s="35">
        <v>27</v>
      </c>
      <c r="E1829" s="33">
        <f>DAY(TableAopCalendar[[#This Row],[Date]])</f>
        <v>2</v>
      </c>
      <c r="F182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29" s="33" t="str">
        <f t="shared" si="103"/>
        <v>Week 1</v>
      </c>
      <c r="H1829" s="33" t="str">
        <f t="shared" si="104"/>
        <v>April 27 Week 1</v>
      </c>
      <c r="I1829" s="33" t="str">
        <f>CONCATENATE(UPPER(TableAopCalendar[[#This Row],[Month]])," ",TableAopCalendar[[#This Row],[Year]])</f>
        <v>APRIL 27</v>
      </c>
      <c r="J1829" s="8" t="s">
        <v>274</v>
      </c>
      <c r="K1829" s="33" t="str">
        <f>CONCATENATE(TableAopCalendar[[#This Row],[Month for Plan]]," ",TableAopCalendar[[#This Row],[Plan]])</f>
        <v>APRIL 27 PLANNED</v>
      </c>
    </row>
    <row r="1830" spans="1:11" x14ac:dyDescent="0.25">
      <c r="A1830" s="33">
        <f t="shared" si="102"/>
        <v>3</v>
      </c>
      <c r="B1830" s="34">
        <v>46480</v>
      </c>
      <c r="C1830" s="7" t="s">
        <v>264</v>
      </c>
      <c r="D1830" s="35">
        <v>27</v>
      </c>
      <c r="E1830" s="33">
        <f>DAY(TableAopCalendar[[#This Row],[Date]])</f>
        <v>3</v>
      </c>
      <c r="F183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30" s="33" t="str">
        <f t="shared" si="103"/>
        <v>Week 1</v>
      </c>
      <c r="H1830" s="33" t="str">
        <f t="shared" si="104"/>
        <v>April 27 Week 1</v>
      </c>
      <c r="I1830" s="33" t="str">
        <f>CONCATENATE(UPPER(TableAopCalendar[[#This Row],[Month]])," ",TableAopCalendar[[#This Row],[Year]])</f>
        <v>APRIL 27</v>
      </c>
      <c r="J1830" s="8" t="s">
        <v>274</v>
      </c>
      <c r="K1830" s="33" t="str">
        <f>CONCATENATE(TableAopCalendar[[#This Row],[Month for Plan]]," ",TableAopCalendar[[#This Row],[Plan]])</f>
        <v>APRIL 27 PLANNED</v>
      </c>
    </row>
    <row r="1831" spans="1:11" x14ac:dyDescent="0.25">
      <c r="A1831" s="33">
        <f t="shared" si="102"/>
        <v>4</v>
      </c>
      <c r="B1831" s="34">
        <v>46481</v>
      </c>
      <c r="C1831" s="7" t="s">
        <v>264</v>
      </c>
      <c r="D1831" s="35">
        <v>27</v>
      </c>
      <c r="E1831" s="33">
        <f>DAY(TableAopCalendar[[#This Row],[Date]])</f>
        <v>4</v>
      </c>
      <c r="F183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31" s="33" t="str">
        <f t="shared" si="103"/>
        <v>Week 1</v>
      </c>
      <c r="H1831" s="33" t="str">
        <f t="shared" si="104"/>
        <v>April 27 Week 1</v>
      </c>
      <c r="I1831" s="33" t="str">
        <f>CONCATENATE(UPPER(TableAopCalendar[[#This Row],[Month]])," ",TableAopCalendar[[#This Row],[Year]])</f>
        <v>APRIL 27</v>
      </c>
      <c r="J1831" s="8" t="s">
        <v>274</v>
      </c>
      <c r="K1831" s="33" t="str">
        <f>CONCATENATE(TableAopCalendar[[#This Row],[Month for Plan]]," ",TableAopCalendar[[#This Row],[Plan]])</f>
        <v>APRIL 27 PLANNED</v>
      </c>
    </row>
    <row r="1832" spans="1:11" x14ac:dyDescent="0.25">
      <c r="A1832" s="33">
        <f t="shared" si="102"/>
        <v>5</v>
      </c>
      <c r="B1832" s="34">
        <v>46482</v>
      </c>
      <c r="C1832" s="7" t="s">
        <v>264</v>
      </c>
      <c r="D1832" s="35">
        <v>27</v>
      </c>
      <c r="E1832" s="33">
        <f>DAY(TableAopCalendar[[#This Row],[Date]])</f>
        <v>5</v>
      </c>
      <c r="F183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32" s="33" t="str">
        <f t="shared" si="103"/>
        <v>Week 1</v>
      </c>
      <c r="H1832" s="33" t="str">
        <f t="shared" si="104"/>
        <v>April 27 Week 1</v>
      </c>
      <c r="I1832" s="33" t="str">
        <f>CONCATENATE(UPPER(TableAopCalendar[[#This Row],[Month]])," ",TableAopCalendar[[#This Row],[Year]])</f>
        <v>APRIL 27</v>
      </c>
      <c r="J1832" s="8" t="s">
        <v>274</v>
      </c>
      <c r="K1832" s="33" t="str">
        <f>CONCATENATE(TableAopCalendar[[#This Row],[Month for Plan]]," ",TableAopCalendar[[#This Row],[Plan]])</f>
        <v>APRIL 27 PLANNED</v>
      </c>
    </row>
    <row r="1833" spans="1:11" x14ac:dyDescent="0.25">
      <c r="A1833" s="33">
        <f t="shared" si="102"/>
        <v>6</v>
      </c>
      <c r="B1833" s="34">
        <v>46483</v>
      </c>
      <c r="C1833" s="7" t="s">
        <v>264</v>
      </c>
      <c r="D1833" s="35">
        <v>27</v>
      </c>
      <c r="E1833" s="33">
        <f>DAY(TableAopCalendar[[#This Row],[Date]])</f>
        <v>6</v>
      </c>
      <c r="F183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33" s="33" t="str">
        <f t="shared" si="103"/>
        <v>Week 1</v>
      </c>
      <c r="H1833" s="33" t="str">
        <f t="shared" si="104"/>
        <v>April 27 Week 1</v>
      </c>
      <c r="I1833" s="33" t="str">
        <f>CONCATENATE(UPPER(TableAopCalendar[[#This Row],[Month]])," ",TableAopCalendar[[#This Row],[Year]])</f>
        <v>APRIL 27</v>
      </c>
      <c r="J1833" s="8" t="s">
        <v>274</v>
      </c>
      <c r="K1833" s="33" t="str">
        <f>CONCATENATE(TableAopCalendar[[#This Row],[Month for Plan]]," ",TableAopCalendar[[#This Row],[Plan]])</f>
        <v>APRIL 27 PLANNED</v>
      </c>
    </row>
    <row r="1834" spans="1:11" x14ac:dyDescent="0.25">
      <c r="A1834" s="33">
        <f t="shared" si="102"/>
        <v>7</v>
      </c>
      <c r="B1834" s="34">
        <v>46484</v>
      </c>
      <c r="C1834" s="7" t="s">
        <v>264</v>
      </c>
      <c r="D1834" s="35">
        <v>27</v>
      </c>
      <c r="E1834" s="33">
        <f>DAY(TableAopCalendar[[#This Row],[Date]])</f>
        <v>7</v>
      </c>
      <c r="F183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34" s="33" t="str">
        <f t="shared" si="103"/>
        <v>Week 1</v>
      </c>
      <c r="H1834" s="33" t="str">
        <f t="shared" si="104"/>
        <v>April 27 Week 1</v>
      </c>
      <c r="I1834" s="33" t="str">
        <f>CONCATENATE(UPPER(TableAopCalendar[[#This Row],[Month]])," ",TableAopCalendar[[#This Row],[Year]])</f>
        <v>APRIL 27</v>
      </c>
      <c r="J1834" s="8" t="s">
        <v>274</v>
      </c>
      <c r="K1834" s="33" t="str">
        <f>CONCATENATE(TableAopCalendar[[#This Row],[Month for Plan]]," ",TableAopCalendar[[#This Row],[Plan]])</f>
        <v>APRIL 27 PLANNED</v>
      </c>
    </row>
    <row r="1835" spans="1:11" x14ac:dyDescent="0.25">
      <c r="A1835" s="33">
        <f t="shared" si="102"/>
        <v>1</v>
      </c>
      <c r="B1835" s="34">
        <v>46485</v>
      </c>
      <c r="C1835" s="7" t="s">
        <v>264</v>
      </c>
      <c r="D1835" s="35">
        <v>27</v>
      </c>
      <c r="E1835" s="33">
        <f>DAY(TableAopCalendar[[#This Row],[Date]])</f>
        <v>8</v>
      </c>
      <c r="F183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35" s="33" t="str">
        <f t="shared" si="103"/>
        <v>Week 2</v>
      </c>
      <c r="H1835" s="33" t="str">
        <f t="shared" si="104"/>
        <v>April 27 Week 2</v>
      </c>
      <c r="I1835" s="33" t="str">
        <f>CONCATENATE(UPPER(TableAopCalendar[[#This Row],[Month]])," ",TableAopCalendar[[#This Row],[Year]])</f>
        <v>APRIL 27</v>
      </c>
      <c r="J1835" s="8" t="s">
        <v>274</v>
      </c>
      <c r="K1835" s="33" t="str">
        <f>CONCATENATE(TableAopCalendar[[#This Row],[Month for Plan]]," ",TableAopCalendar[[#This Row],[Plan]])</f>
        <v>APRIL 27 PLANNED</v>
      </c>
    </row>
    <row r="1836" spans="1:11" x14ac:dyDescent="0.25">
      <c r="A1836" s="33">
        <f t="shared" si="102"/>
        <v>2</v>
      </c>
      <c r="B1836" s="34">
        <v>46486</v>
      </c>
      <c r="C1836" s="7" t="s">
        <v>264</v>
      </c>
      <c r="D1836" s="35">
        <v>27</v>
      </c>
      <c r="E1836" s="33">
        <f>DAY(TableAopCalendar[[#This Row],[Date]])</f>
        <v>9</v>
      </c>
      <c r="F183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36" s="33" t="str">
        <f t="shared" si="103"/>
        <v>Week 2</v>
      </c>
      <c r="H1836" s="33" t="str">
        <f t="shared" si="104"/>
        <v>April 27 Week 2</v>
      </c>
      <c r="I1836" s="33" t="str">
        <f>CONCATENATE(UPPER(TableAopCalendar[[#This Row],[Month]])," ",TableAopCalendar[[#This Row],[Year]])</f>
        <v>APRIL 27</v>
      </c>
      <c r="J1836" s="8" t="s">
        <v>274</v>
      </c>
      <c r="K1836" s="33" t="str">
        <f>CONCATENATE(TableAopCalendar[[#This Row],[Month for Plan]]," ",TableAopCalendar[[#This Row],[Plan]])</f>
        <v>APRIL 27 PLANNED</v>
      </c>
    </row>
    <row r="1837" spans="1:11" x14ac:dyDescent="0.25">
      <c r="A1837" s="33">
        <f t="shared" si="102"/>
        <v>3</v>
      </c>
      <c r="B1837" s="34">
        <v>46487</v>
      </c>
      <c r="C1837" s="7" t="s">
        <v>264</v>
      </c>
      <c r="D1837" s="35">
        <v>27</v>
      </c>
      <c r="E1837" s="33">
        <f>DAY(TableAopCalendar[[#This Row],[Date]])</f>
        <v>10</v>
      </c>
      <c r="F183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37" s="33" t="str">
        <f t="shared" si="103"/>
        <v>Week 2</v>
      </c>
      <c r="H1837" s="33" t="str">
        <f t="shared" si="104"/>
        <v>April 27 Week 2</v>
      </c>
      <c r="I1837" s="33" t="str">
        <f>CONCATENATE(UPPER(TableAopCalendar[[#This Row],[Month]])," ",TableAopCalendar[[#This Row],[Year]])</f>
        <v>APRIL 27</v>
      </c>
      <c r="J1837" s="8" t="s">
        <v>274</v>
      </c>
      <c r="K1837" s="33" t="str">
        <f>CONCATENATE(TableAopCalendar[[#This Row],[Month for Plan]]," ",TableAopCalendar[[#This Row],[Plan]])</f>
        <v>APRIL 27 PLANNED</v>
      </c>
    </row>
    <row r="1838" spans="1:11" x14ac:dyDescent="0.25">
      <c r="A1838" s="33">
        <f t="shared" si="102"/>
        <v>4</v>
      </c>
      <c r="B1838" s="34">
        <v>46488</v>
      </c>
      <c r="C1838" s="7" t="s">
        <v>264</v>
      </c>
      <c r="D1838" s="35">
        <v>27</v>
      </c>
      <c r="E1838" s="33">
        <f>DAY(TableAopCalendar[[#This Row],[Date]])</f>
        <v>11</v>
      </c>
      <c r="F183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38" s="33" t="str">
        <f t="shared" si="103"/>
        <v>Week 2</v>
      </c>
      <c r="H1838" s="33" t="str">
        <f t="shared" si="104"/>
        <v>April 27 Week 2</v>
      </c>
      <c r="I1838" s="33" t="str">
        <f>CONCATENATE(UPPER(TableAopCalendar[[#This Row],[Month]])," ",TableAopCalendar[[#This Row],[Year]])</f>
        <v>APRIL 27</v>
      </c>
      <c r="J1838" s="8" t="s">
        <v>274</v>
      </c>
      <c r="K1838" s="33" t="str">
        <f>CONCATENATE(TableAopCalendar[[#This Row],[Month for Plan]]," ",TableAopCalendar[[#This Row],[Plan]])</f>
        <v>APRIL 27 PLANNED</v>
      </c>
    </row>
    <row r="1839" spans="1:11" x14ac:dyDescent="0.25">
      <c r="A1839" s="33">
        <f t="shared" si="102"/>
        <v>5</v>
      </c>
      <c r="B1839" s="34">
        <v>46489</v>
      </c>
      <c r="C1839" s="7" t="s">
        <v>264</v>
      </c>
      <c r="D1839" s="35">
        <v>27</v>
      </c>
      <c r="E1839" s="33">
        <f>DAY(TableAopCalendar[[#This Row],[Date]])</f>
        <v>12</v>
      </c>
      <c r="F183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39" s="33" t="str">
        <f t="shared" si="103"/>
        <v>Week 2</v>
      </c>
      <c r="H1839" s="33" t="str">
        <f t="shared" si="104"/>
        <v>April 27 Week 2</v>
      </c>
      <c r="I1839" s="33" t="str">
        <f>CONCATENATE(UPPER(TableAopCalendar[[#This Row],[Month]])," ",TableAopCalendar[[#This Row],[Year]])</f>
        <v>APRIL 27</v>
      </c>
      <c r="J1839" s="8" t="s">
        <v>274</v>
      </c>
      <c r="K1839" s="33" t="str">
        <f>CONCATENATE(TableAopCalendar[[#This Row],[Month for Plan]]," ",TableAopCalendar[[#This Row],[Plan]])</f>
        <v>APRIL 27 PLANNED</v>
      </c>
    </row>
    <row r="1840" spans="1:11" x14ac:dyDescent="0.25">
      <c r="A1840" s="33">
        <f t="shared" si="102"/>
        <v>6</v>
      </c>
      <c r="B1840" s="34">
        <v>46490</v>
      </c>
      <c r="C1840" s="7" t="s">
        <v>264</v>
      </c>
      <c r="D1840" s="35">
        <v>27</v>
      </c>
      <c r="E1840" s="33">
        <f>DAY(TableAopCalendar[[#This Row],[Date]])</f>
        <v>13</v>
      </c>
      <c r="F184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40" s="33" t="str">
        <f t="shared" si="103"/>
        <v>Week 2</v>
      </c>
      <c r="H1840" s="33" t="str">
        <f t="shared" si="104"/>
        <v>April 27 Week 2</v>
      </c>
      <c r="I1840" s="33" t="str">
        <f>CONCATENATE(UPPER(TableAopCalendar[[#This Row],[Month]])," ",TableAopCalendar[[#This Row],[Year]])</f>
        <v>APRIL 27</v>
      </c>
      <c r="J1840" s="8" t="s">
        <v>274</v>
      </c>
      <c r="K1840" s="33" t="str">
        <f>CONCATENATE(TableAopCalendar[[#This Row],[Month for Plan]]," ",TableAopCalendar[[#This Row],[Plan]])</f>
        <v>APRIL 27 PLANNED</v>
      </c>
    </row>
    <row r="1841" spans="1:11" x14ac:dyDescent="0.25">
      <c r="A1841" s="33">
        <f t="shared" si="102"/>
        <v>7</v>
      </c>
      <c r="B1841" s="34">
        <v>46491</v>
      </c>
      <c r="C1841" s="7" t="s">
        <v>264</v>
      </c>
      <c r="D1841" s="35">
        <v>27</v>
      </c>
      <c r="E1841" s="33">
        <f>DAY(TableAopCalendar[[#This Row],[Date]])</f>
        <v>14</v>
      </c>
      <c r="F184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41" s="33" t="str">
        <f t="shared" si="103"/>
        <v>Week 2</v>
      </c>
      <c r="H1841" s="33" t="str">
        <f t="shared" si="104"/>
        <v>April 27 Week 2</v>
      </c>
      <c r="I1841" s="33" t="str">
        <f>CONCATENATE(UPPER(TableAopCalendar[[#This Row],[Month]])," ",TableAopCalendar[[#This Row],[Year]])</f>
        <v>APRIL 27</v>
      </c>
      <c r="J1841" s="8" t="s">
        <v>274</v>
      </c>
      <c r="K1841" s="33" t="str">
        <f>CONCATENATE(TableAopCalendar[[#This Row],[Month for Plan]]," ",TableAopCalendar[[#This Row],[Plan]])</f>
        <v>APRIL 27 PLANNED</v>
      </c>
    </row>
    <row r="1842" spans="1:11" x14ac:dyDescent="0.25">
      <c r="A1842" s="33">
        <f t="shared" si="102"/>
        <v>1</v>
      </c>
      <c r="B1842" s="34">
        <v>46492</v>
      </c>
      <c r="C1842" s="7" t="s">
        <v>264</v>
      </c>
      <c r="D1842" s="35">
        <v>27</v>
      </c>
      <c r="E1842" s="33">
        <f>DAY(TableAopCalendar[[#This Row],[Date]])</f>
        <v>15</v>
      </c>
      <c r="F184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42" s="33" t="str">
        <f t="shared" si="103"/>
        <v>Week 3</v>
      </c>
      <c r="H1842" s="33" t="str">
        <f t="shared" si="104"/>
        <v>April 27 Week 3</v>
      </c>
      <c r="I1842" s="33" t="str">
        <f>CONCATENATE(UPPER(TableAopCalendar[[#This Row],[Month]])," ",TableAopCalendar[[#This Row],[Year]])</f>
        <v>APRIL 27</v>
      </c>
      <c r="J1842" s="8" t="s">
        <v>274</v>
      </c>
      <c r="K1842" s="33" t="str">
        <f>CONCATENATE(TableAopCalendar[[#This Row],[Month for Plan]]," ",TableAopCalendar[[#This Row],[Plan]])</f>
        <v>APRIL 27 PLANNED</v>
      </c>
    </row>
    <row r="1843" spans="1:11" x14ac:dyDescent="0.25">
      <c r="A1843" s="33">
        <f t="shared" si="102"/>
        <v>2</v>
      </c>
      <c r="B1843" s="34">
        <v>46493</v>
      </c>
      <c r="C1843" s="7" t="s">
        <v>264</v>
      </c>
      <c r="D1843" s="35">
        <v>27</v>
      </c>
      <c r="E1843" s="33">
        <f>DAY(TableAopCalendar[[#This Row],[Date]])</f>
        <v>16</v>
      </c>
      <c r="F184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43" s="33" t="str">
        <f t="shared" si="103"/>
        <v>Week 3</v>
      </c>
      <c r="H1843" s="33" t="str">
        <f t="shared" si="104"/>
        <v>April 27 Week 3</v>
      </c>
      <c r="I1843" s="33" t="str">
        <f>CONCATENATE(UPPER(TableAopCalendar[[#This Row],[Month]])," ",TableAopCalendar[[#This Row],[Year]])</f>
        <v>APRIL 27</v>
      </c>
      <c r="J1843" s="8" t="s">
        <v>274</v>
      </c>
      <c r="K1843" s="33" t="str">
        <f>CONCATENATE(TableAopCalendar[[#This Row],[Month for Plan]]," ",TableAopCalendar[[#This Row],[Plan]])</f>
        <v>APRIL 27 PLANNED</v>
      </c>
    </row>
    <row r="1844" spans="1:11" x14ac:dyDescent="0.25">
      <c r="A1844" s="33">
        <f t="shared" si="102"/>
        <v>3</v>
      </c>
      <c r="B1844" s="34">
        <v>46494</v>
      </c>
      <c r="C1844" s="7" t="s">
        <v>264</v>
      </c>
      <c r="D1844" s="35">
        <v>27</v>
      </c>
      <c r="E1844" s="33">
        <f>DAY(TableAopCalendar[[#This Row],[Date]])</f>
        <v>17</v>
      </c>
      <c r="F184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44" s="33" t="str">
        <f t="shared" si="103"/>
        <v>Week 3</v>
      </c>
      <c r="H1844" s="33" t="str">
        <f t="shared" si="104"/>
        <v>April 27 Week 3</v>
      </c>
      <c r="I1844" s="33" t="str">
        <f>CONCATENATE(UPPER(TableAopCalendar[[#This Row],[Month]])," ",TableAopCalendar[[#This Row],[Year]])</f>
        <v>APRIL 27</v>
      </c>
      <c r="J1844" s="8" t="s">
        <v>274</v>
      </c>
      <c r="K1844" s="33" t="str">
        <f>CONCATENATE(TableAopCalendar[[#This Row],[Month for Plan]]," ",TableAopCalendar[[#This Row],[Plan]])</f>
        <v>APRIL 27 PLANNED</v>
      </c>
    </row>
    <row r="1845" spans="1:11" x14ac:dyDescent="0.25">
      <c r="A1845" s="33">
        <f t="shared" si="102"/>
        <v>4</v>
      </c>
      <c r="B1845" s="34">
        <v>46495</v>
      </c>
      <c r="C1845" s="7" t="s">
        <v>264</v>
      </c>
      <c r="D1845" s="35">
        <v>27</v>
      </c>
      <c r="E1845" s="33">
        <f>DAY(TableAopCalendar[[#This Row],[Date]])</f>
        <v>18</v>
      </c>
      <c r="F184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45" s="33" t="str">
        <f t="shared" si="103"/>
        <v>Week 3</v>
      </c>
      <c r="H1845" s="33" t="str">
        <f t="shared" si="104"/>
        <v>April 27 Week 3</v>
      </c>
      <c r="I1845" s="33" t="str">
        <f>CONCATENATE(UPPER(TableAopCalendar[[#This Row],[Month]])," ",TableAopCalendar[[#This Row],[Year]])</f>
        <v>APRIL 27</v>
      </c>
      <c r="J1845" s="8" t="s">
        <v>274</v>
      </c>
      <c r="K1845" s="33" t="str">
        <f>CONCATENATE(TableAopCalendar[[#This Row],[Month for Plan]]," ",TableAopCalendar[[#This Row],[Plan]])</f>
        <v>APRIL 27 PLANNED</v>
      </c>
    </row>
    <row r="1846" spans="1:11" x14ac:dyDescent="0.25">
      <c r="A1846" s="33">
        <f t="shared" si="102"/>
        <v>5</v>
      </c>
      <c r="B1846" s="34">
        <v>46496</v>
      </c>
      <c r="C1846" s="7" t="s">
        <v>264</v>
      </c>
      <c r="D1846" s="35">
        <v>27</v>
      </c>
      <c r="E1846" s="33">
        <f>DAY(TableAopCalendar[[#This Row],[Date]])</f>
        <v>19</v>
      </c>
      <c r="F184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46" s="33" t="str">
        <f t="shared" si="103"/>
        <v>Week 3</v>
      </c>
      <c r="H1846" s="33" t="str">
        <f t="shared" si="104"/>
        <v>April 27 Week 3</v>
      </c>
      <c r="I1846" s="33" t="str">
        <f>CONCATENATE(UPPER(TableAopCalendar[[#This Row],[Month]])," ",TableAopCalendar[[#This Row],[Year]])</f>
        <v>APRIL 27</v>
      </c>
      <c r="J1846" s="8" t="s">
        <v>274</v>
      </c>
      <c r="K1846" s="33" t="str">
        <f>CONCATENATE(TableAopCalendar[[#This Row],[Month for Plan]]," ",TableAopCalendar[[#This Row],[Plan]])</f>
        <v>APRIL 27 PLANNED</v>
      </c>
    </row>
    <row r="1847" spans="1:11" x14ac:dyDescent="0.25">
      <c r="A1847" s="33">
        <f t="shared" si="102"/>
        <v>6</v>
      </c>
      <c r="B1847" s="34">
        <v>46497</v>
      </c>
      <c r="C1847" s="7" t="s">
        <v>264</v>
      </c>
      <c r="D1847" s="35">
        <v>27</v>
      </c>
      <c r="E1847" s="33">
        <f>DAY(TableAopCalendar[[#This Row],[Date]])</f>
        <v>20</v>
      </c>
      <c r="F184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47" s="33" t="str">
        <f t="shared" si="103"/>
        <v>Week 3</v>
      </c>
      <c r="H1847" s="33" t="str">
        <f t="shared" si="104"/>
        <v>April 27 Week 3</v>
      </c>
      <c r="I1847" s="33" t="str">
        <f>CONCATENATE(UPPER(TableAopCalendar[[#This Row],[Month]])," ",TableAopCalendar[[#This Row],[Year]])</f>
        <v>APRIL 27</v>
      </c>
      <c r="J1847" s="8" t="s">
        <v>274</v>
      </c>
      <c r="K1847" s="33" t="str">
        <f>CONCATENATE(TableAopCalendar[[#This Row],[Month for Plan]]," ",TableAopCalendar[[#This Row],[Plan]])</f>
        <v>APRIL 27 PLANNED</v>
      </c>
    </row>
    <row r="1848" spans="1:11" x14ac:dyDescent="0.25">
      <c r="A1848" s="33">
        <f t="shared" si="102"/>
        <v>7</v>
      </c>
      <c r="B1848" s="34">
        <v>46498</v>
      </c>
      <c r="C1848" s="7" t="s">
        <v>264</v>
      </c>
      <c r="D1848" s="35">
        <v>27</v>
      </c>
      <c r="E1848" s="33">
        <f>DAY(TableAopCalendar[[#This Row],[Date]])</f>
        <v>21</v>
      </c>
      <c r="F184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48" s="33" t="str">
        <f t="shared" si="103"/>
        <v>Week 3</v>
      </c>
      <c r="H1848" s="33" t="str">
        <f t="shared" si="104"/>
        <v>April 27 Week 3</v>
      </c>
      <c r="I1848" s="33" t="str">
        <f>CONCATENATE(UPPER(TableAopCalendar[[#This Row],[Month]])," ",TableAopCalendar[[#This Row],[Year]])</f>
        <v>APRIL 27</v>
      </c>
      <c r="J1848" s="8" t="s">
        <v>274</v>
      </c>
      <c r="K1848" s="33" t="str">
        <f>CONCATENATE(TableAopCalendar[[#This Row],[Month for Plan]]," ",TableAopCalendar[[#This Row],[Plan]])</f>
        <v>APRIL 27 PLANNED</v>
      </c>
    </row>
    <row r="1849" spans="1:11" x14ac:dyDescent="0.25">
      <c r="A1849" s="33">
        <f t="shared" si="102"/>
        <v>1</v>
      </c>
      <c r="B1849" s="34">
        <v>46499</v>
      </c>
      <c r="C1849" s="7" t="s">
        <v>264</v>
      </c>
      <c r="D1849" s="35">
        <v>27</v>
      </c>
      <c r="E1849" s="33">
        <f>DAY(TableAopCalendar[[#This Row],[Date]])</f>
        <v>22</v>
      </c>
      <c r="F184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49" s="33" t="str">
        <f t="shared" si="103"/>
        <v>Week 4</v>
      </c>
      <c r="H1849" s="33" t="str">
        <f t="shared" si="104"/>
        <v>April 27 Week 4</v>
      </c>
      <c r="I1849" s="33" t="str">
        <f>CONCATENATE(UPPER(TableAopCalendar[[#This Row],[Month]])," ",TableAopCalendar[[#This Row],[Year]])</f>
        <v>APRIL 27</v>
      </c>
      <c r="J1849" s="8" t="s">
        <v>274</v>
      </c>
      <c r="K1849" s="33" t="str">
        <f>CONCATENATE(TableAopCalendar[[#This Row],[Month for Plan]]," ",TableAopCalendar[[#This Row],[Plan]])</f>
        <v>APRIL 27 PLANNED</v>
      </c>
    </row>
    <row r="1850" spans="1:11" x14ac:dyDescent="0.25">
      <c r="A1850" s="33">
        <f t="shared" si="102"/>
        <v>2</v>
      </c>
      <c r="B1850" s="34">
        <v>46500</v>
      </c>
      <c r="C1850" s="7" t="s">
        <v>264</v>
      </c>
      <c r="D1850" s="35">
        <v>27</v>
      </c>
      <c r="E1850" s="33">
        <f>DAY(TableAopCalendar[[#This Row],[Date]])</f>
        <v>23</v>
      </c>
      <c r="F185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50" s="33" t="str">
        <f t="shared" si="103"/>
        <v>Week 4</v>
      </c>
      <c r="H1850" s="33" t="str">
        <f t="shared" si="104"/>
        <v>April 27 Week 4</v>
      </c>
      <c r="I1850" s="33" t="str">
        <f>CONCATENATE(UPPER(TableAopCalendar[[#This Row],[Month]])," ",TableAopCalendar[[#This Row],[Year]])</f>
        <v>APRIL 27</v>
      </c>
      <c r="J1850" s="8" t="s">
        <v>274</v>
      </c>
      <c r="K1850" s="33" t="str">
        <f>CONCATENATE(TableAopCalendar[[#This Row],[Month for Plan]]," ",TableAopCalendar[[#This Row],[Plan]])</f>
        <v>APRIL 27 PLANNED</v>
      </c>
    </row>
    <row r="1851" spans="1:11" x14ac:dyDescent="0.25">
      <c r="A1851" s="33">
        <f t="shared" si="102"/>
        <v>3</v>
      </c>
      <c r="B1851" s="34">
        <v>46501</v>
      </c>
      <c r="C1851" s="7" t="s">
        <v>264</v>
      </c>
      <c r="D1851" s="35">
        <v>27</v>
      </c>
      <c r="E1851" s="33">
        <f>DAY(TableAopCalendar[[#This Row],[Date]])</f>
        <v>24</v>
      </c>
      <c r="F185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51" s="33" t="str">
        <f t="shared" si="103"/>
        <v>Week 4</v>
      </c>
      <c r="H1851" s="33" t="str">
        <f t="shared" si="104"/>
        <v>April 27 Week 4</v>
      </c>
      <c r="I1851" s="33" t="str">
        <f>CONCATENATE(UPPER(TableAopCalendar[[#This Row],[Month]])," ",TableAopCalendar[[#This Row],[Year]])</f>
        <v>APRIL 27</v>
      </c>
      <c r="J1851" s="8" t="s">
        <v>274</v>
      </c>
      <c r="K1851" s="33" t="str">
        <f>CONCATENATE(TableAopCalendar[[#This Row],[Month for Plan]]," ",TableAopCalendar[[#This Row],[Plan]])</f>
        <v>APRIL 27 PLANNED</v>
      </c>
    </row>
    <row r="1852" spans="1:11" x14ac:dyDescent="0.25">
      <c r="A1852" s="33">
        <f t="shared" si="102"/>
        <v>4</v>
      </c>
      <c r="B1852" s="34">
        <v>46502</v>
      </c>
      <c r="C1852" s="7" t="s">
        <v>264</v>
      </c>
      <c r="D1852" s="35">
        <v>27</v>
      </c>
      <c r="E1852" s="33">
        <f>DAY(TableAopCalendar[[#This Row],[Date]])</f>
        <v>25</v>
      </c>
      <c r="F185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52" s="33" t="str">
        <f t="shared" si="103"/>
        <v>Week 4</v>
      </c>
      <c r="H1852" s="33" t="str">
        <f t="shared" si="104"/>
        <v>April 27 Week 4</v>
      </c>
      <c r="I1852" s="33" t="str">
        <f>CONCATENATE(UPPER(TableAopCalendar[[#This Row],[Month]])," ",TableAopCalendar[[#This Row],[Year]])</f>
        <v>APRIL 27</v>
      </c>
      <c r="J1852" s="8" t="s">
        <v>274</v>
      </c>
      <c r="K1852" s="33" t="str">
        <f>CONCATENATE(TableAopCalendar[[#This Row],[Month for Plan]]," ",TableAopCalendar[[#This Row],[Plan]])</f>
        <v>APRIL 27 PLANNED</v>
      </c>
    </row>
    <row r="1853" spans="1:11" x14ac:dyDescent="0.25">
      <c r="A1853" s="33">
        <f t="shared" si="102"/>
        <v>5</v>
      </c>
      <c r="B1853" s="34">
        <v>46503</v>
      </c>
      <c r="C1853" s="7" t="s">
        <v>264</v>
      </c>
      <c r="D1853" s="35">
        <v>27</v>
      </c>
      <c r="E1853" s="33">
        <f>DAY(TableAopCalendar[[#This Row],[Date]])</f>
        <v>26</v>
      </c>
      <c r="F185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53" s="33" t="str">
        <f t="shared" si="103"/>
        <v>Week 4</v>
      </c>
      <c r="H1853" s="33" t="str">
        <f t="shared" si="104"/>
        <v>April 27 Week 4</v>
      </c>
      <c r="I1853" s="33" t="str">
        <f>CONCATENATE(UPPER(TableAopCalendar[[#This Row],[Month]])," ",TableAopCalendar[[#This Row],[Year]])</f>
        <v>APRIL 27</v>
      </c>
      <c r="J1853" s="8" t="s">
        <v>274</v>
      </c>
      <c r="K1853" s="33" t="str">
        <f>CONCATENATE(TableAopCalendar[[#This Row],[Month for Plan]]," ",TableAopCalendar[[#This Row],[Plan]])</f>
        <v>APRIL 27 PLANNED</v>
      </c>
    </row>
    <row r="1854" spans="1:11" x14ac:dyDescent="0.25">
      <c r="A1854" s="33">
        <f t="shared" si="102"/>
        <v>6</v>
      </c>
      <c r="B1854" s="34">
        <v>46504</v>
      </c>
      <c r="C1854" s="7" t="s">
        <v>264</v>
      </c>
      <c r="D1854" s="35">
        <v>27</v>
      </c>
      <c r="E1854" s="33">
        <f>DAY(TableAopCalendar[[#This Row],[Date]])</f>
        <v>27</v>
      </c>
      <c r="F185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54" s="33" t="str">
        <f t="shared" si="103"/>
        <v>Week 4</v>
      </c>
      <c r="H1854" s="33" t="str">
        <f t="shared" si="104"/>
        <v>April 27 Week 4</v>
      </c>
      <c r="I1854" s="33" t="str">
        <f>CONCATENATE(UPPER(TableAopCalendar[[#This Row],[Month]])," ",TableAopCalendar[[#This Row],[Year]])</f>
        <v>APRIL 27</v>
      </c>
      <c r="J1854" s="8" t="s">
        <v>274</v>
      </c>
      <c r="K1854" s="33" t="str">
        <f>CONCATENATE(TableAopCalendar[[#This Row],[Month for Plan]]," ",TableAopCalendar[[#This Row],[Plan]])</f>
        <v>APRIL 27 PLANNED</v>
      </c>
    </row>
    <row r="1855" spans="1:11" x14ac:dyDescent="0.25">
      <c r="A1855" s="33">
        <f t="shared" si="102"/>
        <v>7</v>
      </c>
      <c r="B1855" s="34">
        <v>46505</v>
      </c>
      <c r="C1855" s="7" t="s">
        <v>264</v>
      </c>
      <c r="D1855" s="35">
        <v>27</v>
      </c>
      <c r="E1855" s="33">
        <f>DAY(TableAopCalendar[[#This Row],[Date]])</f>
        <v>28</v>
      </c>
      <c r="F185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55" s="33" t="str">
        <f t="shared" si="103"/>
        <v>Week 4</v>
      </c>
      <c r="H1855" s="33" t="str">
        <f t="shared" si="104"/>
        <v>April 27 Week 4</v>
      </c>
      <c r="I1855" s="33" t="str">
        <f>CONCATENATE(UPPER(TableAopCalendar[[#This Row],[Month]])," ",TableAopCalendar[[#This Row],[Year]])</f>
        <v>APRIL 27</v>
      </c>
      <c r="J1855" s="8" t="s">
        <v>274</v>
      </c>
      <c r="K1855" s="33" t="str">
        <f>CONCATENATE(TableAopCalendar[[#This Row],[Month for Plan]]," ",TableAopCalendar[[#This Row],[Plan]])</f>
        <v>APRIL 27 PLANNED</v>
      </c>
    </row>
    <row r="1856" spans="1:11" x14ac:dyDescent="0.25">
      <c r="A1856" s="33">
        <f t="shared" si="102"/>
        <v>1</v>
      </c>
      <c r="B1856" s="34">
        <v>46506</v>
      </c>
      <c r="C1856" s="7" t="s">
        <v>264</v>
      </c>
      <c r="D1856" s="35">
        <v>27</v>
      </c>
      <c r="E1856" s="33">
        <f>DAY(TableAopCalendar[[#This Row],[Date]])</f>
        <v>29</v>
      </c>
      <c r="F1856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56" s="33" t="str">
        <f t="shared" si="103"/>
        <v>Week 5</v>
      </c>
      <c r="H1856" s="33" t="str">
        <f t="shared" si="104"/>
        <v>April 27 Week 5</v>
      </c>
      <c r="I1856" s="33" t="str">
        <f>CONCATENATE(UPPER(TableAopCalendar[[#This Row],[Month]])," ",TableAopCalendar[[#This Row],[Year]])</f>
        <v>APRIL 27</v>
      </c>
      <c r="J1856" s="8" t="s">
        <v>274</v>
      </c>
      <c r="K1856" s="33" t="str">
        <f>CONCATENATE(TableAopCalendar[[#This Row],[Month for Plan]]," ",TableAopCalendar[[#This Row],[Plan]])</f>
        <v>APRIL 27 PLANNED</v>
      </c>
    </row>
    <row r="1857" spans="1:11" x14ac:dyDescent="0.25">
      <c r="A1857" s="33">
        <f t="shared" si="102"/>
        <v>2</v>
      </c>
      <c r="B1857" s="34">
        <v>46507</v>
      </c>
      <c r="C1857" s="7" t="s">
        <v>264</v>
      </c>
      <c r="D1857" s="35">
        <v>27</v>
      </c>
      <c r="E1857" s="33">
        <f>DAY(TableAopCalendar[[#This Row],[Date]])</f>
        <v>30</v>
      </c>
      <c r="F185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57" s="33" t="str">
        <f t="shared" si="103"/>
        <v>Week 5</v>
      </c>
      <c r="H1857" s="33" t="str">
        <f t="shared" si="104"/>
        <v>April 27 Week 5</v>
      </c>
      <c r="I1857" s="33" t="str">
        <f>CONCATENATE(UPPER(TableAopCalendar[[#This Row],[Month]])," ",TableAopCalendar[[#This Row],[Year]])</f>
        <v>APRIL 27</v>
      </c>
      <c r="J1857" s="8" t="s">
        <v>274</v>
      </c>
      <c r="K1857" s="33" t="str">
        <f>CONCATENATE(TableAopCalendar[[#This Row],[Month for Plan]]," ",TableAopCalendar[[#This Row],[Plan]])</f>
        <v>APRIL 27 PLANNED</v>
      </c>
    </row>
    <row r="1858" spans="1:11" x14ac:dyDescent="0.25">
      <c r="A1858" s="33">
        <f t="shared" si="102"/>
        <v>1</v>
      </c>
      <c r="B1858" s="34">
        <v>46508</v>
      </c>
      <c r="C1858" s="7" t="s">
        <v>265</v>
      </c>
      <c r="D1858" s="35">
        <v>27</v>
      </c>
      <c r="E1858" s="33">
        <f>DAY(TableAopCalendar[[#This Row],[Date]])</f>
        <v>1</v>
      </c>
      <c r="F185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58" s="33" t="str">
        <f t="shared" si="103"/>
        <v>Week 1</v>
      </c>
      <c r="H1858" s="33" t="str">
        <f t="shared" si="104"/>
        <v>May 27 Week 1</v>
      </c>
      <c r="I1858" s="33" t="str">
        <f>CONCATENATE(UPPER(TableAopCalendar[[#This Row],[Month]])," ",TableAopCalendar[[#This Row],[Year]])</f>
        <v>MAY 27</v>
      </c>
      <c r="J1858" s="8" t="s">
        <v>274</v>
      </c>
      <c r="K1858" s="33" t="str">
        <f>CONCATENATE(TableAopCalendar[[#This Row],[Month for Plan]]," ",TableAopCalendar[[#This Row],[Plan]])</f>
        <v>MAY 27 PLANNED</v>
      </c>
    </row>
    <row r="1859" spans="1:11" x14ac:dyDescent="0.25">
      <c r="A1859" s="33">
        <f t="shared" si="102"/>
        <v>2</v>
      </c>
      <c r="B1859" s="34">
        <v>46509</v>
      </c>
      <c r="C1859" s="7" t="s">
        <v>265</v>
      </c>
      <c r="D1859" s="35">
        <v>27</v>
      </c>
      <c r="E1859" s="33">
        <f>DAY(TableAopCalendar[[#This Row],[Date]])</f>
        <v>2</v>
      </c>
      <c r="F185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59" s="33" t="str">
        <f t="shared" si="103"/>
        <v>Week 1</v>
      </c>
      <c r="H1859" s="33" t="str">
        <f t="shared" si="104"/>
        <v>May 27 Week 1</v>
      </c>
      <c r="I1859" s="33" t="str">
        <f>CONCATENATE(UPPER(TableAopCalendar[[#This Row],[Month]])," ",TableAopCalendar[[#This Row],[Year]])</f>
        <v>MAY 27</v>
      </c>
      <c r="J1859" s="8" t="s">
        <v>274</v>
      </c>
      <c r="K1859" s="33" t="str">
        <f>CONCATENATE(TableAopCalendar[[#This Row],[Month for Plan]]," ",TableAopCalendar[[#This Row],[Plan]])</f>
        <v>MAY 27 PLANNED</v>
      </c>
    </row>
    <row r="1860" spans="1:11" x14ac:dyDescent="0.25">
      <c r="A1860" s="33">
        <f t="shared" si="102"/>
        <v>3</v>
      </c>
      <c r="B1860" s="34">
        <v>46510</v>
      </c>
      <c r="C1860" s="7" t="s">
        <v>265</v>
      </c>
      <c r="D1860" s="35">
        <v>27</v>
      </c>
      <c r="E1860" s="33">
        <f>DAY(TableAopCalendar[[#This Row],[Date]])</f>
        <v>3</v>
      </c>
      <c r="F186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60" s="33" t="str">
        <f t="shared" si="103"/>
        <v>Week 1</v>
      </c>
      <c r="H1860" s="33" t="str">
        <f t="shared" si="104"/>
        <v>May 27 Week 1</v>
      </c>
      <c r="I1860" s="33" t="str">
        <f>CONCATENATE(UPPER(TableAopCalendar[[#This Row],[Month]])," ",TableAopCalendar[[#This Row],[Year]])</f>
        <v>MAY 27</v>
      </c>
      <c r="J1860" s="8" t="s">
        <v>274</v>
      </c>
      <c r="K1860" s="33" t="str">
        <f>CONCATENATE(TableAopCalendar[[#This Row],[Month for Plan]]," ",TableAopCalendar[[#This Row],[Plan]])</f>
        <v>MAY 27 PLANNED</v>
      </c>
    </row>
    <row r="1861" spans="1:11" x14ac:dyDescent="0.25">
      <c r="A1861" s="33">
        <f t="shared" si="102"/>
        <v>4</v>
      </c>
      <c r="B1861" s="34">
        <v>46511</v>
      </c>
      <c r="C1861" s="7" t="s">
        <v>265</v>
      </c>
      <c r="D1861" s="35">
        <v>27</v>
      </c>
      <c r="E1861" s="33">
        <f>DAY(TableAopCalendar[[#This Row],[Date]])</f>
        <v>4</v>
      </c>
      <c r="F186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61" s="33" t="str">
        <f t="shared" si="103"/>
        <v>Week 1</v>
      </c>
      <c r="H1861" s="33" t="str">
        <f t="shared" si="104"/>
        <v>May 27 Week 1</v>
      </c>
      <c r="I1861" s="33" t="str">
        <f>CONCATENATE(UPPER(TableAopCalendar[[#This Row],[Month]])," ",TableAopCalendar[[#This Row],[Year]])</f>
        <v>MAY 27</v>
      </c>
      <c r="J1861" s="8" t="s">
        <v>274</v>
      </c>
      <c r="K1861" s="33" t="str">
        <f>CONCATENATE(TableAopCalendar[[#This Row],[Month for Plan]]," ",TableAopCalendar[[#This Row],[Plan]])</f>
        <v>MAY 27 PLANNED</v>
      </c>
    </row>
    <row r="1862" spans="1:11" x14ac:dyDescent="0.25">
      <c r="A1862" s="33">
        <f t="shared" si="102"/>
        <v>5</v>
      </c>
      <c r="B1862" s="34">
        <v>46512</v>
      </c>
      <c r="C1862" s="7" t="s">
        <v>265</v>
      </c>
      <c r="D1862" s="35">
        <v>27</v>
      </c>
      <c r="E1862" s="33">
        <f>DAY(TableAopCalendar[[#This Row],[Date]])</f>
        <v>5</v>
      </c>
      <c r="F186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62" s="33" t="str">
        <f t="shared" si="103"/>
        <v>Week 1</v>
      </c>
      <c r="H1862" s="33" t="str">
        <f t="shared" si="104"/>
        <v>May 27 Week 1</v>
      </c>
      <c r="I1862" s="33" t="str">
        <f>CONCATENATE(UPPER(TableAopCalendar[[#This Row],[Month]])," ",TableAopCalendar[[#This Row],[Year]])</f>
        <v>MAY 27</v>
      </c>
      <c r="J1862" s="8" t="s">
        <v>274</v>
      </c>
      <c r="K1862" s="33" t="str">
        <f>CONCATENATE(TableAopCalendar[[#This Row],[Month for Plan]]," ",TableAopCalendar[[#This Row],[Plan]])</f>
        <v>MAY 27 PLANNED</v>
      </c>
    </row>
    <row r="1863" spans="1:11" x14ac:dyDescent="0.25">
      <c r="A1863" s="33">
        <f t="shared" si="102"/>
        <v>6</v>
      </c>
      <c r="B1863" s="34">
        <v>46513</v>
      </c>
      <c r="C1863" s="7" t="s">
        <v>265</v>
      </c>
      <c r="D1863" s="35">
        <v>27</v>
      </c>
      <c r="E1863" s="33">
        <f>DAY(TableAopCalendar[[#This Row],[Date]])</f>
        <v>6</v>
      </c>
      <c r="F186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63" s="33" t="str">
        <f t="shared" si="103"/>
        <v>Week 1</v>
      </c>
      <c r="H1863" s="33" t="str">
        <f t="shared" si="104"/>
        <v>May 27 Week 1</v>
      </c>
      <c r="I1863" s="33" t="str">
        <f>CONCATENATE(UPPER(TableAopCalendar[[#This Row],[Month]])," ",TableAopCalendar[[#This Row],[Year]])</f>
        <v>MAY 27</v>
      </c>
      <c r="J1863" s="8" t="s">
        <v>274</v>
      </c>
      <c r="K1863" s="33" t="str">
        <f>CONCATENATE(TableAopCalendar[[#This Row],[Month for Plan]]," ",TableAopCalendar[[#This Row],[Plan]])</f>
        <v>MAY 27 PLANNED</v>
      </c>
    </row>
    <row r="1864" spans="1:11" x14ac:dyDescent="0.25">
      <c r="A1864" s="33">
        <f t="shared" si="102"/>
        <v>7</v>
      </c>
      <c r="B1864" s="34">
        <v>46514</v>
      </c>
      <c r="C1864" s="7" t="s">
        <v>265</v>
      </c>
      <c r="D1864" s="35">
        <v>27</v>
      </c>
      <c r="E1864" s="33">
        <f>DAY(TableAopCalendar[[#This Row],[Date]])</f>
        <v>7</v>
      </c>
      <c r="F186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64" s="33" t="str">
        <f t="shared" si="103"/>
        <v>Week 1</v>
      </c>
      <c r="H1864" s="33" t="str">
        <f t="shared" si="104"/>
        <v>May 27 Week 1</v>
      </c>
      <c r="I1864" s="33" t="str">
        <f>CONCATENATE(UPPER(TableAopCalendar[[#This Row],[Month]])," ",TableAopCalendar[[#This Row],[Year]])</f>
        <v>MAY 27</v>
      </c>
      <c r="J1864" s="8" t="s">
        <v>274</v>
      </c>
      <c r="K1864" s="33" t="str">
        <f>CONCATENATE(TableAopCalendar[[#This Row],[Month for Plan]]," ",TableAopCalendar[[#This Row],[Plan]])</f>
        <v>MAY 27 PLANNED</v>
      </c>
    </row>
    <row r="1865" spans="1:11" x14ac:dyDescent="0.25">
      <c r="A1865" s="33">
        <f t="shared" si="102"/>
        <v>1</v>
      </c>
      <c r="B1865" s="34">
        <v>46515</v>
      </c>
      <c r="C1865" s="7" t="s">
        <v>265</v>
      </c>
      <c r="D1865" s="35">
        <v>27</v>
      </c>
      <c r="E1865" s="33">
        <f>DAY(TableAopCalendar[[#This Row],[Date]])</f>
        <v>8</v>
      </c>
      <c r="F186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65" s="33" t="str">
        <f t="shared" si="103"/>
        <v>Week 2</v>
      </c>
      <c r="H1865" s="33" t="str">
        <f t="shared" si="104"/>
        <v>May 27 Week 2</v>
      </c>
      <c r="I1865" s="33" t="str">
        <f>CONCATENATE(UPPER(TableAopCalendar[[#This Row],[Month]])," ",TableAopCalendar[[#This Row],[Year]])</f>
        <v>MAY 27</v>
      </c>
      <c r="J1865" s="8" t="s">
        <v>274</v>
      </c>
      <c r="K1865" s="33" t="str">
        <f>CONCATENATE(TableAopCalendar[[#This Row],[Month for Plan]]," ",TableAopCalendar[[#This Row],[Plan]])</f>
        <v>MAY 27 PLANNED</v>
      </c>
    </row>
    <row r="1866" spans="1:11" x14ac:dyDescent="0.25">
      <c r="A1866" s="33">
        <f t="shared" si="102"/>
        <v>2</v>
      </c>
      <c r="B1866" s="34">
        <v>46516</v>
      </c>
      <c r="C1866" s="7" t="s">
        <v>265</v>
      </c>
      <c r="D1866" s="35">
        <v>27</v>
      </c>
      <c r="E1866" s="33">
        <f>DAY(TableAopCalendar[[#This Row],[Date]])</f>
        <v>9</v>
      </c>
      <c r="F186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66" s="33" t="str">
        <f t="shared" si="103"/>
        <v>Week 2</v>
      </c>
      <c r="H1866" s="33" t="str">
        <f t="shared" si="104"/>
        <v>May 27 Week 2</v>
      </c>
      <c r="I1866" s="33" t="str">
        <f>CONCATENATE(UPPER(TableAopCalendar[[#This Row],[Month]])," ",TableAopCalendar[[#This Row],[Year]])</f>
        <v>MAY 27</v>
      </c>
      <c r="J1866" s="8" t="s">
        <v>274</v>
      </c>
      <c r="K1866" s="33" t="str">
        <f>CONCATENATE(TableAopCalendar[[#This Row],[Month for Plan]]," ",TableAopCalendar[[#This Row],[Plan]])</f>
        <v>MAY 27 PLANNED</v>
      </c>
    </row>
    <row r="1867" spans="1:11" x14ac:dyDescent="0.25">
      <c r="A1867" s="33">
        <f t="shared" si="102"/>
        <v>3</v>
      </c>
      <c r="B1867" s="34">
        <v>46517</v>
      </c>
      <c r="C1867" s="7" t="s">
        <v>265</v>
      </c>
      <c r="D1867" s="35">
        <v>27</v>
      </c>
      <c r="E1867" s="33">
        <f>DAY(TableAopCalendar[[#This Row],[Date]])</f>
        <v>10</v>
      </c>
      <c r="F186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67" s="33" t="str">
        <f t="shared" si="103"/>
        <v>Week 2</v>
      </c>
      <c r="H1867" s="33" t="str">
        <f t="shared" si="104"/>
        <v>May 27 Week 2</v>
      </c>
      <c r="I1867" s="33" t="str">
        <f>CONCATENATE(UPPER(TableAopCalendar[[#This Row],[Month]])," ",TableAopCalendar[[#This Row],[Year]])</f>
        <v>MAY 27</v>
      </c>
      <c r="J1867" s="8" t="s">
        <v>274</v>
      </c>
      <c r="K1867" s="33" t="str">
        <f>CONCATENATE(TableAopCalendar[[#This Row],[Month for Plan]]," ",TableAopCalendar[[#This Row],[Plan]])</f>
        <v>MAY 27 PLANNED</v>
      </c>
    </row>
    <row r="1868" spans="1:11" x14ac:dyDescent="0.25">
      <c r="A1868" s="33">
        <f t="shared" si="102"/>
        <v>4</v>
      </c>
      <c r="B1868" s="34">
        <v>46518</v>
      </c>
      <c r="C1868" s="7" t="s">
        <v>265</v>
      </c>
      <c r="D1868" s="35">
        <v>27</v>
      </c>
      <c r="E1868" s="33">
        <f>DAY(TableAopCalendar[[#This Row],[Date]])</f>
        <v>11</v>
      </c>
      <c r="F186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68" s="33" t="str">
        <f t="shared" si="103"/>
        <v>Week 2</v>
      </c>
      <c r="H1868" s="33" t="str">
        <f t="shared" si="104"/>
        <v>May 27 Week 2</v>
      </c>
      <c r="I1868" s="33" t="str">
        <f>CONCATENATE(UPPER(TableAopCalendar[[#This Row],[Month]])," ",TableAopCalendar[[#This Row],[Year]])</f>
        <v>MAY 27</v>
      </c>
      <c r="J1868" s="8" t="s">
        <v>274</v>
      </c>
      <c r="K1868" s="33" t="str">
        <f>CONCATENATE(TableAopCalendar[[#This Row],[Month for Plan]]," ",TableAopCalendar[[#This Row],[Plan]])</f>
        <v>MAY 27 PLANNED</v>
      </c>
    </row>
    <row r="1869" spans="1:11" x14ac:dyDescent="0.25">
      <c r="A1869" s="33">
        <f t="shared" si="102"/>
        <v>5</v>
      </c>
      <c r="B1869" s="34">
        <v>46519</v>
      </c>
      <c r="C1869" s="7" t="s">
        <v>265</v>
      </c>
      <c r="D1869" s="35">
        <v>27</v>
      </c>
      <c r="E1869" s="33">
        <f>DAY(TableAopCalendar[[#This Row],[Date]])</f>
        <v>12</v>
      </c>
      <c r="F186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69" s="33" t="str">
        <f t="shared" si="103"/>
        <v>Week 2</v>
      </c>
      <c r="H1869" s="33" t="str">
        <f t="shared" si="104"/>
        <v>May 27 Week 2</v>
      </c>
      <c r="I1869" s="33" t="str">
        <f>CONCATENATE(UPPER(TableAopCalendar[[#This Row],[Month]])," ",TableAopCalendar[[#This Row],[Year]])</f>
        <v>MAY 27</v>
      </c>
      <c r="J1869" s="8" t="s">
        <v>274</v>
      </c>
      <c r="K1869" s="33" t="str">
        <f>CONCATENATE(TableAopCalendar[[#This Row],[Month for Plan]]," ",TableAopCalendar[[#This Row],[Plan]])</f>
        <v>MAY 27 PLANNED</v>
      </c>
    </row>
    <row r="1870" spans="1:11" x14ac:dyDescent="0.25">
      <c r="A1870" s="33">
        <f t="shared" si="102"/>
        <v>6</v>
      </c>
      <c r="B1870" s="34">
        <v>46520</v>
      </c>
      <c r="C1870" s="7" t="s">
        <v>265</v>
      </c>
      <c r="D1870" s="35">
        <v>27</v>
      </c>
      <c r="E1870" s="33">
        <f>DAY(TableAopCalendar[[#This Row],[Date]])</f>
        <v>13</v>
      </c>
      <c r="F187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70" s="33" t="str">
        <f t="shared" si="103"/>
        <v>Week 2</v>
      </c>
      <c r="H1870" s="33" t="str">
        <f t="shared" si="104"/>
        <v>May 27 Week 2</v>
      </c>
      <c r="I1870" s="33" t="str">
        <f>CONCATENATE(UPPER(TableAopCalendar[[#This Row],[Month]])," ",TableAopCalendar[[#This Row],[Year]])</f>
        <v>MAY 27</v>
      </c>
      <c r="J1870" s="8" t="s">
        <v>274</v>
      </c>
      <c r="K1870" s="33" t="str">
        <f>CONCATENATE(TableAopCalendar[[#This Row],[Month for Plan]]," ",TableAopCalendar[[#This Row],[Plan]])</f>
        <v>MAY 27 PLANNED</v>
      </c>
    </row>
    <row r="1871" spans="1:11" x14ac:dyDescent="0.25">
      <c r="A1871" s="33">
        <f t="shared" si="102"/>
        <v>7</v>
      </c>
      <c r="B1871" s="34">
        <v>46521</v>
      </c>
      <c r="C1871" s="7" t="s">
        <v>265</v>
      </c>
      <c r="D1871" s="35">
        <v>27</v>
      </c>
      <c r="E1871" s="33">
        <f>DAY(TableAopCalendar[[#This Row],[Date]])</f>
        <v>14</v>
      </c>
      <c r="F187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71" s="33" t="str">
        <f t="shared" si="103"/>
        <v>Week 2</v>
      </c>
      <c r="H1871" s="33" t="str">
        <f t="shared" si="104"/>
        <v>May 27 Week 2</v>
      </c>
      <c r="I1871" s="33" t="str">
        <f>CONCATENATE(UPPER(TableAopCalendar[[#This Row],[Month]])," ",TableAopCalendar[[#This Row],[Year]])</f>
        <v>MAY 27</v>
      </c>
      <c r="J1871" s="8" t="s">
        <v>274</v>
      </c>
      <c r="K1871" s="33" t="str">
        <f>CONCATENATE(TableAopCalendar[[#This Row],[Month for Plan]]," ",TableAopCalendar[[#This Row],[Plan]])</f>
        <v>MAY 27 PLANNED</v>
      </c>
    </row>
    <row r="1872" spans="1:11" x14ac:dyDescent="0.25">
      <c r="A1872" s="33">
        <f t="shared" si="102"/>
        <v>1</v>
      </c>
      <c r="B1872" s="34">
        <v>46522</v>
      </c>
      <c r="C1872" s="7" t="s">
        <v>265</v>
      </c>
      <c r="D1872" s="35">
        <v>27</v>
      </c>
      <c r="E1872" s="33">
        <f>DAY(TableAopCalendar[[#This Row],[Date]])</f>
        <v>15</v>
      </c>
      <c r="F187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72" s="33" t="str">
        <f t="shared" si="103"/>
        <v>Week 3</v>
      </c>
      <c r="H1872" s="33" t="str">
        <f t="shared" si="104"/>
        <v>May 27 Week 3</v>
      </c>
      <c r="I1872" s="33" t="str">
        <f>CONCATENATE(UPPER(TableAopCalendar[[#This Row],[Month]])," ",TableAopCalendar[[#This Row],[Year]])</f>
        <v>MAY 27</v>
      </c>
      <c r="J1872" s="8" t="s">
        <v>274</v>
      </c>
      <c r="K1872" s="33" t="str">
        <f>CONCATENATE(TableAopCalendar[[#This Row],[Month for Plan]]," ",TableAopCalendar[[#This Row],[Plan]])</f>
        <v>MAY 27 PLANNED</v>
      </c>
    </row>
    <row r="1873" spans="1:11" x14ac:dyDescent="0.25">
      <c r="A1873" s="33">
        <f t="shared" si="102"/>
        <v>2</v>
      </c>
      <c r="B1873" s="34">
        <v>46523</v>
      </c>
      <c r="C1873" s="7" t="s">
        <v>265</v>
      </c>
      <c r="D1873" s="35">
        <v>27</v>
      </c>
      <c r="E1873" s="33">
        <f>DAY(TableAopCalendar[[#This Row],[Date]])</f>
        <v>16</v>
      </c>
      <c r="F187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73" s="33" t="str">
        <f t="shared" si="103"/>
        <v>Week 3</v>
      </c>
      <c r="H1873" s="33" t="str">
        <f t="shared" si="104"/>
        <v>May 27 Week 3</v>
      </c>
      <c r="I1873" s="33" t="str">
        <f>CONCATENATE(UPPER(TableAopCalendar[[#This Row],[Month]])," ",TableAopCalendar[[#This Row],[Year]])</f>
        <v>MAY 27</v>
      </c>
      <c r="J1873" s="8" t="s">
        <v>274</v>
      </c>
      <c r="K1873" s="33" t="str">
        <f>CONCATENATE(TableAopCalendar[[#This Row],[Month for Plan]]," ",TableAopCalendar[[#This Row],[Plan]])</f>
        <v>MAY 27 PLANNED</v>
      </c>
    </row>
    <row r="1874" spans="1:11" x14ac:dyDescent="0.25">
      <c r="A1874" s="33">
        <f t="shared" si="102"/>
        <v>3</v>
      </c>
      <c r="B1874" s="34">
        <v>46524</v>
      </c>
      <c r="C1874" s="7" t="s">
        <v>265</v>
      </c>
      <c r="D1874" s="35">
        <v>27</v>
      </c>
      <c r="E1874" s="33">
        <f>DAY(TableAopCalendar[[#This Row],[Date]])</f>
        <v>17</v>
      </c>
      <c r="F187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74" s="33" t="str">
        <f t="shared" si="103"/>
        <v>Week 3</v>
      </c>
      <c r="H1874" s="33" t="str">
        <f t="shared" si="104"/>
        <v>May 27 Week 3</v>
      </c>
      <c r="I1874" s="33" t="str">
        <f>CONCATENATE(UPPER(TableAopCalendar[[#This Row],[Month]])," ",TableAopCalendar[[#This Row],[Year]])</f>
        <v>MAY 27</v>
      </c>
      <c r="J1874" s="8" t="s">
        <v>274</v>
      </c>
      <c r="K1874" s="33" t="str">
        <f>CONCATENATE(TableAopCalendar[[#This Row],[Month for Plan]]," ",TableAopCalendar[[#This Row],[Plan]])</f>
        <v>MAY 27 PLANNED</v>
      </c>
    </row>
    <row r="1875" spans="1:11" x14ac:dyDescent="0.25">
      <c r="A1875" s="33">
        <f t="shared" si="102"/>
        <v>4</v>
      </c>
      <c r="B1875" s="34">
        <v>46525</v>
      </c>
      <c r="C1875" s="7" t="s">
        <v>265</v>
      </c>
      <c r="D1875" s="35">
        <v>27</v>
      </c>
      <c r="E1875" s="33">
        <f>DAY(TableAopCalendar[[#This Row],[Date]])</f>
        <v>18</v>
      </c>
      <c r="F187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75" s="33" t="str">
        <f t="shared" si="103"/>
        <v>Week 3</v>
      </c>
      <c r="H1875" s="33" t="str">
        <f t="shared" si="104"/>
        <v>May 27 Week 3</v>
      </c>
      <c r="I1875" s="33" t="str">
        <f>CONCATENATE(UPPER(TableAopCalendar[[#This Row],[Month]])," ",TableAopCalendar[[#This Row],[Year]])</f>
        <v>MAY 27</v>
      </c>
      <c r="J1875" s="8" t="s">
        <v>274</v>
      </c>
      <c r="K1875" s="33" t="str">
        <f>CONCATENATE(TableAopCalendar[[#This Row],[Month for Plan]]," ",TableAopCalendar[[#This Row],[Plan]])</f>
        <v>MAY 27 PLANNED</v>
      </c>
    </row>
    <row r="1876" spans="1:11" x14ac:dyDescent="0.25">
      <c r="A1876" s="33">
        <f t="shared" si="102"/>
        <v>5</v>
      </c>
      <c r="B1876" s="34">
        <v>46526</v>
      </c>
      <c r="C1876" s="7" t="s">
        <v>265</v>
      </c>
      <c r="D1876" s="35">
        <v>27</v>
      </c>
      <c r="E1876" s="33">
        <f>DAY(TableAopCalendar[[#This Row],[Date]])</f>
        <v>19</v>
      </c>
      <c r="F187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76" s="33" t="str">
        <f t="shared" si="103"/>
        <v>Week 3</v>
      </c>
      <c r="H1876" s="33" t="str">
        <f t="shared" si="104"/>
        <v>May 27 Week 3</v>
      </c>
      <c r="I1876" s="33" t="str">
        <f>CONCATENATE(UPPER(TableAopCalendar[[#This Row],[Month]])," ",TableAopCalendar[[#This Row],[Year]])</f>
        <v>MAY 27</v>
      </c>
      <c r="J1876" s="8" t="s">
        <v>274</v>
      </c>
      <c r="K1876" s="33" t="str">
        <f>CONCATENATE(TableAopCalendar[[#This Row],[Month for Plan]]," ",TableAopCalendar[[#This Row],[Plan]])</f>
        <v>MAY 27 PLANNED</v>
      </c>
    </row>
    <row r="1877" spans="1:11" x14ac:dyDescent="0.25">
      <c r="A1877" s="33">
        <f t="shared" si="102"/>
        <v>6</v>
      </c>
      <c r="B1877" s="34">
        <v>46527</v>
      </c>
      <c r="C1877" s="7" t="s">
        <v>265</v>
      </c>
      <c r="D1877" s="35">
        <v>27</v>
      </c>
      <c r="E1877" s="33">
        <f>DAY(TableAopCalendar[[#This Row],[Date]])</f>
        <v>20</v>
      </c>
      <c r="F187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77" s="33" t="str">
        <f t="shared" si="103"/>
        <v>Week 3</v>
      </c>
      <c r="H1877" s="33" t="str">
        <f t="shared" si="104"/>
        <v>May 27 Week 3</v>
      </c>
      <c r="I1877" s="33" t="str">
        <f>CONCATENATE(UPPER(TableAopCalendar[[#This Row],[Month]])," ",TableAopCalendar[[#This Row],[Year]])</f>
        <v>MAY 27</v>
      </c>
      <c r="J1877" s="8" t="s">
        <v>274</v>
      </c>
      <c r="K1877" s="33" t="str">
        <f>CONCATENATE(TableAopCalendar[[#This Row],[Month for Plan]]," ",TableAopCalendar[[#This Row],[Plan]])</f>
        <v>MAY 27 PLANNED</v>
      </c>
    </row>
    <row r="1878" spans="1:11" x14ac:dyDescent="0.25">
      <c r="A1878" s="33">
        <f t="shared" si="102"/>
        <v>7</v>
      </c>
      <c r="B1878" s="34">
        <v>46528</v>
      </c>
      <c r="C1878" s="7" t="s">
        <v>265</v>
      </c>
      <c r="D1878" s="35">
        <v>27</v>
      </c>
      <c r="E1878" s="33">
        <f>DAY(TableAopCalendar[[#This Row],[Date]])</f>
        <v>21</v>
      </c>
      <c r="F187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878" s="33" t="str">
        <f t="shared" si="103"/>
        <v>Week 3</v>
      </c>
      <c r="H1878" s="33" t="str">
        <f t="shared" si="104"/>
        <v>May 27 Week 3</v>
      </c>
      <c r="I1878" s="33" t="str">
        <f>CONCATENATE(UPPER(TableAopCalendar[[#This Row],[Month]])," ",TableAopCalendar[[#This Row],[Year]])</f>
        <v>MAY 27</v>
      </c>
      <c r="J1878" s="8" t="s">
        <v>274</v>
      </c>
      <c r="K1878" s="33" t="str">
        <f>CONCATENATE(TableAopCalendar[[#This Row],[Month for Plan]]," ",TableAopCalendar[[#This Row],[Plan]])</f>
        <v>MAY 27 PLANNED</v>
      </c>
    </row>
    <row r="1879" spans="1:11" x14ac:dyDescent="0.25">
      <c r="A1879" s="33">
        <f t="shared" si="102"/>
        <v>1</v>
      </c>
      <c r="B1879" s="34">
        <v>46529</v>
      </c>
      <c r="C1879" s="7" t="s">
        <v>265</v>
      </c>
      <c r="D1879" s="35">
        <v>27</v>
      </c>
      <c r="E1879" s="33">
        <f>DAY(TableAopCalendar[[#This Row],[Date]])</f>
        <v>22</v>
      </c>
      <c r="F187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79" s="33" t="str">
        <f t="shared" si="103"/>
        <v>Week 4</v>
      </c>
      <c r="H1879" s="33" t="str">
        <f t="shared" si="104"/>
        <v>May 27 Week 4</v>
      </c>
      <c r="I1879" s="33" t="str">
        <f>CONCATENATE(UPPER(TableAopCalendar[[#This Row],[Month]])," ",TableAopCalendar[[#This Row],[Year]])</f>
        <v>MAY 27</v>
      </c>
      <c r="J1879" s="8" t="s">
        <v>274</v>
      </c>
      <c r="K1879" s="33" t="str">
        <f>CONCATENATE(TableAopCalendar[[#This Row],[Month for Plan]]," ",TableAopCalendar[[#This Row],[Plan]])</f>
        <v>MAY 27 PLANNED</v>
      </c>
    </row>
    <row r="1880" spans="1:11" x14ac:dyDescent="0.25">
      <c r="A1880" s="33">
        <f t="shared" si="102"/>
        <v>2</v>
      </c>
      <c r="B1880" s="34">
        <v>46530</v>
      </c>
      <c r="C1880" s="7" t="s">
        <v>265</v>
      </c>
      <c r="D1880" s="35">
        <v>27</v>
      </c>
      <c r="E1880" s="33">
        <f>DAY(TableAopCalendar[[#This Row],[Date]])</f>
        <v>23</v>
      </c>
      <c r="F188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80" s="33" t="str">
        <f t="shared" si="103"/>
        <v>Week 4</v>
      </c>
      <c r="H1880" s="33" t="str">
        <f t="shared" si="104"/>
        <v>May 27 Week 4</v>
      </c>
      <c r="I1880" s="33" t="str">
        <f>CONCATENATE(UPPER(TableAopCalendar[[#This Row],[Month]])," ",TableAopCalendar[[#This Row],[Year]])</f>
        <v>MAY 27</v>
      </c>
      <c r="J1880" s="8" t="s">
        <v>274</v>
      </c>
      <c r="K1880" s="33" t="str">
        <f>CONCATENATE(TableAopCalendar[[#This Row],[Month for Plan]]," ",TableAopCalendar[[#This Row],[Plan]])</f>
        <v>MAY 27 PLANNED</v>
      </c>
    </row>
    <row r="1881" spans="1:11" x14ac:dyDescent="0.25">
      <c r="A1881" s="33">
        <f t="shared" si="102"/>
        <v>3</v>
      </c>
      <c r="B1881" s="34">
        <v>46531</v>
      </c>
      <c r="C1881" s="7" t="s">
        <v>265</v>
      </c>
      <c r="D1881" s="35">
        <v>27</v>
      </c>
      <c r="E1881" s="33">
        <f>DAY(TableAopCalendar[[#This Row],[Date]])</f>
        <v>24</v>
      </c>
      <c r="F188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81" s="33" t="str">
        <f t="shared" si="103"/>
        <v>Week 4</v>
      </c>
      <c r="H1881" s="33" t="str">
        <f t="shared" si="104"/>
        <v>May 27 Week 4</v>
      </c>
      <c r="I1881" s="33" t="str">
        <f>CONCATENATE(UPPER(TableAopCalendar[[#This Row],[Month]])," ",TableAopCalendar[[#This Row],[Year]])</f>
        <v>MAY 27</v>
      </c>
      <c r="J1881" s="8" t="s">
        <v>274</v>
      </c>
      <c r="K1881" s="33" t="str">
        <f>CONCATENATE(TableAopCalendar[[#This Row],[Month for Plan]]," ",TableAopCalendar[[#This Row],[Plan]])</f>
        <v>MAY 27 PLANNED</v>
      </c>
    </row>
    <row r="1882" spans="1:11" x14ac:dyDescent="0.25">
      <c r="A1882" s="33">
        <f t="shared" si="102"/>
        <v>4</v>
      </c>
      <c r="B1882" s="34">
        <v>46532</v>
      </c>
      <c r="C1882" s="7" t="s">
        <v>265</v>
      </c>
      <c r="D1882" s="35">
        <v>27</v>
      </c>
      <c r="E1882" s="33">
        <f>DAY(TableAopCalendar[[#This Row],[Date]])</f>
        <v>25</v>
      </c>
      <c r="F188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82" s="33" t="str">
        <f t="shared" si="103"/>
        <v>Week 4</v>
      </c>
      <c r="H1882" s="33" t="str">
        <f t="shared" si="104"/>
        <v>May 27 Week 4</v>
      </c>
      <c r="I1882" s="33" t="str">
        <f>CONCATENATE(UPPER(TableAopCalendar[[#This Row],[Month]])," ",TableAopCalendar[[#This Row],[Year]])</f>
        <v>MAY 27</v>
      </c>
      <c r="J1882" s="8" t="s">
        <v>274</v>
      </c>
      <c r="K1882" s="33" t="str">
        <f>CONCATENATE(TableAopCalendar[[#This Row],[Month for Plan]]," ",TableAopCalendar[[#This Row],[Plan]])</f>
        <v>MAY 27 PLANNED</v>
      </c>
    </row>
    <row r="1883" spans="1:11" x14ac:dyDescent="0.25">
      <c r="A1883" s="33">
        <f t="shared" si="102"/>
        <v>5</v>
      </c>
      <c r="B1883" s="34">
        <v>46533</v>
      </c>
      <c r="C1883" s="7" t="s">
        <v>265</v>
      </c>
      <c r="D1883" s="35">
        <v>27</v>
      </c>
      <c r="E1883" s="33">
        <f>DAY(TableAopCalendar[[#This Row],[Date]])</f>
        <v>26</v>
      </c>
      <c r="F188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83" s="33" t="str">
        <f t="shared" si="103"/>
        <v>Week 4</v>
      </c>
      <c r="H1883" s="33" t="str">
        <f t="shared" si="104"/>
        <v>May 27 Week 4</v>
      </c>
      <c r="I1883" s="33" t="str">
        <f>CONCATENATE(UPPER(TableAopCalendar[[#This Row],[Month]])," ",TableAopCalendar[[#This Row],[Year]])</f>
        <v>MAY 27</v>
      </c>
      <c r="J1883" s="8" t="s">
        <v>274</v>
      </c>
      <c r="K1883" s="33" t="str">
        <f>CONCATENATE(TableAopCalendar[[#This Row],[Month for Plan]]," ",TableAopCalendar[[#This Row],[Plan]])</f>
        <v>MAY 27 PLANNED</v>
      </c>
    </row>
    <row r="1884" spans="1:11" x14ac:dyDescent="0.25">
      <c r="A1884" s="33">
        <f t="shared" si="102"/>
        <v>6</v>
      </c>
      <c r="B1884" s="34">
        <v>46534</v>
      </c>
      <c r="C1884" s="7" t="s">
        <v>265</v>
      </c>
      <c r="D1884" s="35">
        <v>27</v>
      </c>
      <c r="E1884" s="33">
        <f>DAY(TableAopCalendar[[#This Row],[Date]])</f>
        <v>27</v>
      </c>
      <c r="F188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84" s="33" t="str">
        <f t="shared" si="103"/>
        <v>Week 4</v>
      </c>
      <c r="H1884" s="33" t="str">
        <f t="shared" si="104"/>
        <v>May 27 Week 4</v>
      </c>
      <c r="I1884" s="33" t="str">
        <f>CONCATENATE(UPPER(TableAopCalendar[[#This Row],[Month]])," ",TableAopCalendar[[#This Row],[Year]])</f>
        <v>MAY 27</v>
      </c>
      <c r="J1884" s="8" t="s">
        <v>274</v>
      </c>
      <c r="K1884" s="33" t="str">
        <f>CONCATENATE(TableAopCalendar[[#This Row],[Month for Plan]]," ",TableAopCalendar[[#This Row],[Plan]])</f>
        <v>MAY 27 PLANNED</v>
      </c>
    </row>
    <row r="1885" spans="1:11" x14ac:dyDescent="0.25">
      <c r="A1885" s="33">
        <f t="shared" si="102"/>
        <v>7</v>
      </c>
      <c r="B1885" s="34">
        <v>46535</v>
      </c>
      <c r="C1885" s="7" t="s">
        <v>265</v>
      </c>
      <c r="D1885" s="35">
        <v>27</v>
      </c>
      <c r="E1885" s="33">
        <f>DAY(TableAopCalendar[[#This Row],[Date]])</f>
        <v>28</v>
      </c>
      <c r="F188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885" s="33" t="str">
        <f t="shared" si="103"/>
        <v>Week 4</v>
      </c>
      <c r="H1885" s="33" t="str">
        <f t="shared" si="104"/>
        <v>May 27 Week 4</v>
      </c>
      <c r="I1885" s="33" t="str">
        <f>CONCATENATE(UPPER(TableAopCalendar[[#This Row],[Month]])," ",TableAopCalendar[[#This Row],[Year]])</f>
        <v>MAY 27</v>
      </c>
      <c r="J1885" s="8" t="s">
        <v>274</v>
      </c>
      <c r="K1885" s="33" t="str">
        <f>CONCATENATE(TableAopCalendar[[#This Row],[Month for Plan]]," ",TableAopCalendar[[#This Row],[Plan]])</f>
        <v>MAY 27 PLANNED</v>
      </c>
    </row>
    <row r="1886" spans="1:11" x14ac:dyDescent="0.25">
      <c r="A1886" s="33">
        <f t="shared" si="102"/>
        <v>1</v>
      </c>
      <c r="B1886" s="34">
        <v>46536</v>
      </c>
      <c r="C1886" s="7" t="s">
        <v>265</v>
      </c>
      <c r="D1886" s="35">
        <v>27</v>
      </c>
      <c r="E1886" s="33">
        <f>DAY(TableAopCalendar[[#This Row],[Date]])</f>
        <v>29</v>
      </c>
      <c r="F1886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86" s="33" t="str">
        <f t="shared" si="103"/>
        <v>Week 5</v>
      </c>
      <c r="H1886" s="33" t="str">
        <f t="shared" si="104"/>
        <v>May 27 Week 5</v>
      </c>
      <c r="I1886" s="33" t="str">
        <f>CONCATENATE(UPPER(TableAopCalendar[[#This Row],[Month]])," ",TableAopCalendar[[#This Row],[Year]])</f>
        <v>MAY 27</v>
      </c>
      <c r="J1886" s="8" t="s">
        <v>274</v>
      </c>
      <c r="K1886" s="33" t="str">
        <f>CONCATENATE(TableAopCalendar[[#This Row],[Month for Plan]]," ",TableAopCalendar[[#This Row],[Plan]])</f>
        <v>MAY 27 PLANNED</v>
      </c>
    </row>
    <row r="1887" spans="1:11" x14ac:dyDescent="0.25">
      <c r="A1887" s="33">
        <f t="shared" si="102"/>
        <v>2</v>
      </c>
      <c r="B1887" s="34">
        <v>46537</v>
      </c>
      <c r="C1887" s="7" t="s">
        <v>265</v>
      </c>
      <c r="D1887" s="35">
        <v>27</v>
      </c>
      <c r="E1887" s="33">
        <f>DAY(TableAopCalendar[[#This Row],[Date]])</f>
        <v>30</v>
      </c>
      <c r="F188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87" s="33" t="str">
        <f t="shared" si="103"/>
        <v>Week 5</v>
      </c>
      <c r="H1887" s="33" t="str">
        <f t="shared" si="104"/>
        <v>May 27 Week 5</v>
      </c>
      <c r="I1887" s="33" t="str">
        <f>CONCATENATE(UPPER(TableAopCalendar[[#This Row],[Month]])," ",TableAopCalendar[[#This Row],[Year]])</f>
        <v>MAY 27</v>
      </c>
      <c r="J1887" s="8" t="s">
        <v>274</v>
      </c>
      <c r="K1887" s="33" t="str">
        <f>CONCATENATE(TableAopCalendar[[#This Row],[Month for Plan]]," ",TableAopCalendar[[#This Row],[Plan]])</f>
        <v>MAY 27 PLANNED</v>
      </c>
    </row>
    <row r="1888" spans="1:11" x14ac:dyDescent="0.25">
      <c r="A1888" s="33">
        <f t="shared" si="102"/>
        <v>3</v>
      </c>
      <c r="B1888" s="34">
        <v>46538</v>
      </c>
      <c r="C1888" s="7" t="s">
        <v>265</v>
      </c>
      <c r="D1888" s="35">
        <v>27</v>
      </c>
      <c r="E1888" s="33">
        <f>DAY(TableAopCalendar[[#This Row],[Date]])</f>
        <v>31</v>
      </c>
      <c r="F188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888" s="33" t="str">
        <f t="shared" si="103"/>
        <v>Week 5</v>
      </c>
      <c r="H1888" s="33" t="str">
        <f t="shared" si="104"/>
        <v>May 27 Week 5</v>
      </c>
      <c r="I1888" s="33" t="str">
        <f>CONCATENATE(UPPER(TableAopCalendar[[#This Row],[Month]])," ",TableAopCalendar[[#This Row],[Year]])</f>
        <v>MAY 27</v>
      </c>
      <c r="J1888" s="8" t="s">
        <v>274</v>
      </c>
      <c r="K1888" s="33" t="str">
        <f>CONCATENATE(TableAopCalendar[[#This Row],[Month for Plan]]," ",TableAopCalendar[[#This Row],[Plan]])</f>
        <v>MAY 27 PLANNED</v>
      </c>
    </row>
    <row r="1889" spans="1:11" x14ac:dyDescent="0.25">
      <c r="A1889" s="33">
        <f t="shared" si="102"/>
        <v>1</v>
      </c>
      <c r="B1889" s="34">
        <v>46539</v>
      </c>
      <c r="C1889" s="7" t="s">
        <v>266</v>
      </c>
      <c r="D1889" s="35">
        <v>27</v>
      </c>
      <c r="E1889" s="33">
        <f>DAY(TableAopCalendar[[#This Row],[Date]])</f>
        <v>1</v>
      </c>
      <c r="F188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89" s="33" t="str">
        <f t="shared" si="103"/>
        <v>Week 1</v>
      </c>
      <c r="H1889" s="33" t="str">
        <f t="shared" si="104"/>
        <v>June 27 Week 1</v>
      </c>
      <c r="I1889" s="33" t="str">
        <f>CONCATENATE(UPPER(TableAopCalendar[[#This Row],[Month]])," ",TableAopCalendar[[#This Row],[Year]])</f>
        <v>JUNE 27</v>
      </c>
      <c r="J1889" s="8" t="s">
        <v>274</v>
      </c>
      <c r="K1889" s="33" t="str">
        <f>CONCATENATE(TableAopCalendar[[#This Row],[Month for Plan]]," ",TableAopCalendar[[#This Row],[Plan]])</f>
        <v>JUNE 27 PLANNED</v>
      </c>
    </row>
    <row r="1890" spans="1:11" x14ac:dyDescent="0.25">
      <c r="A1890" s="33">
        <f t="shared" si="102"/>
        <v>2</v>
      </c>
      <c r="B1890" s="34">
        <v>46540</v>
      </c>
      <c r="C1890" s="7" t="s">
        <v>266</v>
      </c>
      <c r="D1890" s="35">
        <v>27</v>
      </c>
      <c r="E1890" s="33">
        <f>DAY(TableAopCalendar[[#This Row],[Date]])</f>
        <v>2</v>
      </c>
      <c r="F189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90" s="33" t="str">
        <f t="shared" si="103"/>
        <v>Week 1</v>
      </c>
      <c r="H1890" s="33" t="str">
        <f t="shared" si="104"/>
        <v>June 27 Week 1</v>
      </c>
      <c r="I1890" s="33" t="str">
        <f>CONCATENATE(UPPER(TableAopCalendar[[#This Row],[Month]])," ",TableAopCalendar[[#This Row],[Year]])</f>
        <v>JUNE 27</v>
      </c>
      <c r="J1890" s="8" t="s">
        <v>274</v>
      </c>
      <c r="K1890" s="33" t="str">
        <f>CONCATENATE(TableAopCalendar[[#This Row],[Month for Plan]]," ",TableAopCalendar[[#This Row],[Plan]])</f>
        <v>JUNE 27 PLANNED</v>
      </c>
    </row>
    <row r="1891" spans="1:11" x14ac:dyDescent="0.25">
      <c r="A1891" s="33">
        <f t="shared" si="102"/>
        <v>3</v>
      </c>
      <c r="B1891" s="34">
        <v>46541</v>
      </c>
      <c r="C1891" s="7" t="s">
        <v>266</v>
      </c>
      <c r="D1891" s="35">
        <v>27</v>
      </c>
      <c r="E1891" s="33">
        <f>DAY(TableAopCalendar[[#This Row],[Date]])</f>
        <v>3</v>
      </c>
      <c r="F189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91" s="33" t="str">
        <f t="shared" si="103"/>
        <v>Week 1</v>
      </c>
      <c r="H1891" s="33" t="str">
        <f t="shared" si="104"/>
        <v>June 27 Week 1</v>
      </c>
      <c r="I1891" s="33" t="str">
        <f>CONCATENATE(UPPER(TableAopCalendar[[#This Row],[Month]])," ",TableAopCalendar[[#This Row],[Year]])</f>
        <v>JUNE 27</v>
      </c>
      <c r="J1891" s="8" t="s">
        <v>274</v>
      </c>
      <c r="K1891" s="33" t="str">
        <f>CONCATENATE(TableAopCalendar[[#This Row],[Month for Plan]]," ",TableAopCalendar[[#This Row],[Plan]])</f>
        <v>JUNE 27 PLANNED</v>
      </c>
    </row>
    <row r="1892" spans="1:11" x14ac:dyDescent="0.25">
      <c r="A1892" s="33">
        <f t="shared" ref="A1892:A1955" si="105">IF(G1892=G1891,A1891+1,1)</f>
        <v>4</v>
      </c>
      <c r="B1892" s="34">
        <v>46542</v>
      </c>
      <c r="C1892" s="7" t="s">
        <v>266</v>
      </c>
      <c r="D1892" s="35">
        <v>27</v>
      </c>
      <c r="E1892" s="33">
        <f>DAY(TableAopCalendar[[#This Row],[Date]])</f>
        <v>4</v>
      </c>
      <c r="F189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92" s="33" t="str">
        <f t="shared" ref="G1892:G1955" si="106">"Week"&amp;" "&amp;F1892</f>
        <v>Week 1</v>
      </c>
      <c r="H1892" s="33" t="str">
        <f t="shared" ref="H1892:H1955" si="107">CONCATENATE(C1892," ",D1892," ",G1892)</f>
        <v>June 27 Week 1</v>
      </c>
      <c r="I1892" s="33" t="str">
        <f>CONCATENATE(UPPER(TableAopCalendar[[#This Row],[Month]])," ",TableAopCalendar[[#This Row],[Year]])</f>
        <v>JUNE 27</v>
      </c>
      <c r="J1892" s="8" t="s">
        <v>274</v>
      </c>
      <c r="K1892" s="33" t="str">
        <f>CONCATENATE(TableAopCalendar[[#This Row],[Month for Plan]]," ",TableAopCalendar[[#This Row],[Plan]])</f>
        <v>JUNE 27 PLANNED</v>
      </c>
    </row>
    <row r="1893" spans="1:11" x14ac:dyDescent="0.25">
      <c r="A1893" s="33">
        <f t="shared" si="105"/>
        <v>5</v>
      </c>
      <c r="B1893" s="34">
        <v>46543</v>
      </c>
      <c r="C1893" s="7" t="s">
        <v>266</v>
      </c>
      <c r="D1893" s="35">
        <v>27</v>
      </c>
      <c r="E1893" s="33">
        <f>DAY(TableAopCalendar[[#This Row],[Date]])</f>
        <v>5</v>
      </c>
      <c r="F189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93" s="33" t="str">
        <f t="shared" si="106"/>
        <v>Week 1</v>
      </c>
      <c r="H1893" s="33" t="str">
        <f t="shared" si="107"/>
        <v>June 27 Week 1</v>
      </c>
      <c r="I1893" s="33" t="str">
        <f>CONCATENATE(UPPER(TableAopCalendar[[#This Row],[Month]])," ",TableAopCalendar[[#This Row],[Year]])</f>
        <v>JUNE 27</v>
      </c>
      <c r="J1893" s="8" t="s">
        <v>274</v>
      </c>
      <c r="K1893" s="33" t="str">
        <f>CONCATENATE(TableAopCalendar[[#This Row],[Month for Plan]]," ",TableAopCalendar[[#This Row],[Plan]])</f>
        <v>JUNE 27 PLANNED</v>
      </c>
    </row>
    <row r="1894" spans="1:11" x14ac:dyDescent="0.25">
      <c r="A1894" s="33">
        <f t="shared" si="105"/>
        <v>6</v>
      </c>
      <c r="B1894" s="34">
        <v>46544</v>
      </c>
      <c r="C1894" s="7" t="s">
        <v>266</v>
      </c>
      <c r="D1894" s="35">
        <v>27</v>
      </c>
      <c r="E1894" s="33">
        <f>DAY(TableAopCalendar[[#This Row],[Date]])</f>
        <v>6</v>
      </c>
      <c r="F189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94" s="33" t="str">
        <f t="shared" si="106"/>
        <v>Week 1</v>
      </c>
      <c r="H1894" s="33" t="str">
        <f t="shared" si="107"/>
        <v>June 27 Week 1</v>
      </c>
      <c r="I1894" s="33" t="str">
        <f>CONCATENATE(UPPER(TableAopCalendar[[#This Row],[Month]])," ",TableAopCalendar[[#This Row],[Year]])</f>
        <v>JUNE 27</v>
      </c>
      <c r="J1894" s="8" t="s">
        <v>274</v>
      </c>
      <c r="K1894" s="33" t="str">
        <f>CONCATENATE(TableAopCalendar[[#This Row],[Month for Plan]]," ",TableAopCalendar[[#This Row],[Plan]])</f>
        <v>JUNE 27 PLANNED</v>
      </c>
    </row>
    <row r="1895" spans="1:11" x14ac:dyDescent="0.25">
      <c r="A1895" s="33">
        <f t="shared" si="105"/>
        <v>7</v>
      </c>
      <c r="B1895" s="34">
        <v>46545</v>
      </c>
      <c r="C1895" s="7" t="s">
        <v>266</v>
      </c>
      <c r="D1895" s="35">
        <v>27</v>
      </c>
      <c r="E1895" s="33">
        <f>DAY(TableAopCalendar[[#This Row],[Date]])</f>
        <v>7</v>
      </c>
      <c r="F189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895" s="33" t="str">
        <f t="shared" si="106"/>
        <v>Week 1</v>
      </c>
      <c r="H1895" s="33" t="str">
        <f t="shared" si="107"/>
        <v>June 27 Week 1</v>
      </c>
      <c r="I1895" s="33" t="str">
        <f>CONCATENATE(UPPER(TableAopCalendar[[#This Row],[Month]])," ",TableAopCalendar[[#This Row],[Year]])</f>
        <v>JUNE 27</v>
      </c>
      <c r="J1895" s="8" t="s">
        <v>274</v>
      </c>
      <c r="K1895" s="33" t="str">
        <f>CONCATENATE(TableAopCalendar[[#This Row],[Month for Plan]]," ",TableAopCalendar[[#This Row],[Plan]])</f>
        <v>JUNE 27 PLANNED</v>
      </c>
    </row>
    <row r="1896" spans="1:11" x14ac:dyDescent="0.25">
      <c r="A1896" s="33">
        <f t="shared" si="105"/>
        <v>1</v>
      </c>
      <c r="B1896" s="34">
        <v>46546</v>
      </c>
      <c r="C1896" s="7" t="s">
        <v>266</v>
      </c>
      <c r="D1896" s="35">
        <v>27</v>
      </c>
      <c r="E1896" s="33">
        <f>DAY(TableAopCalendar[[#This Row],[Date]])</f>
        <v>8</v>
      </c>
      <c r="F189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96" s="33" t="str">
        <f t="shared" si="106"/>
        <v>Week 2</v>
      </c>
      <c r="H1896" s="33" t="str">
        <f t="shared" si="107"/>
        <v>June 27 Week 2</v>
      </c>
      <c r="I1896" s="33" t="str">
        <f>CONCATENATE(UPPER(TableAopCalendar[[#This Row],[Month]])," ",TableAopCalendar[[#This Row],[Year]])</f>
        <v>JUNE 27</v>
      </c>
      <c r="J1896" s="8" t="s">
        <v>274</v>
      </c>
      <c r="K1896" s="33" t="str">
        <f>CONCATENATE(TableAopCalendar[[#This Row],[Month for Plan]]," ",TableAopCalendar[[#This Row],[Plan]])</f>
        <v>JUNE 27 PLANNED</v>
      </c>
    </row>
    <row r="1897" spans="1:11" x14ac:dyDescent="0.25">
      <c r="A1897" s="33">
        <f t="shared" si="105"/>
        <v>2</v>
      </c>
      <c r="B1897" s="34">
        <v>46547</v>
      </c>
      <c r="C1897" s="7" t="s">
        <v>266</v>
      </c>
      <c r="D1897" s="35">
        <v>27</v>
      </c>
      <c r="E1897" s="33">
        <f>DAY(TableAopCalendar[[#This Row],[Date]])</f>
        <v>9</v>
      </c>
      <c r="F189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97" s="33" t="str">
        <f t="shared" si="106"/>
        <v>Week 2</v>
      </c>
      <c r="H1897" s="33" t="str">
        <f t="shared" si="107"/>
        <v>June 27 Week 2</v>
      </c>
      <c r="I1897" s="33" t="str">
        <f>CONCATENATE(UPPER(TableAopCalendar[[#This Row],[Month]])," ",TableAopCalendar[[#This Row],[Year]])</f>
        <v>JUNE 27</v>
      </c>
      <c r="J1897" s="8" t="s">
        <v>274</v>
      </c>
      <c r="K1897" s="33" t="str">
        <f>CONCATENATE(TableAopCalendar[[#This Row],[Month for Plan]]," ",TableAopCalendar[[#This Row],[Plan]])</f>
        <v>JUNE 27 PLANNED</v>
      </c>
    </row>
    <row r="1898" spans="1:11" x14ac:dyDescent="0.25">
      <c r="A1898" s="33">
        <f t="shared" si="105"/>
        <v>3</v>
      </c>
      <c r="B1898" s="34">
        <v>46548</v>
      </c>
      <c r="C1898" s="7" t="s">
        <v>266</v>
      </c>
      <c r="D1898" s="35">
        <v>27</v>
      </c>
      <c r="E1898" s="33">
        <f>DAY(TableAopCalendar[[#This Row],[Date]])</f>
        <v>10</v>
      </c>
      <c r="F189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98" s="33" t="str">
        <f t="shared" si="106"/>
        <v>Week 2</v>
      </c>
      <c r="H1898" s="33" t="str">
        <f t="shared" si="107"/>
        <v>June 27 Week 2</v>
      </c>
      <c r="I1898" s="33" t="str">
        <f>CONCATENATE(UPPER(TableAopCalendar[[#This Row],[Month]])," ",TableAopCalendar[[#This Row],[Year]])</f>
        <v>JUNE 27</v>
      </c>
      <c r="J1898" s="8" t="s">
        <v>274</v>
      </c>
      <c r="K1898" s="33" t="str">
        <f>CONCATENATE(TableAopCalendar[[#This Row],[Month for Plan]]," ",TableAopCalendar[[#This Row],[Plan]])</f>
        <v>JUNE 27 PLANNED</v>
      </c>
    </row>
    <row r="1899" spans="1:11" x14ac:dyDescent="0.25">
      <c r="A1899" s="33">
        <f t="shared" si="105"/>
        <v>4</v>
      </c>
      <c r="B1899" s="34">
        <v>46549</v>
      </c>
      <c r="C1899" s="7" t="s">
        <v>266</v>
      </c>
      <c r="D1899" s="35">
        <v>27</v>
      </c>
      <c r="E1899" s="33">
        <f>DAY(TableAopCalendar[[#This Row],[Date]])</f>
        <v>11</v>
      </c>
      <c r="F189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899" s="33" t="str">
        <f t="shared" si="106"/>
        <v>Week 2</v>
      </c>
      <c r="H1899" s="33" t="str">
        <f t="shared" si="107"/>
        <v>June 27 Week 2</v>
      </c>
      <c r="I1899" s="33" t="str">
        <f>CONCATENATE(UPPER(TableAopCalendar[[#This Row],[Month]])," ",TableAopCalendar[[#This Row],[Year]])</f>
        <v>JUNE 27</v>
      </c>
      <c r="J1899" s="8" t="s">
        <v>274</v>
      </c>
      <c r="K1899" s="33" t="str">
        <f>CONCATENATE(TableAopCalendar[[#This Row],[Month for Plan]]," ",TableAopCalendar[[#This Row],[Plan]])</f>
        <v>JUNE 27 PLANNED</v>
      </c>
    </row>
    <row r="1900" spans="1:11" x14ac:dyDescent="0.25">
      <c r="A1900" s="33">
        <f t="shared" si="105"/>
        <v>5</v>
      </c>
      <c r="B1900" s="34">
        <v>46550</v>
      </c>
      <c r="C1900" s="7" t="s">
        <v>266</v>
      </c>
      <c r="D1900" s="35">
        <v>27</v>
      </c>
      <c r="E1900" s="33">
        <f>DAY(TableAopCalendar[[#This Row],[Date]])</f>
        <v>12</v>
      </c>
      <c r="F190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00" s="33" t="str">
        <f t="shared" si="106"/>
        <v>Week 2</v>
      </c>
      <c r="H1900" s="33" t="str">
        <f t="shared" si="107"/>
        <v>June 27 Week 2</v>
      </c>
      <c r="I1900" s="33" t="str">
        <f>CONCATENATE(UPPER(TableAopCalendar[[#This Row],[Month]])," ",TableAopCalendar[[#This Row],[Year]])</f>
        <v>JUNE 27</v>
      </c>
      <c r="J1900" s="8" t="s">
        <v>274</v>
      </c>
      <c r="K1900" s="33" t="str">
        <f>CONCATENATE(TableAopCalendar[[#This Row],[Month for Plan]]," ",TableAopCalendar[[#This Row],[Plan]])</f>
        <v>JUNE 27 PLANNED</v>
      </c>
    </row>
    <row r="1901" spans="1:11" x14ac:dyDescent="0.25">
      <c r="A1901" s="33">
        <f t="shared" si="105"/>
        <v>6</v>
      </c>
      <c r="B1901" s="34">
        <v>46551</v>
      </c>
      <c r="C1901" s="7" t="s">
        <v>266</v>
      </c>
      <c r="D1901" s="35">
        <v>27</v>
      </c>
      <c r="E1901" s="33">
        <f>DAY(TableAopCalendar[[#This Row],[Date]])</f>
        <v>13</v>
      </c>
      <c r="F190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01" s="33" t="str">
        <f t="shared" si="106"/>
        <v>Week 2</v>
      </c>
      <c r="H1901" s="33" t="str">
        <f t="shared" si="107"/>
        <v>June 27 Week 2</v>
      </c>
      <c r="I1901" s="33" t="str">
        <f>CONCATENATE(UPPER(TableAopCalendar[[#This Row],[Month]])," ",TableAopCalendar[[#This Row],[Year]])</f>
        <v>JUNE 27</v>
      </c>
      <c r="J1901" s="8" t="s">
        <v>274</v>
      </c>
      <c r="K1901" s="33" t="str">
        <f>CONCATENATE(TableAopCalendar[[#This Row],[Month for Plan]]," ",TableAopCalendar[[#This Row],[Plan]])</f>
        <v>JUNE 27 PLANNED</v>
      </c>
    </row>
    <row r="1902" spans="1:11" x14ac:dyDescent="0.25">
      <c r="A1902" s="33">
        <f t="shared" si="105"/>
        <v>7</v>
      </c>
      <c r="B1902" s="34">
        <v>46552</v>
      </c>
      <c r="C1902" s="7" t="s">
        <v>266</v>
      </c>
      <c r="D1902" s="35">
        <v>27</v>
      </c>
      <c r="E1902" s="33">
        <f>DAY(TableAopCalendar[[#This Row],[Date]])</f>
        <v>14</v>
      </c>
      <c r="F190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02" s="33" t="str">
        <f t="shared" si="106"/>
        <v>Week 2</v>
      </c>
      <c r="H1902" s="33" t="str">
        <f t="shared" si="107"/>
        <v>June 27 Week 2</v>
      </c>
      <c r="I1902" s="33" t="str">
        <f>CONCATENATE(UPPER(TableAopCalendar[[#This Row],[Month]])," ",TableAopCalendar[[#This Row],[Year]])</f>
        <v>JUNE 27</v>
      </c>
      <c r="J1902" s="8" t="s">
        <v>274</v>
      </c>
      <c r="K1902" s="33" t="str">
        <f>CONCATENATE(TableAopCalendar[[#This Row],[Month for Plan]]," ",TableAopCalendar[[#This Row],[Plan]])</f>
        <v>JUNE 27 PLANNED</v>
      </c>
    </row>
    <row r="1903" spans="1:11" x14ac:dyDescent="0.25">
      <c r="A1903" s="33">
        <f t="shared" si="105"/>
        <v>1</v>
      </c>
      <c r="B1903" s="34">
        <v>46553</v>
      </c>
      <c r="C1903" s="7" t="s">
        <v>266</v>
      </c>
      <c r="D1903" s="35">
        <v>27</v>
      </c>
      <c r="E1903" s="33">
        <f>DAY(TableAopCalendar[[#This Row],[Date]])</f>
        <v>15</v>
      </c>
      <c r="F190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03" s="33" t="str">
        <f t="shared" si="106"/>
        <v>Week 3</v>
      </c>
      <c r="H1903" s="33" t="str">
        <f t="shared" si="107"/>
        <v>June 27 Week 3</v>
      </c>
      <c r="I1903" s="33" t="str">
        <f>CONCATENATE(UPPER(TableAopCalendar[[#This Row],[Month]])," ",TableAopCalendar[[#This Row],[Year]])</f>
        <v>JUNE 27</v>
      </c>
      <c r="J1903" s="8" t="s">
        <v>274</v>
      </c>
      <c r="K1903" s="33" t="str">
        <f>CONCATENATE(TableAopCalendar[[#This Row],[Month for Plan]]," ",TableAopCalendar[[#This Row],[Plan]])</f>
        <v>JUNE 27 PLANNED</v>
      </c>
    </row>
    <row r="1904" spans="1:11" x14ac:dyDescent="0.25">
      <c r="A1904" s="33">
        <f t="shared" si="105"/>
        <v>2</v>
      </c>
      <c r="B1904" s="34">
        <v>46554</v>
      </c>
      <c r="C1904" s="7" t="s">
        <v>266</v>
      </c>
      <c r="D1904" s="35">
        <v>27</v>
      </c>
      <c r="E1904" s="33">
        <f>DAY(TableAopCalendar[[#This Row],[Date]])</f>
        <v>16</v>
      </c>
      <c r="F190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04" s="33" t="str">
        <f t="shared" si="106"/>
        <v>Week 3</v>
      </c>
      <c r="H1904" s="33" t="str">
        <f t="shared" si="107"/>
        <v>June 27 Week 3</v>
      </c>
      <c r="I1904" s="33" t="str">
        <f>CONCATENATE(UPPER(TableAopCalendar[[#This Row],[Month]])," ",TableAopCalendar[[#This Row],[Year]])</f>
        <v>JUNE 27</v>
      </c>
      <c r="J1904" s="8" t="s">
        <v>274</v>
      </c>
      <c r="K1904" s="33" t="str">
        <f>CONCATENATE(TableAopCalendar[[#This Row],[Month for Plan]]," ",TableAopCalendar[[#This Row],[Plan]])</f>
        <v>JUNE 27 PLANNED</v>
      </c>
    </row>
    <row r="1905" spans="1:11" x14ac:dyDescent="0.25">
      <c r="A1905" s="33">
        <f t="shared" si="105"/>
        <v>3</v>
      </c>
      <c r="B1905" s="34">
        <v>46555</v>
      </c>
      <c r="C1905" s="7" t="s">
        <v>266</v>
      </c>
      <c r="D1905" s="35">
        <v>27</v>
      </c>
      <c r="E1905" s="33">
        <f>DAY(TableAopCalendar[[#This Row],[Date]])</f>
        <v>17</v>
      </c>
      <c r="F190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05" s="33" t="str">
        <f t="shared" si="106"/>
        <v>Week 3</v>
      </c>
      <c r="H1905" s="33" t="str">
        <f t="shared" si="107"/>
        <v>June 27 Week 3</v>
      </c>
      <c r="I1905" s="33" t="str">
        <f>CONCATENATE(UPPER(TableAopCalendar[[#This Row],[Month]])," ",TableAopCalendar[[#This Row],[Year]])</f>
        <v>JUNE 27</v>
      </c>
      <c r="J1905" s="8" t="s">
        <v>274</v>
      </c>
      <c r="K1905" s="33" t="str">
        <f>CONCATENATE(TableAopCalendar[[#This Row],[Month for Plan]]," ",TableAopCalendar[[#This Row],[Plan]])</f>
        <v>JUNE 27 PLANNED</v>
      </c>
    </row>
    <row r="1906" spans="1:11" x14ac:dyDescent="0.25">
      <c r="A1906" s="33">
        <f t="shared" si="105"/>
        <v>4</v>
      </c>
      <c r="B1906" s="34">
        <v>46556</v>
      </c>
      <c r="C1906" s="7" t="s">
        <v>266</v>
      </c>
      <c r="D1906" s="35">
        <v>27</v>
      </c>
      <c r="E1906" s="33">
        <f>DAY(TableAopCalendar[[#This Row],[Date]])</f>
        <v>18</v>
      </c>
      <c r="F190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06" s="33" t="str">
        <f t="shared" si="106"/>
        <v>Week 3</v>
      </c>
      <c r="H1906" s="33" t="str">
        <f t="shared" si="107"/>
        <v>June 27 Week 3</v>
      </c>
      <c r="I1906" s="33" t="str">
        <f>CONCATENATE(UPPER(TableAopCalendar[[#This Row],[Month]])," ",TableAopCalendar[[#This Row],[Year]])</f>
        <v>JUNE 27</v>
      </c>
      <c r="J1906" s="8" t="s">
        <v>274</v>
      </c>
      <c r="K1906" s="33" t="str">
        <f>CONCATENATE(TableAopCalendar[[#This Row],[Month for Plan]]," ",TableAopCalendar[[#This Row],[Plan]])</f>
        <v>JUNE 27 PLANNED</v>
      </c>
    </row>
    <row r="1907" spans="1:11" x14ac:dyDescent="0.25">
      <c r="A1907" s="33">
        <f t="shared" si="105"/>
        <v>5</v>
      </c>
      <c r="B1907" s="34">
        <v>46557</v>
      </c>
      <c r="C1907" s="7" t="s">
        <v>266</v>
      </c>
      <c r="D1907" s="35">
        <v>27</v>
      </c>
      <c r="E1907" s="33">
        <f>DAY(TableAopCalendar[[#This Row],[Date]])</f>
        <v>19</v>
      </c>
      <c r="F190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07" s="33" t="str">
        <f t="shared" si="106"/>
        <v>Week 3</v>
      </c>
      <c r="H1907" s="33" t="str">
        <f t="shared" si="107"/>
        <v>June 27 Week 3</v>
      </c>
      <c r="I1907" s="33" t="str">
        <f>CONCATENATE(UPPER(TableAopCalendar[[#This Row],[Month]])," ",TableAopCalendar[[#This Row],[Year]])</f>
        <v>JUNE 27</v>
      </c>
      <c r="J1907" s="8" t="s">
        <v>274</v>
      </c>
      <c r="K1907" s="33" t="str">
        <f>CONCATENATE(TableAopCalendar[[#This Row],[Month for Plan]]," ",TableAopCalendar[[#This Row],[Plan]])</f>
        <v>JUNE 27 PLANNED</v>
      </c>
    </row>
    <row r="1908" spans="1:11" x14ac:dyDescent="0.25">
      <c r="A1908" s="33">
        <f t="shared" si="105"/>
        <v>6</v>
      </c>
      <c r="B1908" s="34">
        <v>46558</v>
      </c>
      <c r="C1908" s="7" t="s">
        <v>266</v>
      </c>
      <c r="D1908" s="35">
        <v>27</v>
      </c>
      <c r="E1908" s="33">
        <f>DAY(TableAopCalendar[[#This Row],[Date]])</f>
        <v>20</v>
      </c>
      <c r="F190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08" s="33" t="str">
        <f t="shared" si="106"/>
        <v>Week 3</v>
      </c>
      <c r="H1908" s="33" t="str">
        <f t="shared" si="107"/>
        <v>June 27 Week 3</v>
      </c>
      <c r="I1908" s="33" t="str">
        <f>CONCATENATE(UPPER(TableAopCalendar[[#This Row],[Month]])," ",TableAopCalendar[[#This Row],[Year]])</f>
        <v>JUNE 27</v>
      </c>
      <c r="J1908" s="8" t="s">
        <v>274</v>
      </c>
      <c r="K1908" s="33" t="str">
        <f>CONCATENATE(TableAopCalendar[[#This Row],[Month for Plan]]," ",TableAopCalendar[[#This Row],[Plan]])</f>
        <v>JUNE 27 PLANNED</v>
      </c>
    </row>
    <row r="1909" spans="1:11" x14ac:dyDescent="0.25">
      <c r="A1909" s="33">
        <f t="shared" si="105"/>
        <v>7</v>
      </c>
      <c r="B1909" s="34">
        <v>46559</v>
      </c>
      <c r="C1909" s="7" t="s">
        <v>266</v>
      </c>
      <c r="D1909" s="35">
        <v>27</v>
      </c>
      <c r="E1909" s="33">
        <f>DAY(TableAopCalendar[[#This Row],[Date]])</f>
        <v>21</v>
      </c>
      <c r="F190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09" s="33" t="str">
        <f t="shared" si="106"/>
        <v>Week 3</v>
      </c>
      <c r="H1909" s="33" t="str">
        <f t="shared" si="107"/>
        <v>June 27 Week 3</v>
      </c>
      <c r="I1909" s="33" t="str">
        <f>CONCATENATE(UPPER(TableAopCalendar[[#This Row],[Month]])," ",TableAopCalendar[[#This Row],[Year]])</f>
        <v>JUNE 27</v>
      </c>
      <c r="J1909" s="8" t="s">
        <v>274</v>
      </c>
      <c r="K1909" s="33" t="str">
        <f>CONCATENATE(TableAopCalendar[[#This Row],[Month for Plan]]," ",TableAopCalendar[[#This Row],[Plan]])</f>
        <v>JUNE 27 PLANNED</v>
      </c>
    </row>
    <row r="1910" spans="1:11" x14ac:dyDescent="0.25">
      <c r="A1910" s="33">
        <f t="shared" si="105"/>
        <v>1</v>
      </c>
      <c r="B1910" s="34">
        <v>46560</v>
      </c>
      <c r="C1910" s="7" t="s">
        <v>266</v>
      </c>
      <c r="D1910" s="35">
        <v>27</v>
      </c>
      <c r="E1910" s="33">
        <f>DAY(TableAopCalendar[[#This Row],[Date]])</f>
        <v>22</v>
      </c>
      <c r="F191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10" s="33" t="str">
        <f t="shared" si="106"/>
        <v>Week 4</v>
      </c>
      <c r="H1910" s="33" t="str">
        <f t="shared" si="107"/>
        <v>June 27 Week 4</v>
      </c>
      <c r="I1910" s="33" t="str">
        <f>CONCATENATE(UPPER(TableAopCalendar[[#This Row],[Month]])," ",TableAopCalendar[[#This Row],[Year]])</f>
        <v>JUNE 27</v>
      </c>
      <c r="J1910" s="8" t="s">
        <v>274</v>
      </c>
      <c r="K1910" s="33" t="str">
        <f>CONCATENATE(TableAopCalendar[[#This Row],[Month for Plan]]," ",TableAopCalendar[[#This Row],[Plan]])</f>
        <v>JUNE 27 PLANNED</v>
      </c>
    </row>
    <row r="1911" spans="1:11" x14ac:dyDescent="0.25">
      <c r="A1911" s="33">
        <f t="shared" si="105"/>
        <v>2</v>
      </c>
      <c r="B1911" s="34">
        <v>46561</v>
      </c>
      <c r="C1911" s="7" t="s">
        <v>266</v>
      </c>
      <c r="D1911" s="35">
        <v>27</v>
      </c>
      <c r="E1911" s="33">
        <f>DAY(TableAopCalendar[[#This Row],[Date]])</f>
        <v>23</v>
      </c>
      <c r="F191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11" s="33" t="str">
        <f t="shared" si="106"/>
        <v>Week 4</v>
      </c>
      <c r="H1911" s="33" t="str">
        <f t="shared" si="107"/>
        <v>June 27 Week 4</v>
      </c>
      <c r="I1911" s="33" t="str">
        <f>CONCATENATE(UPPER(TableAopCalendar[[#This Row],[Month]])," ",TableAopCalendar[[#This Row],[Year]])</f>
        <v>JUNE 27</v>
      </c>
      <c r="J1911" s="8" t="s">
        <v>274</v>
      </c>
      <c r="K1911" s="33" t="str">
        <f>CONCATENATE(TableAopCalendar[[#This Row],[Month for Plan]]," ",TableAopCalendar[[#This Row],[Plan]])</f>
        <v>JUNE 27 PLANNED</v>
      </c>
    </row>
    <row r="1912" spans="1:11" x14ac:dyDescent="0.25">
      <c r="A1912" s="33">
        <f t="shared" si="105"/>
        <v>3</v>
      </c>
      <c r="B1912" s="34">
        <v>46562</v>
      </c>
      <c r="C1912" s="7" t="s">
        <v>266</v>
      </c>
      <c r="D1912" s="35">
        <v>27</v>
      </c>
      <c r="E1912" s="33">
        <f>DAY(TableAopCalendar[[#This Row],[Date]])</f>
        <v>24</v>
      </c>
      <c r="F191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12" s="33" t="str">
        <f t="shared" si="106"/>
        <v>Week 4</v>
      </c>
      <c r="H1912" s="33" t="str">
        <f t="shared" si="107"/>
        <v>June 27 Week 4</v>
      </c>
      <c r="I1912" s="33" t="str">
        <f>CONCATENATE(UPPER(TableAopCalendar[[#This Row],[Month]])," ",TableAopCalendar[[#This Row],[Year]])</f>
        <v>JUNE 27</v>
      </c>
      <c r="J1912" s="8" t="s">
        <v>274</v>
      </c>
      <c r="K1912" s="33" t="str">
        <f>CONCATENATE(TableAopCalendar[[#This Row],[Month for Plan]]," ",TableAopCalendar[[#This Row],[Plan]])</f>
        <v>JUNE 27 PLANNED</v>
      </c>
    </row>
    <row r="1913" spans="1:11" x14ac:dyDescent="0.25">
      <c r="A1913" s="33">
        <f t="shared" si="105"/>
        <v>4</v>
      </c>
      <c r="B1913" s="34">
        <v>46563</v>
      </c>
      <c r="C1913" s="7" t="s">
        <v>266</v>
      </c>
      <c r="D1913" s="35">
        <v>27</v>
      </c>
      <c r="E1913" s="33">
        <f>DAY(TableAopCalendar[[#This Row],[Date]])</f>
        <v>25</v>
      </c>
      <c r="F191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13" s="33" t="str">
        <f t="shared" si="106"/>
        <v>Week 4</v>
      </c>
      <c r="H1913" s="33" t="str">
        <f t="shared" si="107"/>
        <v>June 27 Week 4</v>
      </c>
      <c r="I1913" s="33" t="str">
        <f>CONCATENATE(UPPER(TableAopCalendar[[#This Row],[Month]])," ",TableAopCalendar[[#This Row],[Year]])</f>
        <v>JUNE 27</v>
      </c>
      <c r="J1913" s="8" t="s">
        <v>274</v>
      </c>
      <c r="K1913" s="33" t="str">
        <f>CONCATENATE(TableAopCalendar[[#This Row],[Month for Plan]]," ",TableAopCalendar[[#This Row],[Plan]])</f>
        <v>JUNE 27 PLANNED</v>
      </c>
    </row>
    <row r="1914" spans="1:11" x14ac:dyDescent="0.25">
      <c r="A1914" s="33">
        <f t="shared" si="105"/>
        <v>5</v>
      </c>
      <c r="B1914" s="34">
        <v>46564</v>
      </c>
      <c r="C1914" s="7" t="s">
        <v>266</v>
      </c>
      <c r="D1914" s="35">
        <v>27</v>
      </c>
      <c r="E1914" s="33">
        <f>DAY(TableAopCalendar[[#This Row],[Date]])</f>
        <v>26</v>
      </c>
      <c r="F191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14" s="33" t="str">
        <f t="shared" si="106"/>
        <v>Week 4</v>
      </c>
      <c r="H1914" s="33" t="str">
        <f t="shared" si="107"/>
        <v>June 27 Week 4</v>
      </c>
      <c r="I1914" s="33" t="str">
        <f>CONCATENATE(UPPER(TableAopCalendar[[#This Row],[Month]])," ",TableAopCalendar[[#This Row],[Year]])</f>
        <v>JUNE 27</v>
      </c>
      <c r="J1914" s="8" t="s">
        <v>274</v>
      </c>
      <c r="K1914" s="33" t="str">
        <f>CONCATENATE(TableAopCalendar[[#This Row],[Month for Plan]]," ",TableAopCalendar[[#This Row],[Plan]])</f>
        <v>JUNE 27 PLANNED</v>
      </c>
    </row>
    <row r="1915" spans="1:11" x14ac:dyDescent="0.25">
      <c r="A1915" s="33">
        <f t="shared" si="105"/>
        <v>6</v>
      </c>
      <c r="B1915" s="34">
        <v>46565</v>
      </c>
      <c r="C1915" s="7" t="s">
        <v>266</v>
      </c>
      <c r="D1915" s="35">
        <v>27</v>
      </c>
      <c r="E1915" s="33">
        <f>DAY(TableAopCalendar[[#This Row],[Date]])</f>
        <v>27</v>
      </c>
      <c r="F191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15" s="33" t="str">
        <f t="shared" si="106"/>
        <v>Week 4</v>
      </c>
      <c r="H1915" s="33" t="str">
        <f t="shared" si="107"/>
        <v>June 27 Week 4</v>
      </c>
      <c r="I1915" s="33" t="str">
        <f>CONCATENATE(UPPER(TableAopCalendar[[#This Row],[Month]])," ",TableAopCalendar[[#This Row],[Year]])</f>
        <v>JUNE 27</v>
      </c>
      <c r="J1915" s="8" t="s">
        <v>274</v>
      </c>
      <c r="K1915" s="33" t="str">
        <f>CONCATENATE(TableAopCalendar[[#This Row],[Month for Plan]]," ",TableAopCalendar[[#This Row],[Plan]])</f>
        <v>JUNE 27 PLANNED</v>
      </c>
    </row>
    <row r="1916" spans="1:11" x14ac:dyDescent="0.25">
      <c r="A1916" s="33">
        <f t="shared" si="105"/>
        <v>7</v>
      </c>
      <c r="B1916" s="34">
        <v>46566</v>
      </c>
      <c r="C1916" s="7" t="s">
        <v>266</v>
      </c>
      <c r="D1916" s="35">
        <v>27</v>
      </c>
      <c r="E1916" s="33">
        <f>DAY(TableAopCalendar[[#This Row],[Date]])</f>
        <v>28</v>
      </c>
      <c r="F191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16" s="33" t="str">
        <f t="shared" si="106"/>
        <v>Week 4</v>
      </c>
      <c r="H1916" s="33" t="str">
        <f t="shared" si="107"/>
        <v>June 27 Week 4</v>
      </c>
      <c r="I1916" s="33" t="str">
        <f>CONCATENATE(UPPER(TableAopCalendar[[#This Row],[Month]])," ",TableAopCalendar[[#This Row],[Year]])</f>
        <v>JUNE 27</v>
      </c>
      <c r="J1916" s="8" t="s">
        <v>274</v>
      </c>
      <c r="K1916" s="33" t="str">
        <f>CONCATENATE(TableAopCalendar[[#This Row],[Month for Plan]]," ",TableAopCalendar[[#This Row],[Plan]])</f>
        <v>JUNE 27 PLANNED</v>
      </c>
    </row>
    <row r="1917" spans="1:11" x14ac:dyDescent="0.25">
      <c r="A1917" s="33">
        <f t="shared" si="105"/>
        <v>1</v>
      </c>
      <c r="B1917" s="34">
        <v>46567</v>
      </c>
      <c r="C1917" s="7" t="s">
        <v>266</v>
      </c>
      <c r="D1917" s="35">
        <v>27</v>
      </c>
      <c r="E1917" s="33">
        <f>DAY(TableAopCalendar[[#This Row],[Date]])</f>
        <v>29</v>
      </c>
      <c r="F191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17" s="33" t="str">
        <f t="shared" si="106"/>
        <v>Week 5</v>
      </c>
      <c r="H1917" s="33" t="str">
        <f t="shared" si="107"/>
        <v>June 27 Week 5</v>
      </c>
      <c r="I1917" s="33" t="str">
        <f>CONCATENATE(UPPER(TableAopCalendar[[#This Row],[Month]])," ",TableAopCalendar[[#This Row],[Year]])</f>
        <v>JUNE 27</v>
      </c>
      <c r="J1917" s="8" t="s">
        <v>274</v>
      </c>
      <c r="K1917" s="33" t="str">
        <f>CONCATENATE(TableAopCalendar[[#This Row],[Month for Plan]]," ",TableAopCalendar[[#This Row],[Plan]])</f>
        <v>JUNE 27 PLANNED</v>
      </c>
    </row>
    <row r="1918" spans="1:11" x14ac:dyDescent="0.25">
      <c r="A1918" s="33">
        <f t="shared" si="105"/>
        <v>2</v>
      </c>
      <c r="B1918" s="34">
        <v>46568</v>
      </c>
      <c r="C1918" s="7" t="s">
        <v>266</v>
      </c>
      <c r="D1918" s="35">
        <v>27</v>
      </c>
      <c r="E1918" s="33">
        <f>DAY(TableAopCalendar[[#This Row],[Date]])</f>
        <v>30</v>
      </c>
      <c r="F191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18" s="33" t="str">
        <f t="shared" si="106"/>
        <v>Week 5</v>
      </c>
      <c r="H1918" s="33" t="str">
        <f t="shared" si="107"/>
        <v>June 27 Week 5</v>
      </c>
      <c r="I1918" s="33" t="str">
        <f>CONCATENATE(UPPER(TableAopCalendar[[#This Row],[Month]])," ",TableAopCalendar[[#This Row],[Year]])</f>
        <v>JUNE 27</v>
      </c>
      <c r="J1918" s="8" t="s">
        <v>274</v>
      </c>
      <c r="K1918" s="33" t="str">
        <f>CONCATENATE(TableAopCalendar[[#This Row],[Month for Plan]]," ",TableAopCalendar[[#This Row],[Plan]])</f>
        <v>JUNE 27 PLANNED</v>
      </c>
    </row>
    <row r="1919" spans="1:11" x14ac:dyDescent="0.25">
      <c r="A1919" s="33">
        <f t="shared" si="105"/>
        <v>1</v>
      </c>
      <c r="B1919" s="34">
        <v>46569</v>
      </c>
      <c r="C1919" s="7" t="s">
        <v>267</v>
      </c>
      <c r="D1919" s="35">
        <v>27</v>
      </c>
      <c r="E1919" s="33">
        <f>DAY(TableAopCalendar[[#This Row],[Date]])</f>
        <v>1</v>
      </c>
      <c r="F191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19" s="33" t="str">
        <f t="shared" si="106"/>
        <v>Week 1</v>
      </c>
      <c r="H1919" s="33" t="str">
        <f t="shared" si="107"/>
        <v>July 27 Week 1</v>
      </c>
      <c r="I1919" s="33" t="str">
        <f>CONCATENATE(UPPER(TableAopCalendar[[#This Row],[Month]])," ",TableAopCalendar[[#This Row],[Year]])</f>
        <v>JULY 27</v>
      </c>
      <c r="J1919" s="8" t="s">
        <v>274</v>
      </c>
      <c r="K1919" s="33" t="str">
        <f>CONCATENATE(TableAopCalendar[[#This Row],[Month for Plan]]," ",TableAopCalendar[[#This Row],[Plan]])</f>
        <v>JULY 27 PLANNED</v>
      </c>
    </row>
    <row r="1920" spans="1:11" x14ac:dyDescent="0.25">
      <c r="A1920" s="33">
        <f t="shared" si="105"/>
        <v>2</v>
      </c>
      <c r="B1920" s="34">
        <v>46570</v>
      </c>
      <c r="C1920" s="7" t="s">
        <v>267</v>
      </c>
      <c r="D1920" s="35">
        <v>27</v>
      </c>
      <c r="E1920" s="33">
        <f>DAY(TableAopCalendar[[#This Row],[Date]])</f>
        <v>2</v>
      </c>
      <c r="F192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20" s="33" t="str">
        <f t="shared" si="106"/>
        <v>Week 1</v>
      </c>
      <c r="H1920" s="33" t="str">
        <f t="shared" si="107"/>
        <v>July 27 Week 1</v>
      </c>
      <c r="I1920" s="33" t="str">
        <f>CONCATENATE(UPPER(TableAopCalendar[[#This Row],[Month]])," ",TableAopCalendar[[#This Row],[Year]])</f>
        <v>JULY 27</v>
      </c>
      <c r="J1920" s="8" t="s">
        <v>274</v>
      </c>
      <c r="K1920" s="33" t="str">
        <f>CONCATENATE(TableAopCalendar[[#This Row],[Month for Plan]]," ",TableAopCalendar[[#This Row],[Plan]])</f>
        <v>JULY 27 PLANNED</v>
      </c>
    </row>
    <row r="1921" spans="1:11" x14ac:dyDescent="0.25">
      <c r="A1921" s="33">
        <f t="shared" si="105"/>
        <v>3</v>
      </c>
      <c r="B1921" s="34">
        <v>46571</v>
      </c>
      <c r="C1921" s="7" t="s">
        <v>267</v>
      </c>
      <c r="D1921" s="35">
        <v>27</v>
      </c>
      <c r="E1921" s="33">
        <f>DAY(TableAopCalendar[[#This Row],[Date]])</f>
        <v>3</v>
      </c>
      <c r="F192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21" s="33" t="str">
        <f t="shared" si="106"/>
        <v>Week 1</v>
      </c>
      <c r="H1921" s="33" t="str">
        <f t="shared" si="107"/>
        <v>July 27 Week 1</v>
      </c>
      <c r="I1921" s="33" t="str">
        <f>CONCATENATE(UPPER(TableAopCalendar[[#This Row],[Month]])," ",TableAopCalendar[[#This Row],[Year]])</f>
        <v>JULY 27</v>
      </c>
      <c r="J1921" s="8" t="s">
        <v>274</v>
      </c>
      <c r="K1921" s="33" t="str">
        <f>CONCATENATE(TableAopCalendar[[#This Row],[Month for Plan]]," ",TableAopCalendar[[#This Row],[Plan]])</f>
        <v>JULY 27 PLANNED</v>
      </c>
    </row>
    <row r="1922" spans="1:11" x14ac:dyDescent="0.25">
      <c r="A1922" s="33">
        <f t="shared" si="105"/>
        <v>4</v>
      </c>
      <c r="B1922" s="34">
        <v>46572</v>
      </c>
      <c r="C1922" s="7" t="s">
        <v>267</v>
      </c>
      <c r="D1922" s="35">
        <v>27</v>
      </c>
      <c r="E1922" s="33">
        <f>DAY(TableAopCalendar[[#This Row],[Date]])</f>
        <v>4</v>
      </c>
      <c r="F192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22" s="33" t="str">
        <f t="shared" si="106"/>
        <v>Week 1</v>
      </c>
      <c r="H1922" s="33" t="str">
        <f t="shared" si="107"/>
        <v>July 27 Week 1</v>
      </c>
      <c r="I1922" s="33" t="str">
        <f>CONCATENATE(UPPER(TableAopCalendar[[#This Row],[Month]])," ",TableAopCalendar[[#This Row],[Year]])</f>
        <v>JULY 27</v>
      </c>
      <c r="J1922" s="8" t="s">
        <v>274</v>
      </c>
      <c r="K1922" s="33" t="str">
        <f>CONCATENATE(TableAopCalendar[[#This Row],[Month for Plan]]," ",TableAopCalendar[[#This Row],[Plan]])</f>
        <v>JULY 27 PLANNED</v>
      </c>
    </row>
    <row r="1923" spans="1:11" x14ac:dyDescent="0.25">
      <c r="A1923" s="33">
        <f t="shared" si="105"/>
        <v>5</v>
      </c>
      <c r="B1923" s="34">
        <v>46573</v>
      </c>
      <c r="C1923" s="7" t="s">
        <v>267</v>
      </c>
      <c r="D1923" s="35">
        <v>27</v>
      </c>
      <c r="E1923" s="33">
        <f>DAY(TableAopCalendar[[#This Row],[Date]])</f>
        <v>5</v>
      </c>
      <c r="F192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23" s="33" t="str">
        <f t="shared" si="106"/>
        <v>Week 1</v>
      </c>
      <c r="H1923" s="33" t="str">
        <f t="shared" si="107"/>
        <v>July 27 Week 1</v>
      </c>
      <c r="I1923" s="33" t="str">
        <f>CONCATENATE(UPPER(TableAopCalendar[[#This Row],[Month]])," ",TableAopCalendar[[#This Row],[Year]])</f>
        <v>JULY 27</v>
      </c>
      <c r="J1923" s="8" t="s">
        <v>274</v>
      </c>
      <c r="K1923" s="33" t="str">
        <f>CONCATENATE(TableAopCalendar[[#This Row],[Month for Plan]]," ",TableAopCalendar[[#This Row],[Plan]])</f>
        <v>JULY 27 PLANNED</v>
      </c>
    </row>
    <row r="1924" spans="1:11" x14ac:dyDescent="0.25">
      <c r="A1924" s="33">
        <f t="shared" si="105"/>
        <v>6</v>
      </c>
      <c r="B1924" s="34">
        <v>46574</v>
      </c>
      <c r="C1924" s="7" t="s">
        <v>267</v>
      </c>
      <c r="D1924" s="35">
        <v>27</v>
      </c>
      <c r="E1924" s="33">
        <f>DAY(TableAopCalendar[[#This Row],[Date]])</f>
        <v>6</v>
      </c>
      <c r="F192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24" s="33" t="str">
        <f t="shared" si="106"/>
        <v>Week 1</v>
      </c>
      <c r="H1924" s="33" t="str">
        <f t="shared" si="107"/>
        <v>July 27 Week 1</v>
      </c>
      <c r="I1924" s="33" t="str">
        <f>CONCATENATE(UPPER(TableAopCalendar[[#This Row],[Month]])," ",TableAopCalendar[[#This Row],[Year]])</f>
        <v>JULY 27</v>
      </c>
      <c r="J1924" s="8" t="s">
        <v>274</v>
      </c>
      <c r="K1924" s="33" t="str">
        <f>CONCATENATE(TableAopCalendar[[#This Row],[Month for Plan]]," ",TableAopCalendar[[#This Row],[Plan]])</f>
        <v>JULY 27 PLANNED</v>
      </c>
    </row>
    <row r="1925" spans="1:11" x14ac:dyDescent="0.25">
      <c r="A1925" s="33">
        <f t="shared" si="105"/>
        <v>7</v>
      </c>
      <c r="B1925" s="34">
        <v>46575</v>
      </c>
      <c r="C1925" s="7" t="s">
        <v>267</v>
      </c>
      <c r="D1925" s="35">
        <v>27</v>
      </c>
      <c r="E1925" s="33">
        <f>DAY(TableAopCalendar[[#This Row],[Date]])</f>
        <v>7</v>
      </c>
      <c r="F192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25" s="33" t="str">
        <f t="shared" si="106"/>
        <v>Week 1</v>
      </c>
      <c r="H1925" s="33" t="str">
        <f t="shared" si="107"/>
        <v>July 27 Week 1</v>
      </c>
      <c r="I1925" s="33" t="str">
        <f>CONCATENATE(UPPER(TableAopCalendar[[#This Row],[Month]])," ",TableAopCalendar[[#This Row],[Year]])</f>
        <v>JULY 27</v>
      </c>
      <c r="J1925" s="8" t="s">
        <v>274</v>
      </c>
      <c r="K1925" s="33" t="str">
        <f>CONCATENATE(TableAopCalendar[[#This Row],[Month for Plan]]," ",TableAopCalendar[[#This Row],[Plan]])</f>
        <v>JULY 27 PLANNED</v>
      </c>
    </row>
    <row r="1926" spans="1:11" x14ac:dyDescent="0.25">
      <c r="A1926" s="33">
        <f t="shared" si="105"/>
        <v>1</v>
      </c>
      <c r="B1926" s="34">
        <v>46576</v>
      </c>
      <c r="C1926" s="7" t="s">
        <v>267</v>
      </c>
      <c r="D1926" s="35">
        <v>27</v>
      </c>
      <c r="E1926" s="33">
        <f>DAY(TableAopCalendar[[#This Row],[Date]])</f>
        <v>8</v>
      </c>
      <c r="F192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26" s="33" t="str">
        <f t="shared" si="106"/>
        <v>Week 2</v>
      </c>
      <c r="H1926" s="33" t="str">
        <f t="shared" si="107"/>
        <v>July 27 Week 2</v>
      </c>
      <c r="I1926" s="33" t="str">
        <f>CONCATENATE(UPPER(TableAopCalendar[[#This Row],[Month]])," ",TableAopCalendar[[#This Row],[Year]])</f>
        <v>JULY 27</v>
      </c>
      <c r="J1926" s="8" t="s">
        <v>274</v>
      </c>
      <c r="K1926" s="33" t="str">
        <f>CONCATENATE(TableAopCalendar[[#This Row],[Month for Plan]]," ",TableAopCalendar[[#This Row],[Plan]])</f>
        <v>JULY 27 PLANNED</v>
      </c>
    </row>
    <row r="1927" spans="1:11" x14ac:dyDescent="0.25">
      <c r="A1927" s="33">
        <f t="shared" si="105"/>
        <v>2</v>
      </c>
      <c r="B1927" s="34">
        <v>46577</v>
      </c>
      <c r="C1927" s="7" t="s">
        <v>267</v>
      </c>
      <c r="D1927" s="35">
        <v>27</v>
      </c>
      <c r="E1927" s="33">
        <f>DAY(TableAopCalendar[[#This Row],[Date]])</f>
        <v>9</v>
      </c>
      <c r="F192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27" s="33" t="str">
        <f t="shared" si="106"/>
        <v>Week 2</v>
      </c>
      <c r="H1927" s="33" t="str">
        <f t="shared" si="107"/>
        <v>July 27 Week 2</v>
      </c>
      <c r="I1927" s="33" t="str">
        <f>CONCATENATE(UPPER(TableAopCalendar[[#This Row],[Month]])," ",TableAopCalendar[[#This Row],[Year]])</f>
        <v>JULY 27</v>
      </c>
      <c r="J1927" s="8" t="s">
        <v>274</v>
      </c>
      <c r="K1927" s="33" t="str">
        <f>CONCATENATE(TableAopCalendar[[#This Row],[Month for Plan]]," ",TableAopCalendar[[#This Row],[Plan]])</f>
        <v>JULY 27 PLANNED</v>
      </c>
    </row>
    <row r="1928" spans="1:11" x14ac:dyDescent="0.25">
      <c r="A1928" s="33">
        <f t="shared" si="105"/>
        <v>3</v>
      </c>
      <c r="B1928" s="34">
        <v>46578</v>
      </c>
      <c r="C1928" s="7" t="s">
        <v>267</v>
      </c>
      <c r="D1928" s="35">
        <v>27</v>
      </c>
      <c r="E1928" s="33">
        <f>DAY(TableAopCalendar[[#This Row],[Date]])</f>
        <v>10</v>
      </c>
      <c r="F192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28" s="33" t="str">
        <f t="shared" si="106"/>
        <v>Week 2</v>
      </c>
      <c r="H1928" s="33" t="str">
        <f t="shared" si="107"/>
        <v>July 27 Week 2</v>
      </c>
      <c r="I1928" s="33" t="str">
        <f>CONCATENATE(UPPER(TableAopCalendar[[#This Row],[Month]])," ",TableAopCalendar[[#This Row],[Year]])</f>
        <v>JULY 27</v>
      </c>
      <c r="J1928" s="8" t="s">
        <v>274</v>
      </c>
      <c r="K1928" s="33" t="str">
        <f>CONCATENATE(TableAopCalendar[[#This Row],[Month for Plan]]," ",TableAopCalendar[[#This Row],[Plan]])</f>
        <v>JULY 27 PLANNED</v>
      </c>
    </row>
    <row r="1929" spans="1:11" x14ac:dyDescent="0.25">
      <c r="A1929" s="33">
        <f t="shared" si="105"/>
        <v>4</v>
      </c>
      <c r="B1929" s="34">
        <v>46579</v>
      </c>
      <c r="C1929" s="7" t="s">
        <v>267</v>
      </c>
      <c r="D1929" s="35">
        <v>27</v>
      </c>
      <c r="E1929" s="33">
        <f>DAY(TableAopCalendar[[#This Row],[Date]])</f>
        <v>11</v>
      </c>
      <c r="F192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29" s="33" t="str">
        <f t="shared" si="106"/>
        <v>Week 2</v>
      </c>
      <c r="H1929" s="33" t="str">
        <f t="shared" si="107"/>
        <v>July 27 Week 2</v>
      </c>
      <c r="I1929" s="33" t="str">
        <f>CONCATENATE(UPPER(TableAopCalendar[[#This Row],[Month]])," ",TableAopCalendar[[#This Row],[Year]])</f>
        <v>JULY 27</v>
      </c>
      <c r="J1929" s="8" t="s">
        <v>274</v>
      </c>
      <c r="K1929" s="33" t="str">
        <f>CONCATENATE(TableAopCalendar[[#This Row],[Month for Plan]]," ",TableAopCalendar[[#This Row],[Plan]])</f>
        <v>JULY 27 PLANNED</v>
      </c>
    </row>
    <row r="1930" spans="1:11" x14ac:dyDescent="0.25">
      <c r="A1930" s="33">
        <f t="shared" si="105"/>
        <v>5</v>
      </c>
      <c r="B1930" s="34">
        <v>46580</v>
      </c>
      <c r="C1930" s="7" t="s">
        <v>267</v>
      </c>
      <c r="D1930" s="35">
        <v>27</v>
      </c>
      <c r="E1930" s="33">
        <f>DAY(TableAopCalendar[[#This Row],[Date]])</f>
        <v>12</v>
      </c>
      <c r="F193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30" s="33" t="str">
        <f t="shared" si="106"/>
        <v>Week 2</v>
      </c>
      <c r="H1930" s="33" t="str">
        <f t="shared" si="107"/>
        <v>July 27 Week 2</v>
      </c>
      <c r="I1930" s="33" t="str">
        <f>CONCATENATE(UPPER(TableAopCalendar[[#This Row],[Month]])," ",TableAopCalendar[[#This Row],[Year]])</f>
        <v>JULY 27</v>
      </c>
      <c r="J1930" s="8" t="s">
        <v>274</v>
      </c>
      <c r="K1930" s="33" t="str">
        <f>CONCATENATE(TableAopCalendar[[#This Row],[Month for Plan]]," ",TableAopCalendar[[#This Row],[Plan]])</f>
        <v>JULY 27 PLANNED</v>
      </c>
    </row>
    <row r="1931" spans="1:11" x14ac:dyDescent="0.25">
      <c r="A1931" s="33">
        <f t="shared" si="105"/>
        <v>6</v>
      </c>
      <c r="B1931" s="34">
        <v>46581</v>
      </c>
      <c r="C1931" s="7" t="s">
        <v>267</v>
      </c>
      <c r="D1931" s="35">
        <v>27</v>
      </c>
      <c r="E1931" s="33">
        <f>DAY(TableAopCalendar[[#This Row],[Date]])</f>
        <v>13</v>
      </c>
      <c r="F193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31" s="33" t="str">
        <f t="shared" si="106"/>
        <v>Week 2</v>
      </c>
      <c r="H1931" s="33" t="str">
        <f t="shared" si="107"/>
        <v>July 27 Week 2</v>
      </c>
      <c r="I1931" s="33" t="str">
        <f>CONCATENATE(UPPER(TableAopCalendar[[#This Row],[Month]])," ",TableAopCalendar[[#This Row],[Year]])</f>
        <v>JULY 27</v>
      </c>
      <c r="J1931" s="8" t="s">
        <v>274</v>
      </c>
      <c r="K1931" s="33" t="str">
        <f>CONCATENATE(TableAopCalendar[[#This Row],[Month for Plan]]," ",TableAopCalendar[[#This Row],[Plan]])</f>
        <v>JULY 27 PLANNED</v>
      </c>
    </row>
    <row r="1932" spans="1:11" x14ac:dyDescent="0.25">
      <c r="A1932" s="33">
        <f t="shared" si="105"/>
        <v>7</v>
      </c>
      <c r="B1932" s="34">
        <v>46582</v>
      </c>
      <c r="C1932" s="7" t="s">
        <v>267</v>
      </c>
      <c r="D1932" s="35">
        <v>27</v>
      </c>
      <c r="E1932" s="33">
        <f>DAY(TableAopCalendar[[#This Row],[Date]])</f>
        <v>14</v>
      </c>
      <c r="F193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32" s="33" t="str">
        <f t="shared" si="106"/>
        <v>Week 2</v>
      </c>
      <c r="H1932" s="33" t="str">
        <f t="shared" si="107"/>
        <v>July 27 Week 2</v>
      </c>
      <c r="I1932" s="33" t="str">
        <f>CONCATENATE(UPPER(TableAopCalendar[[#This Row],[Month]])," ",TableAopCalendar[[#This Row],[Year]])</f>
        <v>JULY 27</v>
      </c>
      <c r="J1932" s="8" t="s">
        <v>274</v>
      </c>
      <c r="K1932" s="33" t="str">
        <f>CONCATENATE(TableAopCalendar[[#This Row],[Month for Plan]]," ",TableAopCalendar[[#This Row],[Plan]])</f>
        <v>JULY 27 PLANNED</v>
      </c>
    </row>
    <row r="1933" spans="1:11" x14ac:dyDescent="0.25">
      <c r="A1933" s="33">
        <f t="shared" si="105"/>
        <v>1</v>
      </c>
      <c r="B1933" s="34">
        <v>46583</v>
      </c>
      <c r="C1933" s="7" t="s">
        <v>267</v>
      </c>
      <c r="D1933" s="35">
        <v>27</v>
      </c>
      <c r="E1933" s="33">
        <f>DAY(TableAopCalendar[[#This Row],[Date]])</f>
        <v>15</v>
      </c>
      <c r="F193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33" s="33" t="str">
        <f t="shared" si="106"/>
        <v>Week 3</v>
      </c>
      <c r="H1933" s="33" t="str">
        <f t="shared" si="107"/>
        <v>July 27 Week 3</v>
      </c>
      <c r="I1933" s="33" t="str">
        <f>CONCATENATE(UPPER(TableAopCalendar[[#This Row],[Month]])," ",TableAopCalendar[[#This Row],[Year]])</f>
        <v>JULY 27</v>
      </c>
      <c r="J1933" s="8" t="s">
        <v>274</v>
      </c>
      <c r="K1933" s="33" t="str">
        <f>CONCATENATE(TableAopCalendar[[#This Row],[Month for Plan]]," ",TableAopCalendar[[#This Row],[Plan]])</f>
        <v>JULY 27 PLANNED</v>
      </c>
    </row>
    <row r="1934" spans="1:11" x14ac:dyDescent="0.25">
      <c r="A1934" s="33">
        <f t="shared" si="105"/>
        <v>2</v>
      </c>
      <c r="B1934" s="34">
        <v>46584</v>
      </c>
      <c r="C1934" s="7" t="s">
        <v>267</v>
      </c>
      <c r="D1934" s="35">
        <v>27</v>
      </c>
      <c r="E1934" s="33">
        <f>DAY(TableAopCalendar[[#This Row],[Date]])</f>
        <v>16</v>
      </c>
      <c r="F193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34" s="33" t="str">
        <f t="shared" si="106"/>
        <v>Week 3</v>
      </c>
      <c r="H1934" s="33" t="str">
        <f t="shared" si="107"/>
        <v>July 27 Week 3</v>
      </c>
      <c r="I1934" s="33" t="str">
        <f>CONCATENATE(UPPER(TableAopCalendar[[#This Row],[Month]])," ",TableAopCalendar[[#This Row],[Year]])</f>
        <v>JULY 27</v>
      </c>
      <c r="J1934" s="8" t="s">
        <v>274</v>
      </c>
      <c r="K1934" s="33" t="str">
        <f>CONCATENATE(TableAopCalendar[[#This Row],[Month for Plan]]," ",TableAopCalendar[[#This Row],[Plan]])</f>
        <v>JULY 27 PLANNED</v>
      </c>
    </row>
    <row r="1935" spans="1:11" x14ac:dyDescent="0.25">
      <c r="A1935" s="33">
        <f t="shared" si="105"/>
        <v>3</v>
      </c>
      <c r="B1935" s="34">
        <v>46585</v>
      </c>
      <c r="C1935" s="7" t="s">
        <v>267</v>
      </c>
      <c r="D1935" s="35">
        <v>27</v>
      </c>
      <c r="E1935" s="33">
        <f>DAY(TableAopCalendar[[#This Row],[Date]])</f>
        <v>17</v>
      </c>
      <c r="F193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35" s="33" t="str">
        <f t="shared" si="106"/>
        <v>Week 3</v>
      </c>
      <c r="H1935" s="33" t="str">
        <f t="shared" si="107"/>
        <v>July 27 Week 3</v>
      </c>
      <c r="I1935" s="33" t="str">
        <f>CONCATENATE(UPPER(TableAopCalendar[[#This Row],[Month]])," ",TableAopCalendar[[#This Row],[Year]])</f>
        <v>JULY 27</v>
      </c>
      <c r="J1935" s="8" t="s">
        <v>274</v>
      </c>
      <c r="K1935" s="33" t="str">
        <f>CONCATENATE(TableAopCalendar[[#This Row],[Month for Plan]]," ",TableAopCalendar[[#This Row],[Plan]])</f>
        <v>JULY 27 PLANNED</v>
      </c>
    </row>
    <row r="1936" spans="1:11" x14ac:dyDescent="0.25">
      <c r="A1936" s="33">
        <f t="shared" si="105"/>
        <v>4</v>
      </c>
      <c r="B1936" s="34">
        <v>46586</v>
      </c>
      <c r="C1936" s="7" t="s">
        <v>267</v>
      </c>
      <c r="D1936" s="35">
        <v>27</v>
      </c>
      <c r="E1936" s="33">
        <f>DAY(TableAopCalendar[[#This Row],[Date]])</f>
        <v>18</v>
      </c>
      <c r="F193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36" s="33" t="str">
        <f t="shared" si="106"/>
        <v>Week 3</v>
      </c>
      <c r="H1936" s="33" t="str">
        <f t="shared" si="107"/>
        <v>July 27 Week 3</v>
      </c>
      <c r="I1936" s="33" t="str">
        <f>CONCATENATE(UPPER(TableAopCalendar[[#This Row],[Month]])," ",TableAopCalendar[[#This Row],[Year]])</f>
        <v>JULY 27</v>
      </c>
      <c r="J1936" s="8" t="s">
        <v>274</v>
      </c>
      <c r="K1936" s="33" t="str">
        <f>CONCATENATE(TableAopCalendar[[#This Row],[Month for Plan]]," ",TableAopCalendar[[#This Row],[Plan]])</f>
        <v>JULY 27 PLANNED</v>
      </c>
    </row>
    <row r="1937" spans="1:11" x14ac:dyDescent="0.25">
      <c r="A1937" s="33">
        <f t="shared" si="105"/>
        <v>5</v>
      </c>
      <c r="B1937" s="34">
        <v>46587</v>
      </c>
      <c r="C1937" s="7" t="s">
        <v>267</v>
      </c>
      <c r="D1937" s="35">
        <v>27</v>
      </c>
      <c r="E1937" s="33">
        <f>DAY(TableAopCalendar[[#This Row],[Date]])</f>
        <v>19</v>
      </c>
      <c r="F193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37" s="33" t="str">
        <f t="shared" si="106"/>
        <v>Week 3</v>
      </c>
      <c r="H1937" s="33" t="str">
        <f t="shared" si="107"/>
        <v>July 27 Week 3</v>
      </c>
      <c r="I1937" s="33" t="str">
        <f>CONCATENATE(UPPER(TableAopCalendar[[#This Row],[Month]])," ",TableAopCalendar[[#This Row],[Year]])</f>
        <v>JULY 27</v>
      </c>
      <c r="J1937" s="8" t="s">
        <v>274</v>
      </c>
      <c r="K1937" s="33" t="str">
        <f>CONCATENATE(TableAopCalendar[[#This Row],[Month for Plan]]," ",TableAopCalendar[[#This Row],[Plan]])</f>
        <v>JULY 27 PLANNED</v>
      </c>
    </row>
    <row r="1938" spans="1:11" x14ac:dyDescent="0.25">
      <c r="A1938" s="33">
        <f t="shared" si="105"/>
        <v>6</v>
      </c>
      <c r="B1938" s="34">
        <v>46588</v>
      </c>
      <c r="C1938" s="7" t="s">
        <v>267</v>
      </c>
      <c r="D1938" s="35">
        <v>27</v>
      </c>
      <c r="E1938" s="33">
        <f>DAY(TableAopCalendar[[#This Row],[Date]])</f>
        <v>20</v>
      </c>
      <c r="F193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38" s="33" t="str">
        <f t="shared" si="106"/>
        <v>Week 3</v>
      </c>
      <c r="H1938" s="33" t="str">
        <f t="shared" si="107"/>
        <v>July 27 Week 3</v>
      </c>
      <c r="I1938" s="33" t="str">
        <f>CONCATENATE(UPPER(TableAopCalendar[[#This Row],[Month]])," ",TableAopCalendar[[#This Row],[Year]])</f>
        <v>JULY 27</v>
      </c>
      <c r="J1938" s="8" t="s">
        <v>274</v>
      </c>
      <c r="K1938" s="33" t="str">
        <f>CONCATENATE(TableAopCalendar[[#This Row],[Month for Plan]]," ",TableAopCalendar[[#This Row],[Plan]])</f>
        <v>JULY 27 PLANNED</v>
      </c>
    </row>
    <row r="1939" spans="1:11" x14ac:dyDescent="0.25">
      <c r="A1939" s="33">
        <f t="shared" si="105"/>
        <v>7</v>
      </c>
      <c r="B1939" s="34">
        <v>46589</v>
      </c>
      <c r="C1939" s="7" t="s">
        <v>267</v>
      </c>
      <c r="D1939" s="35">
        <v>27</v>
      </c>
      <c r="E1939" s="33">
        <f>DAY(TableAopCalendar[[#This Row],[Date]])</f>
        <v>21</v>
      </c>
      <c r="F193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39" s="33" t="str">
        <f t="shared" si="106"/>
        <v>Week 3</v>
      </c>
      <c r="H1939" s="33" t="str">
        <f t="shared" si="107"/>
        <v>July 27 Week 3</v>
      </c>
      <c r="I1939" s="33" t="str">
        <f>CONCATENATE(UPPER(TableAopCalendar[[#This Row],[Month]])," ",TableAopCalendar[[#This Row],[Year]])</f>
        <v>JULY 27</v>
      </c>
      <c r="J1939" s="8" t="s">
        <v>274</v>
      </c>
      <c r="K1939" s="33" t="str">
        <f>CONCATENATE(TableAopCalendar[[#This Row],[Month for Plan]]," ",TableAopCalendar[[#This Row],[Plan]])</f>
        <v>JULY 27 PLANNED</v>
      </c>
    </row>
    <row r="1940" spans="1:11" x14ac:dyDescent="0.25">
      <c r="A1940" s="33">
        <f t="shared" si="105"/>
        <v>1</v>
      </c>
      <c r="B1940" s="34">
        <v>46590</v>
      </c>
      <c r="C1940" s="7" t="s">
        <v>267</v>
      </c>
      <c r="D1940" s="35">
        <v>27</v>
      </c>
      <c r="E1940" s="33">
        <f>DAY(TableAopCalendar[[#This Row],[Date]])</f>
        <v>22</v>
      </c>
      <c r="F194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40" s="33" t="str">
        <f t="shared" si="106"/>
        <v>Week 4</v>
      </c>
      <c r="H1940" s="33" t="str">
        <f t="shared" si="107"/>
        <v>July 27 Week 4</v>
      </c>
      <c r="I1940" s="33" t="str">
        <f>CONCATENATE(UPPER(TableAopCalendar[[#This Row],[Month]])," ",TableAopCalendar[[#This Row],[Year]])</f>
        <v>JULY 27</v>
      </c>
      <c r="J1940" s="8" t="s">
        <v>274</v>
      </c>
      <c r="K1940" s="33" t="str">
        <f>CONCATENATE(TableAopCalendar[[#This Row],[Month for Plan]]," ",TableAopCalendar[[#This Row],[Plan]])</f>
        <v>JULY 27 PLANNED</v>
      </c>
    </row>
    <row r="1941" spans="1:11" x14ac:dyDescent="0.25">
      <c r="A1941" s="33">
        <f t="shared" si="105"/>
        <v>2</v>
      </c>
      <c r="B1941" s="34">
        <v>46591</v>
      </c>
      <c r="C1941" s="7" t="s">
        <v>267</v>
      </c>
      <c r="D1941" s="35">
        <v>27</v>
      </c>
      <c r="E1941" s="33">
        <f>DAY(TableAopCalendar[[#This Row],[Date]])</f>
        <v>23</v>
      </c>
      <c r="F194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41" s="33" t="str">
        <f t="shared" si="106"/>
        <v>Week 4</v>
      </c>
      <c r="H1941" s="33" t="str">
        <f t="shared" si="107"/>
        <v>July 27 Week 4</v>
      </c>
      <c r="I1941" s="33" t="str">
        <f>CONCATENATE(UPPER(TableAopCalendar[[#This Row],[Month]])," ",TableAopCalendar[[#This Row],[Year]])</f>
        <v>JULY 27</v>
      </c>
      <c r="J1941" s="8" t="s">
        <v>274</v>
      </c>
      <c r="K1941" s="33" t="str">
        <f>CONCATENATE(TableAopCalendar[[#This Row],[Month for Plan]]," ",TableAopCalendar[[#This Row],[Plan]])</f>
        <v>JULY 27 PLANNED</v>
      </c>
    </row>
    <row r="1942" spans="1:11" x14ac:dyDescent="0.25">
      <c r="A1942" s="33">
        <f t="shared" si="105"/>
        <v>3</v>
      </c>
      <c r="B1942" s="34">
        <v>46592</v>
      </c>
      <c r="C1942" s="7" t="s">
        <v>267</v>
      </c>
      <c r="D1942" s="35">
        <v>27</v>
      </c>
      <c r="E1942" s="33">
        <f>DAY(TableAopCalendar[[#This Row],[Date]])</f>
        <v>24</v>
      </c>
      <c r="F194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42" s="33" t="str">
        <f t="shared" si="106"/>
        <v>Week 4</v>
      </c>
      <c r="H1942" s="33" t="str">
        <f t="shared" si="107"/>
        <v>July 27 Week 4</v>
      </c>
      <c r="I1942" s="33" t="str">
        <f>CONCATENATE(UPPER(TableAopCalendar[[#This Row],[Month]])," ",TableAopCalendar[[#This Row],[Year]])</f>
        <v>JULY 27</v>
      </c>
      <c r="J1942" s="8" t="s">
        <v>274</v>
      </c>
      <c r="K1942" s="33" t="str">
        <f>CONCATENATE(TableAopCalendar[[#This Row],[Month for Plan]]," ",TableAopCalendar[[#This Row],[Plan]])</f>
        <v>JULY 27 PLANNED</v>
      </c>
    </row>
    <row r="1943" spans="1:11" x14ac:dyDescent="0.25">
      <c r="A1943" s="33">
        <f t="shared" si="105"/>
        <v>4</v>
      </c>
      <c r="B1943" s="34">
        <v>46593</v>
      </c>
      <c r="C1943" s="7" t="s">
        <v>267</v>
      </c>
      <c r="D1943" s="35">
        <v>27</v>
      </c>
      <c r="E1943" s="33">
        <f>DAY(TableAopCalendar[[#This Row],[Date]])</f>
        <v>25</v>
      </c>
      <c r="F194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43" s="33" t="str">
        <f t="shared" si="106"/>
        <v>Week 4</v>
      </c>
      <c r="H1943" s="33" t="str">
        <f t="shared" si="107"/>
        <v>July 27 Week 4</v>
      </c>
      <c r="I1943" s="33" t="str">
        <f>CONCATENATE(UPPER(TableAopCalendar[[#This Row],[Month]])," ",TableAopCalendar[[#This Row],[Year]])</f>
        <v>JULY 27</v>
      </c>
      <c r="J1943" s="8" t="s">
        <v>274</v>
      </c>
      <c r="K1943" s="33" t="str">
        <f>CONCATENATE(TableAopCalendar[[#This Row],[Month for Plan]]," ",TableAopCalendar[[#This Row],[Plan]])</f>
        <v>JULY 27 PLANNED</v>
      </c>
    </row>
    <row r="1944" spans="1:11" x14ac:dyDescent="0.25">
      <c r="A1944" s="33">
        <f t="shared" si="105"/>
        <v>5</v>
      </c>
      <c r="B1944" s="34">
        <v>46594</v>
      </c>
      <c r="C1944" s="7" t="s">
        <v>267</v>
      </c>
      <c r="D1944" s="35">
        <v>27</v>
      </c>
      <c r="E1944" s="33">
        <f>DAY(TableAopCalendar[[#This Row],[Date]])</f>
        <v>26</v>
      </c>
      <c r="F194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44" s="33" t="str">
        <f t="shared" si="106"/>
        <v>Week 4</v>
      </c>
      <c r="H1944" s="33" t="str">
        <f t="shared" si="107"/>
        <v>July 27 Week 4</v>
      </c>
      <c r="I1944" s="33" t="str">
        <f>CONCATENATE(UPPER(TableAopCalendar[[#This Row],[Month]])," ",TableAopCalendar[[#This Row],[Year]])</f>
        <v>JULY 27</v>
      </c>
      <c r="J1944" s="8" t="s">
        <v>274</v>
      </c>
      <c r="K1944" s="33" t="str">
        <f>CONCATENATE(TableAopCalendar[[#This Row],[Month for Plan]]," ",TableAopCalendar[[#This Row],[Plan]])</f>
        <v>JULY 27 PLANNED</v>
      </c>
    </row>
    <row r="1945" spans="1:11" x14ac:dyDescent="0.25">
      <c r="A1945" s="33">
        <f t="shared" si="105"/>
        <v>6</v>
      </c>
      <c r="B1945" s="34">
        <v>46595</v>
      </c>
      <c r="C1945" s="7" t="s">
        <v>267</v>
      </c>
      <c r="D1945" s="35">
        <v>27</v>
      </c>
      <c r="E1945" s="33">
        <f>DAY(TableAopCalendar[[#This Row],[Date]])</f>
        <v>27</v>
      </c>
      <c r="F194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45" s="33" t="str">
        <f t="shared" si="106"/>
        <v>Week 4</v>
      </c>
      <c r="H1945" s="33" t="str">
        <f t="shared" si="107"/>
        <v>July 27 Week 4</v>
      </c>
      <c r="I1945" s="33" t="str">
        <f>CONCATENATE(UPPER(TableAopCalendar[[#This Row],[Month]])," ",TableAopCalendar[[#This Row],[Year]])</f>
        <v>JULY 27</v>
      </c>
      <c r="J1945" s="8" t="s">
        <v>274</v>
      </c>
      <c r="K1945" s="33" t="str">
        <f>CONCATENATE(TableAopCalendar[[#This Row],[Month for Plan]]," ",TableAopCalendar[[#This Row],[Plan]])</f>
        <v>JULY 27 PLANNED</v>
      </c>
    </row>
    <row r="1946" spans="1:11" x14ac:dyDescent="0.25">
      <c r="A1946" s="33">
        <f t="shared" si="105"/>
        <v>7</v>
      </c>
      <c r="B1946" s="34">
        <v>46596</v>
      </c>
      <c r="C1946" s="7" t="s">
        <v>267</v>
      </c>
      <c r="D1946" s="35">
        <v>27</v>
      </c>
      <c r="E1946" s="33">
        <f>DAY(TableAopCalendar[[#This Row],[Date]])</f>
        <v>28</v>
      </c>
      <c r="F194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46" s="33" t="str">
        <f t="shared" si="106"/>
        <v>Week 4</v>
      </c>
      <c r="H1946" s="33" t="str">
        <f t="shared" si="107"/>
        <v>July 27 Week 4</v>
      </c>
      <c r="I1946" s="33" t="str">
        <f>CONCATENATE(UPPER(TableAopCalendar[[#This Row],[Month]])," ",TableAopCalendar[[#This Row],[Year]])</f>
        <v>JULY 27</v>
      </c>
      <c r="J1946" s="8" t="s">
        <v>274</v>
      </c>
      <c r="K1946" s="33" t="str">
        <f>CONCATENATE(TableAopCalendar[[#This Row],[Month for Plan]]," ",TableAopCalendar[[#This Row],[Plan]])</f>
        <v>JULY 27 PLANNED</v>
      </c>
    </row>
    <row r="1947" spans="1:11" x14ac:dyDescent="0.25">
      <c r="A1947" s="33">
        <f t="shared" si="105"/>
        <v>1</v>
      </c>
      <c r="B1947" s="34">
        <v>46597</v>
      </c>
      <c r="C1947" s="7" t="s">
        <v>267</v>
      </c>
      <c r="D1947" s="35">
        <v>27</v>
      </c>
      <c r="E1947" s="33">
        <f>DAY(TableAopCalendar[[#This Row],[Date]])</f>
        <v>29</v>
      </c>
      <c r="F194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47" s="33" t="str">
        <f t="shared" si="106"/>
        <v>Week 5</v>
      </c>
      <c r="H1947" s="33" t="str">
        <f t="shared" si="107"/>
        <v>July 27 Week 5</v>
      </c>
      <c r="I1947" s="33" t="str">
        <f>CONCATENATE(UPPER(TableAopCalendar[[#This Row],[Month]])," ",TableAopCalendar[[#This Row],[Year]])</f>
        <v>JULY 27</v>
      </c>
      <c r="J1947" s="8" t="s">
        <v>274</v>
      </c>
      <c r="K1947" s="33" t="str">
        <f>CONCATENATE(TableAopCalendar[[#This Row],[Month for Plan]]," ",TableAopCalendar[[#This Row],[Plan]])</f>
        <v>JULY 27 PLANNED</v>
      </c>
    </row>
    <row r="1948" spans="1:11" x14ac:dyDescent="0.25">
      <c r="A1948" s="33">
        <f t="shared" si="105"/>
        <v>2</v>
      </c>
      <c r="B1948" s="34">
        <v>46598</v>
      </c>
      <c r="C1948" s="7" t="s">
        <v>267</v>
      </c>
      <c r="D1948" s="35">
        <v>27</v>
      </c>
      <c r="E1948" s="33">
        <f>DAY(TableAopCalendar[[#This Row],[Date]])</f>
        <v>30</v>
      </c>
      <c r="F194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48" s="33" t="str">
        <f t="shared" si="106"/>
        <v>Week 5</v>
      </c>
      <c r="H1948" s="33" t="str">
        <f t="shared" si="107"/>
        <v>July 27 Week 5</v>
      </c>
      <c r="I1948" s="33" t="str">
        <f>CONCATENATE(UPPER(TableAopCalendar[[#This Row],[Month]])," ",TableAopCalendar[[#This Row],[Year]])</f>
        <v>JULY 27</v>
      </c>
      <c r="J1948" s="8" t="s">
        <v>274</v>
      </c>
      <c r="K1948" s="33" t="str">
        <f>CONCATENATE(TableAopCalendar[[#This Row],[Month for Plan]]," ",TableAopCalendar[[#This Row],[Plan]])</f>
        <v>JULY 27 PLANNED</v>
      </c>
    </row>
    <row r="1949" spans="1:11" x14ac:dyDescent="0.25">
      <c r="A1949" s="33">
        <f t="shared" si="105"/>
        <v>3</v>
      </c>
      <c r="B1949" s="34">
        <v>46599</v>
      </c>
      <c r="C1949" s="7" t="s">
        <v>267</v>
      </c>
      <c r="D1949" s="35">
        <v>27</v>
      </c>
      <c r="E1949" s="33">
        <f>DAY(TableAopCalendar[[#This Row],[Date]])</f>
        <v>31</v>
      </c>
      <c r="F1949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49" s="33" t="str">
        <f t="shared" si="106"/>
        <v>Week 5</v>
      </c>
      <c r="H1949" s="33" t="str">
        <f t="shared" si="107"/>
        <v>July 27 Week 5</v>
      </c>
      <c r="I1949" s="33" t="str">
        <f>CONCATENATE(UPPER(TableAopCalendar[[#This Row],[Month]])," ",TableAopCalendar[[#This Row],[Year]])</f>
        <v>JULY 27</v>
      </c>
      <c r="J1949" s="8" t="s">
        <v>274</v>
      </c>
      <c r="K1949" s="33" t="str">
        <f>CONCATENATE(TableAopCalendar[[#This Row],[Month for Plan]]," ",TableAopCalendar[[#This Row],[Plan]])</f>
        <v>JULY 27 PLANNED</v>
      </c>
    </row>
    <row r="1950" spans="1:11" x14ac:dyDescent="0.25">
      <c r="A1950" s="33">
        <f t="shared" si="105"/>
        <v>1</v>
      </c>
      <c r="B1950" s="34">
        <v>46600</v>
      </c>
      <c r="C1950" s="7" t="s">
        <v>268</v>
      </c>
      <c r="D1950" s="35">
        <v>27</v>
      </c>
      <c r="E1950" s="33">
        <f>DAY(TableAopCalendar[[#This Row],[Date]])</f>
        <v>1</v>
      </c>
      <c r="F195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50" s="33" t="str">
        <f t="shared" si="106"/>
        <v>Week 1</v>
      </c>
      <c r="H1950" s="33" t="str">
        <f t="shared" si="107"/>
        <v>August 27 Week 1</v>
      </c>
      <c r="I1950" s="33" t="str">
        <f>CONCATENATE(UPPER(TableAopCalendar[[#This Row],[Month]])," ",TableAopCalendar[[#This Row],[Year]])</f>
        <v>AUGUST 27</v>
      </c>
      <c r="J1950" s="8" t="s">
        <v>274</v>
      </c>
      <c r="K1950" s="33" t="str">
        <f>CONCATENATE(TableAopCalendar[[#This Row],[Month for Plan]]," ",TableAopCalendar[[#This Row],[Plan]])</f>
        <v>AUGUST 27 PLANNED</v>
      </c>
    </row>
    <row r="1951" spans="1:11" x14ac:dyDescent="0.25">
      <c r="A1951" s="33">
        <f t="shared" si="105"/>
        <v>2</v>
      </c>
      <c r="B1951" s="34">
        <v>46601</v>
      </c>
      <c r="C1951" s="7" t="s">
        <v>268</v>
      </c>
      <c r="D1951" s="35">
        <v>27</v>
      </c>
      <c r="E1951" s="33">
        <f>DAY(TableAopCalendar[[#This Row],[Date]])</f>
        <v>2</v>
      </c>
      <c r="F195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51" s="33" t="str">
        <f t="shared" si="106"/>
        <v>Week 1</v>
      </c>
      <c r="H1951" s="33" t="str">
        <f t="shared" si="107"/>
        <v>August 27 Week 1</v>
      </c>
      <c r="I1951" s="33" t="str">
        <f>CONCATENATE(UPPER(TableAopCalendar[[#This Row],[Month]])," ",TableAopCalendar[[#This Row],[Year]])</f>
        <v>AUGUST 27</v>
      </c>
      <c r="J1951" s="8" t="s">
        <v>274</v>
      </c>
      <c r="K1951" s="33" t="str">
        <f>CONCATENATE(TableAopCalendar[[#This Row],[Month for Plan]]," ",TableAopCalendar[[#This Row],[Plan]])</f>
        <v>AUGUST 27 PLANNED</v>
      </c>
    </row>
    <row r="1952" spans="1:11" x14ac:dyDescent="0.25">
      <c r="A1952" s="33">
        <f t="shared" si="105"/>
        <v>3</v>
      </c>
      <c r="B1952" s="34">
        <v>46602</v>
      </c>
      <c r="C1952" s="7" t="s">
        <v>268</v>
      </c>
      <c r="D1952" s="35">
        <v>27</v>
      </c>
      <c r="E1952" s="33">
        <f>DAY(TableAopCalendar[[#This Row],[Date]])</f>
        <v>3</v>
      </c>
      <c r="F195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52" s="33" t="str">
        <f t="shared" si="106"/>
        <v>Week 1</v>
      </c>
      <c r="H1952" s="33" t="str">
        <f t="shared" si="107"/>
        <v>August 27 Week 1</v>
      </c>
      <c r="I1952" s="33" t="str">
        <f>CONCATENATE(UPPER(TableAopCalendar[[#This Row],[Month]])," ",TableAopCalendar[[#This Row],[Year]])</f>
        <v>AUGUST 27</v>
      </c>
      <c r="J1952" s="8" t="s">
        <v>274</v>
      </c>
      <c r="K1952" s="33" t="str">
        <f>CONCATENATE(TableAopCalendar[[#This Row],[Month for Plan]]," ",TableAopCalendar[[#This Row],[Plan]])</f>
        <v>AUGUST 27 PLANNED</v>
      </c>
    </row>
    <row r="1953" spans="1:11" x14ac:dyDescent="0.25">
      <c r="A1953" s="33">
        <f t="shared" si="105"/>
        <v>4</v>
      </c>
      <c r="B1953" s="34">
        <v>46603</v>
      </c>
      <c r="C1953" s="7" t="s">
        <v>268</v>
      </c>
      <c r="D1953" s="35">
        <v>27</v>
      </c>
      <c r="E1953" s="33">
        <f>DAY(TableAopCalendar[[#This Row],[Date]])</f>
        <v>4</v>
      </c>
      <c r="F195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53" s="33" t="str">
        <f t="shared" si="106"/>
        <v>Week 1</v>
      </c>
      <c r="H1953" s="33" t="str">
        <f t="shared" si="107"/>
        <v>August 27 Week 1</v>
      </c>
      <c r="I1953" s="33" t="str">
        <f>CONCATENATE(UPPER(TableAopCalendar[[#This Row],[Month]])," ",TableAopCalendar[[#This Row],[Year]])</f>
        <v>AUGUST 27</v>
      </c>
      <c r="J1953" s="8" t="s">
        <v>274</v>
      </c>
      <c r="K1953" s="33" t="str">
        <f>CONCATENATE(TableAopCalendar[[#This Row],[Month for Plan]]," ",TableAopCalendar[[#This Row],[Plan]])</f>
        <v>AUGUST 27 PLANNED</v>
      </c>
    </row>
    <row r="1954" spans="1:11" x14ac:dyDescent="0.25">
      <c r="A1954" s="33">
        <f t="shared" si="105"/>
        <v>5</v>
      </c>
      <c r="B1954" s="34">
        <v>46604</v>
      </c>
      <c r="C1954" s="7" t="s">
        <v>268</v>
      </c>
      <c r="D1954" s="35">
        <v>27</v>
      </c>
      <c r="E1954" s="33">
        <f>DAY(TableAopCalendar[[#This Row],[Date]])</f>
        <v>5</v>
      </c>
      <c r="F195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54" s="33" t="str">
        <f t="shared" si="106"/>
        <v>Week 1</v>
      </c>
      <c r="H1954" s="33" t="str">
        <f t="shared" si="107"/>
        <v>August 27 Week 1</v>
      </c>
      <c r="I1954" s="33" t="str">
        <f>CONCATENATE(UPPER(TableAopCalendar[[#This Row],[Month]])," ",TableAopCalendar[[#This Row],[Year]])</f>
        <v>AUGUST 27</v>
      </c>
      <c r="J1954" s="8" t="s">
        <v>274</v>
      </c>
      <c r="K1954" s="33" t="str">
        <f>CONCATENATE(TableAopCalendar[[#This Row],[Month for Plan]]," ",TableAopCalendar[[#This Row],[Plan]])</f>
        <v>AUGUST 27 PLANNED</v>
      </c>
    </row>
    <row r="1955" spans="1:11" x14ac:dyDescent="0.25">
      <c r="A1955" s="33">
        <f t="shared" si="105"/>
        <v>6</v>
      </c>
      <c r="B1955" s="34">
        <v>46605</v>
      </c>
      <c r="C1955" s="7" t="s">
        <v>268</v>
      </c>
      <c r="D1955" s="35">
        <v>27</v>
      </c>
      <c r="E1955" s="33">
        <f>DAY(TableAopCalendar[[#This Row],[Date]])</f>
        <v>6</v>
      </c>
      <c r="F195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55" s="33" t="str">
        <f t="shared" si="106"/>
        <v>Week 1</v>
      </c>
      <c r="H1955" s="33" t="str">
        <f t="shared" si="107"/>
        <v>August 27 Week 1</v>
      </c>
      <c r="I1955" s="33" t="str">
        <f>CONCATENATE(UPPER(TableAopCalendar[[#This Row],[Month]])," ",TableAopCalendar[[#This Row],[Year]])</f>
        <v>AUGUST 27</v>
      </c>
      <c r="J1955" s="8" t="s">
        <v>274</v>
      </c>
      <c r="K1955" s="33" t="str">
        <f>CONCATENATE(TableAopCalendar[[#This Row],[Month for Plan]]," ",TableAopCalendar[[#This Row],[Plan]])</f>
        <v>AUGUST 27 PLANNED</v>
      </c>
    </row>
    <row r="1956" spans="1:11" x14ac:dyDescent="0.25">
      <c r="A1956" s="33">
        <f t="shared" ref="A1956:A2019" si="108">IF(G1956=G1955,A1955+1,1)</f>
        <v>7</v>
      </c>
      <c r="B1956" s="34">
        <v>46606</v>
      </c>
      <c r="C1956" s="7" t="s">
        <v>268</v>
      </c>
      <c r="D1956" s="35">
        <v>27</v>
      </c>
      <c r="E1956" s="33">
        <f>DAY(TableAopCalendar[[#This Row],[Date]])</f>
        <v>7</v>
      </c>
      <c r="F195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56" s="33" t="str">
        <f t="shared" ref="G1956:G2019" si="109">"Week"&amp;" "&amp;F1956</f>
        <v>Week 1</v>
      </c>
      <c r="H1956" s="33" t="str">
        <f t="shared" ref="H1956:H2019" si="110">CONCATENATE(C1956," ",D1956," ",G1956)</f>
        <v>August 27 Week 1</v>
      </c>
      <c r="I1956" s="33" t="str">
        <f>CONCATENATE(UPPER(TableAopCalendar[[#This Row],[Month]])," ",TableAopCalendar[[#This Row],[Year]])</f>
        <v>AUGUST 27</v>
      </c>
      <c r="J1956" s="8" t="s">
        <v>274</v>
      </c>
      <c r="K1956" s="33" t="str">
        <f>CONCATENATE(TableAopCalendar[[#This Row],[Month for Plan]]," ",TableAopCalendar[[#This Row],[Plan]])</f>
        <v>AUGUST 27 PLANNED</v>
      </c>
    </row>
    <row r="1957" spans="1:11" x14ac:dyDescent="0.25">
      <c r="A1957" s="33">
        <f t="shared" si="108"/>
        <v>1</v>
      </c>
      <c r="B1957" s="34">
        <v>46607</v>
      </c>
      <c r="C1957" s="7" t="s">
        <v>268</v>
      </c>
      <c r="D1957" s="35">
        <v>27</v>
      </c>
      <c r="E1957" s="33">
        <f>DAY(TableAopCalendar[[#This Row],[Date]])</f>
        <v>8</v>
      </c>
      <c r="F195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57" s="33" t="str">
        <f t="shared" si="109"/>
        <v>Week 2</v>
      </c>
      <c r="H1957" s="33" t="str">
        <f t="shared" si="110"/>
        <v>August 27 Week 2</v>
      </c>
      <c r="I1957" s="33" t="str">
        <f>CONCATENATE(UPPER(TableAopCalendar[[#This Row],[Month]])," ",TableAopCalendar[[#This Row],[Year]])</f>
        <v>AUGUST 27</v>
      </c>
      <c r="J1957" s="8" t="s">
        <v>274</v>
      </c>
      <c r="K1957" s="33" t="str">
        <f>CONCATENATE(TableAopCalendar[[#This Row],[Month for Plan]]," ",TableAopCalendar[[#This Row],[Plan]])</f>
        <v>AUGUST 27 PLANNED</v>
      </c>
    </row>
    <row r="1958" spans="1:11" x14ac:dyDescent="0.25">
      <c r="A1958" s="33">
        <f t="shared" si="108"/>
        <v>2</v>
      </c>
      <c r="B1958" s="34">
        <v>46608</v>
      </c>
      <c r="C1958" s="7" t="s">
        <v>268</v>
      </c>
      <c r="D1958" s="35">
        <v>27</v>
      </c>
      <c r="E1958" s="33">
        <f>DAY(TableAopCalendar[[#This Row],[Date]])</f>
        <v>9</v>
      </c>
      <c r="F195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58" s="33" t="str">
        <f t="shared" si="109"/>
        <v>Week 2</v>
      </c>
      <c r="H1958" s="33" t="str">
        <f t="shared" si="110"/>
        <v>August 27 Week 2</v>
      </c>
      <c r="I1958" s="33" t="str">
        <f>CONCATENATE(UPPER(TableAopCalendar[[#This Row],[Month]])," ",TableAopCalendar[[#This Row],[Year]])</f>
        <v>AUGUST 27</v>
      </c>
      <c r="J1958" s="8" t="s">
        <v>274</v>
      </c>
      <c r="K1958" s="33" t="str">
        <f>CONCATENATE(TableAopCalendar[[#This Row],[Month for Plan]]," ",TableAopCalendar[[#This Row],[Plan]])</f>
        <v>AUGUST 27 PLANNED</v>
      </c>
    </row>
    <row r="1959" spans="1:11" x14ac:dyDescent="0.25">
      <c r="A1959" s="33">
        <f t="shared" si="108"/>
        <v>3</v>
      </c>
      <c r="B1959" s="34">
        <v>46609</v>
      </c>
      <c r="C1959" s="7" t="s">
        <v>268</v>
      </c>
      <c r="D1959" s="35">
        <v>27</v>
      </c>
      <c r="E1959" s="33">
        <f>DAY(TableAopCalendar[[#This Row],[Date]])</f>
        <v>10</v>
      </c>
      <c r="F195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59" s="33" t="str">
        <f t="shared" si="109"/>
        <v>Week 2</v>
      </c>
      <c r="H1959" s="33" t="str">
        <f t="shared" si="110"/>
        <v>August 27 Week 2</v>
      </c>
      <c r="I1959" s="33" t="str">
        <f>CONCATENATE(UPPER(TableAopCalendar[[#This Row],[Month]])," ",TableAopCalendar[[#This Row],[Year]])</f>
        <v>AUGUST 27</v>
      </c>
      <c r="J1959" s="8" t="s">
        <v>274</v>
      </c>
      <c r="K1959" s="33" t="str">
        <f>CONCATENATE(TableAopCalendar[[#This Row],[Month for Plan]]," ",TableAopCalendar[[#This Row],[Plan]])</f>
        <v>AUGUST 27 PLANNED</v>
      </c>
    </row>
    <row r="1960" spans="1:11" x14ac:dyDescent="0.25">
      <c r="A1960" s="33">
        <f t="shared" si="108"/>
        <v>4</v>
      </c>
      <c r="B1960" s="34">
        <v>46610</v>
      </c>
      <c r="C1960" s="7" t="s">
        <v>268</v>
      </c>
      <c r="D1960" s="35">
        <v>27</v>
      </c>
      <c r="E1960" s="33">
        <f>DAY(TableAopCalendar[[#This Row],[Date]])</f>
        <v>11</v>
      </c>
      <c r="F196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60" s="33" t="str">
        <f t="shared" si="109"/>
        <v>Week 2</v>
      </c>
      <c r="H1960" s="33" t="str">
        <f t="shared" si="110"/>
        <v>August 27 Week 2</v>
      </c>
      <c r="I1960" s="33" t="str">
        <f>CONCATENATE(UPPER(TableAopCalendar[[#This Row],[Month]])," ",TableAopCalendar[[#This Row],[Year]])</f>
        <v>AUGUST 27</v>
      </c>
      <c r="J1960" s="8" t="s">
        <v>274</v>
      </c>
      <c r="K1960" s="33" t="str">
        <f>CONCATENATE(TableAopCalendar[[#This Row],[Month for Plan]]," ",TableAopCalendar[[#This Row],[Plan]])</f>
        <v>AUGUST 27 PLANNED</v>
      </c>
    </row>
    <row r="1961" spans="1:11" x14ac:dyDescent="0.25">
      <c r="A1961" s="33">
        <f t="shared" si="108"/>
        <v>5</v>
      </c>
      <c r="B1961" s="34">
        <v>46611</v>
      </c>
      <c r="C1961" s="7" t="s">
        <v>268</v>
      </c>
      <c r="D1961" s="35">
        <v>27</v>
      </c>
      <c r="E1961" s="33">
        <f>DAY(TableAopCalendar[[#This Row],[Date]])</f>
        <v>12</v>
      </c>
      <c r="F196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61" s="33" t="str">
        <f t="shared" si="109"/>
        <v>Week 2</v>
      </c>
      <c r="H1961" s="33" t="str">
        <f t="shared" si="110"/>
        <v>August 27 Week 2</v>
      </c>
      <c r="I1961" s="33" t="str">
        <f>CONCATENATE(UPPER(TableAopCalendar[[#This Row],[Month]])," ",TableAopCalendar[[#This Row],[Year]])</f>
        <v>AUGUST 27</v>
      </c>
      <c r="J1961" s="8" t="s">
        <v>274</v>
      </c>
      <c r="K1961" s="33" t="str">
        <f>CONCATENATE(TableAopCalendar[[#This Row],[Month for Plan]]," ",TableAopCalendar[[#This Row],[Plan]])</f>
        <v>AUGUST 27 PLANNED</v>
      </c>
    </row>
    <row r="1962" spans="1:11" x14ac:dyDescent="0.25">
      <c r="A1962" s="33">
        <f t="shared" si="108"/>
        <v>6</v>
      </c>
      <c r="B1962" s="34">
        <v>46612</v>
      </c>
      <c r="C1962" s="7" t="s">
        <v>268</v>
      </c>
      <c r="D1962" s="35">
        <v>27</v>
      </c>
      <c r="E1962" s="33">
        <f>DAY(TableAopCalendar[[#This Row],[Date]])</f>
        <v>13</v>
      </c>
      <c r="F196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62" s="33" t="str">
        <f t="shared" si="109"/>
        <v>Week 2</v>
      </c>
      <c r="H1962" s="33" t="str">
        <f t="shared" si="110"/>
        <v>August 27 Week 2</v>
      </c>
      <c r="I1962" s="33" t="str">
        <f>CONCATENATE(UPPER(TableAopCalendar[[#This Row],[Month]])," ",TableAopCalendar[[#This Row],[Year]])</f>
        <v>AUGUST 27</v>
      </c>
      <c r="J1962" s="8" t="s">
        <v>274</v>
      </c>
      <c r="K1962" s="33" t="str">
        <f>CONCATENATE(TableAopCalendar[[#This Row],[Month for Plan]]," ",TableAopCalendar[[#This Row],[Plan]])</f>
        <v>AUGUST 27 PLANNED</v>
      </c>
    </row>
    <row r="1963" spans="1:11" x14ac:dyDescent="0.25">
      <c r="A1963" s="33">
        <f t="shared" si="108"/>
        <v>7</v>
      </c>
      <c r="B1963" s="34">
        <v>46613</v>
      </c>
      <c r="C1963" s="7" t="s">
        <v>268</v>
      </c>
      <c r="D1963" s="35">
        <v>27</v>
      </c>
      <c r="E1963" s="33">
        <f>DAY(TableAopCalendar[[#This Row],[Date]])</f>
        <v>14</v>
      </c>
      <c r="F196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63" s="33" t="str">
        <f t="shared" si="109"/>
        <v>Week 2</v>
      </c>
      <c r="H1963" s="33" t="str">
        <f t="shared" si="110"/>
        <v>August 27 Week 2</v>
      </c>
      <c r="I1963" s="33" t="str">
        <f>CONCATENATE(UPPER(TableAopCalendar[[#This Row],[Month]])," ",TableAopCalendar[[#This Row],[Year]])</f>
        <v>AUGUST 27</v>
      </c>
      <c r="J1963" s="8" t="s">
        <v>274</v>
      </c>
      <c r="K1963" s="33" t="str">
        <f>CONCATENATE(TableAopCalendar[[#This Row],[Month for Plan]]," ",TableAopCalendar[[#This Row],[Plan]])</f>
        <v>AUGUST 27 PLANNED</v>
      </c>
    </row>
    <row r="1964" spans="1:11" x14ac:dyDescent="0.25">
      <c r="A1964" s="33">
        <f t="shared" si="108"/>
        <v>1</v>
      </c>
      <c r="B1964" s="34">
        <v>46614</v>
      </c>
      <c r="C1964" s="7" t="s">
        <v>268</v>
      </c>
      <c r="D1964" s="35">
        <v>27</v>
      </c>
      <c r="E1964" s="33">
        <f>DAY(TableAopCalendar[[#This Row],[Date]])</f>
        <v>15</v>
      </c>
      <c r="F196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64" s="33" t="str">
        <f t="shared" si="109"/>
        <v>Week 3</v>
      </c>
      <c r="H1964" s="33" t="str">
        <f t="shared" si="110"/>
        <v>August 27 Week 3</v>
      </c>
      <c r="I1964" s="33" t="str">
        <f>CONCATENATE(UPPER(TableAopCalendar[[#This Row],[Month]])," ",TableAopCalendar[[#This Row],[Year]])</f>
        <v>AUGUST 27</v>
      </c>
      <c r="J1964" s="8" t="s">
        <v>274</v>
      </c>
      <c r="K1964" s="33" t="str">
        <f>CONCATENATE(TableAopCalendar[[#This Row],[Month for Plan]]," ",TableAopCalendar[[#This Row],[Plan]])</f>
        <v>AUGUST 27 PLANNED</v>
      </c>
    </row>
    <row r="1965" spans="1:11" x14ac:dyDescent="0.25">
      <c r="A1965" s="33">
        <f t="shared" si="108"/>
        <v>2</v>
      </c>
      <c r="B1965" s="34">
        <v>46615</v>
      </c>
      <c r="C1965" s="7" t="s">
        <v>268</v>
      </c>
      <c r="D1965" s="35">
        <v>27</v>
      </c>
      <c r="E1965" s="33">
        <f>DAY(TableAopCalendar[[#This Row],[Date]])</f>
        <v>16</v>
      </c>
      <c r="F196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65" s="33" t="str">
        <f t="shared" si="109"/>
        <v>Week 3</v>
      </c>
      <c r="H1965" s="33" t="str">
        <f t="shared" si="110"/>
        <v>August 27 Week 3</v>
      </c>
      <c r="I1965" s="33" t="str">
        <f>CONCATENATE(UPPER(TableAopCalendar[[#This Row],[Month]])," ",TableAopCalendar[[#This Row],[Year]])</f>
        <v>AUGUST 27</v>
      </c>
      <c r="J1965" s="8" t="s">
        <v>274</v>
      </c>
      <c r="K1965" s="33" t="str">
        <f>CONCATENATE(TableAopCalendar[[#This Row],[Month for Plan]]," ",TableAopCalendar[[#This Row],[Plan]])</f>
        <v>AUGUST 27 PLANNED</v>
      </c>
    </row>
    <row r="1966" spans="1:11" x14ac:dyDescent="0.25">
      <c r="A1966" s="33">
        <f t="shared" si="108"/>
        <v>3</v>
      </c>
      <c r="B1966" s="34">
        <v>46616</v>
      </c>
      <c r="C1966" s="7" t="s">
        <v>268</v>
      </c>
      <c r="D1966" s="35">
        <v>27</v>
      </c>
      <c r="E1966" s="33">
        <f>DAY(TableAopCalendar[[#This Row],[Date]])</f>
        <v>17</v>
      </c>
      <c r="F196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66" s="33" t="str">
        <f t="shared" si="109"/>
        <v>Week 3</v>
      </c>
      <c r="H1966" s="33" t="str">
        <f t="shared" si="110"/>
        <v>August 27 Week 3</v>
      </c>
      <c r="I1966" s="33" t="str">
        <f>CONCATENATE(UPPER(TableAopCalendar[[#This Row],[Month]])," ",TableAopCalendar[[#This Row],[Year]])</f>
        <v>AUGUST 27</v>
      </c>
      <c r="J1966" s="8" t="s">
        <v>274</v>
      </c>
      <c r="K1966" s="33" t="str">
        <f>CONCATENATE(TableAopCalendar[[#This Row],[Month for Plan]]," ",TableAopCalendar[[#This Row],[Plan]])</f>
        <v>AUGUST 27 PLANNED</v>
      </c>
    </row>
    <row r="1967" spans="1:11" x14ac:dyDescent="0.25">
      <c r="A1967" s="33">
        <f t="shared" si="108"/>
        <v>4</v>
      </c>
      <c r="B1967" s="34">
        <v>46617</v>
      </c>
      <c r="C1967" s="7" t="s">
        <v>268</v>
      </c>
      <c r="D1967" s="35">
        <v>27</v>
      </c>
      <c r="E1967" s="33">
        <f>DAY(TableAopCalendar[[#This Row],[Date]])</f>
        <v>18</v>
      </c>
      <c r="F196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67" s="33" t="str">
        <f t="shared" si="109"/>
        <v>Week 3</v>
      </c>
      <c r="H1967" s="33" t="str">
        <f t="shared" si="110"/>
        <v>August 27 Week 3</v>
      </c>
      <c r="I1967" s="33" t="str">
        <f>CONCATENATE(UPPER(TableAopCalendar[[#This Row],[Month]])," ",TableAopCalendar[[#This Row],[Year]])</f>
        <v>AUGUST 27</v>
      </c>
      <c r="J1967" s="8" t="s">
        <v>274</v>
      </c>
      <c r="K1967" s="33" t="str">
        <f>CONCATENATE(TableAopCalendar[[#This Row],[Month for Plan]]," ",TableAopCalendar[[#This Row],[Plan]])</f>
        <v>AUGUST 27 PLANNED</v>
      </c>
    </row>
    <row r="1968" spans="1:11" x14ac:dyDescent="0.25">
      <c r="A1968" s="33">
        <f t="shared" si="108"/>
        <v>5</v>
      </c>
      <c r="B1968" s="34">
        <v>46618</v>
      </c>
      <c r="C1968" s="7" t="s">
        <v>268</v>
      </c>
      <c r="D1968" s="35">
        <v>27</v>
      </c>
      <c r="E1968" s="33">
        <f>DAY(TableAopCalendar[[#This Row],[Date]])</f>
        <v>19</v>
      </c>
      <c r="F196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68" s="33" t="str">
        <f t="shared" si="109"/>
        <v>Week 3</v>
      </c>
      <c r="H1968" s="33" t="str">
        <f t="shared" si="110"/>
        <v>August 27 Week 3</v>
      </c>
      <c r="I1968" s="33" t="str">
        <f>CONCATENATE(UPPER(TableAopCalendar[[#This Row],[Month]])," ",TableAopCalendar[[#This Row],[Year]])</f>
        <v>AUGUST 27</v>
      </c>
      <c r="J1968" s="8" t="s">
        <v>274</v>
      </c>
      <c r="K1968" s="33" t="str">
        <f>CONCATENATE(TableAopCalendar[[#This Row],[Month for Plan]]," ",TableAopCalendar[[#This Row],[Plan]])</f>
        <v>AUGUST 27 PLANNED</v>
      </c>
    </row>
    <row r="1969" spans="1:11" x14ac:dyDescent="0.25">
      <c r="A1969" s="33">
        <f t="shared" si="108"/>
        <v>6</v>
      </c>
      <c r="B1969" s="34">
        <v>46619</v>
      </c>
      <c r="C1969" s="7" t="s">
        <v>268</v>
      </c>
      <c r="D1969" s="35">
        <v>27</v>
      </c>
      <c r="E1969" s="33">
        <f>DAY(TableAopCalendar[[#This Row],[Date]])</f>
        <v>20</v>
      </c>
      <c r="F196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69" s="33" t="str">
        <f t="shared" si="109"/>
        <v>Week 3</v>
      </c>
      <c r="H1969" s="33" t="str">
        <f t="shared" si="110"/>
        <v>August 27 Week 3</v>
      </c>
      <c r="I1969" s="33" t="str">
        <f>CONCATENATE(UPPER(TableAopCalendar[[#This Row],[Month]])," ",TableAopCalendar[[#This Row],[Year]])</f>
        <v>AUGUST 27</v>
      </c>
      <c r="J1969" s="8" t="s">
        <v>274</v>
      </c>
      <c r="K1969" s="33" t="str">
        <f>CONCATENATE(TableAopCalendar[[#This Row],[Month for Plan]]," ",TableAopCalendar[[#This Row],[Plan]])</f>
        <v>AUGUST 27 PLANNED</v>
      </c>
    </row>
    <row r="1970" spans="1:11" x14ac:dyDescent="0.25">
      <c r="A1970" s="33">
        <f t="shared" si="108"/>
        <v>7</v>
      </c>
      <c r="B1970" s="34">
        <v>46620</v>
      </c>
      <c r="C1970" s="7" t="s">
        <v>268</v>
      </c>
      <c r="D1970" s="35">
        <v>27</v>
      </c>
      <c r="E1970" s="33">
        <f>DAY(TableAopCalendar[[#This Row],[Date]])</f>
        <v>21</v>
      </c>
      <c r="F197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70" s="33" t="str">
        <f t="shared" si="109"/>
        <v>Week 3</v>
      </c>
      <c r="H1970" s="33" t="str">
        <f t="shared" si="110"/>
        <v>August 27 Week 3</v>
      </c>
      <c r="I1970" s="33" t="str">
        <f>CONCATENATE(UPPER(TableAopCalendar[[#This Row],[Month]])," ",TableAopCalendar[[#This Row],[Year]])</f>
        <v>AUGUST 27</v>
      </c>
      <c r="J1970" s="8" t="s">
        <v>274</v>
      </c>
      <c r="K1970" s="33" t="str">
        <f>CONCATENATE(TableAopCalendar[[#This Row],[Month for Plan]]," ",TableAopCalendar[[#This Row],[Plan]])</f>
        <v>AUGUST 27 PLANNED</v>
      </c>
    </row>
    <row r="1971" spans="1:11" x14ac:dyDescent="0.25">
      <c r="A1971" s="33">
        <f t="shared" si="108"/>
        <v>1</v>
      </c>
      <c r="B1971" s="34">
        <v>46621</v>
      </c>
      <c r="C1971" s="7" t="s">
        <v>268</v>
      </c>
      <c r="D1971" s="35">
        <v>27</v>
      </c>
      <c r="E1971" s="33">
        <f>DAY(TableAopCalendar[[#This Row],[Date]])</f>
        <v>22</v>
      </c>
      <c r="F197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71" s="33" t="str">
        <f t="shared" si="109"/>
        <v>Week 4</v>
      </c>
      <c r="H1971" s="33" t="str">
        <f t="shared" si="110"/>
        <v>August 27 Week 4</v>
      </c>
      <c r="I1971" s="33" t="str">
        <f>CONCATENATE(UPPER(TableAopCalendar[[#This Row],[Month]])," ",TableAopCalendar[[#This Row],[Year]])</f>
        <v>AUGUST 27</v>
      </c>
      <c r="J1971" s="8" t="s">
        <v>274</v>
      </c>
      <c r="K1971" s="33" t="str">
        <f>CONCATENATE(TableAopCalendar[[#This Row],[Month for Plan]]," ",TableAopCalendar[[#This Row],[Plan]])</f>
        <v>AUGUST 27 PLANNED</v>
      </c>
    </row>
    <row r="1972" spans="1:11" x14ac:dyDescent="0.25">
      <c r="A1972" s="33">
        <f t="shared" si="108"/>
        <v>2</v>
      </c>
      <c r="B1972" s="34">
        <v>46622</v>
      </c>
      <c r="C1972" s="7" t="s">
        <v>268</v>
      </c>
      <c r="D1972" s="35">
        <v>27</v>
      </c>
      <c r="E1972" s="33">
        <f>DAY(TableAopCalendar[[#This Row],[Date]])</f>
        <v>23</v>
      </c>
      <c r="F197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72" s="33" t="str">
        <f t="shared" si="109"/>
        <v>Week 4</v>
      </c>
      <c r="H1972" s="33" t="str">
        <f t="shared" si="110"/>
        <v>August 27 Week 4</v>
      </c>
      <c r="I1972" s="33" t="str">
        <f>CONCATENATE(UPPER(TableAopCalendar[[#This Row],[Month]])," ",TableAopCalendar[[#This Row],[Year]])</f>
        <v>AUGUST 27</v>
      </c>
      <c r="J1972" s="8" t="s">
        <v>274</v>
      </c>
      <c r="K1972" s="33" t="str">
        <f>CONCATENATE(TableAopCalendar[[#This Row],[Month for Plan]]," ",TableAopCalendar[[#This Row],[Plan]])</f>
        <v>AUGUST 27 PLANNED</v>
      </c>
    </row>
    <row r="1973" spans="1:11" x14ac:dyDescent="0.25">
      <c r="A1973" s="33">
        <f t="shared" si="108"/>
        <v>3</v>
      </c>
      <c r="B1973" s="34">
        <v>46623</v>
      </c>
      <c r="C1973" s="7" t="s">
        <v>268</v>
      </c>
      <c r="D1973" s="35">
        <v>27</v>
      </c>
      <c r="E1973" s="33">
        <f>DAY(TableAopCalendar[[#This Row],[Date]])</f>
        <v>24</v>
      </c>
      <c r="F197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73" s="33" t="str">
        <f t="shared" si="109"/>
        <v>Week 4</v>
      </c>
      <c r="H1973" s="33" t="str">
        <f t="shared" si="110"/>
        <v>August 27 Week 4</v>
      </c>
      <c r="I1973" s="33" t="str">
        <f>CONCATENATE(UPPER(TableAopCalendar[[#This Row],[Month]])," ",TableAopCalendar[[#This Row],[Year]])</f>
        <v>AUGUST 27</v>
      </c>
      <c r="J1973" s="8" t="s">
        <v>274</v>
      </c>
      <c r="K1973" s="33" t="str">
        <f>CONCATENATE(TableAopCalendar[[#This Row],[Month for Plan]]," ",TableAopCalendar[[#This Row],[Plan]])</f>
        <v>AUGUST 27 PLANNED</v>
      </c>
    </row>
    <row r="1974" spans="1:11" x14ac:dyDescent="0.25">
      <c r="A1974" s="33">
        <f t="shared" si="108"/>
        <v>4</v>
      </c>
      <c r="B1974" s="34">
        <v>46624</v>
      </c>
      <c r="C1974" s="7" t="s">
        <v>268</v>
      </c>
      <c r="D1974" s="35">
        <v>27</v>
      </c>
      <c r="E1974" s="33">
        <f>DAY(TableAopCalendar[[#This Row],[Date]])</f>
        <v>25</v>
      </c>
      <c r="F197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74" s="33" t="str">
        <f t="shared" si="109"/>
        <v>Week 4</v>
      </c>
      <c r="H1974" s="33" t="str">
        <f t="shared" si="110"/>
        <v>August 27 Week 4</v>
      </c>
      <c r="I1974" s="33" t="str">
        <f>CONCATENATE(UPPER(TableAopCalendar[[#This Row],[Month]])," ",TableAopCalendar[[#This Row],[Year]])</f>
        <v>AUGUST 27</v>
      </c>
      <c r="J1974" s="8" t="s">
        <v>274</v>
      </c>
      <c r="K1974" s="33" t="str">
        <f>CONCATENATE(TableAopCalendar[[#This Row],[Month for Plan]]," ",TableAopCalendar[[#This Row],[Plan]])</f>
        <v>AUGUST 27 PLANNED</v>
      </c>
    </row>
    <row r="1975" spans="1:11" x14ac:dyDescent="0.25">
      <c r="A1975" s="33">
        <f t="shared" si="108"/>
        <v>5</v>
      </c>
      <c r="B1975" s="34">
        <v>46625</v>
      </c>
      <c r="C1975" s="7" t="s">
        <v>268</v>
      </c>
      <c r="D1975" s="35">
        <v>27</v>
      </c>
      <c r="E1975" s="33">
        <f>DAY(TableAopCalendar[[#This Row],[Date]])</f>
        <v>26</v>
      </c>
      <c r="F197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75" s="33" t="str">
        <f t="shared" si="109"/>
        <v>Week 4</v>
      </c>
      <c r="H1975" s="33" t="str">
        <f t="shared" si="110"/>
        <v>August 27 Week 4</v>
      </c>
      <c r="I1975" s="33" t="str">
        <f>CONCATENATE(UPPER(TableAopCalendar[[#This Row],[Month]])," ",TableAopCalendar[[#This Row],[Year]])</f>
        <v>AUGUST 27</v>
      </c>
      <c r="J1975" s="8" t="s">
        <v>274</v>
      </c>
      <c r="K1975" s="33" t="str">
        <f>CONCATENATE(TableAopCalendar[[#This Row],[Month for Plan]]," ",TableAopCalendar[[#This Row],[Plan]])</f>
        <v>AUGUST 27 PLANNED</v>
      </c>
    </row>
    <row r="1976" spans="1:11" x14ac:dyDescent="0.25">
      <c r="A1976" s="33">
        <f t="shared" si="108"/>
        <v>6</v>
      </c>
      <c r="B1976" s="34">
        <v>46626</v>
      </c>
      <c r="C1976" s="7" t="s">
        <v>268</v>
      </c>
      <c r="D1976" s="35">
        <v>27</v>
      </c>
      <c r="E1976" s="33">
        <f>DAY(TableAopCalendar[[#This Row],[Date]])</f>
        <v>27</v>
      </c>
      <c r="F197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76" s="33" t="str">
        <f t="shared" si="109"/>
        <v>Week 4</v>
      </c>
      <c r="H1976" s="33" t="str">
        <f t="shared" si="110"/>
        <v>August 27 Week 4</v>
      </c>
      <c r="I1976" s="33" t="str">
        <f>CONCATENATE(UPPER(TableAopCalendar[[#This Row],[Month]])," ",TableAopCalendar[[#This Row],[Year]])</f>
        <v>AUGUST 27</v>
      </c>
      <c r="J1976" s="8" t="s">
        <v>274</v>
      </c>
      <c r="K1976" s="33" t="str">
        <f>CONCATENATE(TableAopCalendar[[#This Row],[Month for Plan]]," ",TableAopCalendar[[#This Row],[Plan]])</f>
        <v>AUGUST 27 PLANNED</v>
      </c>
    </row>
    <row r="1977" spans="1:11" x14ac:dyDescent="0.25">
      <c r="A1977" s="33">
        <f t="shared" si="108"/>
        <v>7</v>
      </c>
      <c r="B1977" s="34">
        <v>46627</v>
      </c>
      <c r="C1977" s="7" t="s">
        <v>268</v>
      </c>
      <c r="D1977" s="35">
        <v>27</v>
      </c>
      <c r="E1977" s="33">
        <f>DAY(TableAopCalendar[[#This Row],[Date]])</f>
        <v>28</v>
      </c>
      <c r="F197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1977" s="33" t="str">
        <f t="shared" si="109"/>
        <v>Week 4</v>
      </c>
      <c r="H1977" s="33" t="str">
        <f t="shared" si="110"/>
        <v>August 27 Week 4</v>
      </c>
      <c r="I1977" s="33" t="str">
        <f>CONCATENATE(UPPER(TableAopCalendar[[#This Row],[Month]])," ",TableAopCalendar[[#This Row],[Year]])</f>
        <v>AUGUST 27</v>
      </c>
      <c r="J1977" s="8" t="s">
        <v>274</v>
      </c>
      <c r="K1977" s="33" t="str">
        <f>CONCATENATE(TableAopCalendar[[#This Row],[Month for Plan]]," ",TableAopCalendar[[#This Row],[Plan]])</f>
        <v>AUGUST 27 PLANNED</v>
      </c>
    </row>
    <row r="1978" spans="1:11" x14ac:dyDescent="0.25">
      <c r="A1978" s="33">
        <f t="shared" si="108"/>
        <v>1</v>
      </c>
      <c r="B1978" s="34">
        <v>46628</v>
      </c>
      <c r="C1978" s="7" t="s">
        <v>268</v>
      </c>
      <c r="D1978" s="35">
        <v>27</v>
      </c>
      <c r="E1978" s="33">
        <f>DAY(TableAopCalendar[[#This Row],[Date]])</f>
        <v>29</v>
      </c>
      <c r="F197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78" s="33" t="str">
        <f t="shared" si="109"/>
        <v>Week 5</v>
      </c>
      <c r="H1978" s="33" t="str">
        <f t="shared" si="110"/>
        <v>August 27 Week 5</v>
      </c>
      <c r="I1978" s="33" t="str">
        <f>CONCATENATE(UPPER(TableAopCalendar[[#This Row],[Month]])," ",TableAopCalendar[[#This Row],[Year]])</f>
        <v>AUGUST 27</v>
      </c>
      <c r="J1978" s="8" t="s">
        <v>274</v>
      </c>
      <c r="K1978" s="33" t="str">
        <f>CONCATENATE(TableAopCalendar[[#This Row],[Month for Plan]]," ",TableAopCalendar[[#This Row],[Plan]])</f>
        <v>AUGUST 27 PLANNED</v>
      </c>
    </row>
    <row r="1979" spans="1:11" x14ac:dyDescent="0.25">
      <c r="A1979" s="33">
        <f t="shared" si="108"/>
        <v>2</v>
      </c>
      <c r="B1979" s="34">
        <v>46629</v>
      </c>
      <c r="C1979" s="7" t="s">
        <v>268</v>
      </c>
      <c r="D1979" s="35">
        <v>27</v>
      </c>
      <c r="E1979" s="33">
        <f>DAY(TableAopCalendar[[#This Row],[Date]])</f>
        <v>30</v>
      </c>
      <c r="F1979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79" s="33" t="str">
        <f t="shared" si="109"/>
        <v>Week 5</v>
      </c>
      <c r="H1979" s="33" t="str">
        <f t="shared" si="110"/>
        <v>August 27 Week 5</v>
      </c>
      <c r="I1979" s="33" t="str">
        <f>CONCATENATE(UPPER(TableAopCalendar[[#This Row],[Month]])," ",TableAopCalendar[[#This Row],[Year]])</f>
        <v>AUGUST 27</v>
      </c>
      <c r="J1979" s="8" t="s">
        <v>274</v>
      </c>
      <c r="K1979" s="33" t="str">
        <f>CONCATENATE(TableAopCalendar[[#This Row],[Month for Plan]]," ",TableAopCalendar[[#This Row],[Plan]])</f>
        <v>AUGUST 27 PLANNED</v>
      </c>
    </row>
    <row r="1980" spans="1:11" x14ac:dyDescent="0.25">
      <c r="A1980" s="33">
        <f t="shared" si="108"/>
        <v>3</v>
      </c>
      <c r="B1980" s="34">
        <v>46630</v>
      </c>
      <c r="C1980" s="7" t="s">
        <v>268</v>
      </c>
      <c r="D1980" s="35">
        <v>27</v>
      </c>
      <c r="E1980" s="33">
        <f>DAY(TableAopCalendar[[#This Row],[Date]])</f>
        <v>31</v>
      </c>
      <c r="F1980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1980" s="33" t="str">
        <f t="shared" si="109"/>
        <v>Week 5</v>
      </c>
      <c r="H1980" s="33" t="str">
        <f t="shared" si="110"/>
        <v>August 27 Week 5</v>
      </c>
      <c r="I1980" s="33" t="str">
        <f>CONCATENATE(UPPER(TableAopCalendar[[#This Row],[Month]])," ",TableAopCalendar[[#This Row],[Year]])</f>
        <v>AUGUST 27</v>
      </c>
      <c r="J1980" s="8" t="s">
        <v>274</v>
      </c>
      <c r="K1980" s="33" t="str">
        <f>CONCATENATE(TableAopCalendar[[#This Row],[Month for Plan]]," ",TableAopCalendar[[#This Row],[Plan]])</f>
        <v>AUGUST 27 PLANNED</v>
      </c>
    </row>
    <row r="1981" spans="1:11" x14ac:dyDescent="0.25">
      <c r="A1981" s="33">
        <f t="shared" si="108"/>
        <v>1</v>
      </c>
      <c r="B1981" s="34">
        <v>46631</v>
      </c>
      <c r="C1981" s="7" t="s">
        <v>269</v>
      </c>
      <c r="D1981" s="35">
        <v>27</v>
      </c>
      <c r="E1981" s="33">
        <f>DAY(TableAopCalendar[[#This Row],[Date]])</f>
        <v>1</v>
      </c>
      <c r="F198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81" s="33" t="str">
        <f t="shared" si="109"/>
        <v>Week 1</v>
      </c>
      <c r="H1981" s="33" t="str">
        <f t="shared" si="110"/>
        <v>September 27 Week 1</v>
      </c>
      <c r="I1981" s="33" t="str">
        <f>CONCATENATE(UPPER(TableAopCalendar[[#This Row],[Month]])," ",TableAopCalendar[[#This Row],[Year]])</f>
        <v>SEPTEMBER 27</v>
      </c>
      <c r="J1981" s="8" t="s">
        <v>274</v>
      </c>
      <c r="K1981" s="33" t="str">
        <f>CONCATENATE(TableAopCalendar[[#This Row],[Month for Plan]]," ",TableAopCalendar[[#This Row],[Plan]])</f>
        <v>SEPTEMBER 27 PLANNED</v>
      </c>
    </row>
    <row r="1982" spans="1:11" x14ac:dyDescent="0.25">
      <c r="A1982" s="33">
        <f t="shared" si="108"/>
        <v>2</v>
      </c>
      <c r="B1982" s="34">
        <v>46632</v>
      </c>
      <c r="C1982" s="7" t="s">
        <v>269</v>
      </c>
      <c r="D1982" s="35">
        <v>27</v>
      </c>
      <c r="E1982" s="33">
        <f>DAY(TableAopCalendar[[#This Row],[Date]])</f>
        <v>2</v>
      </c>
      <c r="F198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82" s="33" t="str">
        <f t="shared" si="109"/>
        <v>Week 1</v>
      </c>
      <c r="H1982" s="33" t="str">
        <f t="shared" si="110"/>
        <v>September 27 Week 1</v>
      </c>
      <c r="I1982" s="33" t="str">
        <f>CONCATENATE(UPPER(TableAopCalendar[[#This Row],[Month]])," ",TableAopCalendar[[#This Row],[Year]])</f>
        <v>SEPTEMBER 27</v>
      </c>
      <c r="J1982" s="8" t="s">
        <v>274</v>
      </c>
      <c r="K1982" s="33" t="str">
        <f>CONCATENATE(TableAopCalendar[[#This Row],[Month for Plan]]," ",TableAopCalendar[[#This Row],[Plan]])</f>
        <v>SEPTEMBER 27 PLANNED</v>
      </c>
    </row>
    <row r="1983" spans="1:11" x14ac:dyDescent="0.25">
      <c r="A1983" s="33">
        <f t="shared" si="108"/>
        <v>3</v>
      </c>
      <c r="B1983" s="34">
        <v>46633</v>
      </c>
      <c r="C1983" s="7" t="s">
        <v>269</v>
      </c>
      <c r="D1983" s="35">
        <v>27</v>
      </c>
      <c r="E1983" s="33">
        <f>DAY(TableAopCalendar[[#This Row],[Date]])</f>
        <v>3</v>
      </c>
      <c r="F198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83" s="33" t="str">
        <f t="shared" si="109"/>
        <v>Week 1</v>
      </c>
      <c r="H1983" s="33" t="str">
        <f t="shared" si="110"/>
        <v>September 27 Week 1</v>
      </c>
      <c r="I1983" s="33" t="str">
        <f>CONCATENATE(UPPER(TableAopCalendar[[#This Row],[Month]])," ",TableAopCalendar[[#This Row],[Year]])</f>
        <v>SEPTEMBER 27</v>
      </c>
      <c r="J1983" s="8" t="s">
        <v>274</v>
      </c>
      <c r="K1983" s="33" t="str">
        <f>CONCATENATE(TableAopCalendar[[#This Row],[Month for Plan]]," ",TableAopCalendar[[#This Row],[Plan]])</f>
        <v>SEPTEMBER 27 PLANNED</v>
      </c>
    </row>
    <row r="1984" spans="1:11" x14ac:dyDescent="0.25">
      <c r="A1984" s="33">
        <f t="shared" si="108"/>
        <v>4</v>
      </c>
      <c r="B1984" s="34">
        <v>46634</v>
      </c>
      <c r="C1984" s="7" t="s">
        <v>269</v>
      </c>
      <c r="D1984" s="35">
        <v>27</v>
      </c>
      <c r="E1984" s="33">
        <f>DAY(TableAopCalendar[[#This Row],[Date]])</f>
        <v>4</v>
      </c>
      <c r="F198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84" s="33" t="str">
        <f t="shared" si="109"/>
        <v>Week 1</v>
      </c>
      <c r="H1984" s="33" t="str">
        <f t="shared" si="110"/>
        <v>September 27 Week 1</v>
      </c>
      <c r="I1984" s="33" t="str">
        <f>CONCATENATE(UPPER(TableAopCalendar[[#This Row],[Month]])," ",TableAopCalendar[[#This Row],[Year]])</f>
        <v>SEPTEMBER 27</v>
      </c>
      <c r="J1984" s="8" t="s">
        <v>274</v>
      </c>
      <c r="K1984" s="33" t="str">
        <f>CONCATENATE(TableAopCalendar[[#This Row],[Month for Plan]]," ",TableAopCalendar[[#This Row],[Plan]])</f>
        <v>SEPTEMBER 27 PLANNED</v>
      </c>
    </row>
    <row r="1985" spans="1:11" x14ac:dyDescent="0.25">
      <c r="A1985" s="33">
        <f t="shared" si="108"/>
        <v>5</v>
      </c>
      <c r="B1985" s="34">
        <v>46635</v>
      </c>
      <c r="C1985" s="7" t="s">
        <v>269</v>
      </c>
      <c r="D1985" s="35">
        <v>27</v>
      </c>
      <c r="E1985" s="33">
        <f>DAY(TableAopCalendar[[#This Row],[Date]])</f>
        <v>5</v>
      </c>
      <c r="F198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85" s="33" t="str">
        <f t="shared" si="109"/>
        <v>Week 1</v>
      </c>
      <c r="H1985" s="33" t="str">
        <f t="shared" si="110"/>
        <v>September 27 Week 1</v>
      </c>
      <c r="I1985" s="33" t="str">
        <f>CONCATENATE(UPPER(TableAopCalendar[[#This Row],[Month]])," ",TableAopCalendar[[#This Row],[Year]])</f>
        <v>SEPTEMBER 27</v>
      </c>
      <c r="J1985" s="8" t="s">
        <v>274</v>
      </c>
      <c r="K1985" s="33" t="str">
        <f>CONCATENATE(TableAopCalendar[[#This Row],[Month for Plan]]," ",TableAopCalendar[[#This Row],[Plan]])</f>
        <v>SEPTEMBER 27 PLANNED</v>
      </c>
    </row>
    <row r="1986" spans="1:11" x14ac:dyDescent="0.25">
      <c r="A1986" s="33">
        <f t="shared" si="108"/>
        <v>6</v>
      </c>
      <c r="B1986" s="34">
        <v>46636</v>
      </c>
      <c r="C1986" s="7" t="s">
        <v>269</v>
      </c>
      <c r="D1986" s="35">
        <v>27</v>
      </c>
      <c r="E1986" s="33">
        <f>DAY(TableAopCalendar[[#This Row],[Date]])</f>
        <v>6</v>
      </c>
      <c r="F198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86" s="33" t="str">
        <f t="shared" si="109"/>
        <v>Week 1</v>
      </c>
      <c r="H1986" s="33" t="str">
        <f t="shared" si="110"/>
        <v>September 27 Week 1</v>
      </c>
      <c r="I1986" s="33" t="str">
        <f>CONCATENATE(UPPER(TableAopCalendar[[#This Row],[Month]])," ",TableAopCalendar[[#This Row],[Year]])</f>
        <v>SEPTEMBER 27</v>
      </c>
      <c r="J1986" s="8" t="s">
        <v>274</v>
      </c>
      <c r="K1986" s="33" t="str">
        <f>CONCATENATE(TableAopCalendar[[#This Row],[Month for Plan]]," ",TableAopCalendar[[#This Row],[Plan]])</f>
        <v>SEPTEMBER 27 PLANNED</v>
      </c>
    </row>
    <row r="1987" spans="1:11" x14ac:dyDescent="0.25">
      <c r="A1987" s="33">
        <f t="shared" si="108"/>
        <v>7</v>
      </c>
      <c r="B1987" s="34">
        <v>46637</v>
      </c>
      <c r="C1987" s="7" t="s">
        <v>269</v>
      </c>
      <c r="D1987" s="35">
        <v>27</v>
      </c>
      <c r="E1987" s="33">
        <f>DAY(TableAopCalendar[[#This Row],[Date]])</f>
        <v>7</v>
      </c>
      <c r="F198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1987" s="33" t="str">
        <f t="shared" si="109"/>
        <v>Week 1</v>
      </c>
      <c r="H1987" s="33" t="str">
        <f t="shared" si="110"/>
        <v>September 27 Week 1</v>
      </c>
      <c r="I1987" s="33" t="str">
        <f>CONCATENATE(UPPER(TableAopCalendar[[#This Row],[Month]])," ",TableAopCalendar[[#This Row],[Year]])</f>
        <v>SEPTEMBER 27</v>
      </c>
      <c r="J1987" s="8" t="s">
        <v>274</v>
      </c>
      <c r="K1987" s="33" t="str">
        <f>CONCATENATE(TableAopCalendar[[#This Row],[Month for Plan]]," ",TableAopCalendar[[#This Row],[Plan]])</f>
        <v>SEPTEMBER 27 PLANNED</v>
      </c>
    </row>
    <row r="1988" spans="1:11" x14ac:dyDescent="0.25">
      <c r="A1988" s="33">
        <f t="shared" si="108"/>
        <v>1</v>
      </c>
      <c r="B1988" s="34">
        <v>46638</v>
      </c>
      <c r="C1988" s="7" t="s">
        <v>269</v>
      </c>
      <c r="D1988" s="35">
        <v>27</v>
      </c>
      <c r="E1988" s="33">
        <f>DAY(TableAopCalendar[[#This Row],[Date]])</f>
        <v>8</v>
      </c>
      <c r="F198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88" s="33" t="str">
        <f t="shared" si="109"/>
        <v>Week 2</v>
      </c>
      <c r="H1988" s="33" t="str">
        <f t="shared" si="110"/>
        <v>September 27 Week 2</v>
      </c>
      <c r="I1988" s="33" t="str">
        <f>CONCATENATE(UPPER(TableAopCalendar[[#This Row],[Month]])," ",TableAopCalendar[[#This Row],[Year]])</f>
        <v>SEPTEMBER 27</v>
      </c>
      <c r="J1988" s="8" t="s">
        <v>274</v>
      </c>
      <c r="K1988" s="33" t="str">
        <f>CONCATENATE(TableAopCalendar[[#This Row],[Month for Plan]]," ",TableAopCalendar[[#This Row],[Plan]])</f>
        <v>SEPTEMBER 27 PLANNED</v>
      </c>
    </row>
    <row r="1989" spans="1:11" x14ac:dyDescent="0.25">
      <c r="A1989" s="33">
        <f t="shared" si="108"/>
        <v>2</v>
      </c>
      <c r="B1989" s="34">
        <v>46639</v>
      </c>
      <c r="C1989" s="7" t="s">
        <v>269</v>
      </c>
      <c r="D1989" s="35">
        <v>27</v>
      </c>
      <c r="E1989" s="33">
        <f>DAY(TableAopCalendar[[#This Row],[Date]])</f>
        <v>9</v>
      </c>
      <c r="F198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89" s="33" t="str">
        <f t="shared" si="109"/>
        <v>Week 2</v>
      </c>
      <c r="H1989" s="33" t="str">
        <f t="shared" si="110"/>
        <v>September 27 Week 2</v>
      </c>
      <c r="I1989" s="33" t="str">
        <f>CONCATENATE(UPPER(TableAopCalendar[[#This Row],[Month]])," ",TableAopCalendar[[#This Row],[Year]])</f>
        <v>SEPTEMBER 27</v>
      </c>
      <c r="J1989" s="8" t="s">
        <v>274</v>
      </c>
      <c r="K1989" s="33" t="str">
        <f>CONCATENATE(TableAopCalendar[[#This Row],[Month for Plan]]," ",TableAopCalendar[[#This Row],[Plan]])</f>
        <v>SEPTEMBER 27 PLANNED</v>
      </c>
    </row>
    <row r="1990" spans="1:11" x14ac:dyDescent="0.25">
      <c r="A1990" s="33">
        <f t="shared" si="108"/>
        <v>3</v>
      </c>
      <c r="B1990" s="34">
        <v>46640</v>
      </c>
      <c r="C1990" s="7" t="s">
        <v>269</v>
      </c>
      <c r="D1990" s="35">
        <v>27</v>
      </c>
      <c r="E1990" s="33">
        <f>DAY(TableAopCalendar[[#This Row],[Date]])</f>
        <v>10</v>
      </c>
      <c r="F199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90" s="33" t="str">
        <f t="shared" si="109"/>
        <v>Week 2</v>
      </c>
      <c r="H1990" s="33" t="str">
        <f t="shared" si="110"/>
        <v>September 27 Week 2</v>
      </c>
      <c r="I1990" s="33" t="str">
        <f>CONCATENATE(UPPER(TableAopCalendar[[#This Row],[Month]])," ",TableAopCalendar[[#This Row],[Year]])</f>
        <v>SEPTEMBER 27</v>
      </c>
      <c r="J1990" s="8" t="s">
        <v>274</v>
      </c>
      <c r="K1990" s="33" t="str">
        <f>CONCATENATE(TableAopCalendar[[#This Row],[Month for Plan]]," ",TableAopCalendar[[#This Row],[Plan]])</f>
        <v>SEPTEMBER 27 PLANNED</v>
      </c>
    </row>
    <row r="1991" spans="1:11" x14ac:dyDescent="0.25">
      <c r="A1991" s="33">
        <f t="shared" si="108"/>
        <v>4</v>
      </c>
      <c r="B1991" s="34">
        <v>46641</v>
      </c>
      <c r="C1991" s="7" t="s">
        <v>269</v>
      </c>
      <c r="D1991" s="35">
        <v>27</v>
      </c>
      <c r="E1991" s="33">
        <f>DAY(TableAopCalendar[[#This Row],[Date]])</f>
        <v>11</v>
      </c>
      <c r="F199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91" s="33" t="str">
        <f t="shared" si="109"/>
        <v>Week 2</v>
      </c>
      <c r="H1991" s="33" t="str">
        <f t="shared" si="110"/>
        <v>September 27 Week 2</v>
      </c>
      <c r="I1991" s="33" t="str">
        <f>CONCATENATE(UPPER(TableAopCalendar[[#This Row],[Month]])," ",TableAopCalendar[[#This Row],[Year]])</f>
        <v>SEPTEMBER 27</v>
      </c>
      <c r="J1991" s="8" t="s">
        <v>274</v>
      </c>
      <c r="K1991" s="33" t="str">
        <f>CONCATENATE(TableAopCalendar[[#This Row],[Month for Plan]]," ",TableAopCalendar[[#This Row],[Plan]])</f>
        <v>SEPTEMBER 27 PLANNED</v>
      </c>
    </row>
    <row r="1992" spans="1:11" x14ac:dyDescent="0.25">
      <c r="A1992" s="33">
        <f t="shared" si="108"/>
        <v>5</v>
      </c>
      <c r="B1992" s="34">
        <v>46642</v>
      </c>
      <c r="C1992" s="7" t="s">
        <v>269</v>
      </c>
      <c r="D1992" s="35">
        <v>27</v>
      </c>
      <c r="E1992" s="33">
        <f>DAY(TableAopCalendar[[#This Row],[Date]])</f>
        <v>12</v>
      </c>
      <c r="F199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92" s="33" t="str">
        <f t="shared" si="109"/>
        <v>Week 2</v>
      </c>
      <c r="H1992" s="33" t="str">
        <f t="shared" si="110"/>
        <v>September 27 Week 2</v>
      </c>
      <c r="I1992" s="33" t="str">
        <f>CONCATENATE(UPPER(TableAopCalendar[[#This Row],[Month]])," ",TableAopCalendar[[#This Row],[Year]])</f>
        <v>SEPTEMBER 27</v>
      </c>
      <c r="J1992" s="8" t="s">
        <v>274</v>
      </c>
      <c r="K1992" s="33" t="str">
        <f>CONCATENATE(TableAopCalendar[[#This Row],[Month for Plan]]," ",TableAopCalendar[[#This Row],[Plan]])</f>
        <v>SEPTEMBER 27 PLANNED</v>
      </c>
    </row>
    <row r="1993" spans="1:11" x14ac:dyDescent="0.25">
      <c r="A1993" s="33">
        <f t="shared" si="108"/>
        <v>6</v>
      </c>
      <c r="B1993" s="34">
        <v>46643</v>
      </c>
      <c r="C1993" s="7" t="s">
        <v>269</v>
      </c>
      <c r="D1993" s="35">
        <v>27</v>
      </c>
      <c r="E1993" s="33">
        <f>DAY(TableAopCalendar[[#This Row],[Date]])</f>
        <v>13</v>
      </c>
      <c r="F199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93" s="33" t="str">
        <f t="shared" si="109"/>
        <v>Week 2</v>
      </c>
      <c r="H1993" s="33" t="str">
        <f t="shared" si="110"/>
        <v>September 27 Week 2</v>
      </c>
      <c r="I1993" s="33" t="str">
        <f>CONCATENATE(UPPER(TableAopCalendar[[#This Row],[Month]])," ",TableAopCalendar[[#This Row],[Year]])</f>
        <v>SEPTEMBER 27</v>
      </c>
      <c r="J1993" s="8" t="s">
        <v>274</v>
      </c>
      <c r="K1993" s="33" t="str">
        <f>CONCATENATE(TableAopCalendar[[#This Row],[Month for Plan]]," ",TableAopCalendar[[#This Row],[Plan]])</f>
        <v>SEPTEMBER 27 PLANNED</v>
      </c>
    </row>
    <row r="1994" spans="1:11" x14ac:dyDescent="0.25">
      <c r="A1994" s="33">
        <f t="shared" si="108"/>
        <v>7</v>
      </c>
      <c r="B1994" s="34">
        <v>46644</v>
      </c>
      <c r="C1994" s="7" t="s">
        <v>269</v>
      </c>
      <c r="D1994" s="35">
        <v>27</v>
      </c>
      <c r="E1994" s="33">
        <f>DAY(TableAopCalendar[[#This Row],[Date]])</f>
        <v>14</v>
      </c>
      <c r="F199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1994" s="33" t="str">
        <f t="shared" si="109"/>
        <v>Week 2</v>
      </c>
      <c r="H1994" s="33" t="str">
        <f t="shared" si="110"/>
        <v>September 27 Week 2</v>
      </c>
      <c r="I1994" s="33" t="str">
        <f>CONCATENATE(UPPER(TableAopCalendar[[#This Row],[Month]])," ",TableAopCalendar[[#This Row],[Year]])</f>
        <v>SEPTEMBER 27</v>
      </c>
      <c r="J1994" s="8" t="s">
        <v>274</v>
      </c>
      <c r="K1994" s="33" t="str">
        <f>CONCATENATE(TableAopCalendar[[#This Row],[Month for Plan]]," ",TableAopCalendar[[#This Row],[Plan]])</f>
        <v>SEPTEMBER 27 PLANNED</v>
      </c>
    </row>
    <row r="1995" spans="1:11" x14ac:dyDescent="0.25">
      <c r="A1995" s="33">
        <f t="shared" si="108"/>
        <v>1</v>
      </c>
      <c r="B1995" s="34">
        <v>46645</v>
      </c>
      <c r="C1995" s="7" t="s">
        <v>269</v>
      </c>
      <c r="D1995" s="35">
        <v>27</v>
      </c>
      <c r="E1995" s="33">
        <f>DAY(TableAopCalendar[[#This Row],[Date]])</f>
        <v>15</v>
      </c>
      <c r="F199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95" s="33" t="str">
        <f t="shared" si="109"/>
        <v>Week 3</v>
      </c>
      <c r="H1995" s="33" t="str">
        <f t="shared" si="110"/>
        <v>September 27 Week 3</v>
      </c>
      <c r="I1995" s="33" t="str">
        <f>CONCATENATE(UPPER(TableAopCalendar[[#This Row],[Month]])," ",TableAopCalendar[[#This Row],[Year]])</f>
        <v>SEPTEMBER 27</v>
      </c>
      <c r="J1995" s="8" t="s">
        <v>274</v>
      </c>
      <c r="K1995" s="33" t="str">
        <f>CONCATENATE(TableAopCalendar[[#This Row],[Month for Plan]]," ",TableAopCalendar[[#This Row],[Plan]])</f>
        <v>SEPTEMBER 27 PLANNED</v>
      </c>
    </row>
    <row r="1996" spans="1:11" x14ac:dyDescent="0.25">
      <c r="A1996" s="33">
        <f t="shared" si="108"/>
        <v>2</v>
      </c>
      <c r="B1996" s="34">
        <v>46646</v>
      </c>
      <c r="C1996" s="7" t="s">
        <v>269</v>
      </c>
      <c r="D1996" s="35">
        <v>27</v>
      </c>
      <c r="E1996" s="33">
        <f>DAY(TableAopCalendar[[#This Row],[Date]])</f>
        <v>16</v>
      </c>
      <c r="F199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96" s="33" t="str">
        <f t="shared" si="109"/>
        <v>Week 3</v>
      </c>
      <c r="H1996" s="33" t="str">
        <f t="shared" si="110"/>
        <v>September 27 Week 3</v>
      </c>
      <c r="I1996" s="33" t="str">
        <f>CONCATENATE(UPPER(TableAopCalendar[[#This Row],[Month]])," ",TableAopCalendar[[#This Row],[Year]])</f>
        <v>SEPTEMBER 27</v>
      </c>
      <c r="J1996" s="8" t="s">
        <v>274</v>
      </c>
      <c r="K1996" s="33" t="str">
        <f>CONCATENATE(TableAopCalendar[[#This Row],[Month for Plan]]," ",TableAopCalendar[[#This Row],[Plan]])</f>
        <v>SEPTEMBER 27 PLANNED</v>
      </c>
    </row>
    <row r="1997" spans="1:11" x14ac:dyDescent="0.25">
      <c r="A1997" s="33">
        <f t="shared" si="108"/>
        <v>3</v>
      </c>
      <c r="B1997" s="34">
        <v>46647</v>
      </c>
      <c r="C1997" s="7" t="s">
        <v>269</v>
      </c>
      <c r="D1997" s="35">
        <v>27</v>
      </c>
      <c r="E1997" s="33">
        <f>DAY(TableAopCalendar[[#This Row],[Date]])</f>
        <v>17</v>
      </c>
      <c r="F199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97" s="33" t="str">
        <f t="shared" si="109"/>
        <v>Week 3</v>
      </c>
      <c r="H1997" s="33" t="str">
        <f t="shared" si="110"/>
        <v>September 27 Week 3</v>
      </c>
      <c r="I1997" s="33" t="str">
        <f>CONCATENATE(UPPER(TableAopCalendar[[#This Row],[Month]])," ",TableAopCalendar[[#This Row],[Year]])</f>
        <v>SEPTEMBER 27</v>
      </c>
      <c r="J1997" s="8" t="s">
        <v>274</v>
      </c>
      <c r="K1997" s="33" t="str">
        <f>CONCATENATE(TableAopCalendar[[#This Row],[Month for Plan]]," ",TableAopCalendar[[#This Row],[Plan]])</f>
        <v>SEPTEMBER 27 PLANNED</v>
      </c>
    </row>
    <row r="1998" spans="1:11" x14ac:dyDescent="0.25">
      <c r="A1998" s="33">
        <f t="shared" si="108"/>
        <v>4</v>
      </c>
      <c r="B1998" s="34">
        <v>46648</v>
      </c>
      <c r="C1998" s="7" t="s">
        <v>269</v>
      </c>
      <c r="D1998" s="35">
        <v>27</v>
      </c>
      <c r="E1998" s="33">
        <f>DAY(TableAopCalendar[[#This Row],[Date]])</f>
        <v>18</v>
      </c>
      <c r="F199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98" s="33" t="str">
        <f t="shared" si="109"/>
        <v>Week 3</v>
      </c>
      <c r="H1998" s="33" t="str">
        <f t="shared" si="110"/>
        <v>September 27 Week 3</v>
      </c>
      <c r="I1998" s="33" t="str">
        <f>CONCATENATE(UPPER(TableAopCalendar[[#This Row],[Month]])," ",TableAopCalendar[[#This Row],[Year]])</f>
        <v>SEPTEMBER 27</v>
      </c>
      <c r="J1998" s="8" t="s">
        <v>274</v>
      </c>
      <c r="K1998" s="33" t="str">
        <f>CONCATENATE(TableAopCalendar[[#This Row],[Month for Plan]]," ",TableAopCalendar[[#This Row],[Plan]])</f>
        <v>SEPTEMBER 27 PLANNED</v>
      </c>
    </row>
    <row r="1999" spans="1:11" x14ac:dyDescent="0.25">
      <c r="A1999" s="33">
        <f t="shared" si="108"/>
        <v>5</v>
      </c>
      <c r="B1999" s="34">
        <v>46649</v>
      </c>
      <c r="C1999" s="7" t="s">
        <v>269</v>
      </c>
      <c r="D1999" s="35">
        <v>27</v>
      </c>
      <c r="E1999" s="33">
        <f>DAY(TableAopCalendar[[#This Row],[Date]])</f>
        <v>19</v>
      </c>
      <c r="F199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1999" s="33" t="str">
        <f t="shared" si="109"/>
        <v>Week 3</v>
      </c>
      <c r="H1999" s="33" t="str">
        <f t="shared" si="110"/>
        <v>September 27 Week 3</v>
      </c>
      <c r="I1999" s="33" t="str">
        <f>CONCATENATE(UPPER(TableAopCalendar[[#This Row],[Month]])," ",TableAopCalendar[[#This Row],[Year]])</f>
        <v>SEPTEMBER 27</v>
      </c>
      <c r="J1999" s="8" t="s">
        <v>274</v>
      </c>
      <c r="K1999" s="33" t="str">
        <f>CONCATENATE(TableAopCalendar[[#This Row],[Month for Plan]]," ",TableAopCalendar[[#This Row],[Plan]])</f>
        <v>SEPTEMBER 27 PLANNED</v>
      </c>
    </row>
    <row r="2000" spans="1:11" x14ac:dyDescent="0.25">
      <c r="A2000" s="33">
        <f t="shared" si="108"/>
        <v>6</v>
      </c>
      <c r="B2000" s="34">
        <v>46650</v>
      </c>
      <c r="C2000" s="7" t="s">
        <v>269</v>
      </c>
      <c r="D2000" s="35">
        <v>27</v>
      </c>
      <c r="E2000" s="33">
        <f>DAY(TableAopCalendar[[#This Row],[Date]])</f>
        <v>20</v>
      </c>
      <c r="F200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00" s="33" t="str">
        <f t="shared" si="109"/>
        <v>Week 3</v>
      </c>
      <c r="H2000" s="33" t="str">
        <f t="shared" si="110"/>
        <v>September 27 Week 3</v>
      </c>
      <c r="I2000" s="33" t="str">
        <f>CONCATENATE(UPPER(TableAopCalendar[[#This Row],[Month]])," ",TableAopCalendar[[#This Row],[Year]])</f>
        <v>SEPTEMBER 27</v>
      </c>
      <c r="J2000" s="8" t="s">
        <v>274</v>
      </c>
      <c r="K2000" s="33" t="str">
        <f>CONCATENATE(TableAopCalendar[[#This Row],[Month for Plan]]," ",TableAopCalendar[[#This Row],[Plan]])</f>
        <v>SEPTEMBER 27 PLANNED</v>
      </c>
    </row>
    <row r="2001" spans="1:11" x14ac:dyDescent="0.25">
      <c r="A2001" s="33">
        <f t="shared" si="108"/>
        <v>7</v>
      </c>
      <c r="B2001" s="34">
        <v>46651</v>
      </c>
      <c r="C2001" s="7" t="s">
        <v>269</v>
      </c>
      <c r="D2001" s="35">
        <v>27</v>
      </c>
      <c r="E2001" s="33">
        <f>DAY(TableAopCalendar[[#This Row],[Date]])</f>
        <v>21</v>
      </c>
      <c r="F200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01" s="33" t="str">
        <f t="shared" si="109"/>
        <v>Week 3</v>
      </c>
      <c r="H2001" s="33" t="str">
        <f t="shared" si="110"/>
        <v>September 27 Week 3</v>
      </c>
      <c r="I2001" s="33" t="str">
        <f>CONCATENATE(UPPER(TableAopCalendar[[#This Row],[Month]])," ",TableAopCalendar[[#This Row],[Year]])</f>
        <v>SEPTEMBER 27</v>
      </c>
      <c r="J2001" s="8" t="s">
        <v>274</v>
      </c>
      <c r="K2001" s="33" t="str">
        <f>CONCATENATE(TableAopCalendar[[#This Row],[Month for Plan]]," ",TableAopCalendar[[#This Row],[Plan]])</f>
        <v>SEPTEMBER 27 PLANNED</v>
      </c>
    </row>
    <row r="2002" spans="1:11" x14ac:dyDescent="0.25">
      <c r="A2002" s="33">
        <f t="shared" si="108"/>
        <v>1</v>
      </c>
      <c r="B2002" s="34">
        <v>46652</v>
      </c>
      <c r="C2002" s="7" t="s">
        <v>269</v>
      </c>
      <c r="D2002" s="35">
        <v>27</v>
      </c>
      <c r="E2002" s="33">
        <f>DAY(TableAopCalendar[[#This Row],[Date]])</f>
        <v>22</v>
      </c>
      <c r="F200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02" s="33" t="str">
        <f t="shared" si="109"/>
        <v>Week 4</v>
      </c>
      <c r="H2002" s="33" t="str">
        <f t="shared" si="110"/>
        <v>September 27 Week 4</v>
      </c>
      <c r="I2002" s="33" t="str">
        <f>CONCATENATE(UPPER(TableAopCalendar[[#This Row],[Month]])," ",TableAopCalendar[[#This Row],[Year]])</f>
        <v>SEPTEMBER 27</v>
      </c>
      <c r="J2002" s="8" t="s">
        <v>274</v>
      </c>
      <c r="K2002" s="33" t="str">
        <f>CONCATENATE(TableAopCalendar[[#This Row],[Month for Plan]]," ",TableAopCalendar[[#This Row],[Plan]])</f>
        <v>SEPTEMBER 27 PLANNED</v>
      </c>
    </row>
    <row r="2003" spans="1:11" x14ac:dyDescent="0.25">
      <c r="A2003" s="33">
        <f t="shared" si="108"/>
        <v>2</v>
      </c>
      <c r="B2003" s="34">
        <v>46653</v>
      </c>
      <c r="C2003" s="7" t="s">
        <v>269</v>
      </c>
      <c r="D2003" s="35">
        <v>27</v>
      </c>
      <c r="E2003" s="33">
        <f>DAY(TableAopCalendar[[#This Row],[Date]])</f>
        <v>23</v>
      </c>
      <c r="F200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03" s="33" t="str">
        <f t="shared" si="109"/>
        <v>Week 4</v>
      </c>
      <c r="H2003" s="33" t="str">
        <f t="shared" si="110"/>
        <v>September 27 Week 4</v>
      </c>
      <c r="I2003" s="33" t="str">
        <f>CONCATENATE(UPPER(TableAopCalendar[[#This Row],[Month]])," ",TableAopCalendar[[#This Row],[Year]])</f>
        <v>SEPTEMBER 27</v>
      </c>
      <c r="J2003" s="8" t="s">
        <v>274</v>
      </c>
      <c r="K2003" s="33" t="str">
        <f>CONCATENATE(TableAopCalendar[[#This Row],[Month for Plan]]," ",TableAopCalendar[[#This Row],[Plan]])</f>
        <v>SEPTEMBER 27 PLANNED</v>
      </c>
    </row>
    <row r="2004" spans="1:11" x14ac:dyDescent="0.25">
      <c r="A2004" s="33">
        <f t="shared" si="108"/>
        <v>3</v>
      </c>
      <c r="B2004" s="34">
        <v>46654</v>
      </c>
      <c r="C2004" s="7" t="s">
        <v>269</v>
      </c>
      <c r="D2004" s="35">
        <v>27</v>
      </c>
      <c r="E2004" s="33">
        <f>DAY(TableAopCalendar[[#This Row],[Date]])</f>
        <v>24</v>
      </c>
      <c r="F200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04" s="33" t="str">
        <f t="shared" si="109"/>
        <v>Week 4</v>
      </c>
      <c r="H2004" s="33" t="str">
        <f t="shared" si="110"/>
        <v>September 27 Week 4</v>
      </c>
      <c r="I2004" s="33" t="str">
        <f>CONCATENATE(UPPER(TableAopCalendar[[#This Row],[Month]])," ",TableAopCalendar[[#This Row],[Year]])</f>
        <v>SEPTEMBER 27</v>
      </c>
      <c r="J2004" s="8" t="s">
        <v>274</v>
      </c>
      <c r="K2004" s="33" t="str">
        <f>CONCATENATE(TableAopCalendar[[#This Row],[Month for Plan]]," ",TableAopCalendar[[#This Row],[Plan]])</f>
        <v>SEPTEMBER 27 PLANNED</v>
      </c>
    </row>
    <row r="2005" spans="1:11" x14ac:dyDescent="0.25">
      <c r="A2005" s="33">
        <f t="shared" si="108"/>
        <v>4</v>
      </c>
      <c r="B2005" s="34">
        <v>46655</v>
      </c>
      <c r="C2005" s="7" t="s">
        <v>269</v>
      </c>
      <c r="D2005" s="35">
        <v>27</v>
      </c>
      <c r="E2005" s="33">
        <f>DAY(TableAopCalendar[[#This Row],[Date]])</f>
        <v>25</v>
      </c>
      <c r="F200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05" s="33" t="str">
        <f t="shared" si="109"/>
        <v>Week 4</v>
      </c>
      <c r="H2005" s="33" t="str">
        <f t="shared" si="110"/>
        <v>September 27 Week 4</v>
      </c>
      <c r="I2005" s="33" t="str">
        <f>CONCATENATE(UPPER(TableAopCalendar[[#This Row],[Month]])," ",TableAopCalendar[[#This Row],[Year]])</f>
        <v>SEPTEMBER 27</v>
      </c>
      <c r="J2005" s="8" t="s">
        <v>274</v>
      </c>
      <c r="K2005" s="33" t="str">
        <f>CONCATENATE(TableAopCalendar[[#This Row],[Month for Plan]]," ",TableAopCalendar[[#This Row],[Plan]])</f>
        <v>SEPTEMBER 27 PLANNED</v>
      </c>
    </row>
    <row r="2006" spans="1:11" x14ac:dyDescent="0.25">
      <c r="A2006" s="33">
        <f t="shared" si="108"/>
        <v>5</v>
      </c>
      <c r="B2006" s="34">
        <v>46656</v>
      </c>
      <c r="C2006" s="7" t="s">
        <v>269</v>
      </c>
      <c r="D2006" s="35">
        <v>27</v>
      </c>
      <c r="E2006" s="33">
        <f>DAY(TableAopCalendar[[#This Row],[Date]])</f>
        <v>26</v>
      </c>
      <c r="F200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06" s="33" t="str">
        <f t="shared" si="109"/>
        <v>Week 4</v>
      </c>
      <c r="H2006" s="33" t="str">
        <f t="shared" si="110"/>
        <v>September 27 Week 4</v>
      </c>
      <c r="I2006" s="33" t="str">
        <f>CONCATENATE(UPPER(TableAopCalendar[[#This Row],[Month]])," ",TableAopCalendar[[#This Row],[Year]])</f>
        <v>SEPTEMBER 27</v>
      </c>
      <c r="J2006" s="8" t="s">
        <v>274</v>
      </c>
      <c r="K2006" s="33" t="str">
        <f>CONCATENATE(TableAopCalendar[[#This Row],[Month for Plan]]," ",TableAopCalendar[[#This Row],[Plan]])</f>
        <v>SEPTEMBER 27 PLANNED</v>
      </c>
    </row>
    <row r="2007" spans="1:11" x14ac:dyDescent="0.25">
      <c r="A2007" s="33">
        <f t="shared" si="108"/>
        <v>6</v>
      </c>
      <c r="B2007" s="34">
        <v>46657</v>
      </c>
      <c r="C2007" s="7" t="s">
        <v>269</v>
      </c>
      <c r="D2007" s="35">
        <v>27</v>
      </c>
      <c r="E2007" s="33">
        <f>DAY(TableAopCalendar[[#This Row],[Date]])</f>
        <v>27</v>
      </c>
      <c r="F200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07" s="33" t="str">
        <f t="shared" si="109"/>
        <v>Week 4</v>
      </c>
      <c r="H2007" s="33" t="str">
        <f t="shared" si="110"/>
        <v>September 27 Week 4</v>
      </c>
      <c r="I2007" s="33" t="str">
        <f>CONCATENATE(UPPER(TableAopCalendar[[#This Row],[Month]])," ",TableAopCalendar[[#This Row],[Year]])</f>
        <v>SEPTEMBER 27</v>
      </c>
      <c r="J2007" s="8" t="s">
        <v>274</v>
      </c>
      <c r="K2007" s="33" t="str">
        <f>CONCATENATE(TableAopCalendar[[#This Row],[Month for Plan]]," ",TableAopCalendar[[#This Row],[Plan]])</f>
        <v>SEPTEMBER 27 PLANNED</v>
      </c>
    </row>
    <row r="2008" spans="1:11" x14ac:dyDescent="0.25">
      <c r="A2008" s="33">
        <f t="shared" si="108"/>
        <v>7</v>
      </c>
      <c r="B2008" s="34">
        <v>46658</v>
      </c>
      <c r="C2008" s="7" t="s">
        <v>269</v>
      </c>
      <c r="D2008" s="35">
        <v>27</v>
      </c>
      <c r="E2008" s="33">
        <f>DAY(TableAopCalendar[[#This Row],[Date]])</f>
        <v>28</v>
      </c>
      <c r="F200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08" s="33" t="str">
        <f t="shared" si="109"/>
        <v>Week 4</v>
      </c>
      <c r="H2008" s="33" t="str">
        <f t="shared" si="110"/>
        <v>September 27 Week 4</v>
      </c>
      <c r="I2008" s="33" t="str">
        <f>CONCATENATE(UPPER(TableAopCalendar[[#This Row],[Month]])," ",TableAopCalendar[[#This Row],[Year]])</f>
        <v>SEPTEMBER 27</v>
      </c>
      <c r="J2008" s="8" t="s">
        <v>274</v>
      </c>
      <c r="K2008" s="33" t="str">
        <f>CONCATENATE(TableAopCalendar[[#This Row],[Month for Plan]]," ",TableAopCalendar[[#This Row],[Plan]])</f>
        <v>SEPTEMBER 27 PLANNED</v>
      </c>
    </row>
    <row r="2009" spans="1:11" x14ac:dyDescent="0.25">
      <c r="A2009" s="33">
        <f t="shared" si="108"/>
        <v>1</v>
      </c>
      <c r="B2009" s="34">
        <v>46659</v>
      </c>
      <c r="C2009" s="7" t="s">
        <v>269</v>
      </c>
      <c r="D2009" s="35">
        <v>27</v>
      </c>
      <c r="E2009" s="33">
        <f>DAY(TableAopCalendar[[#This Row],[Date]])</f>
        <v>29</v>
      </c>
      <c r="F2009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009" s="33" t="str">
        <f t="shared" si="109"/>
        <v>Week 5</v>
      </c>
      <c r="H2009" s="33" t="str">
        <f t="shared" si="110"/>
        <v>September 27 Week 5</v>
      </c>
      <c r="I2009" s="33" t="str">
        <f>CONCATENATE(UPPER(TableAopCalendar[[#This Row],[Month]])," ",TableAopCalendar[[#This Row],[Year]])</f>
        <v>SEPTEMBER 27</v>
      </c>
      <c r="J2009" s="8" t="s">
        <v>274</v>
      </c>
      <c r="K2009" s="33" t="str">
        <f>CONCATENATE(TableAopCalendar[[#This Row],[Month for Plan]]," ",TableAopCalendar[[#This Row],[Plan]])</f>
        <v>SEPTEMBER 27 PLANNED</v>
      </c>
    </row>
    <row r="2010" spans="1:11" x14ac:dyDescent="0.25">
      <c r="A2010" s="33">
        <f t="shared" si="108"/>
        <v>2</v>
      </c>
      <c r="B2010" s="34">
        <v>46660</v>
      </c>
      <c r="C2010" s="7" t="s">
        <v>269</v>
      </c>
      <c r="D2010" s="35">
        <v>27</v>
      </c>
      <c r="E2010" s="33">
        <f>DAY(TableAopCalendar[[#This Row],[Date]])</f>
        <v>30</v>
      </c>
      <c r="F2010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010" s="33" t="str">
        <f t="shared" si="109"/>
        <v>Week 5</v>
      </c>
      <c r="H2010" s="33" t="str">
        <f t="shared" si="110"/>
        <v>September 27 Week 5</v>
      </c>
      <c r="I2010" s="33" t="str">
        <f>CONCATENATE(UPPER(TableAopCalendar[[#This Row],[Month]])," ",TableAopCalendar[[#This Row],[Year]])</f>
        <v>SEPTEMBER 27</v>
      </c>
      <c r="J2010" s="8" t="s">
        <v>274</v>
      </c>
      <c r="K2010" s="33" t="str">
        <f>CONCATENATE(TableAopCalendar[[#This Row],[Month for Plan]]," ",TableAopCalendar[[#This Row],[Plan]])</f>
        <v>SEPTEMBER 27 PLANNED</v>
      </c>
    </row>
    <row r="2011" spans="1:11" x14ac:dyDescent="0.25">
      <c r="A2011" s="33">
        <f t="shared" si="108"/>
        <v>1</v>
      </c>
      <c r="B2011" s="34">
        <v>46661</v>
      </c>
      <c r="C2011" s="7" t="s">
        <v>114</v>
      </c>
      <c r="D2011" s="35">
        <v>27</v>
      </c>
      <c r="E2011" s="33">
        <f>DAY(TableAopCalendar[[#This Row],[Date]])</f>
        <v>1</v>
      </c>
      <c r="F201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11" s="33" t="str">
        <f t="shared" si="109"/>
        <v>Week 1</v>
      </c>
      <c r="H2011" s="33" t="str">
        <f t="shared" si="110"/>
        <v>October 27 Week 1</v>
      </c>
      <c r="I2011" s="33" t="str">
        <f>CONCATENATE(UPPER(TableAopCalendar[[#This Row],[Month]])," ",TableAopCalendar[[#This Row],[Year]])</f>
        <v>OCTOBER 27</v>
      </c>
      <c r="J2011" s="8" t="s">
        <v>274</v>
      </c>
      <c r="K2011" s="33" t="str">
        <f>CONCATENATE(TableAopCalendar[[#This Row],[Month for Plan]]," ",TableAopCalendar[[#This Row],[Plan]])</f>
        <v>OCTOBER 27 PLANNED</v>
      </c>
    </row>
    <row r="2012" spans="1:11" x14ac:dyDescent="0.25">
      <c r="A2012" s="33">
        <f t="shared" si="108"/>
        <v>2</v>
      </c>
      <c r="B2012" s="34">
        <v>46662</v>
      </c>
      <c r="C2012" s="7" t="s">
        <v>114</v>
      </c>
      <c r="D2012" s="35">
        <v>27</v>
      </c>
      <c r="E2012" s="33">
        <f>DAY(TableAopCalendar[[#This Row],[Date]])</f>
        <v>2</v>
      </c>
      <c r="F201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12" s="33" t="str">
        <f t="shared" si="109"/>
        <v>Week 1</v>
      </c>
      <c r="H2012" s="33" t="str">
        <f t="shared" si="110"/>
        <v>October 27 Week 1</v>
      </c>
      <c r="I2012" s="33" t="str">
        <f>CONCATENATE(UPPER(TableAopCalendar[[#This Row],[Month]])," ",TableAopCalendar[[#This Row],[Year]])</f>
        <v>OCTOBER 27</v>
      </c>
      <c r="J2012" s="8" t="s">
        <v>274</v>
      </c>
      <c r="K2012" s="33" t="str">
        <f>CONCATENATE(TableAopCalendar[[#This Row],[Month for Plan]]," ",TableAopCalendar[[#This Row],[Plan]])</f>
        <v>OCTOBER 27 PLANNED</v>
      </c>
    </row>
    <row r="2013" spans="1:11" x14ac:dyDescent="0.25">
      <c r="A2013" s="33">
        <f t="shared" si="108"/>
        <v>3</v>
      </c>
      <c r="B2013" s="34">
        <v>46663</v>
      </c>
      <c r="C2013" s="7" t="s">
        <v>114</v>
      </c>
      <c r="D2013" s="35">
        <v>27</v>
      </c>
      <c r="E2013" s="33">
        <f>DAY(TableAopCalendar[[#This Row],[Date]])</f>
        <v>3</v>
      </c>
      <c r="F201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13" s="33" t="str">
        <f t="shared" si="109"/>
        <v>Week 1</v>
      </c>
      <c r="H2013" s="33" t="str">
        <f t="shared" si="110"/>
        <v>October 27 Week 1</v>
      </c>
      <c r="I2013" s="33" t="str">
        <f>CONCATENATE(UPPER(TableAopCalendar[[#This Row],[Month]])," ",TableAopCalendar[[#This Row],[Year]])</f>
        <v>OCTOBER 27</v>
      </c>
      <c r="J2013" s="8" t="s">
        <v>274</v>
      </c>
      <c r="K2013" s="33" t="str">
        <f>CONCATENATE(TableAopCalendar[[#This Row],[Month for Plan]]," ",TableAopCalendar[[#This Row],[Plan]])</f>
        <v>OCTOBER 27 PLANNED</v>
      </c>
    </row>
    <row r="2014" spans="1:11" x14ac:dyDescent="0.25">
      <c r="A2014" s="33">
        <f t="shared" si="108"/>
        <v>4</v>
      </c>
      <c r="B2014" s="34">
        <v>46664</v>
      </c>
      <c r="C2014" s="7" t="s">
        <v>114</v>
      </c>
      <c r="D2014" s="35">
        <v>27</v>
      </c>
      <c r="E2014" s="33">
        <f>DAY(TableAopCalendar[[#This Row],[Date]])</f>
        <v>4</v>
      </c>
      <c r="F201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14" s="33" t="str">
        <f t="shared" si="109"/>
        <v>Week 1</v>
      </c>
      <c r="H2014" s="33" t="str">
        <f t="shared" si="110"/>
        <v>October 27 Week 1</v>
      </c>
      <c r="I2014" s="33" t="str">
        <f>CONCATENATE(UPPER(TableAopCalendar[[#This Row],[Month]])," ",TableAopCalendar[[#This Row],[Year]])</f>
        <v>OCTOBER 27</v>
      </c>
      <c r="J2014" s="8" t="s">
        <v>274</v>
      </c>
      <c r="K2014" s="33" t="str">
        <f>CONCATENATE(TableAopCalendar[[#This Row],[Month for Plan]]," ",TableAopCalendar[[#This Row],[Plan]])</f>
        <v>OCTOBER 27 PLANNED</v>
      </c>
    </row>
    <row r="2015" spans="1:11" x14ac:dyDescent="0.25">
      <c r="A2015" s="33">
        <f t="shared" si="108"/>
        <v>5</v>
      </c>
      <c r="B2015" s="34">
        <v>46665</v>
      </c>
      <c r="C2015" s="7" t="s">
        <v>114</v>
      </c>
      <c r="D2015" s="35">
        <v>27</v>
      </c>
      <c r="E2015" s="33">
        <f>DAY(TableAopCalendar[[#This Row],[Date]])</f>
        <v>5</v>
      </c>
      <c r="F201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15" s="33" t="str">
        <f t="shared" si="109"/>
        <v>Week 1</v>
      </c>
      <c r="H2015" s="33" t="str">
        <f t="shared" si="110"/>
        <v>October 27 Week 1</v>
      </c>
      <c r="I2015" s="33" t="str">
        <f>CONCATENATE(UPPER(TableAopCalendar[[#This Row],[Month]])," ",TableAopCalendar[[#This Row],[Year]])</f>
        <v>OCTOBER 27</v>
      </c>
      <c r="J2015" s="8" t="s">
        <v>274</v>
      </c>
      <c r="K2015" s="33" t="str">
        <f>CONCATENATE(TableAopCalendar[[#This Row],[Month for Plan]]," ",TableAopCalendar[[#This Row],[Plan]])</f>
        <v>OCTOBER 27 PLANNED</v>
      </c>
    </row>
    <row r="2016" spans="1:11" x14ac:dyDescent="0.25">
      <c r="A2016" s="33">
        <f t="shared" si="108"/>
        <v>6</v>
      </c>
      <c r="B2016" s="34">
        <v>46666</v>
      </c>
      <c r="C2016" s="7" t="s">
        <v>114</v>
      </c>
      <c r="D2016" s="35">
        <v>27</v>
      </c>
      <c r="E2016" s="33">
        <f>DAY(TableAopCalendar[[#This Row],[Date]])</f>
        <v>6</v>
      </c>
      <c r="F201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16" s="33" t="str">
        <f t="shared" si="109"/>
        <v>Week 1</v>
      </c>
      <c r="H2016" s="33" t="str">
        <f t="shared" si="110"/>
        <v>October 27 Week 1</v>
      </c>
      <c r="I2016" s="33" t="str">
        <f>CONCATENATE(UPPER(TableAopCalendar[[#This Row],[Month]])," ",TableAopCalendar[[#This Row],[Year]])</f>
        <v>OCTOBER 27</v>
      </c>
      <c r="J2016" s="8" t="s">
        <v>274</v>
      </c>
      <c r="K2016" s="33" t="str">
        <f>CONCATENATE(TableAopCalendar[[#This Row],[Month for Plan]]," ",TableAopCalendar[[#This Row],[Plan]])</f>
        <v>OCTOBER 27 PLANNED</v>
      </c>
    </row>
    <row r="2017" spans="1:11" x14ac:dyDescent="0.25">
      <c r="A2017" s="33">
        <f t="shared" si="108"/>
        <v>7</v>
      </c>
      <c r="B2017" s="34">
        <v>46667</v>
      </c>
      <c r="C2017" s="7" t="s">
        <v>114</v>
      </c>
      <c r="D2017" s="35">
        <v>27</v>
      </c>
      <c r="E2017" s="33">
        <f>DAY(TableAopCalendar[[#This Row],[Date]])</f>
        <v>7</v>
      </c>
      <c r="F201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17" s="33" t="str">
        <f t="shared" si="109"/>
        <v>Week 1</v>
      </c>
      <c r="H2017" s="33" t="str">
        <f t="shared" si="110"/>
        <v>October 27 Week 1</v>
      </c>
      <c r="I2017" s="33" t="str">
        <f>CONCATENATE(UPPER(TableAopCalendar[[#This Row],[Month]])," ",TableAopCalendar[[#This Row],[Year]])</f>
        <v>OCTOBER 27</v>
      </c>
      <c r="J2017" s="8" t="s">
        <v>274</v>
      </c>
      <c r="K2017" s="33" t="str">
        <f>CONCATENATE(TableAopCalendar[[#This Row],[Month for Plan]]," ",TableAopCalendar[[#This Row],[Plan]])</f>
        <v>OCTOBER 27 PLANNED</v>
      </c>
    </row>
    <row r="2018" spans="1:11" x14ac:dyDescent="0.25">
      <c r="A2018" s="33">
        <f t="shared" si="108"/>
        <v>1</v>
      </c>
      <c r="B2018" s="34">
        <v>46668</v>
      </c>
      <c r="C2018" s="7" t="s">
        <v>114</v>
      </c>
      <c r="D2018" s="35">
        <v>27</v>
      </c>
      <c r="E2018" s="33">
        <f>DAY(TableAopCalendar[[#This Row],[Date]])</f>
        <v>8</v>
      </c>
      <c r="F201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18" s="33" t="str">
        <f t="shared" si="109"/>
        <v>Week 2</v>
      </c>
      <c r="H2018" s="33" t="str">
        <f t="shared" si="110"/>
        <v>October 27 Week 2</v>
      </c>
      <c r="I2018" s="33" t="str">
        <f>CONCATENATE(UPPER(TableAopCalendar[[#This Row],[Month]])," ",TableAopCalendar[[#This Row],[Year]])</f>
        <v>OCTOBER 27</v>
      </c>
      <c r="J2018" s="8" t="s">
        <v>274</v>
      </c>
      <c r="K2018" s="33" t="str">
        <f>CONCATENATE(TableAopCalendar[[#This Row],[Month for Plan]]," ",TableAopCalendar[[#This Row],[Plan]])</f>
        <v>OCTOBER 27 PLANNED</v>
      </c>
    </row>
    <row r="2019" spans="1:11" x14ac:dyDescent="0.25">
      <c r="A2019" s="33">
        <f t="shared" si="108"/>
        <v>2</v>
      </c>
      <c r="B2019" s="34">
        <v>46669</v>
      </c>
      <c r="C2019" s="7" t="s">
        <v>114</v>
      </c>
      <c r="D2019" s="35">
        <v>27</v>
      </c>
      <c r="E2019" s="33">
        <f>DAY(TableAopCalendar[[#This Row],[Date]])</f>
        <v>9</v>
      </c>
      <c r="F201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19" s="33" t="str">
        <f t="shared" si="109"/>
        <v>Week 2</v>
      </c>
      <c r="H2019" s="33" t="str">
        <f t="shared" si="110"/>
        <v>October 27 Week 2</v>
      </c>
      <c r="I2019" s="33" t="str">
        <f>CONCATENATE(UPPER(TableAopCalendar[[#This Row],[Month]])," ",TableAopCalendar[[#This Row],[Year]])</f>
        <v>OCTOBER 27</v>
      </c>
      <c r="J2019" s="8" t="s">
        <v>274</v>
      </c>
      <c r="K2019" s="33" t="str">
        <f>CONCATENATE(TableAopCalendar[[#This Row],[Month for Plan]]," ",TableAopCalendar[[#This Row],[Plan]])</f>
        <v>OCTOBER 27 PLANNED</v>
      </c>
    </row>
    <row r="2020" spans="1:11" x14ac:dyDescent="0.25">
      <c r="A2020" s="33">
        <f t="shared" ref="A2020:A2083" si="111">IF(G2020=G2019,A2019+1,1)</f>
        <v>3</v>
      </c>
      <c r="B2020" s="34">
        <v>46670</v>
      </c>
      <c r="C2020" s="7" t="s">
        <v>114</v>
      </c>
      <c r="D2020" s="35">
        <v>27</v>
      </c>
      <c r="E2020" s="33">
        <f>DAY(TableAopCalendar[[#This Row],[Date]])</f>
        <v>10</v>
      </c>
      <c r="F202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20" s="33" t="str">
        <f t="shared" ref="G2020:G2083" si="112">"Week"&amp;" "&amp;F2020</f>
        <v>Week 2</v>
      </c>
      <c r="H2020" s="33" t="str">
        <f t="shared" ref="H2020:H2083" si="113">CONCATENATE(C2020," ",D2020," ",G2020)</f>
        <v>October 27 Week 2</v>
      </c>
      <c r="I2020" s="33" t="str">
        <f>CONCATENATE(UPPER(TableAopCalendar[[#This Row],[Month]])," ",TableAopCalendar[[#This Row],[Year]])</f>
        <v>OCTOBER 27</v>
      </c>
      <c r="J2020" s="8" t="s">
        <v>274</v>
      </c>
      <c r="K2020" s="33" t="str">
        <f>CONCATENATE(TableAopCalendar[[#This Row],[Month for Plan]]," ",TableAopCalendar[[#This Row],[Plan]])</f>
        <v>OCTOBER 27 PLANNED</v>
      </c>
    </row>
    <row r="2021" spans="1:11" x14ac:dyDescent="0.25">
      <c r="A2021" s="33">
        <f t="shared" si="111"/>
        <v>4</v>
      </c>
      <c r="B2021" s="34">
        <v>46671</v>
      </c>
      <c r="C2021" s="7" t="s">
        <v>114</v>
      </c>
      <c r="D2021" s="35">
        <v>27</v>
      </c>
      <c r="E2021" s="33">
        <f>DAY(TableAopCalendar[[#This Row],[Date]])</f>
        <v>11</v>
      </c>
      <c r="F202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21" s="33" t="str">
        <f t="shared" si="112"/>
        <v>Week 2</v>
      </c>
      <c r="H2021" s="33" t="str">
        <f t="shared" si="113"/>
        <v>October 27 Week 2</v>
      </c>
      <c r="I2021" s="33" t="str">
        <f>CONCATENATE(UPPER(TableAopCalendar[[#This Row],[Month]])," ",TableAopCalendar[[#This Row],[Year]])</f>
        <v>OCTOBER 27</v>
      </c>
      <c r="J2021" s="8" t="s">
        <v>274</v>
      </c>
      <c r="K2021" s="33" t="str">
        <f>CONCATENATE(TableAopCalendar[[#This Row],[Month for Plan]]," ",TableAopCalendar[[#This Row],[Plan]])</f>
        <v>OCTOBER 27 PLANNED</v>
      </c>
    </row>
    <row r="2022" spans="1:11" x14ac:dyDescent="0.25">
      <c r="A2022" s="33">
        <f t="shared" si="111"/>
        <v>5</v>
      </c>
      <c r="B2022" s="34">
        <v>46672</v>
      </c>
      <c r="C2022" s="7" t="s">
        <v>114</v>
      </c>
      <c r="D2022" s="35">
        <v>27</v>
      </c>
      <c r="E2022" s="33">
        <f>DAY(TableAopCalendar[[#This Row],[Date]])</f>
        <v>12</v>
      </c>
      <c r="F202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22" s="33" t="str">
        <f t="shared" si="112"/>
        <v>Week 2</v>
      </c>
      <c r="H2022" s="33" t="str">
        <f t="shared" si="113"/>
        <v>October 27 Week 2</v>
      </c>
      <c r="I2022" s="33" t="str">
        <f>CONCATENATE(UPPER(TableAopCalendar[[#This Row],[Month]])," ",TableAopCalendar[[#This Row],[Year]])</f>
        <v>OCTOBER 27</v>
      </c>
      <c r="J2022" s="8" t="s">
        <v>274</v>
      </c>
      <c r="K2022" s="33" t="str">
        <f>CONCATENATE(TableAopCalendar[[#This Row],[Month for Plan]]," ",TableAopCalendar[[#This Row],[Plan]])</f>
        <v>OCTOBER 27 PLANNED</v>
      </c>
    </row>
    <row r="2023" spans="1:11" x14ac:dyDescent="0.25">
      <c r="A2023" s="33">
        <f t="shared" si="111"/>
        <v>6</v>
      </c>
      <c r="B2023" s="34">
        <v>46673</v>
      </c>
      <c r="C2023" s="7" t="s">
        <v>114</v>
      </c>
      <c r="D2023" s="35">
        <v>27</v>
      </c>
      <c r="E2023" s="33">
        <f>DAY(TableAopCalendar[[#This Row],[Date]])</f>
        <v>13</v>
      </c>
      <c r="F202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23" s="33" t="str">
        <f t="shared" si="112"/>
        <v>Week 2</v>
      </c>
      <c r="H2023" s="33" t="str">
        <f t="shared" si="113"/>
        <v>October 27 Week 2</v>
      </c>
      <c r="I2023" s="33" t="str">
        <f>CONCATENATE(UPPER(TableAopCalendar[[#This Row],[Month]])," ",TableAopCalendar[[#This Row],[Year]])</f>
        <v>OCTOBER 27</v>
      </c>
      <c r="J2023" s="8" t="s">
        <v>274</v>
      </c>
      <c r="K2023" s="33" t="str">
        <f>CONCATENATE(TableAopCalendar[[#This Row],[Month for Plan]]," ",TableAopCalendar[[#This Row],[Plan]])</f>
        <v>OCTOBER 27 PLANNED</v>
      </c>
    </row>
    <row r="2024" spans="1:11" x14ac:dyDescent="0.25">
      <c r="A2024" s="33">
        <f t="shared" si="111"/>
        <v>7</v>
      </c>
      <c r="B2024" s="34">
        <v>46674</v>
      </c>
      <c r="C2024" s="7" t="s">
        <v>114</v>
      </c>
      <c r="D2024" s="35">
        <v>27</v>
      </c>
      <c r="E2024" s="33">
        <f>DAY(TableAopCalendar[[#This Row],[Date]])</f>
        <v>14</v>
      </c>
      <c r="F202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24" s="33" t="str">
        <f t="shared" si="112"/>
        <v>Week 2</v>
      </c>
      <c r="H2024" s="33" t="str">
        <f t="shared" si="113"/>
        <v>October 27 Week 2</v>
      </c>
      <c r="I2024" s="33" t="str">
        <f>CONCATENATE(UPPER(TableAopCalendar[[#This Row],[Month]])," ",TableAopCalendar[[#This Row],[Year]])</f>
        <v>OCTOBER 27</v>
      </c>
      <c r="J2024" s="8" t="s">
        <v>274</v>
      </c>
      <c r="K2024" s="33" t="str">
        <f>CONCATENATE(TableAopCalendar[[#This Row],[Month for Plan]]," ",TableAopCalendar[[#This Row],[Plan]])</f>
        <v>OCTOBER 27 PLANNED</v>
      </c>
    </row>
    <row r="2025" spans="1:11" x14ac:dyDescent="0.25">
      <c r="A2025" s="33">
        <f t="shared" si="111"/>
        <v>1</v>
      </c>
      <c r="B2025" s="34">
        <v>46675</v>
      </c>
      <c r="C2025" s="7" t="s">
        <v>114</v>
      </c>
      <c r="D2025" s="35">
        <v>27</v>
      </c>
      <c r="E2025" s="33">
        <f>DAY(TableAopCalendar[[#This Row],[Date]])</f>
        <v>15</v>
      </c>
      <c r="F202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25" s="33" t="str">
        <f t="shared" si="112"/>
        <v>Week 3</v>
      </c>
      <c r="H2025" s="33" t="str">
        <f t="shared" si="113"/>
        <v>October 27 Week 3</v>
      </c>
      <c r="I2025" s="33" t="str">
        <f>CONCATENATE(UPPER(TableAopCalendar[[#This Row],[Month]])," ",TableAopCalendar[[#This Row],[Year]])</f>
        <v>OCTOBER 27</v>
      </c>
      <c r="J2025" s="8" t="s">
        <v>274</v>
      </c>
      <c r="K2025" s="33" t="str">
        <f>CONCATENATE(TableAopCalendar[[#This Row],[Month for Plan]]," ",TableAopCalendar[[#This Row],[Plan]])</f>
        <v>OCTOBER 27 PLANNED</v>
      </c>
    </row>
    <row r="2026" spans="1:11" x14ac:dyDescent="0.25">
      <c r="A2026" s="33">
        <f t="shared" si="111"/>
        <v>2</v>
      </c>
      <c r="B2026" s="34">
        <v>46676</v>
      </c>
      <c r="C2026" s="7" t="s">
        <v>114</v>
      </c>
      <c r="D2026" s="35">
        <v>27</v>
      </c>
      <c r="E2026" s="33">
        <f>DAY(TableAopCalendar[[#This Row],[Date]])</f>
        <v>16</v>
      </c>
      <c r="F202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26" s="33" t="str">
        <f t="shared" si="112"/>
        <v>Week 3</v>
      </c>
      <c r="H2026" s="33" t="str">
        <f t="shared" si="113"/>
        <v>October 27 Week 3</v>
      </c>
      <c r="I2026" s="33" t="str">
        <f>CONCATENATE(UPPER(TableAopCalendar[[#This Row],[Month]])," ",TableAopCalendar[[#This Row],[Year]])</f>
        <v>OCTOBER 27</v>
      </c>
      <c r="J2026" s="8" t="s">
        <v>274</v>
      </c>
      <c r="K2026" s="33" t="str">
        <f>CONCATENATE(TableAopCalendar[[#This Row],[Month for Plan]]," ",TableAopCalendar[[#This Row],[Plan]])</f>
        <v>OCTOBER 27 PLANNED</v>
      </c>
    </row>
    <row r="2027" spans="1:11" x14ac:dyDescent="0.25">
      <c r="A2027" s="33">
        <f t="shared" si="111"/>
        <v>3</v>
      </c>
      <c r="B2027" s="34">
        <v>46677</v>
      </c>
      <c r="C2027" s="7" t="s">
        <v>114</v>
      </c>
      <c r="D2027" s="35">
        <v>27</v>
      </c>
      <c r="E2027" s="33">
        <f>DAY(TableAopCalendar[[#This Row],[Date]])</f>
        <v>17</v>
      </c>
      <c r="F202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27" s="33" t="str">
        <f t="shared" si="112"/>
        <v>Week 3</v>
      </c>
      <c r="H2027" s="33" t="str">
        <f t="shared" si="113"/>
        <v>October 27 Week 3</v>
      </c>
      <c r="I2027" s="33" t="str">
        <f>CONCATENATE(UPPER(TableAopCalendar[[#This Row],[Month]])," ",TableAopCalendar[[#This Row],[Year]])</f>
        <v>OCTOBER 27</v>
      </c>
      <c r="J2027" s="8" t="s">
        <v>274</v>
      </c>
      <c r="K2027" s="33" t="str">
        <f>CONCATENATE(TableAopCalendar[[#This Row],[Month for Plan]]," ",TableAopCalendar[[#This Row],[Plan]])</f>
        <v>OCTOBER 27 PLANNED</v>
      </c>
    </row>
    <row r="2028" spans="1:11" x14ac:dyDescent="0.25">
      <c r="A2028" s="33">
        <f t="shared" si="111"/>
        <v>4</v>
      </c>
      <c r="B2028" s="34">
        <v>46678</v>
      </c>
      <c r="C2028" s="7" t="s">
        <v>114</v>
      </c>
      <c r="D2028" s="35">
        <v>27</v>
      </c>
      <c r="E2028" s="33">
        <f>DAY(TableAopCalendar[[#This Row],[Date]])</f>
        <v>18</v>
      </c>
      <c r="F202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28" s="33" t="str">
        <f t="shared" si="112"/>
        <v>Week 3</v>
      </c>
      <c r="H2028" s="33" t="str">
        <f t="shared" si="113"/>
        <v>October 27 Week 3</v>
      </c>
      <c r="I2028" s="33" t="str">
        <f>CONCATENATE(UPPER(TableAopCalendar[[#This Row],[Month]])," ",TableAopCalendar[[#This Row],[Year]])</f>
        <v>OCTOBER 27</v>
      </c>
      <c r="J2028" s="8" t="s">
        <v>274</v>
      </c>
      <c r="K2028" s="33" t="str">
        <f>CONCATENATE(TableAopCalendar[[#This Row],[Month for Plan]]," ",TableAopCalendar[[#This Row],[Plan]])</f>
        <v>OCTOBER 27 PLANNED</v>
      </c>
    </row>
    <row r="2029" spans="1:11" x14ac:dyDescent="0.25">
      <c r="A2029" s="33">
        <f t="shared" si="111"/>
        <v>5</v>
      </c>
      <c r="B2029" s="34">
        <v>46679</v>
      </c>
      <c r="C2029" s="7" t="s">
        <v>114</v>
      </c>
      <c r="D2029" s="35">
        <v>27</v>
      </c>
      <c r="E2029" s="33">
        <f>DAY(TableAopCalendar[[#This Row],[Date]])</f>
        <v>19</v>
      </c>
      <c r="F202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29" s="33" t="str">
        <f t="shared" si="112"/>
        <v>Week 3</v>
      </c>
      <c r="H2029" s="33" t="str">
        <f t="shared" si="113"/>
        <v>October 27 Week 3</v>
      </c>
      <c r="I2029" s="33" t="str">
        <f>CONCATENATE(UPPER(TableAopCalendar[[#This Row],[Month]])," ",TableAopCalendar[[#This Row],[Year]])</f>
        <v>OCTOBER 27</v>
      </c>
      <c r="J2029" s="8" t="s">
        <v>274</v>
      </c>
      <c r="K2029" s="33" t="str">
        <f>CONCATENATE(TableAopCalendar[[#This Row],[Month for Plan]]," ",TableAopCalendar[[#This Row],[Plan]])</f>
        <v>OCTOBER 27 PLANNED</v>
      </c>
    </row>
    <row r="2030" spans="1:11" x14ac:dyDescent="0.25">
      <c r="A2030" s="33">
        <f t="shared" si="111"/>
        <v>6</v>
      </c>
      <c r="B2030" s="34">
        <v>46680</v>
      </c>
      <c r="C2030" s="7" t="s">
        <v>114</v>
      </c>
      <c r="D2030" s="35">
        <v>27</v>
      </c>
      <c r="E2030" s="33">
        <f>DAY(TableAopCalendar[[#This Row],[Date]])</f>
        <v>20</v>
      </c>
      <c r="F203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30" s="33" t="str">
        <f t="shared" si="112"/>
        <v>Week 3</v>
      </c>
      <c r="H2030" s="33" t="str">
        <f t="shared" si="113"/>
        <v>October 27 Week 3</v>
      </c>
      <c r="I2030" s="33" t="str">
        <f>CONCATENATE(UPPER(TableAopCalendar[[#This Row],[Month]])," ",TableAopCalendar[[#This Row],[Year]])</f>
        <v>OCTOBER 27</v>
      </c>
      <c r="J2030" s="8" t="s">
        <v>274</v>
      </c>
      <c r="K2030" s="33" t="str">
        <f>CONCATENATE(TableAopCalendar[[#This Row],[Month for Plan]]," ",TableAopCalendar[[#This Row],[Plan]])</f>
        <v>OCTOBER 27 PLANNED</v>
      </c>
    </row>
    <row r="2031" spans="1:11" x14ac:dyDescent="0.25">
      <c r="A2031" s="33">
        <f t="shared" si="111"/>
        <v>7</v>
      </c>
      <c r="B2031" s="34">
        <v>46681</v>
      </c>
      <c r="C2031" s="7" t="s">
        <v>114</v>
      </c>
      <c r="D2031" s="35">
        <v>27</v>
      </c>
      <c r="E2031" s="33">
        <f>DAY(TableAopCalendar[[#This Row],[Date]])</f>
        <v>21</v>
      </c>
      <c r="F203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31" s="33" t="str">
        <f t="shared" si="112"/>
        <v>Week 3</v>
      </c>
      <c r="H2031" s="33" t="str">
        <f t="shared" si="113"/>
        <v>October 27 Week 3</v>
      </c>
      <c r="I2031" s="33" t="str">
        <f>CONCATENATE(UPPER(TableAopCalendar[[#This Row],[Month]])," ",TableAopCalendar[[#This Row],[Year]])</f>
        <v>OCTOBER 27</v>
      </c>
      <c r="J2031" s="8" t="s">
        <v>274</v>
      </c>
      <c r="K2031" s="33" t="str">
        <f>CONCATENATE(TableAopCalendar[[#This Row],[Month for Plan]]," ",TableAopCalendar[[#This Row],[Plan]])</f>
        <v>OCTOBER 27 PLANNED</v>
      </c>
    </row>
    <row r="2032" spans="1:11" x14ac:dyDescent="0.25">
      <c r="A2032" s="33">
        <f t="shared" si="111"/>
        <v>1</v>
      </c>
      <c r="B2032" s="34">
        <v>46682</v>
      </c>
      <c r="C2032" s="7" t="s">
        <v>114</v>
      </c>
      <c r="D2032" s="35">
        <v>27</v>
      </c>
      <c r="E2032" s="33">
        <f>DAY(TableAopCalendar[[#This Row],[Date]])</f>
        <v>22</v>
      </c>
      <c r="F203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32" s="33" t="str">
        <f t="shared" si="112"/>
        <v>Week 4</v>
      </c>
      <c r="H2032" s="33" t="str">
        <f t="shared" si="113"/>
        <v>October 27 Week 4</v>
      </c>
      <c r="I2032" s="33" t="str">
        <f>CONCATENATE(UPPER(TableAopCalendar[[#This Row],[Month]])," ",TableAopCalendar[[#This Row],[Year]])</f>
        <v>OCTOBER 27</v>
      </c>
      <c r="J2032" s="8" t="s">
        <v>274</v>
      </c>
      <c r="K2032" s="33" t="str">
        <f>CONCATENATE(TableAopCalendar[[#This Row],[Month for Plan]]," ",TableAopCalendar[[#This Row],[Plan]])</f>
        <v>OCTOBER 27 PLANNED</v>
      </c>
    </row>
    <row r="2033" spans="1:11" x14ac:dyDescent="0.25">
      <c r="A2033" s="33">
        <f t="shared" si="111"/>
        <v>2</v>
      </c>
      <c r="B2033" s="34">
        <v>46683</v>
      </c>
      <c r="C2033" s="7" t="s">
        <v>114</v>
      </c>
      <c r="D2033" s="35">
        <v>27</v>
      </c>
      <c r="E2033" s="33">
        <f>DAY(TableAopCalendar[[#This Row],[Date]])</f>
        <v>23</v>
      </c>
      <c r="F203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33" s="33" t="str">
        <f t="shared" si="112"/>
        <v>Week 4</v>
      </c>
      <c r="H2033" s="33" t="str">
        <f t="shared" si="113"/>
        <v>October 27 Week 4</v>
      </c>
      <c r="I2033" s="33" t="str">
        <f>CONCATENATE(UPPER(TableAopCalendar[[#This Row],[Month]])," ",TableAopCalendar[[#This Row],[Year]])</f>
        <v>OCTOBER 27</v>
      </c>
      <c r="J2033" s="8" t="s">
        <v>274</v>
      </c>
      <c r="K2033" s="33" t="str">
        <f>CONCATENATE(TableAopCalendar[[#This Row],[Month for Plan]]," ",TableAopCalendar[[#This Row],[Plan]])</f>
        <v>OCTOBER 27 PLANNED</v>
      </c>
    </row>
    <row r="2034" spans="1:11" x14ac:dyDescent="0.25">
      <c r="A2034" s="33">
        <f t="shared" si="111"/>
        <v>3</v>
      </c>
      <c r="B2034" s="34">
        <v>46684</v>
      </c>
      <c r="C2034" s="7" t="s">
        <v>114</v>
      </c>
      <c r="D2034" s="35">
        <v>27</v>
      </c>
      <c r="E2034" s="33">
        <f>DAY(TableAopCalendar[[#This Row],[Date]])</f>
        <v>24</v>
      </c>
      <c r="F203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34" s="33" t="str">
        <f t="shared" si="112"/>
        <v>Week 4</v>
      </c>
      <c r="H2034" s="33" t="str">
        <f t="shared" si="113"/>
        <v>October 27 Week 4</v>
      </c>
      <c r="I2034" s="33" t="str">
        <f>CONCATENATE(UPPER(TableAopCalendar[[#This Row],[Month]])," ",TableAopCalendar[[#This Row],[Year]])</f>
        <v>OCTOBER 27</v>
      </c>
      <c r="J2034" s="8" t="s">
        <v>274</v>
      </c>
      <c r="K2034" s="33" t="str">
        <f>CONCATENATE(TableAopCalendar[[#This Row],[Month for Plan]]," ",TableAopCalendar[[#This Row],[Plan]])</f>
        <v>OCTOBER 27 PLANNED</v>
      </c>
    </row>
    <row r="2035" spans="1:11" x14ac:dyDescent="0.25">
      <c r="A2035" s="33">
        <f t="shared" si="111"/>
        <v>4</v>
      </c>
      <c r="B2035" s="34">
        <v>46685</v>
      </c>
      <c r="C2035" s="7" t="s">
        <v>114</v>
      </c>
      <c r="D2035" s="35">
        <v>27</v>
      </c>
      <c r="E2035" s="33">
        <f>DAY(TableAopCalendar[[#This Row],[Date]])</f>
        <v>25</v>
      </c>
      <c r="F203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35" s="33" t="str">
        <f t="shared" si="112"/>
        <v>Week 4</v>
      </c>
      <c r="H2035" s="33" t="str">
        <f t="shared" si="113"/>
        <v>October 27 Week 4</v>
      </c>
      <c r="I2035" s="33" t="str">
        <f>CONCATENATE(UPPER(TableAopCalendar[[#This Row],[Month]])," ",TableAopCalendar[[#This Row],[Year]])</f>
        <v>OCTOBER 27</v>
      </c>
      <c r="J2035" s="8" t="s">
        <v>274</v>
      </c>
      <c r="K2035" s="33" t="str">
        <f>CONCATENATE(TableAopCalendar[[#This Row],[Month for Plan]]," ",TableAopCalendar[[#This Row],[Plan]])</f>
        <v>OCTOBER 27 PLANNED</v>
      </c>
    </row>
    <row r="2036" spans="1:11" x14ac:dyDescent="0.25">
      <c r="A2036" s="33">
        <f t="shared" si="111"/>
        <v>5</v>
      </c>
      <c r="B2036" s="34">
        <v>46686</v>
      </c>
      <c r="C2036" s="7" t="s">
        <v>114</v>
      </c>
      <c r="D2036" s="35">
        <v>27</v>
      </c>
      <c r="E2036" s="33">
        <f>DAY(TableAopCalendar[[#This Row],[Date]])</f>
        <v>26</v>
      </c>
      <c r="F203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36" s="33" t="str">
        <f t="shared" si="112"/>
        <v>Week 4</v>
      </c>
      <c r="H2036" s="33" t="str">
        <f t="shared" si="113"/>
        <v>October 27 Week 4</v>
      </c>
      <c r="I2036" s="33" t="str">
        <f>CONCATENATE(UPPER(TableAopCalendar[[#This Row],[Month]])," ",TableAopCalendar[[#This Row],[Year]])</f>
        <v>OCTOBER 27</v>
      </c>
      <c r="J2036" s="8" t="s">
        <v>274</v>
      </c>
      <c r="K2036" s="33" t="str">
        <f>CONCATENATE(TableAopCalendar[[#This Row],[Month for Plan]]," ",TableAopCalendar[[#This Row],[Plan]])</f>
        <v>OCTOBER 27 PLANNED</v>
      </c>
    </row>
    <row r="2037" spans="1:11" x14ac:dyDescent="0.25">
      <c r="A2037" s="33">
        <f t="shared" si="111"/>
        <v>6</v>
      </c>
      <c r="B2037" s="34">
        <v>46687</v>
      </c>
      <c r="C2037" s="7" t="s">
        <v>114</v>
      </c>
      <c r="D2037" s="35">
        <v>27</v>
      </c>
      <c r="E2037" s="33">
        <f>DAY(TableAopCalendar[[#This Row],[Date]])</f>
        <v>27</v>
      </c>
      <c r="F203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37" s="33" t="str">
        <f t="shared" si="112"/>
        <v>Week 4</v>
      </c>
      <c r="H2037" s="33" t="str">
        <f t="shared" si="113"/>
        <v>October 27 Week 4</v>
      </c>
      <c r="I2037" s="33" t="str">
        <f>CONCATENATE(UPPER(TableAopCalendar[[#This Row],[Month]])," ",TableAopCalendar[[#This Row],[Year]])</f>
        <v>OCTOBER 27</v>
      </c>
      <c r="J2037" s="8" t="s">
        <v>274</v>
      </c>
      <c r="K2037" s="33" t="str">
        <f>CONCATENATE(TableAopCalendar[[#This Row],[Month for Plan]]," ",TableAopCalendar[[#This Row],[Plan]])</f>
        <v>OCTOBER 27 PLANNED</v>
      </c>
    </row>
    <row r="2038" spans="1:11" x14ac:dyDescent="0.25">
      <c r="A2038" s="33">
        <f t="shared" si="111"/>
        <v>7</v>
      </c>
      <c r="B2038" s="34">
        <v>46688</v>
      </c>
      <c r="C2038" s="7" t="s">
        <v>114</v>
      </c>
      <c r="D2038" s="35">
        <v>27</v>
      </c>
      <c r="E2038" s="33">
        <f>DAY(TableAopCalendar[[#This Row],[Date]])</f>
        <v>28</v>
      </c>
      <c r="F203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38" s="33" t="str">
        <f t="shared" si="112"/>
        <v>Week 4</v>
      </c>
      <c r="H2038" s="33" t="str">
        <f t="shared" si="113"/>
        <v>October 27 Week 4</v>
      </c>
      <c r="I2038" s="33" t="str">
        <f>CONCATENATE(UPPER(TableAopCalendar[[#This Row],[Month]])," ",TableAopCalendar[[#This Row],[Year]])</f>
        <v>OCTOBER 27</v>
      </c>
      <c r="J2038" s="8" t="s">
        <v>274</v>
      </c>
      <c r="K2038" s="33" t="str">
        <f>CONCATENATE(TableAopCalendar[[#This Row],[Month for Plan]]," ",TableAopCalendar[[#This Row],[Plan]])</f>
        <v>OCTOBER 27 PLANNED</v>
      </c>
    </row>
    <row r="2039" spans="1:11" x14ac:dyDescent="0.25">
      <c r="A2039" s="33">
        <f t="shared" si="111"/>
        <v>1</v>
      </c>
      <c r="B2039" s="34">
        <v>46689</v>
      </c>
      <c r="C2039" s="7" t="s">
        <v>114</v>
      </c>
      <c r="D2039" s="35">
        <v>27</v>
      </c>
      <c r="E2039" s="33">
        <f>DAY(TableAopCalendar[[#This Row],[Date]])</f>
        <v>29</v>
      </c>
      <c r="F2039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039" s="33" t="str">
        <f t="shared" si="112"/>
        <v>Week 5</v>
      </c>
      <c r="H2039" s="33" t="str">
        <f t="shared" si="113"/>
        <v>October 27 Week 5</v>
      </c>
      <c r="I2039" s="33" t="str">
        <f>CONCATENATE(UPPER(TableAopCalendar[[#This Row],[Month]])," ",TableAopCalendar[[#This Row],[Year]])</f>
        <v>OCTOBER 27</v>
      </c>
      <c r="J2039" s="8" t="s">
        <v>274</v>
      </c>
      <c r="K2039" s="33" t="str">
        <f>CONCATENATE(TableAopCalendar[[#This Row],[Month for Plan]]," ",TableAopCalendar[[#This Row],[Plan]])</f>
        <v>OCTOBER 27 PLANNED</v>
      </c>
    </row>
    <row r="2040" spans="1:11" x14ac:dyDescent="0.25">
      <c r="A2040" s="33">
        <f t="shared" si="111"/>
        <v>2</v>
      </c>
      <c r="B2040" s="34">
        <v>46690</v>
      </c>
      <c r="C2040" s="7" t="s">
        <v>114</v>
      </c>
      <c r="D2040" s="35">
        <v>27</v>
      </c>
      <c r="E2040" s="33">
        <f>DAY(TableAopCalendar[[#This Row],[Date]])</f>
        <v>30</v>
      </c>
      <c r="F2040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040" s="33" t="str">
        <f t="shared" si="112"/>
        <v>Week 5</v>
      </c>
      <c r="H2040" s="33" t="str">
        <f t="shared" si="113"/>
        <v>October 27 Week 5</v>
      </c>
      <c r="I2040" s="33" t="str">
        <f>CONCATENATE(UPPER(TableAopCalendar[[#This Row],[Month]])," ",TableAopCalendar[[#This Row],[Year]])</f>
        <v>OCTOBER 27</v>
      </c>
      <c r="J2040" s="8" t="s">
        <v>274</v>
      </c>
      <c r="K2040" s="33" t="str">
        <f>CONCATENATE(TableAopCalendar[[#This Row],[Month for Plan]]," ",TableAopCalendar[[#This Row],[Plan]])</f>
        <v>OCTOBER 27 PLANNED</v>
      </c>
    </row>
    <row r="2041" spans="1:11" x14ac:dyDescent="0.25">
      <c r="A2041" s="33">
        <f t="shared" si="111"/>
        <v>3</v>
      </c>
      <c r="B2041" s="34">
        <v>46691</v>
      </c>
      <c r="C2041" s="7" t="s">
        <v>114</v>
      </c>
      <c r="D2041" s="35">
        <v>27</v>
      </c>
      <c r="E2041" s="33">
        <f>DAY(TableAopCalendar[[#This Row],[Date]])</f>
        <v>31</v>
      </c>
      <c r="F204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041" s="33" t="str">
        <f t="shared" si="112"/>
        <v>Week 5</v>
      </c>
      <c r="H2041" s="33" t="str">
        <f t="shared" si="113"/>
        <v>October 27 Week 5</v>
      </c>
      <c r="I2041" s="33" t="str">
        <f>CONCATENATE(UPPER(TableAopCalendar[[#This Row],[Month]])," ",TableAopCalendar[[#This Row],[Year]])</f>
        <v>OCTOBER 27</v>
      </c>
      <c r="J2041" s="8" t="s">
        <v>274</v>
      </c>
      <c r="K2041" s="33" t="str">
        <f>CONCATENATE(TableAopCalendar[[#This Row],[Month for Plan]]," ",TableAopCalendar[[#This Row],[Plan]])</f>
        <v>OCTOBER 27 PLANNED</v>
      </c>
    </row>
    <row r="2042" spans="1:11" x14ac:dyDescent="0.25">
      <c r="A2042" s="33">
        <f t="shared" si="111"/>
        <v>1</v>
      </c>
      <c r="B2042" s="34">
        <v>46692</v>
      </c>
      <c r="C2042" s="7" t="s">
        <v>117</v>
      </c>
      <c r="D2042" s="35">
        <v>27</v>
      </c>
      <c r="E2042" s="33">
        <f>DAY(TableAopCalendar[[#This Row],[Date]])</f>
        <v>1</v>
      </c>
      <c r="F204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42" s="33" t="str">
        <f t="shared" si="112"/>
        <v>Week 1</v>
      </c>
      <c r="H2042" s="33" t="str">
        <f t="shared" si="113"/>
        <v>November 27 Week 1</v>
      </c>
      <c r="I2042" s="33" t="str">
        <f>CONCATENATE(UPPER(TableAopCalendar[[#This Row],[Month]])," ",TableAopCalendar[[#This Row],[Year]])</f>
        <v>NOVEMBER 27</v>
      </c>
      <c r="J2042" s="8" t="s">
        <v>274</v>
      </c>
      <c r="K2042" s="33" t="str">
        <f>CONCATENATE(TableAopCalendar[[#This Row],[Month for Plan]]," ",TableAopCalendar[[#This Row],[Plan]])</f>
        <v>NOVEMBER 27 PLANNED</v>
      </c>
    </row>
    <row r="2043" spans="1:11" x14ac:dyDescent="0.25">
      <c r="A2043" s="33">
        <f t="shared" si="111"/>
        <v>2</v>
      </c>
      <c r="B2043" s="34">
        <v>46693</v>
      </c>
      <c r="C2043" s="7" t="s">
        <v>117</v>
      </c>
      <c r="D2043" s="35">
        <v>27</v>
      </c>
      <c r="E2043" s="33">
        <f>DAY(TableAopCalendar[[#This Row],[Date]])</f>
        <v>2</v>
      </c>
      <c r="F204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43" s="33" t="str">
        <f t="shared" si="112"/>
        <v>Week 1</v>
      </c>
      <c r="H2043" s="33" t="str">
        <f t="shared" si="113"/>
        <v>November 27 Week 1</v>
      </c>
      <c r="I2043" s="33" t="str">
        <f>CONCATENATE(UPPER(TableAopCalendar[[#This Row],[Month]])," ",TableAopCalendar[[#This Row],[Year]])</f>
        <v>NOVEMBER 27</v>
      </c>
      <c r="J2043" s="8" t="s">
        <v>274</v>
      </c>
      <c r="K2043" s="33" t="str">
        <f>CONCATENATE(TableAopCalendar[[#This Row],[Month for Plan]]," ",TableAopCalendar[[#This Row],[Plan]])</f>
        <v>NOVEMBER 27 PLANNED</v>
      </c>
    </row>
    <row r="2044" spans="1:11" x14ac:dyDescent="0.25">
      <c r="A2044" s="33">
        <f t="shared" si="111"/>
        <v>3</v>
      </c>
      <c r="B2044" s="34">
        <v>46694</v>
      </c>
      <c r="C2044" s="7" t="s">
        <v>117</v>
      </c>
      <c r="D2044" s="35">
        <v>27</v>
      </c>
      <c r="E2044" s="33">
        <f>DAY(TableAopCalendar[[#This Row],[Date]])</f>
        <v>3</v>
      </c>
      <c r="F204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44" s="33" t="str">
        <f t="shared" si="112"/>
        <v>Week 1</v>
      </c>
      <c r="H2044" s="33" t="str">
        <f t="shared" si="113"/>
        <v>November 27 Week 1</v>
      </c>
      <c r="I2044" s="33" t="str">
        <f>CONCATENATE(UPPER(TableAopCalendar[[#This Row],[Month]])," ",TableAopCalendar[[#This Row],[Year]])</f>
        <v>NOVEMBER 27</v>
      </c>
      <c r="J2044" s="8" t="s">
        <v>274</v>
      </c>
      <c r="K2044" s="33" t="str">
        <f>CONCATENATE(TableAopCalendar[[#This Row],[Month for Plan]]," ",TableAopCalendar[[#This Row],[Plan]])</f>
        <v>NOVEMBER 27 PLANNED</v>
      </c>
    </row>
    <row r="2045" spans="1:11" x14ac:dyDescent="0.25">
      <c r="A2045" s="33">
        <f t="shared" si="111"/>
        <v>4</v>
      </c>
      <c r="B2045" s="34">
        <v>46695</v>
      </c>
      <c r="C2045" s="7" t="s">
        <v>117</v>
      </c>
      <c r="D2045" s="35">
        <v>27</v>
      </c>
      <c r="E2045" s="33">
        <f>DAY(TableAopCalendar[[#This Row],[Date]])</f>
        <v>4</v>
      </c>
      <c r="F204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45" s="33" t="str">
        <f t="shared" si="112"/>
        <v>Week 1</v>
      </c>
      <c r="H2045" s="33" t="str">
        <f t="shared" si="113"/>
        <v>November 27 Week 1</v>
      </c>
      <c r="I2045" s="33" t="str">
        <f>CONCATENATE(UPPER(TableAopCalendar[[#This Row],[Month]])," ",TableAopCalendar[[#This Row],[Year]])</f>
        <v>NOVEMBER 27</v>
      </c>
      <c r="J2045" s="8" t="s">
        <v>274</v>
      </c>
      <c r="K2045" s="33" t="str">
        <f>CONCATENATE(TableAopCalendar[[#This Row],[Month for Plan]]," ",TableAopCalendar[[#This Row],[Plan]])</f>
        <v>NOVEMBER 27 PLANNED</v>
      </c>
    </row>
    <row r="2046" spans="1:11" x14ac:dyDescent="0.25">
      <c r="A2046" s="33">
        <f t="shared" si="111"/>
        <v>5</v>
      </c>
      <c r="B2046" s="34">
        <v>46696</v>
      </c>
      <c r="C2046" s="7" t="s">
        <v>117</v>
      </c>
      <c r="D2046" s="35">
        <v>27</v>
      </c>
      <c r="E2046" s="33">
        <f>DAY(TableAopCalendar[[#This Row],[Date]])</f>
        <v>5</v>
      </c>
      <c r="F204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46" s="33" t="str">
        <f t="shared" si="112"/>
        <v>Week 1</v>
      </c>
      <c r="H2046" s="33" t="str">
        <f t="shared" si="113"/>
        <v>November 27 Week 1</v>
      </c>
      <c r="I2046" s="33" t="str">
        <f>CONCATENATE(UPPER(TableAopCalendar[[#This Row],[Month]])," ",TableAopCalendar[[#This Row],[Year]])</f>
        <v>NOVEMBER 27</v>
      </c>
      <c r="J2046" s="8" t="s">
        <v>274</v>
      </c>
      <c r="K2046" s="33" t="str">
        <f>CONCATENATE(TableAopCalendar[[#This Row],[Month for Plan]]," ",TableAopCalendar[[#This Row],[Plan]])</f>
        <v>NOVEMBER 27 PLANNED</v>
      </c>
    </row>
    <row r="2047" spans="1:11" x14ac:dyDescent="0.25">
      <c r="A2047" s="33">
        <f t="shared" si="111"/>
        <v>6</v>
      </c>
      <c r="B2047" s="34">
        <v>46697</v>
      </c>
      <c r="C2047" s="7" t="s">
        <v>117</v>
      </c>
      <c r="D2047" s="35">
        <v>27</v>
      </c>
      <c r="E2047" s="33">
        <f>DAY(TableAopCalendar[[#This Row],[Date]])</f>
        <v>6</v>
      </c>
      <c r="F204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47" s="33" t="str">
        <f t="shared" si="112"/>
        <v>Week 1</v>
      </c>
      <c r="H2047" s="33" t="str">
        <f t="shared" si="113"/>
        <v>November 27 Week 1</v>
      </c>
      <c r="I2047" s="33" t="str">
        <f>CONCATENATE(UPPER(TableAopCalendar[[#This Row],[Month]])," ",TableAopCalendar[[#This Row],[Year]])</f>
        <v>NOVEMBER 27</v>
      </c>
      <c r="J2047" s="8" t="s">
        <v>274</v>
      </c>
      <c r="K2047" s="33" t="str">
        <f>CONCATENATE(TableAopCalendar[[#This Row],[Month for Plan]]," ",TableAopCalendar[[#This Row],[Plan]])</f>
        <v>NOVEMBER 27 PLANNED</v>
      </c>
    </row>
    <row r="2048" spans="1:11" x14ac:dyDescent="0.25">
      <c r="A2048" s="33">
        <f t="shared" si="111"/>
        <v>7</v>
      </c>
      <c r="B2048" s="34">
        <v>46698</v>
      </c>
      <c r="C2048" s="7" t="s">
        <v>117</v>
      </c>
      <c r="D2048" s="35">
        <v>27</v>
      </c>
      <c r="E2048" s="33">
        <f>DAY(TableAopCalendar[[#This Row],[Date]])</f>
        <v>7</v>
      </c>
      <c r="F204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48" s="33" t="str">
        <f t="shared" si="112"/>
        <v>Week 1</v>
      </c>
      <c r="H2048" s="33" t="str">
        <f t="shared" si="113"/>
        <v>November 27 Week 1</v>
      </c>
      <c r="I2048" s="33" t="str">
        <f>CONCATENATE(UPPER(TableAopCalendar[[#This Row],[Month]])," ",TableAopCalendar[[#This Row],[Year]])</f>
        <v>NOVEMBER 27</v>
      </c>
      <c r="J2048" s="8" t="s">
        <v>274</v>
      </c>
      <c r="K2048" s="33" t="str">
        <f>CONCATENATE(TableAopCalendar[[#This Row],[Month for Plan]]," ",TableAopCalendar[[#This Row],[Plan]])</f>
        <v>NOVEMBER 27 PLANNED</v>
      </c>
    </row>
    <row r="2049" spans="1:11" x14ac:dyDescent="0.25">
      <c r="A2049" s="33">
        <f t="shared" si="111"/>
        <v>1</v>
      </c>
      <c r="B2049" s="34">
        <v>46699</v>
      </c>
      <c r="C2049" s="7" t="s">
        <v>117</v>
      </c>
      <c r="D2049" s="35">
        <v>27</v>
      </c>
      <c r="E2049" s="33">
        <f>DAY(TableAopCalendar[[#This Row],[Date]])</f>
        <v>8</v>
      </c>
      <c r="F204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49" s="33" t="str">
        <f t="shared" si="112"/>
        <v>Week 2</v>
      </c>
      <c r="H2049" s="33" t="str">
        <f t="shared" si="113"/>
        <v>November 27 Week 2</v>
      </c>
      <c r="I2049" s="33" t="str">
        <f>CONCATENATE(UPPER(TableAopCalendar[[#This Row],[Month]])," ",TableAopCalendar[[#This Row],[Year]])</f>
        <v>NOVEMBER 27</v>
      </c>
      <c r="J2049" s="8" t="s">
        <v>274</v>
      </c>
      <c r="K2049" s="33" t="str">
        <f>CONCATENATE(TableAopCalendar[[#This Row],[Month for Plan]]," ",TableAopCalendar[[#This Row],[Plan]])</f>
        <v>NOVEMBER 27 PLANNED</v>
      </c>
    </row>
    <row r="2050" spans="1:11" x14ac:dyDescent="0.25">
      <c r="A2050" s="33">
        <f t="shared" si="111"/>
        <v>2</v>
      </c>
      <c r="B2050" s="34">
        <v>46700</v>
      </c>
      <c r="C2050" s="7" t="s">
        <v>117</v>
      </c>
      <c r="D2050" s="35">
        <v>27</v>
      </c>
      <c r="E2050" s="33">
        <f>DAY(TableAopCalendar[[#This Row],[Date]])</f>
        <v>9</v>
      </c>
      <c r="F205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50" s="33" t="str">
        <f t="shared" si="112"/>
        <v>Week 2</v>
      </c>
      <c r="H2050" s="33" t="str">
        <f t="shared" si="113"/>
        <v>November 27 Week 2</v>
      </c>
      <c r="I2050" s="33" t="str">
        <f>CONCATENATE(UPPER(TableAopCalendar[[#This Row],[Month]])," ",TableAopCalendar[[#This Row],[Year]])</f>
        <v>NOVEMBER 27</v>
      </c>
      <c r="J2050" s="8" t="s">
        <v>274</v>
      </c>
      <c r="K2050" s="33" t="str">
        <f>CONCATENATE(TableAopCalendar[[#This Row],[Month for Plan]]," ",TableAopCalendar[[#This Row],[Plan]])</f>
        <v>NOVEMBER 27 PLANNED</v>
      </c>
    </row>
    <row r="2051" spans="1:11" x14ac:dyDescent="0.25">
      <c r="A2051" s="33">
        <f t="shared" si="111"/>
        <v>3</v>
      </c>
      <c r="B2051" s="34">
        <v>46701</v>
      </c>
      <c r="C2051" s="7" t="s">
        <v>117</v>
      </c>
      <c r="D2051" s="35">
        <v>27</v>
      </c>
      <c r="E2051" s="33">
        <f>DAY(TableAopCalendar[[#This Row],[Date]])</f>
        <v>10</v>
      </c>
      <c r="F205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51" s="33" t="str">
        <f t="shared" si="112"/>
        <v>Week 2</v>
      </c>
      <c r="H2051" s="33" t="str">
        <f t="shared" si="113"/>
        <v>November 27 Week 2</v>
      </c>
      <c r="I2051" s="33" t="str">
        <f>CONCATENATE(UPPER(TableAopCalendar[[#This Row],[Month]])," ",TableAopCalendar[[#This Row],[Year]])</f>
        <v>NOVEMBER 27</v>
      </c>
      <c r="J2051" s="8" t="s">
        <v>274</v>
      </c>
      <c r="K2051" s="33" t="str">
        <f>CONCATENATE(TableAopCalendar[[#This Row],[Month for Plan]]," ",TableAopCalendar[[#This Row],[Plan]])</f>
        <v>NOVEMBER 27 PLANNED</v>
      </c>
    </row>
    <row r="2052" spans="1:11" x14ac:dyDescent="0.25">
      <c r="A2052" s="33">
        <f t="shared" si="111"/>
        <v>4</v>
      </c>
      <c r="B2052" s="34">
        <v>46702</v>
      </c>
      <c r="C2052" s="7" t="s">
        <v>117</v>
      </c>
      <c r="D2052" s="35">
        <v>27</v>
      </c>
      <c r="E2052" s="33">
        <f>DAY(TableAopCalendar[[#This Row],[Date]])</f>
        <v>11</v>
      </c>
      <c r="F205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52" s="33" t="str">
        <f t="shared" si="112"/>
        <v>Week 2</v>
      </c>
      <c r="H2052" s="33" t="str">
        <f t="shared" si="113"/>
        <v>November 27 Week 2</v>
      </c>
      <c r="I2052" s="33" t="str">
        <f>CONCATENATE(UPPER(TableAopCalendar[[#This Row],[Month]])," ",TableAopCalendar[[#This Row],[Year]])</f>
        <v>NOVEMBER 27</v>
      </c>
      <c r="J2052" s="8" t="s">
        <v>274</v>
      </c>
      <c r="K2052" s="33" t="str">
        <f>CONCATENATE(TableAopCalendar[[#This Row],[Month for Plan]]," ",TableAopCalendar[[#This Row],[Plan]])</f>
        <v>NOVEMBER 27 PLANNED</v>
      </c>
    </row>
    <row r="2053" spans="1:11" x14ac:dyDescent="0.25">
      <c r="A2053" s="33">
        <f t="shared" si="111"/>
        <v>5</v>
      </c>
      <c r="B2053" s="34">
        <v>46703</v>
      </c>
      <c r="C2053" s="7" t="s">
        <v>117</v>
      </c>
      <c r="D2053" s="35">
        <v>27</v>
      </c>
      <c r="E2053" s="33">
        <f>DAY(TableAopCalendar[[#This Row],[Date]])</f>
        <v>12</v>
      </c>
      <c r="F205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53" s="33" t="str">
        <f t="shared" si="112"/>
        <v>Week 2</v>
      </c>
      <c r="H2053" s="33" t="str">
        <f t="shared" si="113"/>
        <v>November 27 Week 2</v>
      </c>
      <c r="I2053" s="33" t="str">
        <f>CONCATENATE(UPPER(TableAopCalendar[[#This Row],[Month]])," ",TableAopCalendar[[#This Row],[Year]])</f>
        <v>NOVEMBER 27</v>
      </c>
      <c r="J2053" s="8" t="s">
        <v>274</v>
      </c>
      <c r="K2053" s="33" t="str">
        <f>CONCATENATE(TableAopCalendar[[#This Row],[Month for Plan]]," ",TableAopCalendar[[#This Row],[Plan]])</f>
        <v>NOVEMBER 27 PLANNED</v>
      </c>
    </row>
    <row r="2054" spans="1:11" x14ac:dyDescent="0.25">
      <c r="A2054" s="33">
        <f t="shared" si="111"/>
        <v>6</v>
      </c>
      <c r="B2054" s="34">
        <v>46704</v>
      </c>
      <c r="C2054" s="7" t="s">
        <v>117</v>
      </c>
      <c r="D2054" s="35">
        <v>27</v>
      </c>
      <c r="E2054" s="33">
        <f>DAY(TableAopCalendar[[#This Row],[Date]])</f>
        <v>13</v>
      </c>
      <c r="F205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54" s="33" t="str">
        <f t="shared" si="112"/>
        <v>Week 2</v>
      </c>
      <c r="H2054" s="33" t="str">
        <f t="shared" si="113"/>
        <v>November 27 Week 2</v>
      </c>
      <c r="I2054" s="33" t="str">
        <f>CONCATENATE(UPPER(TableAopCalendar[[#This Row],[Month]])," ",TableAopCalendar[[#This Row],[Year]])</f>
        <v>NOVEMBER 27</v>
      </c>
      <c r="J2054" s="8" t="s">
        <v>274</v>
      </c>
      <c r="K2054" s="33" t="str">
        <f>CONCATENATE(TableAopCalendar[[#This Row],[Month for Plan]]," ",TableAopCalendar[[#This Row],[Plan]])</f>
        <v>NOVEMBER 27 PLANNED</v>
      </c>
    </row>
    <row r="2055" spans="1:11" x14ac:dyDescent="0.25">
      <c r="A2055" s="33">
        <f t="shared" si="111"/>
        <v>7</v>
      </c>
      <c r="B2055" s="34">
        <v>46705</v>
      </c>
      <c r="C2055" s="7" t="s">
        <v>117</v>
      </c>
      <c r="D2055" s="35">
        <v>27</v>
      </c>
      <c r="E2055" s="33">
        <f>DAY(TableAopCalendar[[#This Row],[Date]])</f>
        <v>14</v>
      </c>
      <c r="F205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55" s="33" t="str">
        <f t="shared" si="112"/>
        <v>Week 2</v>
      </c>
      <c r="H2055" s="33" t="str">
        <f t="shared" si="113"/>
        <v>November 27 Week 2</v>
      </c>
      <c r="I2055" s="33" t="str">
        <f>CONCATENATE(UPPER(TableAopCalendar[[#This Row],[Month]])," ",TableAopCalendar[[#This Row],[Year]])</f>
        <v>NOVEMBER 27</v>
      </c>
      <c r="J2055" s="8" t="s">
        <v>274</v>
      </c>
      <c r="K2055" s="33" t="str">
        <f>CONCATENATE(TableAopCalendar[[#This Row],[Month for Plan]]," ",TableAopCalendar[[#This Row],[Plan]])</f>
        <v>NOVEMBER 27 PLANNED</v>
      </c>
    </row>
    <row r="2056" spans="1:11" x14ac:dyDescent="0.25">
      <c r="A2056" s="33">
        <f t="shared" si="111"/>
        <v>1</v>
      </c>
      <c r="B2056" s="34">
        <v>46706</v>
      </c>
      <c r="C2056" s="7" t="s">
        <v>117</v>
      </c>
      <c r="D2056" s="35">
        <v>27</v>
      </c>
      <c r="E2056" s="33">
        <f>DAY(TableAopCalendar[[#This Row],[Date]])</f>
        <v>15</v>
      </c>
      <c r="F205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56" s="33" t="str">
        <f t="shared" si="112"/>
        <v>Week 3</v>
      </c>
      <c r="H2056" s="33" t="str">
        <f t="shared" si="113"/>
        <v>November 27 Week 3</v>
      </c>
      <c r="I2056" s="33" t="str">
        <f>CONCATENATE(UPPER(TableAopCalendar[[#This Row],[Month]])," ",TableAopCalendar[[#This Row],[Year]])</f>
        <v>NOVEMBER 27</v>
      </c>
      <c r="J2056" s="8" t="s">
        <v>274</v>
      </c>
      <c r="K2056" s="33" t="str">
        <f>CONCATENATE(TableAopCalendar[[#This Row],[Month for Plan]]," ",TableAopCalendar[[#This Row],[Plan]])</f>
        <v>NOVEMBER 27 PLANNED</v>
      </c>
    </row>
    <row r="2057" spans="1:11" x14ac:dyDescent="0.25">
      <c r="A2057" s="33">
        <f t="shared" si="111"/>
        <v>2</v>
      </c>
      <c r="B2057" s="34">
        <v>46707</v>
      </c>
      <c r="C2057" s="7" t="s">
        <v>117</v>
      </c>
      <c r="D2057" s="35">
        <v>27</v>
      </c>
      <c r="E2057" s="33">
        <f>DAY(TableAopCalendar[[#This Row],[Date]])</f>
        <v>16</v>
      </c>
      <c r="F205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57" s="33" t="str">
        <f t="shared" si="112"/>
        <v>Week 3</v>
      </c>
      <c r="H2057" s="33" t="str">
        <f t="shared" si="113"/>
        <v>November 27 Week 3</v>
      </c>
      <c r="I2057" s="33" t="str">
        <f>CONCATENATE(UPPER(TableAopCalendar[[#This Row],[Month]])," ",TableAopCalendar[[#This Row],[Year]])</f>
        <v>NOVEMBER 27</v>
      </c>
      <c r="J2057" s="8" t="s">
        <v>274</v>
      </c>
      <c r="K2057" s="33" t="str">
        <f>CONCATENATE(TableAopCalendar[[#This Row],[Month for Plan]]," ",TableAopCalendar[[#This Row],[Plan]])</f>
        <v>NOVEMBER 27 PLANNED</v>
      </c>
    </row>
    <row r="2058" spans="1:11" x14ac:dyDescent="0.25">
      <c r="A2058" s="33">
        <f t="shared" si="111"/>
        <v>3</v>
      </c>
      <c r="B2058" s="34">
        <v>46708</v>
      </c>
      <c r="C2058" s="7" t="s">
        <v>117</v>
      </c>
      <c r="D2058" s="35">
        <v>27</v>
      </c>
      <c r="E2058" s="33">
        <f>DAY(TableAopCalendar[[#This Row],[Date]])</f>
        <v>17</v>
      </c>
      <c r="F205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58" s="33" t="str">
        <f t="shared" si="112"/>
        <v>Week 3</v>
      </c>
      <c r="H2058" s="33" t="str">
        <f t="shared" si="113"/>
        <v>November 27 Week 3</v>
      </c>
      <c r="I2058" s="33" t="str">
        <f>CONCATENATE(UPPER(TableAopCalendar[[#This Row],[Month]])," ",TableAopCalendar[[#This Row],[Year]])</f>
        <v>NOVEMBER 27</v>
      </c>
      <c r="J2058" s="8" t="s">
        <v>274</v>
      </c>
      <c r="K2058" s="33" t="str">
        <f>CONCATENATE(TableAopCalendar[[#This Row],[Month for Plan]]," ",TableAopCalendar[[#This Row],[Plan]])</f>
        <v>NOVEMBER 27 PLANNED</v>
      </c>
    </row>
    <row r="2059" spans="1:11" x14ac:dyDescent="0.25">
      <c r="A2059" s="33">
        <f t="shared" si="111"/>
        <v>4</v>
      </c>
      <c r="B2059" s="34">
        <v>46709</v>
      </c>
      <c r="C2059" s="7" t="s">
        <v>117</v>
      </c>
      <c r="D2059" s="35">
        <v>27</v>
      </c>
      <c r="E2059" s="33">
        <f>DAY(TableAopCalendar[[#This Row],[Date]])</f>
        <v>18</v>
      </c>
      <c r="F205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59" s="33" t="str">
        <f t="shared" si="112"/>
        <v>Week 3</v>
      </c>
      <c r="H2059" s="33" t="str">
        <f t="shared" si="113"/>
        <v>November 27 Week 3</v>
      </c>
      <c r="I2059" s="33" t="str">
        <f>CONCATENATE(UPPER(TableAopCalendar[[#This Row],[Month]])," ",TableAopCalendar[[#This Row],[Year]])</f>
        <v>NOVEMBER 27</v>
      </c>
      <c r="J2059" s="8" t="s">
        <v>274</v>
      </c>
      <c r="K2059" s="33" t="str">
        <f>CONCATENATE(TableAopCalendar[[#This Row],[Month for Plan]]," ",TableAopCalendar[[#This Row],[Plan]])</f>
        <v>NOVEMBER 27 PLANNED</v>
      </c>
    </row>
    <row r="2060" spans="1:11" x14ac:dyDescent="0.25">
      <c r="A2060" s="33">
        <f t="shared" si="111"/>
        <v>5</v>
      </c>
      <c r="B2060" s="34">
        <v>46710</v>
      </c>
      <c r="C2060" s="7" t="s">
        <v>117</v>
      </c>
      <c r="D2060" s="35">
        <v>27</v>
      </c>
      <c r="E2060" s="33">
        <f>DAY(TableAopCalendar[[#This Row],[Date]])</f>
        <v>19</v>
      </c>
      <c r="F206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60" s="33" t="str">
        <f t="shared" si="112"/>
        <v>Week 3</v>
      </c>
      <c r="H2060" s="33" t="str">
        <f t="shared" si="113"/>
        <v>November 27 Week 3</v>
      </c>
      <c r="I2060" s="33" t="str">
        <f>CONCATENATE(UPPER(TableAopCalendar[[#This Row],[Month]])," ",TableAopCalendar[[#This Row],[Year]])</f>
        <v>NOVEMBER 27</v>
      </c>
      <c r="J2060" s="8" t="s">
        <v>274</v>
      </c>
      <c r="K2060" s="33" t="str">
        <f>CONCATENATE(TableAopCalendar[[#This Row],[Month for Plan]]," ",TableAopCalendar[[#This Row],[Plan]])</f>
        <v>NOVEMBER 27 PLANNED</v>
      </c>
    </row>
    <row r="2061" spans="1:11" x14ac:dyDescent="0.25">
      <c r="A2061" s="33">
        <f t="shared" si="111"/>
        <v>6</v>
      </c>
      <c r="B2061" s="34">
        <v>46711</v>
      </c>
      <c r="C2061" s="7" t="s">
        <v>117</v>
      </c>
      <c r="D2061" s="35">
        <v>27</v>
      </c>
      <c r="E2061" s="33">
        <f>DAY(TableAopCalendar[[#This Row],[Date]])</f>
        <v>20</v>
      </c>
      <c r="F206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61" s="33" t="str">
        <f t="shared" si="112"/>
        <v>Week 3</v>
      </c>
      <c r="H2061" s="33" t="str">
        <f t="shared" si="113"/>
        <v>November 27 Week 3</v>
      </c>
      <c r="I2061" s="33" t="str">
        <f>CONCATENATE(UPPER(TableAopCalendar[[#This Row],[Month]])," ",TableAopCalendar[[#This Row],[Year]])</f>
        <v>NOVEMBER 27</v>
      </c>
      <c r="J2061" s="8" t="s">
        <v>274</v>
      </c>
      <c r="K2061" s="33" t="str">
        <f>CONCATENATE(TableAopCalendar[[#This Row],[Month for Plan]]," ",TableAopCalendar[[#This Row],[Plan]])</f>
        <v>NOVEMBER 27 PLANNED</v>
      </c>
    </row>
    <row r="2062" spans="1:11" x14ac:dyDescent="0.25">
      <c r="A2062" s="33">
        <f t="shared" si="111"/>
        <v>7</v>
      </c>
      <c r="B2062" s="34">
        <v>46712</v>
      </c>
      <c r="C2062" s="7" t="s">
        <v>117</v>
      </c>
      <c r="D2062" s="35">
        <v>27</v>
      </c>
      <c r="E2062" s="33">
        <f>DAY(TableAopCalendar[[#This Row],[Date]])</f>
        <v>21</v>
      </c>
      <c r="F206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62" s="33" t="str">
        <f t="shared" si="112"/>
        <v>Week 3</v>
      </c>
      <c r="H2062" s="33" t="str">
        <f t="shared" si="113"/>
        <v>November 27 Week 3</v>
      </c>
      <c r="I2062" s="33" t="str">
        <f>CONCATENATE(UPPER(TableAopCalendar[[#This Row],[Month]])," ",TableAopCalendar[[#This Row],[Year]])</f>
        <v>NOVEMBER 27</v>
      </c>
      <c r="J2062" s="8" t="s">
        <v>274</v>
      </c>
      <c r="K2062" s="33" t="str">
        <f>CONCATENATE(TableAopCalendar[[#This Row],[Month for Plan]]," ",TableAopCalendar[[#This Row],[Plan]])</f>
        <v>NOVEMBER 27 PLANNED</v>
      </c>
    </row>
    <row r="2063" spans="1:11" x14ac:dyDescent="0.25">
      <c r="A2063" s="33">
        <f t="shared" si="111"/>
        <v>1</v>
      </c>
      <c r="B2063" s="34">
        <v>46713</v>
      </c>
      <c r="C2063" s="7" t="s">
        <v>117</v>
      </c>
      <c r="D2063" s="35">
        <v>27</v>
      </c>
      <c r="E2063" s="33">
        <f>DAY(TableAopCalendar[[#This Row],[Date]])</f>
        <v>22</v>
      </c>
      <c r="F206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3" s="33" t="str">
        <f t="shared" si="112"/>
        <v>Week 4</v>
      </c>
      <c r="H2063" s="33" t="str">
        <f t="shared" si="113"/>
        <v>November 27 Week 4</v>
      </c>
      <c r="I2063" s="33" t="str">
        <f>CONCATENATE(UPPER(TableAopCalendar[[#This Row],[Month]])," ",TableAopCalendar[[#This Row],[Year]])</f>
        <v>NOVEMBER 27</v>
      </c>
      <c r="J2063" s="8" t="s">
        <v>274</v>
      </c>
      <c r="K2063" s="33" t="str">
        <f>CONCATENATE(TableAopCalendar[[#This Row],[Month for Plan]]," ",TableAopCalendar[[#This Row],[Plan]])</f>
        <v>NOVEMBER 27 PLANNED</v>
      </c>
    </row>
    <row r="2064" spans="1:11" x14ac:dyDescent="0.25">
      <c r="A2064" s="33">
        <f t="shared" si="111"/>
        <v>2</v>
      </c>
      <c r="B2064" s="34">
        <v>46714</v>
      </c>
      <c r="C2064" s="7" t="s">
        <v>117</v>
      </c>
      <c r="D2064" s="35">
        <v>27</v>
      </c>
      <c r="E2064" s="33">
        <f>DAY(TableAopCalendar[[#This Row],[Date]])</f>
        <v>23</v>
      </c>
      <c r="F206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4" s="33" t="str">
        <f t="shared" si="112"/>
        <v>Week 4</v>
      </c>
      <c r="H2064" s="33" t="str">
        <f t="shared" si="113"/>
        <v>November 27 Week 4</v>
      </c>
      <c r="I2064" s="33" t="str">
        <f>CONCATENATE(UPPER(TableAopCalendar[[#This Row],[Month]])," ",TableAopCalendar[[#This Row],[Year]])</f>
        <v>NOVEMBER 27</v>
      </c>
      <c r="J2064" s="8" t="s">
        <v>274</v>
      </c>
      <c r="K2064" s="33" t="str">
        <f>CONCATENATE(TableAopCalendar[[#This Row],[Month for Plan]]," ",TableAopCalendar[[#This Row],[Plan]])</f>
        <v>NOVEMBER 27 PLANNED</v>
      </c>
    </row>
    <row r="2065" spans="1:11" x14ac:dyDescent="0.25">
      <c r="A2065" s="33">
        <f t="shared" si="111"/>
        <v>3</v>
      </c>
      <c r="B2065" s="34">
        <v>46715</v>
      </c>
      <c r="C2065" s="7" t="s">
        <v>117</v>
      </c>
      <c r="D2065" s="35">
        <v>27</v>
      </c>
      <c r="E2065" s="33">
        <f>DAY(TableAopCalendar[[#This Row],[Date]])</f>
        <v>24</v>
      </c>
      <c r="F206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5" s="33" t="str">
        <f t="shared" si="112"/>
        <v>Week 4</v>
      </c>
      <c r="H2065" s="33" t="str">
        <f t="shared" si="113"/>
        <v>November 27 Week 4</v>
      </c>
      <c r="I2065" s="33" t="str">
        <f>CONCATENATE(UPPER(TableAopCalendar[[#This Row],[Month]])," ",TableAopCalendar[[#This Row],[Year]])</f>
        <v>NOVEMBER 27</v>
      </c>
      <c r="J2065" s="8" t="s">
        <v>274</v>
      </c>
      <c r="K2065" s="33" t="str">
        <f>CONCATENATE(TableAopCalendar[[#This Row],[Month for Plan]]," ",TableAopCalendar[[#This Row],[Plan]])</f>
        <v>NOVEMBER 27 PLANNED</v>
      </c>
    </row>
    <row r="2066" spans="1:11" x14ac:dyDescent="0.25">
      <c r="A2066" s="33">
        <f t="shared" si="111"/>
        <v>4</v>
      </c>
      <c r="B2066" s="34">
        <v>46716</v>
      </c>
      <c r="C2066" s="7" t="s">
        <v>117</v>
      </c>
      <c r="D2066" s="35">
        <v>27</v>
      </c>
      <c r="E2066" s="33">
        <f>DAY(TableAopCalendar[[#This Row],[Date]])</f>
        <v>25</v>
      </c>
      <c r="F206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6" s="33" t="str">
        <f t="shared" si="112"/>
        <v>Week 4</v>
      </c>
      <c r="H2066" s="33" t="str">
        <f t="shared" si="113"/>
        <v>November 27 Week 4</v>
      </c>
      <c r="I2066" s="33" t="str">
        <f>CONCATENATE(UPPER(TableAopCalendar[[#This Row],[Month]])," ",TableAopCalendar[[#This Row],[Year]])</f>
        <v>NOVEMBER 27</v>
      </c>
      <c r="J2066" s="8" t="s">
        <v>274</v>
      </c>
      <c r="K2066" s="33" t="str">
        <f>CONCATENATE(TableAopCalendar[[#This Row],[Month for Plan]]," ",TableAopCalendar[[#This Row],[Plan]])</f>
        <v>NOVEMBER 27 PLANNED</v>
      </c>
    </row>
    <row r="2067" spans="1:11" x14ac:dyDescent="0.25">
      <c r="A2067" s="33">
        <f t="shared" si="111"/>
        <v>5</v>
      </c>
      <c r="B2067" s="34">
        <v>46717</v>
      </c>
      <c r="C2067" s="7" t="s">
        <v>117</v>
      </c>
      <c r="D2067" s="35">
        <v>27</v>
      </c>
      <c r="E2067" s="33">
        <f>DAY(TableAopCalendar[[#This Row],[Date]])</f>
        <v>26</v>
      </c>
      <c r="F206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7" s="33" t="str">
        <f t="shared" si="112"/>
        <v>Week 4</v>
      </c>
      <c r="H2067" s="33" t="str">
        <f t="shared" si="113"/>
        <v>November 27 Week 4</v>
      </c>
      <c r="I2067" s="33" t="str">
        <f>CONCATENATE(UPPER(TableAopCalendar[[#This Row],[Month]])," ",TableAopCalendar[[#This Row],[Year]])</f>
        <v>NOVEMBER 27</v>
      </c>
      <c r="J2067" s="8" t="s">
        <v>274</v>
      </c>
      <c r="K2067" s="33" t="str">
        <f>CONCATENATE(TableAopCalendar[[#This Row],[Month for Plan]]," ",TableAopCalendar[[#This Row],[Plan]])</f>
        <v>NOVEMBER 27 PLANNED</v>
      </c>
    </row>
    <row r="2068" spans="1:11" x14ac:dyDescent="0.25">
      <c r="A2068" s="33">
        <f t="shared" si="111"/>
        <v>6</v>
      </c>
      <c r="B2068" s="34">
        <v>46718</v>
      </c>
      <c r="C2068" s="7" t="s">
        <v>117</v>
      </c>
      <c r="D2068" s="35">
        <v>27</v>
      </c>
      <c r="E2068" s="33">
        <f>DAY(TableAopCalendar[[#This Row],[Date]])</f>
        <v>27</v>
      </c>
      <c r="F206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8" s="33" t="str">
        <f t="shared" si="112"/>
        <v>Week 4</v>
      </c>
      <c r="H2068" s="33" t="str">
        <f t="shared" si="113"/>
        <v>November 27 Week 4</v>
      </c>
      <c r="I2068" s="33" t="str">
        <f>CONCATENATE(UPPER(TableAopCalendar[[#This Row],[Month]])," ",TableAopCalendar[[#This Row],[Year]])</f>
        <v>NOVEMBER 27</v>
      </c>
      <c r="J2068" s="8" t="s">
        <v>274</v>
      </c>
      <c r="K2068" s="33" t="str">
        <f>CONCATENATE(TableAopCalendar[[#This Row],[Month for Plan]]," ",TableAopCalendar[[#This Row],[Plan]])</f>
        <v>NOVEMBER 27 PLANNED</v>
      </c>
    </row>
    <row r="2069" spans="1:11" x14ac:dyDescent="0.25">
      <c r="A2069" s="33">
        <f t="shared" si="111"/>
        <v>7</v>
      </c>
      <c r="B2069" s="34">
        <v>46719</v>
      </c>
      <c r="C2069" s="7" t="s">
        <v>117</v>
      </c>
      <c r="D2069" s="35">
        <v>27</v>
      </c>
      <c r="E2069" s="33">
        <f>DAY(TableAopCalendar[[#This Row],[Date]])</f>
        <v>28</v>
      </c>
      <c r="F206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69" s="33" t="str">
        <f t="shared" si="112"/>
        <v>Week 4</v>
      </c>
      <c r="H2069" s="33" t="str">
        <f t="shared" si="113"/>
        <v>November 27 Week 4</v>
      </c>
      <c r="I2069" s="33" t="str">
        <f>CONCATENATE(UPPER(TableAopCalendar[[#This Row],[Month]])," ",TableAopCalendar[[#This Row],[Year]])</f>
        <v>NOVEMBER 27</v>
      </c>
      <c r="J2069" s="8" t="s">
        <v>274</v>
      </c>
      <c r="K2069" s="33" t="str">
        <f>CONCATENATE(TableAopCalendar[[#This Row],[Month for Plan]]," ",TableAopCalendar[[#This Row],[Plan]])</f>
        <v>NOVEMBER 27 PLANNED</v>
      </c>
    </row>
    <row r="2070" spans="1:11" x14ac:dyDescent="0.25">
      <c r="A2070" s="33">
        <f t="shared" si="111"/>
        <v>1</v>
      </c>
      <c r="B2070" s="34">
        <v>46720</v>
      </c>
      <c r="C2070" s="7" t="s">
        <v>117</v>
      </c>
      <c r="D2070" s="35">
        <v>27</v>
      </c>
      <c r="E2070" s="33">
        <f>DAY(TableAopCalendar[[#This Row],[Date]])</f>
        <v>29</v>
      </c>
      <c r="F2070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070" s="33" t="str">
        <f t="shared" si="112"/>
        <v>Week 5</v>
      </c>
      <c r="H2070" s="33" t="str">
        <f t="shared" si="113"/>
        <v>November 27 Week 5</v>
      </c>
      <c r="I2070" s="33" t="str">
        <f>CONCATENATE(UPPER(TableAopCalendar[[#This Row],[Month]])," ",TableAopCalendar[[#This Row],[Year]])</f>
        <v>NOVEMBER 27</v>
      </c>
      <c r="J2070" s="8" t="s">
        <v>274</v>
      </c>
      <c r="K2070" s="33" t="str">
        <f>CONCATENATE(TableAopCalendar[[#This Row],[Month for Plan]]," ",TableAopCalendar[[#This Row],[Plan]])</f>
        <v>NOVEMBER 27 PLANNED</v>
      </c>
    </row>
    <row r="2071" spans="1:11" x14ac:dyDescent="0.25">
      <c r="A2071" s="33">
        <f t="shared" si="111"/>
        <v>2</v>
      </c>
      <c r="B2071" s="34">
        <v>46721</v>
      </c>
      <c r="C2071" s="7" t="s">
        <v>117</v>
      </c>
      <c r="D2071" s="35">
        <v>27</v>
      </c>
      <c r="E2071" s="33">
        <f>DAY(TableAopCalendar[[#This Row],[Date]])</f>
        <v>30</v>
      </c>
      <c r="F207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071" s="33" t="str">
        <f t="shared" si="112"/>
        <v>Week 5</v>
      </c>
      <c r="H2071" s="33" t="str">
        <f t="shared" si="113"/>
        <v>November 27 Week 5</v>
      </c>
      <c r="I2071" s="33" t="str">
        <f>CONCATENATE(UPPER(TableAopCalendar[[#This Row],[Month]])," ",TableAopCalendar[[#This Row],[Year]])</f>
        <v>NOVEMBER 27</v>
      </c>
      <c r="J2071" s="8" t="s">
        <v>274</v>
      </c>
      <c r="K2071" s="33" t="str">
        <f>CONCATENATE(TableAopCalendar[[#This Row],[Month for Plan]]," ",TableAopCalendar[[#This Row],[Plan]])</f>
        <v>NOVEMBER 27 PLANNED</v>
      </c>
    </row>
    <row r="2072" spans="1:11" x14ac:dyDescent="0.25">
      <c r="A2072" s="33">
        <f t="shared" si="111"/>
        <v>1</v>
      </c>
      <c r="B2072" s="34">
        <v>46722</v>
      </c>
      <c r="C2072" s="7" t="s">
        <v>270</v>
      </c>
      <c r="D2072" s="35">
        <v>27</v>
      </c>
      <c r="E2072" s="33">
        <f>DAY(TableAopCalendar[[#This Row],[Date]])</f>
        <v>1</v>
      </c>
      <c r="F207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72" s="33" t="str">
        <f t="shared" si="112"/>
        <v>Week 1</v>
      </c>
      <c r="H2072" s="33" t="str">
        <f t="shared" si="113"/>
        <v>December 27 Week 1</v>
      </c>
      <c r="I2072" s="33" t="str">
        <f>CONCATENATE(UPPER(TableAopCalendar[[#This Row],[Month]])," ",TableAopCalendar[[#This Row],[Year]])</f>
        <v>DECEMBER 27</v>
      </c>
      <c r="J2072" s="8" t="s">
        <v>274</v>
      </c>
      <c r="K2072" s="33" t="str">
        <f>CONCATENATE(TableAopCalendar[[#This Row],[Month for Plan]]," ",TableAopCalendar[[#This Row],[Plan]])</f>
        <v>DECEMBER 27 PLANNED</v>
      </c>
    </row>
    <row r="2073" spans="1:11" x14ac:dyDescent="0.25">
      <c r="A2073" s="33">
        <f t="shared" si="111"/>
        <v>2</v>
      </c>
      <c r="B2073" s="34">
        <v>46723</v>
      </c>
      <c r="C2073" s="7" t="s">
        <v>270</v>
      </c>
      <c r="D2073" s="35">
        <v>27</v>
      </c>
      <c r="E2073" s="33">
        <f>DAY(TableAopCalendar[[#This Row],[Date]])</f>
        <v>2</v>
      </c>
      <c r="F207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73" s="33" t="str">
        <f t="shared" si="112"/>
        <v>Week 1</v>
      </c>
      <c r="H2073" s="33" t="str">
        <f t="shared" si="113"/>
        <v>December 27 Week 1</v>
      </c>
      <c r="I2073" s="33" t="str">
        <f>CONCATENATE(UPPER(TableAopCalendar[[#This Row],[Month]])," ",TableAopCalendar[[#This Row],[Year]])</f>
        <v>DECEMBER 27</v>
      </c>
      <c r="J2073" s="8" t="s">
        <v>274</v>
      </c>
      <c r="K2073" s="33" t="str">
        <f>CONCATENATE(TableAopCalendar[[#This Row],[Month for Plan]]," ",TableAopCalendar[[#This Row],[Plan]])</f>
        <v>DECEMBER 27 PLANNED</v>
      </c>
    </row>
    <row r="2074" spans="1:11" x14ac:dyDescent="0.25">
      <c r="A2074" s="33">
        <f t="shared" si="111"/>
        <v>3</v>
      </c>
      <c r="B2074" s="34">
        <v>46724</v>
      </c>
      <c r="C2074" s="7" t="s">
        <v>270</v>
      </c>
      <c r="D2074" s="35">
        <v>27</v>
      </c>
      <c r="E2074" s="33">
        <f>DAY(TableAopCalendar[[#This Row],[Date]])</f>
        <v>3</v>
      </c>
      <c r="F207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74" s="33" t="str">
        <f t="shared" si="112"/>
        <v>Week 1</v>
      </c>
      <c r="H2074" s="33" t="str">
        <f t="shared" si="113"/>
        <v>December 27 Week 1</v>
      </c>
      <c r="I2074" s="33" t="str">
        <f>CONCATENATE(UPPER(TableAopCalendar[[#This Row],[Month]])," ",TableAopCalendar[[#This Row],[Year]])</f>
        <v>DECEMBER 27</v>
      </c>
      <c r="J2074" s="8" t="s">
        <v>274</v>
      </c>
      <c r="K2074" s="33" t="str">
        <f>CONCATENATE(TableAopCalendar[[#This Row],[Month for Plan]]," ",TableAopCalendar[[#This Row],[Plan]])</f>
        <v>DECEMBER 27 PLANNED</v>
      </c>
    </row>
    <row r="2075" spans="1:11" x14ac:dyDescent="0.25">
      <c r="A2075" s="33">
        <f t="shared" si="111"/>
        <v>4</v>
      </c>
      <c r="B2075" s="34">
        <v>46725</v>
      </c>
      <c r="C2075" s="7" t="s">
        <v>270</v>
      </c>
      <c r="D2075" s="35">
        <v>27</v>
      </c>
      <c r="E2075" s="33">
        <f>DAY(TableAopCalendar[[#This Row],[Date]])</f>
        <v>4</v>
      </c>
      <c r="F207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75" s="33" t="str">
        <f t="shared" si="112"/>
        <v>Week 1</v>
      </c>
      <c r="H2075" s="33" t="str">
        <f t="shared" si="113"/>
        <v>December 27 Week 1</v>
      </c>
      <c r="I2075" s="33" t="str">
        <f>CONCATENATE(UPPER(TableAopCalendar[[#This Row],[Month]])," ",TableAopCalendar[[#This Row],[Year]])</f>
        <v>DECEMBER 27</v>
      </c>
      <c r="J2075" s="8" t="s">
        <v>274</v>
      </c>
      <c r="K2075" s="33" t="str">
        <f>CONCATENATE(TableAopCalendar[[#This Row],[Month for Plan]]," ",TableAopCalendar[[#This Row],[Plan]])</f>
        <v>DECEMBER 27 PLANNED</v>
      </c>
    </row>
    <row r="2076" spans="1:11" x14ac:dyDescent="0.25">
      <c r="A2076" s="33">
        <f t="shared" si="111"/>
        <v>5</v>
      </c>
      <c r="B2076" s="34">
        <v>46726</v>
      </c>
      <c r="C2076" s="7" t="s">
        <v>270</v>
      </c>
      <c r="D2076" s="35">
        <v>27</v>
      </c>
      <c r="E2076" s="33">
        <f>DAY(TableAopCalendar[[#This Row],[Date]])</f>
        <v>5</v>
      </c>
      <c r="F207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76" s="33" t="str">
        <f t="shared" si="112"/>
        <v>Week 1</v>
      </c>
      <c r="H2076" s="33" t="str">
        <f t="shared" si="113"/>
        <v>December 27 Week 1</v>
      </c>
      <c r="I2076" s="33" t="str">
        <f>CONCATENATE(UPPER(TableAopCalendar[[#This Row],[Month]])," ",TableAopCalendar[[#This Row],[Year]])</f>
        <v>DECEMBER 27</v>
      </c>
      <c r="J2076" s="8" t="s">
        <v>274</v>
      </c>
      <c r="K2076" s="33" t="str">
        <f>CONCATENATE(TableAopCalendar[[#This Row],[Month for Plan]]," ",TableAopCalendar[[#This Row],[Plan]])</f>
        <v>DECEMBER 27 PLANNED</v>
      </c>
    </row>
    <row r="2077" spans="1:11" x14ac:dyDescent="0.25">
      <c r="A2077" s="33">
        <f t="shared" si="111"/>
        <v>6</v>
      </c>
      <c r="B2077" s="34">
        <v>46727</v>
      </c>
      <c r="C2077" s="7" t="s">
        <v>270</v>
      </c>
      <c r="D2077" s="35">
        <v>27</v>
      </c>
      <c r="E2077" s="33">
        <f>DAY(TableAopCalendar[[#This Row],[Date]])</f>
        <v>6</v>
      </c>
      <c r="F207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77" s="33" t="str">
        <f t="shared" si="112"/>
        <v>Week 1</v>
      </c>
      <c r="H2077" s="33" t="str">
        <f t="shared" si="113"/>
        <v>December 27 Week 1</v>
      </c>
      <c r="I2077" s="33" t="str">
        <f>CONCATENATE(UPPER(TableAopCalendar[[#This Row],[Month]])," ",TableAopCalendar[[#This Row],[Year]])</f>
        <v>DECEMBER 27</v>
      </c>
      <c r="J2077" s="8" t="s">
        <v>274</v>
      </c>
      <c r="K2077" s="33" t="str">
        <f>CONCATENATE(TableAopCalendar[[#This Row],[Month for Plan]]," ",TableAopCalendar[[#This Row],[Plan]])</f>
        <v>DECEMBER 27 PLANNED</v>
      </c>
    </row>
    <row r="2078" spans="1:11" x14ac:dyDescent="0.25">
      <c r="A2078" s="33">
        <f t="shared" si="111"/>
        <v>7</v>
      </c>
      <c r="B2078" s="34">
        <v>46728</v>
      </c>
      <c r="C2078" s="7" t="s">
        <v>270</v>
      </c>
      <c r="D2078" s="35">
        <v>27</v>
      </c>
      <c r="E2078" s="33">
        <f>DAY(TableAopCalendar[[#This Row],[Date]])</f>
        <v>7</v>
      </c>
      <c r="F207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078" s="33" t="str">
        <f t="shared" si="112"/>
        <v>Week 1</v>
      </c>
      <c r="H2078" s="33" t="str">
        <f t="shared" si="113"/>
        <v>December 27 Week 1</v>
      </c>
      <c r="I2078" s="33" t="str">
        <f>CONCATENATE(UPPER(TableAopCalendar[[#This Row],[Month]])," ",TableAopCalendar[[#This Row],[Year]])</f>
        <v>DECEMBER 27</v>
      </c>
      <c r="J2078" s="8" t="s">
        <v>274</v>
      </c>
      <c r="K2078" s="33" t="str">
        <f>CONCATENATE(TableAopCalendar[[#This Row],[Month for Plan]]," ",TableAopCalendar[[#This Row],[Plan]])</f>
        <v>DECEMBER 27 PLANNED</v>
      </c>
    </row>
    <row r="2079" spans="1:11" x14ac:dyDescent="0.25">
      <c r="A2079" s="33">
        <f t="shared" si="111"/>
        <v>1</v>
      </c>
      <c r="B2079" s="34">
        <v>46729</v>
      </c>
      <c r="C2079" s="7" t="s">
        <v>270</v>
      </c>
      <c r="D2079" s="35">
        <v>27</v>
      </c>
      <c r="E2079" s="33">
        <f>DAY(TableAopCalendar[[#This Row],[Date]])</f>
        <v>8</v>
      </c>
      <c r="F207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79" s="33" t="str">
        <f t="shared" si="112"/>
        <v>Week 2</v>
      </c>
      <c r="H2079" s="33" t="str">
        <f t="shared" si="113"/>
        <v>December 27 Week 2</v>
      </c>
      <c r="I2079" s="33" t="str">
        <f>CONCATENATE(UPPER(TableAopCalendar[[#This Row],[Month]])," ",TableAopCalendar[[#This Row],[Year]])</f>
        <v>DECEMBER 27</v>
      </c>
      <c r="J2079" s="8" t="s">
        <v>274</v>
      </c>
      <c r="K2079" s="33" t="str">
        <f>CONCATENATE(TableAopCalendar[[#This Row],[Month for Plan]]," ",TableAopCalendar[[#This Row],[Plan]])</f>
        <v>DECEMBER 27 PLANNED</v>
      </c>
    </row>
    <row r="2080" spans="1:11" x14ac:dyDescent="0.25">
      <c r="A2080" s="33">
        <f t="shared" si="111"/>
        <v>2</v>
      </c>
      <c r="B2080" s="34">
        <v>46730</v>
      </c>
      <c r="C2080" s="7" t="s">
        <v>270</v>
      </c>
      <c r="D2080" s="35">
        <v>27</v>
      </c>
      <c r="E2080" s="33">
        <f>DAY(TableAopCalendar[[#This Row],[Date]])</f>
        <v>9</v>
      </c>
      <c r="F208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80" s="33" t="str">
        <f t="shared" si="112"/>
        <v>Week 2</v>
      </c>
      <c r="H2080" s="33" t="str">
        <f t="shared" si="113"/>
        <v>December 27 Week 2</v>
      </c>
      <c r="I2080" s="33" t="str">
        <f>CONCATENATE(UPPER(TableAopCalendar[[#This Row],[Month]])," ",TableAopCalendar[[#This Row],[Year]])</f>
        <v>DECEMBER 27</v>
      </c>
      <c r="J2080" s="8" t="s">
        <v>274</v>
      </c>
      <c r="K2080" s="33" t="str">
        <f>CONCATENATE(TableAopCalendar[[#This Row],[Month for Plan]]," ",TableAopCalendar[[#This Row],[Plan]])</f>
        <v>DECEMBER 27 PLANNED</v>
      </c>
    </row>
    <row r="2081" spans="1:11" x14ac:dyDescent="0.25">
      <c r="A2081" s="33">
        <f t="shared" si="111"/>
        <v>3</v>
      </c>
      <c r="B2081" s="34">
        <v>46731</v>
      </c>
      <c r="C2081" s="7" t="s">
        <v>270</v>
      </c>
      <c r="D2081" s="35">
        <v>27</v>
      </c>
      <c r="E2081" s="33">
        <f>DAY(TableAopCalendar[[#This Row],[Date]])</f>
        <v>10</v>
      </c>
      <c r="F208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81" s="33" t="str">
        <f t="shared" si="112"/>
        <v>Week 2</v>
      </c>
      <c r="H2081" s="33" t="str">
        <f t="shared" si="113"/>
        <v>December 27 Week 2</v>
      </c>
      <c r="I2081" s="33" t="str">
        <f>CONCATENATE(UPPER(TableAopCalendar[[#This Row],[Month]])," ",TableAopCalendar[[#This Row],[Year]])</f>
        <v>DECEMBER 27</v>
      </c>
      <c r="J2081" s="8" t="s">
        <v>274</v>
      </c>
      <c r="K2081" s="33" t="str">
        <f>CONCATENATE(TableAopCalendar[[#This Row],[Month for Plan]]," ",TableAopCalendar[[#This Row],[Plan]])</f>
        <v>DECEMBER 27 PLANNED</v>
      </c>
    </row>
    <row r="2082" spans="1:11" x14ac:dyDescent="0.25">
      <c r="A2082" s="33">
        <f t="shared" si="111"/>
        <v>4</v>
      </c>
      <c r="B2082" s="34">
        <v>46732</v>
      </c>
      <c r="C2082" s="7" t="s">
        <v>270</v>
      </c>
      <c r="D2082" s="35">
        <v>27</v>
      </c>
      <c r="E2082" s="33">
        <f>DAY(TableAopCalendar[[#This Row],[Date]])</f>
        <v>11</v>
      </c>
      <c r="F208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82" s="33" t="str">
        <f t="shared" si="112"/>
        <v>Week 2</v>
      </c>
      <c r="H2082" s="33" t="str">
        <f t="shared" si="113"/>
        <v>December 27 Week 2</v>
      </c>
      <c r="I2082" s="33" t="str">
        <f>CONCATENATE(UPPER(TableAopCalendar[[#This Row],[Month]])," ",TableAopCalendar[[#This Row],[Year]])</f>
        <v>DECEMBER 27</v>
      </c>
      <c r="J2082" s="8" t="s">
        <v>274</v>
      </c>
      <c r="K2082" s="33" t="str">
        <f>CONCATENATE(TableAopCalendar[[#This Row],[Month for Plan]]," ",TableAopCalendar[[#This Row],[Plan]])</f>
        <v>DECEMBER 27 PLANNED</v>
      </c>
    </row>
    <row r="2083" spans="1:11" x14ac:dyDescent="0.25">
      <c r="A2083" s="33">
        <f t="shared" si="111"/>
        <v>5</v>
      </c>
      <c r="B2083" s="34">
        <v>46733</v>
      </c>
      <c r="C2083" s="7" t="s">
        <v>270</v>
      </c>
      <c r="D2083" s="35">
        <v>27</v>
      </c>
      <c r="E2083" s="33">
        <f>DAY(TableAopCalendar[[#This Row],[Date]])</f>
        <v>12</v>
      </c>
      <c r="F208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83" s="33" t="str">
        <f t="shared" si="112"/>
        <v>Week 2</v>
      </c>
      <c r="H2083" s="33" t="str">
        <f t="shared" si="113"/>
        <v>December 27 Week 2</v>
      </c>
      <c r="I2083" s="33" t="str">
        <f>CONCATENATE(UPPER(TableAopCalendar[[#This Row],[Month]])," ",TableAopCalendar[[#This Row],[Year]])</f>
        <v>DECEMBER 27</v>
      </c>
      <c r="J2083" s="8" t="s">
        <v>274</v>
      </c>
      <c r="K2083" s="33" t="str">
        <f>CONCATENATE(TableAopCalendar[[#This Row],[Month for Plan]]," ",TableAopCalendar[[#This Row],[Plan]])</f>
        <v>DECEMBER 27 PLANNED</v>
      </c>
    </row>
    <row r="2084" spans="1:11" x14ac:dyDescent="0.25">
      <c r="A2084" s="33">
        <f t="shared" ref="A2084:A2147" si="114">IF(G2084=G2083,A2083+1,1)</f>
        <v>6</v>
      </c>
      <c r="B2084" s="34">
        <v>46734</v>
      </c>
      <c r="C2084" s="7" t="s">
        <v>270</v>
      </c>
      <c r="D2084" s="35">
        <v>27</v>
      </c>
      <c r="E2084" s="33">
        <f>DAY(TableAopCalendar[[#This Row],[Date]])</f>
        <v>13</v>
      </c>
      <c r="F208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84" s="33" t="str">
        <f t="shared" ref="G2084:G2147" si="115">"Week"&amp;" "&amp;F2084</f>
        <v>Week 2</v>
      </c>
      <c r="H2084" s="33" t="str">
        <f t="shared" ref="H2084:H2147" si="116">CONCATENATE(C2084," ",D2084," ",G2084)</f>
        <v>December 27 Week 2</v>
      </c>
      <c r="I2084" s="33" t="str">
        <f>CONCATENATE(UPPER(TableAopCalendar[[#This Row],[Month]])," ",TableAopCalendar[[#This Row],[Year]])</f>
        <v>DECEMBER 27</v>
      </c>
      <c r="J2084" s="8" t="s">
        <v>274</v>
      </c>
      <c r="K2084" s="33" t="str">
        <f>CONCATENATE(TableAopCalendar[[#This Row],[Month for Plan]]," ",TableAopCalendar[[#This Row],[Plan]])</f>
        <v>DECEMBER 27 PLANNED</v>
      </c>
    </row>
    <row r="2085" spans="1:11" x14ac:dyDescent="0.25">
      <c r="A2085" s="33">
        <f t="shared" si="114"/>
        <v>7</v>
      </c>
      <c r="B2085" s="34">
        <v>46735</v>
      </c>
      <c r="C2085" s="7" t="s">
        <v>270</v>
      </c>
      <c r="D2085" s="35">
        <v>27</v>
      </c>
      <c r="E2085" s="33">
        <f>DAY(TableAopCalendar[[#This Row],[Date]])</f>
        <v>14</v>
      </c>
      <c r="F208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085" s="33" t="str">
        <f t="shared" si="115"/>
        <v>Week 2</v>
      </c>
      <c r="H2085" s="33" t="str">
        <f t="shared" si="116"/>
        <v>December 27 Week 2</v>
      </c>
      <c r="I2085" s="33" t="str">
        <f>CONCATENATE(UPPER(TableAopCalendar[[#This Row],[Month]])," ",TableAopCalendar[[#This Row],[Year]])</f>
        <v>DECEMBER 27</v>
      </c>
      <c r="J2085" s="8" t="s">
        <v>274</v>
      </c>
      <c r="K2085" s="33" t="str">
        <f>CONCATENATE(TableAopCalendar[[#This Row],[Month for Plan]]," ",TableAopCalendar[[#This Row],[Plan]])</f>
        <v>DECEMBER 27 PLANNED</v>
      </c>
    </row>
    <row r="2086" spans="1:11" x14ac:dyDescent="0.25">
      <c r="A2086" s="33">
        <f t="shared" si="114"/>
        <v>1</v>
      </c>
      <c r="B2086" s="34">
        <v>46736</v>
      </c>
      <c r="C2086" s="7" t="s">
        <v>270</v>
      </c>
      <c r="D2086" s="35">
        <v>27</v>
      </c>
      <c r="E2086" s="33">
        <f>DAY(TableAopCalendar[[#This Row],[Date]])</f>
        <v>15</v>
      </c>
      <c r="F208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86" s="33" t="str">
        <f t="shared" si="115"/>
        <v>Week 3</v>
      </c>
      <c r="H2086" s="33" t="str">
        <f t="shared" si="116"/>
        <v>December 27 Week 3</v>
      </c>
      <c r="I2086" s="33" t="str">
        <f>CONCATENATE(UPPER(TableAopCalendar[[#This Row],[Month]])," ",TableAopCalendar[[#This Row],[Year]])</f>
        <v>DECEMBER 27</v>
      </c>
      <c r="J2086" s="8" t="s">
        <v>274</v>
      </c>
      <c r="K2086" s="33" t="str">
        <f>CONCATENATE(TableAopCalendar[[#This Row],[Month for Plan]]," ",TableAopCalendar[[#This Row],[Plan]])</f>
        <v>DECEMBER 27 PLANNED</v>
      </c>
    </row>
    <row r="2087" spans="1:11" x14ac:dyDescent="0.25">
      <c r="A2087" s="33">
        <f t="shared" si="114"/>
        <v>2</v>
      </c>
      <c r="B2087" s="34">
        <v>46737</v>
      </c>
      <c r="C2087" s="7" t="s">
        <v>270</v>
      </c>
      <c r="D2087" s="35">
        <v>27</v>
      </c>
      <c r="E2087" s="33">
        <f>DAY(TableAopCalendar[[#This Row],[Date]])</f>
        <v>16</v>
      </c>
      <c r="F208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87" s="33" t="str">
        <f t="shared" si="115"/>
        <v>Week 3</v>
      </c>
      <c r="H2087" s="33" t="str">
        <f t="shared" si="116"/>
        <v>December 27 Week 3</v>
      </c>
      <c r="I2087" s="33" t="str">
        <f>CONCATENATE(UPPER(TableAopCalendar[[#This Row],[Month]])," ",TableAopCalendar[[#This Row],[Year]])</f>
        <v>DECEMBER 27</v>
      </c>
      <c r="J2087" s="8" t="s">
        <v>274</v>
      </c>
      <c r="K2087" s="33" t="str">
        <f>CONCATENATE(TableAopCalendar[[#This Row],[Month for Plan]]," ",TableAopCalendar[[#This Row],[Plan]])</f>
        <v>DECEMBER 27 PLANNED</v>
      </c>
    </row>
    <row r="2088" spans="1:11" x14ac:dyDescent="0.25">
      <c r="A2088" s="33">
        <f t="shared" si="114"/>
        <v>3</v>
      </c>
      <c r="B2088" s="34">
        <v>46738</v>
      </c>
      <c r="C2088" s="7" t="s">
        <v>270</v>
      </c>
      <c r="D2088" s="35">
        <v>27</v>
      </c>
      <c r="E2088" s="33">
        <f>DAY(TableAopCalendar[[#This Row],[Date]])</f>
        <v>17</v>
      </c>
      <c r="F208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88" s="33" t="str">
        <f t="shared" si="115"/>
        <v>Week 3</v>
      </c>
      <c r="H2088" s="33" t="str">
        <f t="shared" si="116"/>
        <v>December 27 Week 3</v>
      </c>
      <c r="I2088" s="33" t="str">
        <f>CONCATENATE(UPPER(TableAopCalendar[[#This Row],[Month]])," ",TableAopCalendar[[#This Row],[Year]])</f>
        <v>DECEMBER 27</v>
      </c>
      <c r="J2088" s="8" t="s">
        <v>274</v>
      </c>
      <c r="K2088" s="33" t="str">
        <f>CONCATENATE(TableAopCalendar[[#This Row],[Month for Plan]]," ",TableAopCalendar[[#This Row],[Plan]])</f>
        <v>DECEMBER 27 PLANNED</v>
      </c>
    </row>
    <row r="2089" spans="1:11" x14ac:dyDescent="0.25">
      <c r="A2089" s="33">
        <f t="shared" si="114"/>
        <v>4</v>
      </c>
      <c r="B2089" s="34">
        <v>46739</v>
      </c>
      <c r="C2089" s="7" t="s">
        <v>270</v>
      </c>
      <c r="D2089" s="35">
        <v>27</v>
      </c>
      <c r="E2089" s="33">
        <f>DAY(TableAopCalendar[[#This Row],[Date]])</f>
        <v>18</v>
      </c>
      <c r="F208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89" s="33" t="str">
        <f t="shared" si="115"/>
        <v>Week 3</v>
      </c>
      <c r="H2089" s="33" t="str">
        <f t="shared" si="116"/>
        <v>December 27 Week 3</v>
      </c>
      <c r="I2089" s="33" t="str">
        <f>CONCATENATE(UPPER(TableAopCalendar[[#This Row],[Month]])," ",TableAopCalendar[[#This Row],[Year]])</f>
        <v>DECEMBER 27</v>
      </c>
      <c r="J2089" s="8" t="s">
        <v>274</v>
      </c>
      <c r="K2089" s="33" t="str">
        <f>CONCATENATE(TableAopCalendar[[#This Row],[Month for Plan]]," ",TableAopCalendar[[#This Row],[Plan]])</f>
        <v>DECEMBER 27 PLANNED</v>
      </c>
    </row>
    <row r="2090" spans="1:11" x14ac:dyDescent="0.25">
      <c r="A2090" s="33">
        <f t="shared" si="114"/>
        <v>5</v>
      </c>
      <c r="B2090" s="34">
        <v>46740</v>
      </c>
      <c r="C2090" s="7" t="s">
        <v>270</v>
      </c>
      <c r="D2090" s="35">
        <v>27</v>
      </c>
      <c r="E2090" s="33">
        <f>DAY(TableAopCalendar[[#This Row],[Date]])</f>
        <v>19</v>
      </c>
      <c r="F209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90" s="33" t="str">
        <f t="shared" si="115"/>
        <v>Week 3</v>
      </c>
      <c r="H2090" s="33" t="str">
        <f t="shared" si="116"/>
        <v>December 27 Week 3</v>
      </c>
      <c r="I2090" s="33" t="str">
        <f>CONCATENATE(UPPER(TableAopCalendar[[#This Row],[Month]])," ",TableAopCalendar[[#This Row],[Year]])</f>
        <v>DECEMBER 27</v>
      </c>
      <c r="J2090" s="8" t="s">
        <v>274</v>
      </c>
      <c r="K2090" s="33" t="str">
        <f>CONCATENATE(TableAopCalendar[[#This Row],[Month for Plan]]," ",TableAopCalendar[[#This Row],[Plan]])</f>
        <v>DECEMBER 27 PLANNED</v>
      </c>
    </row>
    <row r="2091" spans="1:11" x14ac:dyDescent="0.25">
      <c r="A2091" s="33">
        <f t="shared" si="114"/>
        <v>6</v>
      </c>
      <c r="B2091" s="34">
        <v>46741</v>
      </c>
      <c r="C2091" s="7" t="s">
        <v>270</v>
      </c>
      <c r="D2091" s="35">
        <v>27</v>
      </c>
      <c r="E2091" s="33">
        <f>DAY(TableAopCalendar[[#This Row],[Date]])</f>
        <v>20</v>
      </c>
      <c r="F209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91" s="33" t="str">
        <f t="shared" si="115"/>
        <v>Week 3</v>
      </c>
      <c r="H2091" s="33" t="str">
        <f t="shared" si="116"/>
        <v>December 27 Week 3</v>
      </c>
      <c r="I2091" s="33" t="str">
        <f>CONCATENATE(UPPER(TableAopCalendar[[#This Row],[Month]])," ",TableAopCalendar[[#This Row],[Year]])</f>
        <v>DECEMBER 27</v>
      </c>
      <c r="J2091" s="8" t="s">
        <v>274</v>
      </c>
      <c r="K2091" s="33" t="str">
        <f>CONCATENATE(TableAopCalendar[[#This Row],[Month for Plan]]," ",TableAopCalendar[[#This Row],[Plan]])</f>
        <v>DECEMBER 27 PLANNED</v>
      </c>
    </row>
    <row r="2092" spans="1:11" x14ac:dyDescent="0.25">
      <c r="A2092" s="33">
        <f t="shared" si="114"/>
        <v>7</v>
      </c>
      <c r="B2092" s="34">
        <v>46742</v>
      </c>
      <c r="C2092" s="7" t="s">
        <v>270</v>
      </c>
      <c r="D2092" s="35">
        <v>27</v>
      </c>
      <c r="E2092" s="33">
        <f>DAY(TableAopCalendar[[#This Row],[Date]])</f>
        <v>21</v>
      </c>
      <c r="F209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092" s="33" t="str">
        <f t="shared" si="115"/>
        <v>Week 3</v>
      </c>
      <c r="H2092" s="33" t="str">
        <f t="shared" si="116"/>
        <v>December 27 Week 3</v>
      </c>
      <c r="I2092" s="33" t="str">
        <f>CONCATENATE(UPPER(TableAopCalendar[[#This Row],[Month]])," ",TableAopCalendar[[#This Row],[Year]])</f>
        <v>DECEMBER 27</v>
      </c>
      <c r="J2092" s="8" t="s">
        <v>274</v>
      </c>
      <c r="K2092" s="33" t="str">
        <f>CONCATENATE(TableAopCalendar[[#This Row],[Month for Plan]]," ",TableAopCalendar[[#This Row],[Plan]])</f>
        <v>DECEMBER 27 PLANNED</v>
      </c>
    </row>
    <row r="2093" spans="1:11" x14ac:dyDescent="0.25">
      <c r="A2093" s="33">
        <f t="shared" si="114"/>
        <v>1</v>
      </c>
      <c r="B2093" s="34">
        <v>46743</v>
      </c>
      <c r="C2093" s="7" t="s">
        <v>270</v>
      </c>
      <c r="D2093" s="35">
        <v>27</v>
      </c>
      <c r="E2093" s="33">
        <f>DAY(TableAopCalendar[[#This Row],[Date]])</f>
        <v>22</v>
      </c>
      <c r="F209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3" s="33" t="str">
        <f t="shared" si="115"/>
        <v>Week 4</v>
      </c>
      <c r="H2093" s="33" t="str">
        <f t="shared" si="116"/>
        <v>December 27 Week 4</v>
      </c>
      <c r="I2093" s="33" t="str">
        <f>CONCATENATE(UPPER(TableAopCalendar[[#This Row],[Month]])," ",TableAopCalendar[[#This Row],[Year]])</f>
        <v>DECEMBER 27</v>
      </c>
      <c r="J2093" s="8" t="s">
        <v>274</v>
      </c>
      <c r="K2093" s="33" t="str">
        <f>CONCATENATE(TableAopCalendar[[#This Row],[Month for Plan]]," ",TableAopCalendar[[#This Row],[Plan]])</f>
        <v>DECEMBER 27 PLANNED</v>
      </c>
    </row>
    <row r="2094" spans="1:11" x14ac:dyDescent="0.25">
      <c r="A2094" s="33">
        <f t="shared" si="114"/>
        <v>2</v>
      </c>
      <c r="B2094" s="34">
        <v>46744</v>
      </c>
      <c r="C2094" s="7" t="s">
        <v>270</v>
      </c>
      <c r="D2094" s="35">
        <v>27</v>
      </c>
      <c r="E2094" s="33">
        <f>DAY(TableAopCalendar[[#This Row],[Date]])</f>
        <v>23</v>
      </c>
      <c r="F209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4" s="33" t="str">
        <f t="shared" si="115"/>
        <v>Week 4</v>
      </c>
      <c r="H2094" s="33" t="str">
        <f t="shared" si="116"/>
        <v>December 27 Week 4</v>
      </c>
      <c r="I2094" s="33" t="str">
        <f>CONCATENATE(UPPER(TableAopCalendar[[#This Row],[Month]])," ",TableAopCalendar[[#This Row],[Year]])</f>
        <v>DECEMBER 27</v>
      </c>
      <c r="J2094" s="8" t="s">
        <v>274</v>
      </c>
      <c r="K2094" s="33" t="str">
        <f>CONCATENATE(TableAopCalendar[[#This Row],[Month for Plan]]," ",TableAopCalendar[[#This Row],[Plan]])</f>
        <v>DECEMBER 27 PLANNED</v>
      </c>
    </row>
    <row r="2095" spans="1:11" x14ac:dyDescent="0.25">
      <c r="A2095" s="33">
        <f t="shared" si="114"/>
        <v>3</v>
      </c>
      <c r="B2095" s="34">
        <v>46745</v>
      </c>
      <c r="C2095" s="7" t="s">
        <v>270</v>
      </c>
      <c r="D2095" s="35">
        <v>27</v>
      </c>
      <c r="E2095" s="33">
        <f>DAY(TableAopCalendar[[#This Row],[Date]])</f>
        <v>24</v>
      </c>
      <c r="F209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5" s="33" t="str">
        <f t="shared" si="115"/>
        <v>Week 4</v>
      </c>
      <c r="H2095" s="33" t="str">
        <f t="shared" si="116"/>
        <v>December 27 Week 4</v>
      </c>
      <c r="I2095" s="33" t="str">
        <f>CONCATENATE(UPPER(TableAopCalendar[[#This Row],[Month]])," ",TableAopCalendar[[#This Row],[Year]])</f>
        <v>DECEMBER 27</v>
      </c>
      <c r="J2095" s="8" t="s">
        <v>274</v>
      </c>
      <c r="K2095" s="33" t="str">
        <f>CONCATENATE(TableAopCalendar[[#This Row],[Month for Plan]]," ",TableAopCalendar[[#This Row],[Plan]])</f>
        <v>DECEMBER 27 PLANNED</v>
      </c>
    </row>
    <row r="2096" spans="1:11" x14ac:dyDescent="0.25">
      <c r="A2096" s="33">
        <f t="shared" si="114"/>
        <v>4</v>
      </c>
      <c r="B2096" s="34">
        <v>46746</v>
      </c>
      <c r="C2096" s="7" t="s">
        <v>270</v>
      </c>
      <c r="D2096" s="35">
        <v>27</v>
      </c>
      <c r="E2096" s="33">
        <f>DAY(TableAopCalendar[[#This Row],[Date]])</f>
        <v>25</v>
      </c>
      <c r="F209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6" s="33" t="str">
        <f t="shared" si="115"/>
        <v>Week 4</v>
      </c>
      <c r="H2096" s="33" t="str">
        <f t="shared" si="116"/>
        <v>December 27 Week 4</v>
      </c>
      <c r="I2096" s="33" t="str">
        <f>CONCATENATE(UPPER(TableAopCalendar[[#This Row],[Month]])," ",TableAopCalendar[[#This Row],[Year]])</f>
        <v>DECEMBER 27</v>
      </c>
      <c r="J2096" s="8" t="s">
        <v>274</v>
      </c>
      <c r="K2096" s="33" t="str">
        <f>CONCATENATE(TableAopCalendar[[#This Row],[Month for Plan]]," ",TableAopCalendar[[#This Row],[Plan]])</f>
        <v>DECEMBER 27 PLANNED</v>
      </c>
    </row>
    <row r="2097" spans="1:11" x14ac:dyDescent="0.25">
      <c r="A2097" s="33">
        <f t="shared" si="114"/>
        <v>5</v>
      </c>
      <c r="B2097" s="34">
        <v>46747</v>
      </c>
      <c r="C2097" s="7" t="s">
        <v>270</v>
      </c>
      <c r="D2097" s="35">
        <v>27</v>
      </c>
      <c r="E2097" s="33">
        <f>DAY(TableAopCalendar[[#This Row],[Date]])</f>
        <v>26</v>
      </c>
      <c r="F209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7" s="33" t="str">
        <f t="shared" si="115"/>
        <v>Week 4</v>
      </c>
      <c r="H2097" s="33" t="str">
        <f t="shared" si="116"/>
        <v>December 27 Week 4</v>
      </c>
      <c r="I2097" s="33" t="str">
        <f>CONCATENATE(UPPER(TableAopCalendar[[#This Row],[Month]])," ",TableAopCalendar[[#This Row],[Year]])</f>
        <v>DECEMBER 27</v>
      </c>
      <c r="J2097" s="8" t="s">
        <v>274</v>
      </c>
      <c r="K2097" s="33" t="str">
        <f>CONCATENATE(TableAopCalendar[[#This Row],[Month for Plan]]," ",TableAopCalendar[[#This Row],[Plan]])</f>
        <v>DECEMBER 27 PLANNED</v>
      </c>
    </row>
    <row r="2098" spans="1:11" x14ac:dyDescent="0.25">
      <c r="A2098" s="33">
        <f t="shared" si="114"/>
        <v>6</v>
      </c>
      <c r="B2098" s="34">
        <v>46748</v>
      </c>
      <c r="C2098" s="7" t="s">
        <v>270</v>
      </c>
      <c r="D2098" s="35">
        <v>27</v>
      </c>
      <c r="E2098" s="33">
        <f>DAY(TableAopCalendar[[#This Row],[Date]])</f>
        <v>27</v>
      </c>
      <c r="F209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8" s="33" t="str">
        <f t="shared" si="115"/>
        <v>Week 4</v>
      </c>
      <c r="H2098" s="33" t="str">
        <f t="shared" si="116"/>
        <v>December 27 Week 4</v>
      </c>
      <c r="I2098" s="33" t="str">
        <f>CONCATENATE(UPPER(TableAopCalendar[[#This Row],[Month]])," ",TableAopCalendar[[#This Row],[Year]])</f>
        <v>DECEMBER 27</v>
      </c>
      <c r="J2098" s="8" t="s">
        <v>274</v>
      </c>
      <c r="K2098" s="33" t="str">
        <f>CONCATENATE(TableAopCalendar[[#This Row],[Month for Plan]]," ",TableAopCalendar[[#This Row],[Plan]])</f>
        <v>DECEMBER 27 PLANNED</v>
      </c>
    </row>
    <row r="2099" spans="1:11" x14ac:dyDescent="0.25">
      <c r="A2099" s="33">
        <f t="shared" si="114"/>
        <v>7</v>
      </c>
      <c r="B2099" s="34">
        <v>46749</v>
      </c>
      <c r="C2099" s="7" t="s">
        <v>270</v>
      </c>
      <c r="D2099" s="35">
        <v>27</v>
      </c>
      <c r="E2099" s="33">
        <f>DAY(TableAopCalendar[[#This Row],[Date]])</f>
        <v>28</v>
      </c>
      <c r="F209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099" s="33" t="str">
        <f t="shared" si="115"/>
        <v>Week 4</v>
      </c>
      <c r="H2099" s="33" t="str">
        <f t="shared" si="116"/>
        <v>December 27 Week 4</v>
      </c>
      <c r="I2099" s="33" t="str">
        <f>CONCATENATE(UPPER(TableAopCalendar[[#This Row],[Month]])," ",TableAopCalendar[[#This Row],[Year]])</f>
        <v>DECEMBER 27</v>
      </c>
      <c r="J2099" s="8" t="s">
        <v>274</v>
      </c>
      <c r="K2099" s="33" t="str">
        <f>CONCATENATE(TableAopCalendar[[#This Row],[Month for Plan]]," ",TableAopCalendar[[#This Row],[Plan]])</f>
        <v>DECEMBER 27 PLANNED</v>
      </c>
    </row>
    <row r="2100" spans="1:11" x14ac:dyDescent="0.25">
      <c r="A2100" s="33">
        <f t="shared" si="114"/>
        <v>1</v>
      </c>
      <c r="B2100" s="34">
        <v>46750</v>
      </c>
      <c r="C2100" s="7" t="s">
        <v>270</v>
      </c>
      <c r="D2100" s="35">
        <v>27</v>
      </c>
      <c r="E2100" s="33">
        <f>DAY(TableAopCalendar[[#This Row],[Date]])</f>
        <v>29</v>
      </c>
      <c r="F2100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00" s="33" t="str">
        <f t="shared" si="115"/>
        <v>Week 5</v>
      </c>
      <c r="H2100" s="33" t="str">
        <f t="shared" si="116"/>
        <v>December 27 Week 5</v>
      </c>
      <c r="I2100" s="33" t="str">
        <f>CONCATENATE(UPPER(TableAopCalendar[[#This Row],[Month]])," ",TableAopCalendar[[#This Row],[Year]])</f>
        <v>DECEMBER 27</v>
      </c>
      <c r="J2100" s="8" t="s">
        <v>274</v>
      </c>
      <c r="K2100" s="33" t="str">
        <f>CONCATENATE(TableAopCalendar[[#This Row],[Month for Plan]]," ",TableAopCalendar[[#This Row],[Plan]])</f>
        <v>DECEMBER 27 PLANNED</v>
      </c>
    </row>
    <row r="2101" spans="1:11" x14ac:dyDescent="0.25">
      <c r="A2101" s="33">
        <f t="shared" si="114"/>
        <v>2</v>
      </c>
      <c r="B2101" s="34">
        <v>46751</v>
      </c>
      <c r="C2101" s="7" t="s">
        <v>270</v>
      </c>
      <c r="D2101" s="35">
        <v>27</v>
      </c>
      <c r="E2101" s="33">
        <f>DAY(TableAopCalendar[[#This Row],[Date]])</f>
        <v>30</v>
      </c>
      <c r="F210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01" s="33" t="str">
        <f t="shared" si="115"/>
        <v>Week 5</v>
      </c>
      <c r="H2101" s="33" t="str">
        <f t="shared" si="116"/>
        <v>December 27 Week 5</v>
      </c>
      <c r="I2101" s="33" t="str">
        <f>CONCATENATE(UPPER(TableAopCalendar[[#This Row],[Month]])," ",TableAopCalendar[[#This Row],[Year]])</f>
        <v>DECEMBER 27</v>
      </c>
      <c r="J2101" s="8" t="s">
        <v>274</v>
      </c>
      <c r="K2101" s="33" t="str">
        <f>CONCATENATE(TableAopCalendar[[#This Row],[Month for Plan]]," ",TableAopCalendar[[#This Row],[Plan]])</f>
        <v>DECEMBER 27 PLANNED</v>
      </c>
    </row>
    <row r="2102" spans="1:11" x14ac:dyDescent="0.25">
      <c r="A2102" s="33">
        <f t="shared" si="114"/>
        <v>3</v>
      </c>
      <c r="B2102" s="34">
        <v>46752</v>
      </c>
      <c r="C2102" s="7" t="s">
        <v>270</v>
      </c>
      <c r="D2102" s="35">
        <v>27</v>
      </c>
      <c r="E2102" s="33">
        <f>DAY(TableAopCalendar[[#This Row],[Date]])</f>
        <v>31</v>
      </c>
      <c r="F210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02" s="33" t="str">
        <f t="shared" si="115"/>
        <v>Week 5</v>
      </c>
      <c r="H2102" s="33" t="str">
        <f t="shared" si="116"/>
        <v>December 27 Week 5</v>
      </c>
      <c r="I2102" s="33" t="str">
        <f>CONCATENATE(UPPER(TableAopCalendar[[#This Row],[Month]])," ",TableAopCalendar[[#This Row],[Year]])</f>
        <v>DECEMBER 27</v>
      </c>
      <c r="J2102" s="8" t="s">
        <v>274</v>
      </c>
      <c r="K2102" s="33" t="str">
        <f>CONCATENATE(TableAopCalendar[[#This Row],[Month for Plan]]," ",TableAopCalendar[[#This Row],[Plan]])</f>
        <v>DECEMBER 27 PLANNED</v>
      </c>
    </row>
    <row r="2103" spans="1:11" x14ac:dyDescent="0.25">
      <c r="A2103" s="33">
        <f t="shared" si="114"/>
        <v>1</v>
      </c>
      <c r="B2103" s="34">
        <v>46753</v>
      </c>
      <c r="C2103" s="7" t="s">
        <v>271</v>
      </c>
      <c r="D2103" s="35">
        <v>28</v>
      </c>
      <c r="E2103" s="33">
        <f>DAY(TableAopCalendar[[#This Row],[Date]])</f>
        <v>1</v>
      </c>
      <c r="F210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03" s="33" t="str">
        <f t="shared" si="115"/>
        <v>Week 1</v>
      </c>
      <c r="H2103" s="33" t="str">
        <f t="shared" si="116"/>
        <v>January 28 Week 1</v>
      </c>
      <c r="I2103" s="33" t="str">
        <f>CONCATENATE(UPPER(TableAopCalendar[[#This Row],[Month]])," ",TableAopCalendar[[#This Row],[Year]])</f>
        <v>JANUARY 28</v>
      </c>
      <c r="J2103" s="8" t="s">
        <v>274</v>
      </c>
      <c r="K2103" s="33" t="str">
        <f>CONCATENATE(TableAopCalendar[[#This Row],[Month for Plan]]," ",TableAopCalendar[[#This Row],[Plan]])</f>
        <v>JANUARY 28 PLANNED</v>
      </c>
    </row>
    <row r="2104" spans="1:11" x14ac:dyDescent="0.25">
      <c r="A2104" s="33">
        <f t="shared" si="114"/>
        <v>2</v>
      </c>
      <c r="B2104" s="34">
        <v>46754</v>
      </c>
      <c r="C2104" s="7" t="s">
        <v>271</v>
      </c>
      <c r="D2104" s="35">
        <v>28</v>
      </c>
      <c r="E2104" s="33">
        <f>DAY(TableAopCalendar[[#This Row],[Date]])</f>
        <v>2</v>
      </c>
      <c r="F210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04" s="33" t="str">
        <f t="shared" si="115"/>
        <v>Week 1</v>
      </c>
      <c r="H2104" s="33" t="str">
        <f t="shared" si="116"/>
        <v>January 28 Week 1</v>
      </c>
      <c r="I2104" s="33" t="str">
        <f>CONCATENATE(UPPER(TableAopCalendar[[#This Row],[Month]])," ",TableAopCalendar[[#This Row],[Year]])</f>
        <v>JANUARY 28</v>
      </c>
      <c r="J2104" s="8" t="s">
        <v>274</v>
      </c>
      <c r="K2104" s="33" t="str">
        <f>CONCATENATE(TableAopCalendar[[#This Row],[Month for Plan]]," ",TableAopCalendar[[#This Row],[Plan]])</f>
        <v>JANUARY 28 PLANNED</v>
      </c>
    </row>
    <row r="2105" spans="1:11" x14ac:dyDescent="0.25">
      <c r="A2105" s="33">
        <f t="shared" si="114"/>
        <v>3</v>
      </c>
      <c r="B2105" s="34">
        <v>46755</v>
      </c>
      <c r="C2105" s="7" t="s">
        <v>271</v>
      </c>
      <c r="D2105" s="35">
        <v>28</v>
      </c>
      <c r="E2105" s="33">
        <f>DAY(TableAopCalendar[[#This Row],[Date]])</f>
        <v>3</v>
      </c>
      <c r="F210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05" s="33" t="str">
        <f t="shared" si="115"/>
        <v>Week 1</v>
      </c>
      <c r="H2105" s="33" t="str">
        <f t="shared" si="116"/>
        <v>January 28 Week 1</v>
      </c>
      <c r="I2105" s="33" t="str">
        <f>CONCATENATE(UPPER(TableAopCalendar[[#This Row],[Month]])," ",TableAopCalendar[[#This Row],[Year]])</f>
        <v>JANUARY 28</v>
      </c>
      <c r="J2105" s="8" t="s">
        <v>274</v>
      </c>
      <c r="K2105" s="33" t="str">
        <f>CONCATENATE(TableAopCalendar[[#This Row],[Month for Plan]]," ",TableAopCalendar[[#This Row],[Plan]])</f>
        <v>JANUARY 28 PLANNED</v>
      </c>
    </row>
    <row r="2106" spans="1:11" x14ac:dyDescent="0.25">
      <c r="A2106" s="33">
        <f t="shared" si="114"/>
        <v>4</v>
      </c>
      <c r="B2106" s="34">
        <v>46756</v>
      </c>
      <c r="C2106" s="7" t="s">
        <v>271</v>
      </c>
      <c r="D2106" s="35">
        <v>28</v>
      </c>
      <c r="E2106" s="33">
        <f>DAY(TableAopCalendar[[#This Row],[Date]])</f>
        <v>4</v>
      </c>
      <c r="F210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06" s="33" t="str">
        <f t="shared" si="115"/>
        <v>Week 1</v>
      </c>
      <c r="H2106" s="33" t="str">
        <f t="shared" si="116"/>
        <v>January 28 Week 1</v>
      </c>
      <c r="I2106" s="33" t="str">
        <f>CONCATENATE(UPPER(TableAopCalendar[[#This Row],[Month]])," ",TableAopCalendar[[#This Row],[Year]])</f>
        <v>JANUARY 28</v>
      </c>
      <c r="J2106" s="8" t="s">
        <v>274</v>
      </c>
      <c r="K2106" s="33" t="str">
        <f>CONCATENATE(TableAopCalendar[[#This Row],[Month for Plan]]," ",TableAopCalendar[[#This Row],[Plan]])</f>
        <v>JANUARY 28 PLANNED</v>
      </c>
    </row>
    <row r="2107" spans="1:11" x14ac:dyDescent="0.25">
      <c r="A2107" s="33">
        <f t="shared" si="114"/>
        <v>5</v>
      </c>
      <c r="B2107" s="34">
        <v>46757</v>
      </c>
      <c r="C2107" s="7" t="s">
        <v>271</v>
      </c>
      <c r="D2107" s="35">
        <v>28</v>
      </c>
      <c r="E2107" s="33">
        <f>DAY(TableAopCalendar[[#This Row],[Date]])</f>
        <v>5</v>
      </c>
      <c r="F210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07" s="33" t="str">
        <f t="shared" si="115"/>
        <v>Week 1</v>
      </c>
      <c r="H2107" s="33" t="str">
        <f t="shared" si="116"/>
        <v>January 28 Week 1</v>
      </c>
      <c r="I2107" s="33" t="str">
        <f>CONCATENATE(UPPER(TableAopCalendar[[#This Row],[Month]])," ",TableAopCalendar[[#This Row],[Year]])</f>
        <v>JANUARY 28</v>
      </c>
      <c r="J2107" s="8" t="s">
        <v>274</v>
      </c>
      <c r="K2107" s="33" t="str">
        <f>CONCATENATE(TableAopCalendar[[#This Row],[Month for Plan]]," ",TableAopCalendar[[#This Row],[Plan]])</f>
        <v>JANUARY 28 PLANNED</v>
      </c>
    </row>
    <row r="2108" spans="1:11" x14ac:dyDescent="0.25">
      <c r="A2108" s="33">
        <f t="shared" si="114"/>
        <v>6</v>
      </c>
      <c r="B2108" s="34">
        <v>46758</v>
      </c>
      <c r="C2108" s="7" t="s">
        <v>271</v>
      </c>
      <c r="D2108" s="35">
        <v>28</v>
      </c>
      <c r="E2108" s="33">
        <f>DAY(TableAopCalendar[[#This Row],[Date]])</f>
        <v>6</v>
      </c>
      <c r="F210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08" s="33" t="str">
        <f t="shared" si="115"/>
        <v>Week 1</v>
      </c>
      <c r="H2108" s="33" t="str">
        <f t="shared" si="116"/>
        <v>January 28 Week 1</v>
      </c>
      <c r="I2108" s="33" t="str">
        <f>CONCATENATE(UPPER(TableAopCalendar[[#This Row],[Month]])," ",TableAopCalendar[[#This Row],[Year]])</f>
        <v>JANUARY 28</v>
      </c>
      <c r="J2108" s="8" t="s">
        <v>274</v>
      </c>
      <c r="K2108" s="33" t="str">
        <f>CONCATENATE(TableAopCalendar[[#This Row],[Month for Plan]]," ",TableAopCalendar[[#This Row],[Plan]])</f>
        <v>JANUARY 28 PLANNED</v>
      </c>
    </row>
    <row r="2109" spans="1:11" x14ac:dyDescent="0.25">
      <c r="A2109" s="33">
        <f t="shared" si="114"/>
        <v>7</v>
      </c>
      <c r="B2109" s="34">
        <v>46759</v>
      </c>
      <c r="C2109" s="7" t="s">
        <v>271</v>
      </c>
      <c r="D2109" s="35">
        <v>28</v>
      </c>
      <c r="E2109" s="33">
        <f>DAY(TableAopCalendar[[#This Row],[Date]])</f>
        <v>7</v>
      </c>
      <c r="F210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09" s="33" t="str">
        <f t="shared" si="115"/>
        <v>Week 1</v>
      </c>
      <c r="H2109" s="33" t="str">
        <f t="shared" si="116"/>
        <v>January 28 Week 1</v>
      </c>
      <c r="I2109" s="33" t="str">
        <f>CONCATENATE(UPPER(TableAopCalendar[[#This Row],[Month]])," ",TableAopCalendar[[#This Row],[Year]])</f>
        <v>JANUARY 28</v>
      </c>
      <c r="J2109" s="8" t="s">
        <v>274</v>
      </c>
      <c r="K2109" s="33" t="str">
        <f>CONCATENATE(TableAopCalendar[[#This Row],[Month for Plan]]," ",TableAopCalendar[[#This Row],[Plan]])</f>
        <v>JANUARY 28 PLANNED</v>
      </c>
    </row>
    <row r="2110" spans="1:11" x14ac:dyDescent="0.25">
      <c r="A2110" s="33">
        <f t="shared" si="114"/>
        <v>1</v>
      </c>
      <c r="B2110" s="34">
        <v>46760</v>
      </c>
      <c r="C2110" s="7" t="s">
        <v>271</v>
      </c>
      <c r="D2110" s="35">
        <v>28</v>
      </c>
      <c r="E2110" s="33">
        <f>DAY(TableAopCalendar[[#This Row],[Date]])</f>
        <v>8</v>
      </c>
      <c r="F211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10" s="33" t="str">
        <f t="shared" si="115"/>
        <v>Week 2</v>
      </c>
      <c r="H2110" s="33" t="str">
        <f t="shared" si="116"/>
        <v>January 28 Week 2</v>
      </c>
      <c r="I2110" s="33" t="str">
        <f>CONCATENATE(UPPER(TableAopCalendar[[#This Row],[Month]])," ",TableAopCalendar[[#This Row],[Year]])</f>
        <v>JANUARY 28</v>
      </c>
      <c r="J2110" s="8" t="s">
        <v>274</v>
      </c>
      <c r="K2110" s="33" t="str">
        <f>CONCATENATE(TableAopCalendar[[#This Row],[Month for Plan]]," ",TableAopCalendar[[#This Row],[Plan]])</f>
        <v>JANUARY 28 PLANNED</v>
      </c>
    </row>
    <row r="2111" spans="1:11" x14ac:dyDescent="0.25">
      <c r="A2111" s="33">
        <f t="shared" si="114"/>
        <v>2</v>
      </c>
      <c r="B2111" s="34">
        <v>46761</v>
      </c>
      <c r="C2111" s="7" t="s">
        <v>271</v>
      </c>
      <c r="D2111" s="35">
        <v>28</v>
      </c>
      <c r="E2111" s="33">
        <f>DAY(TableAopCalendar[[#This Row],[Date]])</f>
        <v>9</v>
      </c>
      <c r="F211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11" s="33" t="str">
        <f t="shared" si="115"/>
        <v>Week 2</v>
      </c>
      <c r="H2111" s="33" t="str">
        <f t="shared" si="116"/>
        <v>January 28 Week 2</v>
      </c>
      <c r="I2111" s="33" t="str">
        <f>CONCATENATE(UPPER(TableAopCalendar[[#This Row],[Month]])," ",TableAopCalendar[[#This Row],[Year]])</f>
        <v>JANUARY 28</v>
      </c>
      <c r="J2111" s="8" t="s">
        <v>274</v>
      </c>
      <c r="K2111" s="33" t="str">
        <f>CONCATENATE(TableAopCalendar[[#This Row],[Month for Plan]]," ",TableAopCalendar[[#This Row],[Plan]])</f>
        <v>JANUARY 28 PLANNED</v>
      </c>
    </row>
    <row r="2112" spans="1:11" x14ac:dyDescent="0.25">
      <c r="A2112" s="33">
        <f t="shared" si="114"/>
        <v>3</v>
      </c>
      <c r="B2112" s="34">
        <v>46762</v>
      </c>
      <c r="C2112" s="7" t="s">
        <v>271</v>
      </c>
      <c r="D2112" s="35">
        <v>28</v>
      </c>
      <c r="E2112" s="33">
        <f>DAY(TableAopCalendar[[#This Row],[Date]])</f>
        <v>10</v>
      </c>
      <c r="F211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12" s="33" t="str">
        <f t="shared" si="115"/>
        <v>Week 2</v>
      </c>
      <c r="H2112" s="33" t="str">
        <f t="shared" si="116"/>
        <v>January 28 Week 2</v>
      </c>
      <c r="I2112" s="33" t="str">
        <f>CONCATENATE(UPPER(TableAopCalendar[[#This Row],[Month]])," ",TableAopCalendar[[#This Row],[Year]])</f>
        <v>JANUARY 28</v>
      </c>
      <c r="J2112" s="8" t="s">
        <v>274</v>
      </c>
      <c r="K2112" s="33" t="str">
        <f>CONCATENATE(TableAopCalendar[[#This Row],[Month for Plan]]," ",TableAopCalendar[[#This Row],[Plan]])</f>
        <v>JANUARY 28 PLANNED</v>
      </c>
    </row>
    <row r="2113" spans="1:11" x14ac:dyDescent="0.25">
      <c r="A2113" s="33">
        <f t="shared" si="114"/>
        <v>4</v>
      </c>
      <c r="B2113" s="34">
        <v>46763</v>
      </c>
      <c r="C2113" s="7" t="s">
        <v>271</v>
      </c>
      <c r="D2113" s="35">
        <v>28</v>
      </c>
      <c r="E2113" s="33">
        <f>DAY(TableAopCalendar[[#This Row],[Date]])</f>
        <v>11</v>
      </c>
      <c r="F211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13" s="33" t="str">
        <f t="shared" si="115"/>
        <v>Week 2</v>
      </c>
      <c r="H2113" s="33" t="str">
        <f t="shared" si="116"/>
        <v>January 28 Week 2</v>
      </c>
      <c r="I2113" s="33" t="str">
        <f>CONCATENATE(UPPER(TableAopCalendar[[#This Row],[Month]])," ",TableAopCalendar[[#This Row],[Year]])</f>
        <v>JANUARY 28</v>
      </c>
      <c r="J2113" s="8" t="s">
        <v>274</v>
      </c>
      <c r="K2113" s="33" t="str">
        <f>CONCATENATE(TableAopCalendar[[#This Row],[Month for Plan]]," ",TableAopCalendar[[#This Row],[Plan]])</f>
        <v>JANUARY 28 PLANNED</v>
      </c>
    </row>
    <row r="2114" spans="1:11" x14ac:dyDescent="0.25">
      <c r="A2114" s="33">
        <f t="shared" si="114"/>
        <v>5</v>
      </c>
      <c r="B2114" s="34">
        <v>46764</v>
      </c>
      <c r="C2114" s="7" t="s">
        <v>271</v>
      </c>
      <c r="D2114" s="35">
        <v>28</v>
      </c>
      <c r="E2114" s="33">
        <f>DAY(TableAopCalendar[[#This Row],[Date]])</f>
        <v>12</v>
      </c>
      <c r="F211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14" s="33" t="str">
        <f t="shared" si="115"/>
        <v>Week 2</v>
      </c>
      <c r="H2114" s="33" t="str">
        <f t="shared" si="116"/>
        <v>January 28 Week 2</v>
      </c>
      <c r="I2114" s="33" t="str">
        <f>CONCATENATE(UPPER(TableAopCalendar[[#This Row],[Month]])," ",TableAopCalendar[[#This Row],[Year]])</f>
        <v>JANUARY 28</v>
      </c>
      <c r="J2114" s="8" t="s">
        <v>274</v>
      </c>
      <c r="K2114" s="33" t="str">
        <f>CONCATENATE(TableAopCalendar[[#This Row],[Month for Plan]]," ",TableAopCalendar[[#This Row],[Plan]])</f>
        <v>JANUARY 28 PLANNED</v>
      </c>
    </row>
    <row r="2115" spans="1:11" x14ac:dyDescent="0.25">
      <c r="A2115" s="33">
        <f t="shared" si="114"/>
        <v>6</v>
      </c>
      <c r="B2115" s="34">
        <v>46765</v>
      </c>
      <c r="C2115" s="7" t="s">
        <v>271</v>
      </c>
      <c r="D2115" s="35">
        <v>28</v>
      </c>
      <c r="E2115" s="33">
        <f>DAY(TableAopCalendar[[#This Row],[Date]])</f>
        <v>13</v>
      </c>
      <c r="F211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15" s="33" t="str">
        <f t="shared" si="115"/>
        <v>Week 2</v>
      </c>
      <c r="H2115" s="33" t="str">
        <f t="shared" si="116"/>
        <v>January 28 Week 2</v>
      </c>
      <c r="I2115" s="33" t="str">
        <f>CONCATENATE(UPPER(TableAopCalendar[[#This Row],[Month]])," ",TableAopCalendar[[#This Row],[Year]])</f>
        <v>JANUARY 28</v>
      </c>
      <c r="J2115" s="8" t="s">
        <v>274</v>
      </c>
      <c r="K2115" s="33" t="str">
        <f>CONCATENATE(TableAopCalendar[[#This Row],[Month for Plan]]," ",TableAopCalendar[[#This Row],[Plan]])</f>
        <v>JANUARY 28 PLANNED</v>
      </c>
    </row>
    <row r="2116" spans="1:11" x14ac:dyDescent="0.25">
      <c r="A2116" s="33">
        <f t="shared" si="114"/>
        <v>7</v>
      </c>
      <c r="B2116" s="34">
        <v>46766</v>
      </c>
      <c r="C2116" s="7" t="s">
        <v>271</v>
      </c>
      <c r="D2116" s="35">
        <v>28</v>
      </c>
      <c r="E2116" s="33">
        <f>DAY(TableAopCalendar[[#This Row],[Date]])</f>
        <v>14</v>
      </c>
      <c r="F211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16" s="33" t="str">
        <f t="shared" si="115"/>
        <v>Week 2</v>
      </c>
      <c r="H2116" s="33" t="str">
        <f t="shared" si="116"/>
        <v>January 28 Week 2</v>
      </c>
      <c r="I2116" s="33" t="str">
        <f>CONCATENATE(UPPER(TableAopCalendar[[#This Row],[Month]])," ",TableAopCalendar[[#This Row],[Year]])</f>
        <v>JANUARY 28</v>
      </c>
      <c r="J2116" s="8" t="s">
        <v>274</v>
      </c>
      <c r="K2116" s="33" t="str">
        <f>CONCATENATE(TableAopCalendar[[#This Row],[Month for Plan]]," ",TableAopCalendar[[#This Row],[Plan]])</f>
        <v>JANUARY 28 PLANNED</v>
      </c>
    </row>
    <row r="2117" spans="1:11" x14ac:dyDescent="0.25">
      <c r="A2117" s="33">
        <f t="shared" si="114"/>
        <v>1</v>
      </c>
      <c r="B2117" s="34">
        <v>46767</v>
      </c>
      <c r="C2117" s="7" t="s">
        <v>271</v>
      </c>
      <c r="D2117" s="35">
        <v>28</v>
      </c>
      <c r="E2117" s="33">
        <f>DAY(TableAopCalendar[[#This Row],[Date]])</f>
        <v>15</v>
      </c>
      <c r="F211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17" s="33" t="str">
        <f t="shared" si="115"/>
        <v>Week 3</v>
      </c>
      <c r="H2117" s="33" t="str">
        <f t="shared" si="116"/>
        <v>January 28 Week 3</v>
      </c>
      <c r="I2117" s="33" t="str">
        <f>CONCATENATE(UPPER(TableAopCalendar[[#This Row],[Month]])," ",TableAopCalendar[[#This Row],[Year]])</f>
        <v>JANUARY 28</v>
      </c>
      <c r="J2117" s="8" t="s">
        <v>274</v>
      </c>
      <c r="K2117" s="33" t="str">
        <f>CONCATENATE(TableAopCalendar[[#This Row],[Month for Plan]]," ",TableAopCalendar[[#This Row],[Plan]])</f>
        <v>JANUARY 28 PLANNED</v>
      </c>
    </row>
    <row r="2118" spans="1:11" x14ac:dyDescent="0.25">
      <c r="A2118" s="33">
        <f t="shared" si="114"/>
        <v>2</v>
      </c>
      <c r="B2118" s="34">
        <v>46768</v>
      </c>
      <c r="C2118" s="7" t="s">
        <v>271</v>
      </c>
      <c r="D2118" s="35">
        <v>28</v>
      </c>
      <c r="E2118" s="33">
        <f>DAY(TableAopCalendar[[#This Row],[Date]])</f>
        <v>16</v>
      </c>
      <c r="F211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18" s="33" t="str">
        <f t="shared" si="115"/>
        <v>Week 3</v>
      </c>
      <c r="H2118" s="33" t="str">
        <f t="shared" si="116"/>
        <v>January 28 Week 3</v>
      </c>
      <c r="I2118" s="33" t="str">
        <f>CONCATENATE(UPPER(TableAopCalendar[[#This Row],[Month]])," ",TableAopCalendar[[#This Row],[Year]])</f>
        <v>JANUARY 28</v>
      </c>
      <c r="J2118" s="8" t="s">
        <v>274</v>
      </c>
      <c r="K2118" s="33" t="str">
        <f>CONCATENATE(TableAopCalendar[[#This Row],[Month for Plan]]," ",TableAopCalendar[[#This Row],[Plan]])</f>
        <v>JANUARY 28 PLANNED</v>
      </c>
    </row>
    <row r="2119" spans="1:11" x14ac:dyDescent="0.25">
      <c r="A2119" s="33">
        <f t="shared" si="114"/>
        <v>3</v>
      </c>
      <c r="B2119" s="34">
        <v>46769</v>
      </c>
      <c r="C2119" s="7" t="s">
        <v>271</v>
      </c>
      <c r="D2119" s="35">
        <v>28</v>
      </c>
      <c r="E2119" s="33">
        <f>DAY(TableAopCalendar[[#This Row],[Date]])</f>
        <v>17</v>
      </c>
      <c r="F211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19" s="33" t="str">
        <f t="shared" si="115"/>
        <v>Week 3</v>
      </c>
      <c r="H2119" s="33" t="str">
        <f t="shared" si="116"/>
        <v>January 28 Week 3</v>
      </c>
      <c r="I2119" s="33" t="str">
        <f>CONCATENATE(UPPER(TableAopCalendar[[#This Row],[Month]])," ",TableAopCalendar[[#This Row],[Year]])</f>
        <v>JANUARY 28</v>
      </c>
      <c r="J2119" s="8" t="s">
        <v>274</v>
      </c>
      <c r="K2119" s="33" t="str">
        <f>CONCATENATE(TableAopCalendar[[#This Row],[Month for Plan]]," ",TableAopCalendar[[#This Row],[Plan]])</f>
        <v>JANUARY 28 PLANNED</v>
      </c>
    </row>
    <row r="2120" spans="1:11" x14ac:dyDescent="0.25">
      <c r="A2120" s="33">
        <f t="shared" si="114"/>
        <v>4</v>
      </c>
      <c r="B2120" s="34">
        <v>46770</v>
      </c>
      <c r="C2120" s="7" t="s">
        <v>271</v>
      </c>
      <c r="D2120" s="35">
        <v>28</v>
      </c>
      <c r="E2120" s="33">
        <f>DAY(TableAopCalendar[[#This Row],[Date]])</f>
        <v>18</v>
      </c>
      <c r="F212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20" s="33" t="str">
        <f t="shared" si="115"/>
        <v>Week 3</v>
      </c>
      <c r="H2120" s="33" t="str">
        <f t="shared" si="116"/>
        <v>January 28 Week 3</v>
      </c>
      <c r="I2120" s="33" t="str">
        <f>CONCATENATE(UPPER(TableAopCalendar[[#This Row],[Month]])," ",TableAopCalendar[[#This Row],[Year]])</f>
        <v>JANUARY 28</v>
      </c>
      <c r="J2120" s="8" t="s">
        <v>274</v>
      </c>
      <c r="K2120" s="33" t="str">
        <f>CONCATENATE(TableAopCalendar[[#This Row],[Month for Plan]]," ",TableAopCalendar[[#This Row],[Plan]])</f>
        <v>JANUARY 28 PLANNED</v>
      </c>
    </row>
    <row r="2121" spans="1:11" x14ac:dyDescent="0.25">
      <c r="A2121" s="33">
        <f t="shared" si="114"/>
        <v>5</v>
      </c>
      <c r="B2121" s="34">
        <v>46771</v>
      </c>
      <c r="C2121" s="7" t="s">
        <v>271</v>
      </c>
      <c r="D2121" s="35">
        <v>28</v>
      </c>
      <c r="E2121" s="33">
        <f>DAY(TableAopCalendar[[#This Row],[Date]])</f>
        <v>19</v>
      </c>
      <c r="F212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21" s="33" t="str">
        <f t="shared" si="115"/>
        <v>Week 3</v>
      </c>
      <c r="H2121" s="33" t="str">
        <f t="shared" si="116"/>
        <v>January 28 Week 3</v>
      </c>
      <c r="I2121" s="33" t="str">
        <f>CONCATENATE(UPPER(TableAopCalendar[[#This Row],[Month]])," ",TableAopCalendar[[#This Row],[Year]])</f>
        <v>JANUARY 28</v>
      </c>
      <c r="J2121" s="8" t="s">
        <v>274</v>
      </c>
      <c r="K2121" s="33" t="str">
        <f>CONCATENATE(TableAopCalendar[[#This Row],[Month for Plan]]," ",TableAopCalendar[[#This Row],[Plan]])</f>
        <v>JANUARY 28 PLANNED</v>
      </c>
    </row>
    <row r="2122" spans="1:11" x14ac:dyDescent="0.25">
      <c r="A2122" s="33">
        <f t="shared" si="114"/>
        <v>6</v>
      </c>
      <c r="B2122" s="34">
        <v>46772</v>
      </c>
      <c r="C2122" s="7" t="s">
        <v>271</v>
      </c>
      <c r="D2122" s="35">
        <v>28</v>
      </c>
      <c r="E2122" s="33">
        <f>DAY(TableAopCalendar[[#This Row],[Date]])</f>
        <v>20</v>
      </c>
      <c r="F212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22" s="33" t="str">
        <f t="shared" si="115"/>
        <v>Week 3</v>
      </c>
      <c r="H2122" s="33" t="str">
        <f t="shared" si="116"/>
        <v>January 28 Week 3</v>
      </c>
      <c r="I2122" s="33" t="str">
        <f>CONCATENATE(UPPER(TableAopCalendar[[#This Row],[Month]])," ",TableAopCalendar[[#This Row],[Year]])</f>
        <v>JANUARY 28</v>
      </c>
      <c r="J2122" s="8" t="s">
        <v>274</v>
      </c>
      <c r="K2122" s="33" t="str">
        <f>CONCATENATE(TableAopCalendar[[#This Row],[Month for Plan]]," ",TableAopCalendar[[#This Row],[Plan]])</f>
        <v>JANUARY 28 PLANNED</v>
      </c>
    </row>
    <row r="2123" spans="1:11" x14ac:dyDescent="0.25">
      <c r="A2123" s="33">
        <f t="shared" si="114"/>
        <v>7</v>
      </c>
      <c r="B2123" s="34">
        <v>46773</v>
      </c>
      <c r="C2123" s="7" t="s">
        <v>271</v>
      </c>
      <c r="D2123" s="35">
        <v>28</v>
      </c>
      <c r="E2123" s="33">
        <f>DAY(TableAopCalendar[[#This Row],[Date]])</f>
        <v>21</v>
      </c>
      <c r="F212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23" s="33" t="str">
        <f t="shared" si="115"/>
        <v>Week 3</v>
      </c>
      <c r="H2123" s="33" t="str">
        <f t="shared" si="116"/>
        <v>January 28 Week 3</v>
      </c>
      <c r="I2123" s="33" t="str">
        <f>CONCATENATE(UPPER(TableAopCalendar[[#This Row],[Month]])," ",TableAopCalendar[[#This Row],[Year]])</f>
        <v>JANUARY 28</v>
      </c>
      <c r="J2123" s="8" t="s">
        <v>274</v>
      </c>
      <c r="K2123" s="33" t="str">
        <f>CONCATENATE(TableAopCalendar[[#This Row],[Month for Plan]]," ",TableAopCalendar[[#This Row],[Plan]])</f>
        <v>JANUARY 28 PLANNED</v>
      </c>
    </row>
    <row r="2124" spans="1:11" x14ac:dyDescent="0.25">
      <c r="A2124" s="33">
        <f t="shared" si="114"/>
        <v>1</v>
      </c>
      <c r="B2124" s="34">
        <v>46774</v>
      </c>
      <c r="C2124" s="7" t="s">
        <v>271</v>
      </c>
      <c r="D2124" s="35">
        <v>28</v>
      </c>
      <c r="E2124" s="33">
        <f>DAY(TableAopCalendar[[#This Row],[Date]])</f>
        <v>22</v>
      </c>
      <c r="F212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24" s="33" t="str">
        <f t="shared" si="115"/>
        <v>Week 4</v>
      </c>
      <c r="H2124" s="33" t="str">
        <f t="shared" si="116"/>
        <v>January 28 Week 4</v>
      </c>
      <c r="I2124" s="33" t="str">
        <f>CONCATENATE(UPPER(TableAopCalendar[[#This Row],[Month]])," ",TableAopCalendar[[#This Row],[Year]])</f>
        <v>JANUARY 28</v>
      </c>
      <c r="J2124" s="8" t="s">
        <v>274</v>
      </c>
      <c r="K2124" s="33" t="str">
        <f>CONCATENATE(TableAopCalendar[[#This Row],[Month for Plan]]," ",TableAopCalendar[[#This Row],[Plan]])</f>
        <v>JANUARY 28 PLANNED</v>
      </c>
    </row>
    <row r="2125" spans="1:11" x14ac:dyDescent="0.25">
      <c r="A2125" s="33">
        <f t="shared" si="114"/>
        <v>2</v>
      </c>
      <c r="B2125" s="34">
        <v>46775</v>
      </c>
      <c r="C2125" s="7" t="s">
        <v>271</v>
      </c>
      <c r="D2125" s="35">
        <v>28</v>
      </c>
      <c r="E2125" s="33">
        <f>DAY(TableAopCalendar[[#This Row],[Date]])</f>
        <v>23</v>
      </c>
      <c r="F212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25" s="33" t="str">
        <f t="shared" si="115"/>
        <v>Week 4</v>
      </c>
      <c r="H2125" s="33" t="str">
        <f t="shared" si="116"/>
        <v>January 28 Week 4</v>
      </c>
      <c r="I2125" s="33" t="str">
        <f>CONCATENATE(UPPER(TableAopCalendar[[#This Row],[Month]])," ",TableAopCalendar[[#This Row],[Year]])</f>
        <v>JANUARY 28</v>
      </c>
      <c r="J2125" s="8" t="s">
        <v>274</v>
      </c>
      <c r="K2125" s="33" t="str">
        <f>CONCATENATE(TableAopCalendar[[#This Row],[Month for Plan]]," ",TableAopCalendar[[#This Row],[Plan]])</f>
        <v>JANUARY 28 PLANNED</v>
      </c>
    </row>
    <row r="2126" spans="1:11" x14ac:dyDescent="0.25">
      <c r="A2126" s="33">
        <f t="shared" si="114"/>
        <v>3</v>
      </c>
      <c r="B2126" s="34">
        <v>46776</v>
      </c>
      <c r="C2126" s="7" t="s">
        <v>271</v>
      </c>
      <c r="D2126" s="35">
        <v>28</v>
      </c>
      <c r="E2126" s="33">
        <f>DAY(TableAopCalendar[[#This Row],[Date]])</f>
        <v>24</v>
      </c>
      <c r="F212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26" s="33" t="str">
        <f t="shared" si="115"/>
        <v>Week 4</v>
      </c>
      <c r="H2126" s="33" t="str">
        <f t="shared" si="116"/>
        <v>January 28 Week 4</v>
      </c>
      <c r="I2126" s="33" t="str">
        <f>CONCATENATE(UPPER(TableAopCalendar[[#This Row],[Month]])," ",TableAopCalendar[[#This Row],[Year]])</f>
        <v>JANUARY 28</v>
      </c>
      <c r="J2126" s="8" t="s">
        <v>274</v>
      </c>
      <c r="K2126" s="33" t="str">
        <f>CONCATENATE(TableAopCalendar[[#This Row],[Month for Plan]]," ",TableAopCalendar[[#This Row],[Plan]])</f>
        <v>JANUARY 28 PLANNED</v>
      </c>
    </row>
    <row r="2127" spans="1:11" x14ac:dyDescent="0.25">
      <c r="A2127" s="33">
        <f t="shared" si="114"/>
        <v>4</v>
      </c>
      <c r="B2127" s="34">
        <v>46777</v>
      </c>
      <c r="C2127" s="7" t="s">
        <v>271</v>
      </c>
      <c r="D2127" s="35">
        <v>28</v>
      </c>
      <c r="E2127" s="33">
        <f>DAY(TableAopCalendar[[#This Row],[Date]])</f>
        <v>25</v>
      </c>
      <c r="F212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27" s="33" t="str">
        <f t="shared" si="115"/>
        <v>Week 4</v>
      </c>
      <c r="H2127" s="33" t="str">
        <f t="shared" si="116"/>
        <v>January 28 Week 4</v>
      </c>
      <c r="I2127" s="33" t="str">
        <f>CONCATENATE(UPPER(TableAopCalendar[[#This Row],[Month]])," ",TableAopCalendar[[#This Row],[Year]])</f>
        <v>JANUARY 28</v>
      </c>
      <c r="J2127" s="8" t="s">
        <v>274</v>
      </c>
      <c r="K2127" s="33" t="str">
        <f>CONCATENATE(TableAopCalendar[[#This Row],[Month for Plan]]," ",TableAopCalendar[[#This Row],[Plan]])</f>
        <v>JANUARY 28 PLANNED</v>
      </c>
    </row>
    <row r="2128" spans="1:11" x14ac:dyDescent="0.25">
      <c r="A2128" s="33">
        <f t="shared" si="114"/>
        <v>5</v>
      </c>
      <c r="B2128" s="34">
        <v>46778</v>
      </c>
      <c r="C2128" s="7" t="s">
        <v>271</v>
      </c>
      <c r="D2128" s="35">
        <v>28</v>
      </c>
      <c r="E2128" s="33">
        <f>DAY(TableAopCalendar[[#This Row],[Date]])</f>
        <v>26</v>
      </c>
      <c r="F212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28" s="33" t="str">
        <f t="shared" si="115"/>
        <v>Week 4</v>
      </c>
      <c r="H2128" s="33" t="str">
        <f t="shared" si="116"/>
        <v>January 28 Week 4</v>
      </c>
      <c r="I2128" s="33" t="str">
        <f>CONCATENATE(UPPER(TableAopCalendar[[#This Row],[Month]])," ",TableAopCalendar[[#This Row],[Year]])</f>
        <v>JANUARY 28</v>
      </c>
      <c r="J2128" s="8" t="s">
        <v>274</v>
      </c>
      <c r="K2128" s="33" t="str">
        <f>CONCATENATE(TableAopCalendar[[#This Row],[Month for Plan]]," ",TableAopCalendar[[#This Row],[Plan]])</f>
        <v>JANUARY 28 PLANNED</v>
      </c>
    </row>
    <row r="2129" spans="1:11" x14ac:dyDescent="0.25">
      <c r="A2129" s="33">
        <f t="shared" si="114"/>
        <v>6</v>
      </c>
      <c r="B2129" s="34">
        <v>46779</v>
      </c>
      <c r="C2129" s="7" t="s">
        <v>271</v>
      </c>
      <c r="D2129" s="35">
        <v>28</v>
      </c>
      <c r="E2129" s="33">
        <f>DAY(TableAopCalendar[[#This Row],[Date]])</f>
        <v>27</v>
      </c>
      <c r="F212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29" s="33" t="str">
        <f t="shared" si="115"/>
        <v>Week 4</v>
      </c>
      <c r="H2129" s="33" t="str">
        <f t="shared" si="116"/>
        <v>January 28 Week 4</v>
      </c>
      <c r="I2129" s="33" t="str">
        <f>CONCATENATE(UPPER(TableAopCalendar[[#This Row],[Month]])," ",TableAopCalendar[[#This Row],[Year]])</f>
        <v>JANUARY 28</v>
      </c>
      <c r="J2129" s="8" t="s">
        <v>274</v>
      </c>
      <c r="K2129" s="33" t="str">
        <f>CONCATENATE(TableAopCalendar[[#This Row],[Month for Plan]]," ",TableAopCalendar[[#This Row],[Plan]])</f>
        <v>JANUARY 28 PLANNED</v>
      </c>
    </row>
    <row r="2130" spans="1:11" x14ac:dyDescent="0.25">
      <c r="A2130" s="33">
        <f t="shared" si="114"/>
        <v>7</v>
      </c>
      <c r="B2130" s="34">
        <v>46780</v>
      </c>
      <c r="C2130" s="7" t="s">
        <v>271</v>
      </c>
      <c r="D2130" s="35">
        <v>28</v>
      </c>
      <c r="E2130" s="33">
        <f>DAY(TableAopCalendar[[#This Row],[Date]])</f>
        <v>28</v>
      </c>
      <c r="F213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30" s="33" t="str">
        <f t="shared" si="115"/>
        <v>Week 4</v>
      </c>
      <c r="H2130" s="33" t="str">
        <f t="shared" si="116"/>
        <v>January 28 Week 4</v>
      </c>
      <c r="I2130" s="33" t="str">
        <f>CONCATENATE(UPPER(TableAopCalendar[[#This Row],[Month]])," ",TableAopCalendar[[#This Row],[Year]])</f>
        <v>JANUARY 28</v>
      </c>
      <c r="J2130" s="8" t="s">
        <v>274</v>
      </c>
      <c r="K2130" s="33" t="str">
        <f>CONCATENATE(TableAopCalendar[[#This Row],[Month for Plan]]," ",TableAopCalendar[[#This Row],[Plan]])</f>
        <v>JANUARY 28 PLANNED</v>
      </c>
    </row>
    <row r="2131" spans="1:11" x14ac:dyDescent="0.25">
      <c r="A2131" s="33">
        <f t="shared" si="114"/>
        <v>1</v>
      </c>
      <c r="B2131" s="34">
        <v>46781</v>
      </c>
      <c r="C2131" s="7" t="s">
        <v>271</v>
      </c>
      <c r="D2131" s="35">
        <v>28</v>
      </c>
      <c r="E2131" s="33">
        <f>DAY(TableAopCalendar[[#This Row],[Date]])</f>
        <v>29</v>
      </c>
      <c r="F213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31" s="33" t="str">
        <f t="shared" si="115"/>
        <v>Week 5</v>
      </c>
      <c r="H2131" s="33" t="str">
        <f t="shared" si="116"/>
        <v>January 28 Week 5</v>
      </c>
      <c r="I2131" s="33" t="str">
        <f>CONCATENATE(UPPER(TableAopCalendar[[#This Row],[Month]])," ",TableAopCalendar[[#This Row],[Year]])</f>
        <v>JANUARY 28</v>
      </c>
      <c r="J2131" s="8" t="s">
        <v>274</v>
      </c>
      <c r="K2131" s="33" t="str">
        <f>CONCATENATE(TableAopCalendar[[#This Row],[Month for Plan]]," ",TableAopCalendar[[#This Row],[Plan]])</f>
        <v>JANUARY 28 PLANNED</v>
      </c>
    </row>
    <row r="2132" spans="1:11" x14ac:dyDescent="0.25">
      <c r="A2132" s="33">
        <f t="shared" si="114"/>
        <v>2</v>
      </c>
      <c r="B2132" s="34">
        <v>46782</v>
      </c>
      <c r="C2132" s="7" t="s">
        <v>271</v>
      </c>
      <c r="D2132" s="35">
        <v>28</v>
      </c>
      <c r="E2132" s="33">
        <f>DAY(TableAopCalendar[[#This Row],[Date]])</f>
        <v>30</v>
      </c>
      <c r="F213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32" s="33" t="str">
        <f t="shared" si="115"/>
        <v>Week 5</v>
      </c>
      <c r="H2132" s="33" t="str">
        <f t="shared" si="116"/>
        <v>January 28 Week 5</v>
      </c>
      <c r="I2132" s="33" t="str">
        <f>CONCATENATE(UPPER(TableAopCalendar[[#This Row],[Month]])," ",TableAopCalendar[[#This Row],[Year]])</f>
        <v>JANUARY 28</v>
      </c>
      <c r="J2132" s="8" t="s">
        <v>274</v>
      </c>
      <c r="K2132" s="33" t="str">
        <f>CONCATENATE(TableAopCalendar[[#This Row],[Month for Plan]]," ",TableAopCalendar[[#This Row],[Plan]])</f>
        <v>JANUARY 28 PLANNED</v>
      </c>
    </row>
    <row r="2133" spans="1:11" x14ac:dyDescent="0.25">
      <c r="A2133" s="33">
        <f t="shared" si="114"/>
        <v>3</v>
      </c>
      <c r="B2133" s="34">
        <v>46783</v>
      </c>
      <c r="C2133" s="7" t="s">
        <v>271</v>
      </c>
      <c r="D2133" s="35">
        <v>28</v>
      </c>
      <c r="E2133" s="33">
        <f>DAY(TableAopCalendar[[#This Row],[Date]])</f>
        <v>31</v>
      </c>
      <c r="F2133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33" s="33" t="str">
        <f t="shared" si="115"/>
        <v>Week 5</v>
      </c>
      <c r="H2133" s="33" t="str">
        <f t="shared" si="116"/>
        <v>January 28 Week 5</v>
      </c>
      <c r="I2133" s="33" t="str">
        <f>CONCATENATE(UPPER(TableAopCalendar[[#This Row],[Month]])," ",TableAopCalendar[[#This Row],[Year]])</f>
        <v>JANUARY 28</v>
      </c>
      <c r="J2133" s="8" t="s">
        <v>274</v>
      </c>
      <c r="K2133" s="33" t="str">
        <f>CONCATENATE(TableAopCalendar[[#This Row],[Month for Plan]]," ",TableAopCalendar[[#This Row],[Plan]])</f>
        <v>JANUARY 28 PLANNED</v>
      </c>
    </row>
    <row r="2134" spans="1:11" x14ac:dyDescent="0.25">
      <c r="A2134" s="33">
        <f t="shared" si="114"/>
        <v>1</v>
      </c>
      <c r="B2134" s="34">
        <v>46784</v>
      </c>
      <c r="C2134" s="7" t="s">
        <v>272</v>
      </c>
      <c r="D2134" s="35">
        <v>28</v>
      </c>
      <c r="E2134" s="33">
        <f>DAY(TableAopCalendar[[#This Row],[Date]])</f>
        <v>1</v>
      </c>
      <c r="F213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34" s="33" t="str">
        <f t="shared" si="115"/>
        <v>Week 1</v>
      </c>
      <c r="H2134" s="33" t="str">
        <f t="shared" si="116"/>
        <v>February 28 Week 1</v>
      </c>
      <c r="I2134" s="33" t="str">
        <f>CONCATENATE(UPPER(TableAopCalendar[[#This Row],[Month]])," ",TableAopCalendar[[#This Row],[Year]])</f>
        <v>FEBRUARY 28</v>
      </c>
      <c r="J2134" s="8" t="s">
        <v>274</v>
      </c>
      <c r="K2134" s="33" t="str">
        <f>CONCATENATE(TableAopCalendar[[#This Row],[Month for Plan]]," ",TableAopCalendar[[#This Row],[Plan]])</f>
        <v>FEBRUARY 28 PLANNED</v>
      </c>
    </row>
    <row r="2135" spans="1:11" x14ac:dyDescent="0.25">
      <c r="A2135" s="33">
        <f t="shared" si="114"/>
        <v>2</v>
      </c>
      <c r="B2135" s="34">
        <v>46785</v>
      </c>
      <c r="C2135" s="7" t="s">
        <v>272</v>
      </c>
      <c r="D2135" s="35">
        <v>28</v>
      </c>
      <c r="E2135" s="33">
        <f>DAY(TableAopCalendar[[#This Row],[Date]])</f>
        <v>2</v>
      </c>
      <c r="F213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35" s="33" t="str">
        <f t="shared" si="115"/>
        <v>Week 1</v>
      </c>
      <c r="H2135" s="33" t="str">
        <f t="shared" si="116"/>
        <v>February 28 Week 1</v>
      </c>
      <c r="I2135" s="33" t="str">
        <f>CONCATENATE(UPPER(TableAopCalendar[[#This Row],[Month]])," ",TableAopCalendar[[#This Row],[Year]])</f>
        <v>FEBRUARY 28</v>
      </c>
      <c r="J2135" s="8" t="s">
        <v>274</v>
      </c>
      <c r="K2135" s="33" t="str">
        <f>CONCATENATE(TableAopCalendar[[#This Row],[Month for Plan]]," ",TableAopCalendar[[#This Row],[Plan]])</f>
        <v>FEBRUARY 28 PLANNED</v>
      </c>
    </row>
    <row r="2136" spans="1:11" x14ac:dyDescent="0.25">
      <c r="A2136" s="33">
        <f t="shared" si="114"/>
        <v>3</v>
      </c>
      <c r="B2136" s="34">
        <v>46786</v>
      </c>
      <c r="C2136" s="7" t="s">
        <v>272</v>
      </c>
      <c r="D2136" s="35">
        <v>28</v>
      </c>
      <c r="E2136" s="33">
        <f>DAY(TableAopCalendar[[#This Row],[Date]])</f>
        <v>3</v>
      </c>
      <c r="F213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36" s="33" t="str">
        <f t="shared" si="115"/>
        <v>Week 1</v>
      </c>
      <c r="H2136" s="33" t="str">
        <f t="shared" si="116"/>
        <v>February 28 Week 1</v>
      </c>
      <c r="I2136" s="33" t="str">
        <f>CONCATENATE(UPPER(TableAopCalendar[[#This Row],[Month]])," ",TableAopCalendar[[#This Row],[Year]])</f>
        <v>FEBRUARY 28</v>
      </c>
      <c r="J2136" s="8" t="s">
        <v>274</v>
      </c>
      <c r="K2136" s="33" t="str">
        <f>CONCATENATE(TableAopCalendar[[#This Row],[Month for Plan]]," ",TableAopCalendar[[#This Row],[Plan]])</f>
        <v>FEBRUARY 28 PLANNED</v>
      </c>
    </row>
    <row r="2137" spans="1:11" x14ac:dyDescent="0.25">
      <c r="A2137" s="33">
        <f t="shared" si="114"/>
        <v>4</v>
      </c>
      <c r="B2137" s="34">
        <v>46787</v>
      </c>
      <c r="C2137" s="7" t="s">
        <v>272</v>
      </c>
      <c r="D2137" s="35">
        <v>28</v>
      </c>
      <c r="E2137" s="33">
        <f>DAY(TableAopCalendar[[#This Row],[Date]])</f>
        <v>4</v>
      </c>
      <c r="F213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37" s="33" t="str">
        <f t="shared" si="115"/>
        <v>Week 1</v>
      </c>
      <c r="H2137" s="33" t="str">
        <f t="shared" si="116"/>
        <v>February 28 Week 1</v>
      </c>
      <c r="I2137" s="33" t="str">
        <f>CONCATENATE(UPPER(TableAopCalendar[[#This Row],[Month]])," ",TableAopCalendar[[#This Row],[Year]])</f>
        <v>FEBRUARY 28</v>
      </c>
      <c r="J2137" s="8" t="s">
        <v>274</v>
      </c>
      <c r="K2137" s="33" t="str">
        <f>CONCATENATE(TableAopCalendar[[#This Row],[Month for Plan]]," ",TableAopCalendar[[#This Row],[Plan]])</f>
        <v>FEBRUARY 28 PLANNED</v>
      </c>
    </row>
    <row r="2138" spans="1:11" x14ac:dyDescent="0.25">
      <c r="A2138" s="33">
        <f t="shared" si="114"/>
        <v>5</v>
      </c>
      <c r="B2138" s="34">
        <v>46788</v>
      </c>
      <c r="C2138" s="7" t="s">
        <v>272</v>
      </c>
      <c r="D2138" s="35">
        <v>28</v>
      </c>
      <c r="E2138" s="33">
        <f>DAY(TableAopCalendar[[#This Row],[Date]])</f>
        <v>5</v>
      </c>
      <c r="F213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38" s="33" t="str">
        <f t="shared" si="115"/>
        <v>Week 1</v>
      </c>
      <c r="H2138" s="33" t="str">
        <f t="shared" si="116"/>
        <v>February 28 Week 1</v>
      </c>
      <c r="I2138" s="33" t="str">
        <f>CONCATENATE(UPPER(TableAopCalendar[[#This Row],[Month]])," ",TableAopCalendar[[#This Row],[Year]])</f>
        <v>FEBRUARY 28</v>
      </c>
      <c r="J2138" s="8" t="s">
        <v>274</v>
      </c>
      <c r="K2138" s="33" t="str">
        <f>CONCATENATE(TableAopCalendar[[#This Row],[Month for Plan]]," ",TableAopCalendar[[#This Row],[Plan]])</f>
        <v>FEBRUARY 28 PLANNED</v>
      </c>
    </row>
    <row r="2139" spans="1:11" x14ac:dyDescent="0.25">
      <c r="A2139" s="33">
        <f t="shared" si="114"/>
        <v>6</v>
      </c>
      <c r="B2139" s="34">
        <v>46789</v>
      </c>
      <c r="C2139" s="7" t="s">
        <v>272</v>
      </c>
      <c r="D2139" s="35">
        <v>28</v>
      </c>
      <c r="E2139" s="33">
        <f>DAY(TableAopCalendar[[#This Row],[Date]])</f>
        <v>6</v>
      </c>
      <c r="F213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39" s="33" t="str">
        <f t="shared" si="115"/>
        <v>Week 1</v>
      </c>
      <c r="H2139" s="33" t="str">
        <f t="shared" si="116"/>
        <v>February 28 Week 1</v>
      </c>
      <c r="I2139" s="33" t="str">
        <f>CONCATENATE(UPPER(TableAopCalendar[[#This Row],[Month]])," ",TableAopCalendar[[#This Row],[Year]])</f>
        <v>FEBRUARY 28</v>
      </c>
      <c r="J2139" s="8" t="s">
        <v>274</v>
      </c>
      <c r="K2139" s="33" t="str">
        <f>CONCATENATE(TableAopCalendar[[#This Row],[Month for Plan]]," ",TableAopCalendar[[#This Row],[Plan]])</f>
        <v>FEBRUARY 28 PLANNED</v>
      </c>
    </row>
    <row r="2140" spans="1:11" x14ac:dyDescent="0.25">
      <c r="A2140" s="33">
        <f t="shared" si="114"/>
        <v>7</v>
      </c>
      <c r="B2140" s="34">
        <v>46790</v>
      </c>
      <c r="C2140" s="7" t="s">
        <v>272</v>
      </c>
      <c r="D2140" s="35">
        <v>28</v>
      </c>
      <c r="E2140" s="33">
        <f>DAY(TableAopCalendar[[#This Row],[Date]])</f>
        <v>7</v>
      </c>
      <c r="F214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40" s="33" t="str">
        <f t="shared" si="115"/>
        <v>Week 1</v>
      </c>
      <c r="H2140" s="33" t="str">
        <f t="shared" si="116"/>
        <v>February 28 Week 1</v>
      </c>
      <c r="I2140" s="33" t="str">
        <f>CONCATENATE(UPPER(TableAopCalendar[[#This Row],[Month]])," ",TableAopCalendar[[#This Row],[Year]])</f>
        <v>FEBRUARY 28</v>
      </c>
      <c r="J2140" s="8" t="s">
        <v>274</v>
      </c>
      <c r="K2140" s="33" t="str">
        <f>CONCATENATE(TableAopCalendar[[#This Row],[Month for Plan]]," ",TableAopCalendar[[#This Row],[Plan]])</f>
        <v>FEBRUARY 28 PLANNED</v>
      </c>
    </row>
    <row r="2141" spans="1:11" x14ac:dyDescent="0.25">
      <c r="A2141" s="33">
        <f t="shared" si="114"/>
        <v>1</v>
      </c>
      <c r="B2141" s="34">
        <v>46791</v>
      </c>
      <c r="C2141" s="7" t="s">
        <v>272</v>
      </c>
      <c r="D2141" s="35">
        <v>28</v>
      </c>
      <c r="E2141" s="33">
        <f>DAY(TableAopCalendar[[#This Row],[Date]])</f>
        <v>8</v>
      </c>
      <c r="F214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41" s="33" t="str">
        <f t="shared" si="115"/>
        <v>Week 2</v>
      </c>
      <c r="H2141" s="33" t="str">
        <f t="shared" si="116"/>
        <v>February 28 Week 2</v>
      </c>
      <c r="I2141" s="33" t="str">
        <f>CONCATENATE(UPPER(TableAopCalendar[[#This Row],[Month]])," ",TableAopCalendar[[#This Row],[Year]])</f>
        <v>FEBRUARY 28</v>
      </c>
      <c r="J2141" s="8" t="s">
        <v>274</v>
      </c>
      <c r="K2141" s="33" t="str">
        <f>CONCATENATE(TableAopCalendar[[#This Row],[Month for Plan]]," ",TableAopCalendar[[#This Row],[Plan]])</f>
        <v>FEBRUARY 28 PLANNED</v>
      </c>
    </row>
    <row r="2142" spans="1:11" x14ac:dyDescent="0.25">
      <c r="A2142" s="33">
        <f t="shared" si="114"/>
        <v>2</v>
      </c>
      <c r="B2142" s="34">
        <v>46792</v>
      </c>
      <c r="C2142" s="7" t="s">
        <v>272</v>
      </c>
      <c r="D2142" s="35">
        <v>28</v>
      </c>
      <c r="E2142" s="33">
        <f>DAY(TableAopCalendar[[#This Row],[Date]])</f>
        <v>9</v>
      </c>
      <c r="F214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42" s="33" t="str">
        <f t="shared" si="115"/>
        <v>Week 2</v>
      </c>
      <c r="H2142" s="33" t="str">
        <f t="shared" si="116"/>
        <v>February 28 Week 2</v>
      </c>
      <c r="I2142" s="33" t="str">
        <f>CONCATENATE(UPPER(TableAopCalendar[[#This Row],[Month]])," ",TableAopCalendar[[#This Row],[Year]])</f>
        <v>FEBRUARY 28</v>
      </c>
      <c r="J2142" s="8" t="s">
        <v>274</v>
      </c>
      <c r="K2142" s="33" t="str">
        <f>CONCATENATE(TableAopCalendar[[#This Row],[Month for Plan]]," ",TableAopCalendar[[#This Row],[Plan]])</f>
        <v>FEBRUARY 28 PLANNED</v>
      </c>
    </row>
    <row r="2143" spans="1:11" x14ac:dyDescent="0.25">
      <c r="A2143" s="33">
        <f t="shared" si="114"/>
        <v>3</v>
      </c>
      <c r="B2143" s="34">
        <v>46793</v>
      </c>
      <c r="C2143" s="7" t="s">
        <v>272</v>
      </c>
      <c r="D2143" s="35">
        <v>28</v>
      </c>
      <c r="E2143" s="33">
        <f>DAY(TableAopCalendar[[#This Row],[Date]])</f>
        <v>10</v>
      </c>
      <c r="F214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43" s="33" t="str">
        <f t="shared" si="115"/>
        <v>Week 2</v>
      </c>
      <c r="H2143" s="33" t="str">
        <f t="shared" si="116"/>
        <v>February 28 Week 2</v>
      </c>
      <c r="I2143" s="33" t="str">
        <f>CONCATENATE(UPPER(TableAopCalendar[[#This Row],[Month]])," ",TableAopCalendar[[#This Row],[Year]])</f>
        <v>FEBRUARY 28</v>
      </c>
      <c r="J2143" s="8" t="s">
        <v>274</v>
      </c>
      <c r="K2143" s="33" t="str">
        <f>CONCATENATE(TableAopCalendar[[#This Row],[Month for Plan]]," ",TableAopCalendar[[#This Row],[Plan]])</f>
        <v>FEBRUARY 28 PLANNED</v>
      </c>
    </row>
    <row r="2144" spans="1:11" x14ac:dyDescent="0.25">
      <c r="A2144" s="33">
        <f t="shared" si="114"/>
        <v>4</v>
      </c>
      <c r="B2144" s="34">
        <v>46794</v>
      </c>
      <c r="C2144" s="7" t="s">
        <v>272</v>
      </c>
      <c r="D2144" s="35">
        <v>28</v>
      </c>
      <c r="E2144" s="33">
        <f>DAY(TableAopCalendar[[#This Row],[Date]])</f>
        <v>11</v>
      </c>
      <c r="F214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44" s="33" t="str">
        <f t="shared" si="115"/>
        <v>Week 2</v>
      </c>
      <c r="H2144" s="33" t="str">
        <f t="shared" si="116"/>
        <v>February 28 Week 2</v>
      </c>
      <c r="I2144" s="33" t="str">
        <f>CONCATENATE(UPPER(TableAopCalendar[[#This Row],[Month]])," ",TableAopCalendar[[#This Row],[Year]])</f>
        <v>FEBRUARY 28</v>
      </c>
      <c r="J2144" s="8" t="s">
        <v>274</v>
      </c>
      <c r="K2144" s="33" t="str">
        <f>CONCATENATE(TableAopCalendar[[#This Row],[Month for Plan]]," ",TableAopCalendar[[#This Row],[Plan]])</f>
        <v>FEBRUARY 28 PLANNED</v>
      </c>
    </row>
    <row r="2145" spans="1:11" x14ac:dyDescent="0.25">
      <c r="A2145" s="33">
        <f t="shared" si="114"/>
        <v>5</v>
      </c>
      <c r="B2145" s="34">
        <v>46795</v>
      </c>
      <c r="C2145" s="7" t="s">
        <v>272</v>
      </c>
      <c r="D2145" s="35">
        <v>28</v>
      </c>
      <c r="E2145" s="33">
        <f>DAY(TableAopCalendar[[#This Row],[Date]])</f>
        <v>12</v>
      </c>
      <c r="F214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45" s="33" t="str">
        <f t="shared" si="115"/>
        <v>Week 2</v>
      </c>
      <c r="H2145" s="33" t="str">
        <f t="shared" si="116"/>
        <v>February 28 Week 2</v>
      </c>
      <c r="I2145" s="33" t="str">
        <f>CONCATENATE(UPPER(TableAopCalendar[[#This Row],[Month]])," ",TableAopCalendar[[#This Row],[Year]])</f>
        <v>FEBRUARY 28</v>
      </c>
      <c r="J2145" s="8" t="s">
        <v>274</v>
      </c>
      <c r="K2145" s="33" t="str">
        <f>CONCATENATE(TableAopCalendar[[#This Row],[Month for Plan]]," ",TableAopCalendar[[#This Row],[Plan]])</f>
        <v>FEBRUARY 28 PLANNED</v>
      </c>
    </row>
    <row r="2146" spans="1:11" x14ac:dyDescent="0.25">
      <c r="A2146" s="33">
        <f t="shared" si="114"/>
        <v>6</v>
      </c>
      <c r="B2146" s="34">
        <v>46796</v>
      </c>
      <c r="C2146" s="7" t="s">
        <v>272</v>
      </c>
      <c r="D2146" s="35">
        <v>28</v>
      </c>
      <c r="E2146" s="33">
        <f>DAY(TableAopCalendar[[#This Row],[Date]])</f>
        <v>13</v>
      </c>
      <c r="F214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46" s="33" t="str">
        <f t="shared" si="115"/>
        <v>Week 2</v>
      </c>
      <c r="H2146" s="33" t="str">
        <f t="shared" si="116"/>
        <v>February 28 Week 2</v>
      </c>
      <c r="I2146" s="33" t="str">
        <f>CONCATENATE(UPPER(TableAopCalendar[[#This Row],[Month]])," ",TableAopCalendar[[#This Row],[Year]])</f>
        <v>FEBRUARY 28</v>
      </c>
      <c r="J2146" s="8" t="s">
        <v>274</v>
      </c>
      <c r="K2146" s="33" t="str">
        <f>CONCATENATE(TableAopCalendar[[#This Row],[Month for Plan]]," ",TableAopCalendar[[#This Row],[Plan]])</f>
        <v>FEBRUARY 28 PLANNED</v>
      </c>
    </row>
    <row r="2147" spans="1:11" x14ac:dyDescent="0.25">
      <c r="A2147" s="33">
        <f t="shared" si="114"/>
        <v>7</v>
      </c>
      <c r="B2147" s="34">
        <v>46797</v>
      </c>
      <c r="C2147" s="7" t="s">
        <v>272</v>
      </c>
      <c r="D2147" s="35">
        <v>28</v>
      </c>
      <c r="E2147" s="33">
        <f>DAY(TableAopCalendar[[#This Row],[Date]])</f>
        <v>14</v>
      </c>
      <c r="F214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47" s="33" t="str">
        <f t="shared" si="115"/>
        <v>Week 2</v>
      </c>
      <c r="H2147" s="33" t="str">
        <f t="shared" si="116"/>
        <v>February 28 Week 2</v>
      </c>
      <c r="I2147" s="33" t="str">
        <f>CONCATENATE(UPPER(TableAopCalendar[[#This Row],[Month]])," ",TableAopCalendar[[#This Row],[Year]])</f>
        <v>FEBRUARY 28</v>
      </c>
      <c r="J2147" s="8" t="s">
        <v>274</v>
      </c>
      <c r="K2147" s="33" t="str">
        <f>CONCATENATE(TableAopCalendar[[#This Row],[Month for Plan]]," ",TableAopCalendar[[#This Row],[Plan]])</f>
        <v>FEBRUARY 28 PLANNED</v>
      </c>
    </row>
    <row r="2148" spans="1:11" x14ac:dyDescent="0.25">
      <c r="A2148" s="33">
        <f t="shared" ref="A2148:A2211" si="117">IF(G2148=G2147,A2147+1,1)</f>
        <v>1</v>
      </c>
      <c r="B2148" s="34">
        <v>46798</v>
      </c>
      <c r="C2148" s="7" t="s">
        <v>272</v>
      </c>
      <c r="D2148" s="35">
        <v>28</v>
      </c>
      <c r="E2148" s="33">
        <f>DAY(TableAopCalendar[[#This Row],[Date]])</f>
        <v>15</v>
      </c>
      <c r="F214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48" s="33" t="str">
        <f t="shared" ref="G2148:G2211" si="118">"Week"&amp;" "&amp;F2148</f>
        <v>Week 3</v>
      </c>
      <c r="H2148" s="33" t="str">
        <f t="shared" ref="H2148:H2211" si="119">CONCATENATE(C2148," ",D2148," ",G2148)</f>
        <v>February 28 Week 3</v>
      </c>
      <c r="I2148" s="33" t="str">
        <f>CONCATENATE(UPPER(TableAopCalendar[[#This Row],[Month]])," ",TableAopCalendar[[#This Row],[Year]])</f>
        <v>FEBRUARY 28</v>
      </c>
      <c r="J2148" s="8" t="s">
        <v>274</v>
      </c>
      <c r="K2148" s="33" t="str">
        <f>CONCATENATE(TableAopCalendar[[#This Row],[Month for Plan]]," ",TableAopCalendar[[#This Row],[Plan]])</f>
        <v>FEBRUARY 28 PLANNED</v>
      </c>
    </row>
    <row r="2149" spans="1:11" x14ac:dyDescent="0.25">
      <c r="A2149" s="33">
        <f t="shared" si="117"/>
        <v>2</v>
      </c>
      <c r="B2149" s="34">
        <v>46799</v>
      </c>
      <c r="C2149" s="7" t="s">
        <v>272</v>
      </c>
      <c r="D2149" s="35">
        <v>28</v>
      </c>
      <c r="E2149" s="33">
        <f>DAY(TableAopCalendar[[#This Row],[Date]])</f>
        <v>16</v>
      </c>
      <c r="F214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49" s="33" t="str">
        <f t="shared" si="118"/>
        <v>Week 3</v>
      </c>
      <c r="H2149" s="33" t="str">
        <f t="shared" si="119"/>
        <v>February 28 Week 3</v>
      </c>
      <c r="I2149" s="33" t="str">
        <f>CONCATENATE(UPPER(TableAopCalendar[[#This Row],[Month]])," ",TableAopCalendar[[#This Row],[Year]])</f>
        <v>FEBRUARY 28</v>
      </c>
      <c r="J2149" s="8" t="s">
        <v>274</v>
      </c>
      <c r="K2149" s="33" t="str">
        <f>CONCATENATE(TableAopCalendar[[#This Row],[Month for Plan]]," ",TableAopCalendar[[#This Row],[Plan]])</f>
        <v>FEBRUARY 28 PLANNED</v>
      </c>
    </row>
    <row r="2150" spans="1:11" x14ac:dyDescent="0.25">
      <c r="A2150" s="33">
        <f t="shared" si="117"/>
        <v>3</v>
      </c>
      <c r="B2150" s="34">
        <v>46800</v>
      </c>
      <c r="C2150" s="7" t="s">
        <v>272</v>
      </c>
      <c r="D2150" s="35">
        <v>28</v>
      </c>
      <c r="E2150" s="33">
        <f>DAY(TableAopCalendar[[#This Row],[Date]])</f>
        <v>17</v>
      </c>
      <c r="F215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50" s="33" t="str">
        <f t="shared" si="118"/>
        <v>Week 3</v>
      </c>
      <c r="H2150" s="33" t="str">
        <f t="shared" si="119"/>
        <v>February 28 Week 3</v>
      </c>
      <c r="I2150" s="33" t="str">
        <f>CONCATENATE(UPPER(TableAopCalendar[[#This Row],[Month]])," ",TableAopCalendar[[#This Row],[Year]])</f>
        <v>FEBRUARY 28</v>
      </c>
      <c r="J2150" s="8" t="s">
        <v>274</v>
      </c>
      <c r="K2150" s="33" t="str">
        <f>CONCATENATE(TableAopCalendar[[#This Row],[Month for Plan]]," ",TableAopCalendar[[#This Row],[Plan]])</f>
        <v>FEBRUARY 28 PLANNED</v>
      </c>
    </row>
    <row r="2151" spans="1:11" x14ac:dyDescent="0.25">
      <c r="A2151" s="33">
        <f t="shared" si="117"/>
        <v>4</v>
      </c>
      <c r="B2151" s="34">
        <v>46801</v>
      </c>
      <c r="C2151" s="7" t="s">
        <v>272</v>
      </c>
      <c r="D2151" s="35">
        <v>28</v>
      </c>
      <c r="E2151" s="33">
        <f>DAY(TableAopCalendar[[#This Row],[Date]])</f>
        <v>18</v>
      </c>
      <c r="F215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51" s="33" t="str">
        <f t="shared" si="118"/>
        <v>Week 3</v>
      </c>
      <c r="H2151" s="33" t="str">
        <f t="shared" si="119"/>
        <v>February 28 Week 3</v>
      </c>
      <c r="I2151" s="33" t="str">
        <f>CONCATENATE(UPPER(TableAopCalendar[[#This Row],[Month]])," ",TableAopCalendar[[#This Row],[Year]])</f>
        <v>FEBRUARY 28</v>
      </c>
      <c r="J2151" s="8" t="s">
        <v>274</v>
      </c>
      <c r="K2151" s="33" t="str">
        <f>CONCATENATE(TableAopCalendar[[#This Row],[Month for Plan]]," ",TableAopCalendar[[#This Row],[Plan]])</f>
        <v>FEBRUARY 28 PLANNED</v>
      </c>
    </row>
    <row r="2152" spans="1:11" x14ac:dyDescent="0.25">
      <c r="A2152" s="33">
        <f t="shared" si="117"/>
        <v>5</v>
      </c>
      <c r="B2152" s="34">
        <v>46802</v>
      </c>
      <c r="C2152" s="7" t="s">
        <v>272</v>
      </c>
      <c r="D2152" s="35">
        <v>28</v>
      </c>
      <c r="E2152" s="33">
        <f>DAY(TableAopCalendar[[#This Row],[Date]])</f>
        <v>19</v>
      </c>
      <c r="F215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52" s="33" t="str">
        <f t="shared" si="118"/>
        <v>Week 3</v>
      </c>
      <c r="H2152" s="33" t="str">
        <f t="shared" si="119"/>
        <v>February 28 Week 3</v>
      </c>
      <c r="I2152" s="33" t="str">
        <f>CONCATENATE(UPPER(TableAopCalendar[[#This Row],[Month]])," ",TableAopCalendar[[#This Row],[Year]])</f>
        <v>FEBRUARY 28</v>
      </c>
      <c r="J2152" s="8" t="s">
        <v>274</v>
      </c>
      <c r="K2152" s="33" t="str">
        <f>CONCATENATE(TableAopCalendar[[#This Row],[Month for Plan]]," ",TableAopCalendar[[#This Row],[Plan]])</f>
        <v>FEBRUARY 28 PLANNED</v>
      </c>
    </row>
    <row r="2153" spans="1:11" x14ac:dyDescent="0.25">
      <c r="A2153" s="33">
        <f t="shared" si="117"/>
        <v>6</v>
      </c>
      <c r="B2153" s="34">
        <v>46803</v>
      </c>
      <c r="C2153" s="7" t="s">
        <v>272</v>
      </c>
      <c r="D2153" s="35">
        <v>28</v>
      </c>
      <c r="E2153" s="33">
        <f>DAY(TableAopCalendar[[#This Row],[Date]])</f>
        <v>20</v>
      </c>
      <c r="F215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53" s="33" t="str">
        <f t="shared" si="118"/>
        <v>Week 3</v>
      </c>
      <c r="H2153" s="33" t="str">
        <f t="shared" si="119"/>
        <v>February 28 Week 3</v>
      </c>
      <c r="I2153" s="33" t="str">
        <f>CONCATENATE(UPPER(TableAopCalendar[[#This Row],[Month]])," ",TableAopCalendar[[#This Row],[Year]])</f>
        <v>FEBRUARY 28</v>
      </c>
      <c r="J2153" s="8" t="s">
        <v>274</v>
      </c>
      <c r="K2153" s="33" t="str">
        <f>CONCATENATE(TableAopCalendar[[#This Row],[Month for Plan]]," ",TableAopCalendar[[#This Row],[Plan]])</f>
        <v>FEBRUARY 28 PLANNED</v>
      </c>
    </row>
    <row r="2154" spans="1:11" x14ac:dyDescent="0.25">
      <c r="A2154" s="33">
        <f t="shared" si="117"/>
        <v>7</v>
      </c>
      <c r="B2154" s="34">
        <v>46804</v>
      </c>
      <c r="C2154" s="7" t="s">
        <v>272</v>
      </c>
      <c r="D2154" s="35">
        <v>28</v>
      </c>
      <c r="E2154" s="33">
        <f>DAY(TableAopCalendar[[#This Row],[Date]])</f>
        <v>21</v>
      </c>
      <c r="F215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54" s="33" t="str">
        <f t="shared" si="118"/>
        <v>Week 3</v>
      </c>
      <c r="H2154" s="33" t="str">
        <f t="shared" si="119"/>
        <v>February 28 Week 3</v>
      </c>
      <c r="I2154" s="33" t="str">
        <f>CONCATENATE(UPPER(TableAopCalendar[[#This Row],[Month]])," ",TableAopCalendar[[#This Row],[Year]])</f>
        <v>FEBRUARY 28</v>
      </c>
      <c r="J2154" s="8" t="s">
        <v>274</v>
      </c>
      <c r="K2154" s="33" t="str">
        <f>CONCATENATE(TableAopCalendar[[#This Row],[Month for Plan]]," ",TableAopCalendar[[#This Row],[Plan]])</f>
        <v>FEBRUARY 28 PLANNED</v>
      </c>
    </row>
    <row r="2155" spans="1:11" x14ac:dyDescent="0.25">
      <c r="A2155" s="33">
        <f t="shared" si="117"/>
        <v>1</v>
      </c>
      <c r="B2155" s="34">
        <v>46805</v>
      </c>
      <c r="C2155" s="7" t="s">
        <v>272</v>
      </c>
      <c r="D2155" s="35">
        <v>28</v>
      </c>
      <c r="E2155" s="33">
        <f>DAY(TableAopCalendar[[#This Row],[Date]])</f>
        <v>22</v>
      </c>
      <c r="F215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55" s="33" t="str">
        <f t="shared" si="118"/>
        <v>Week 4</v>
      </c>
      <c r="H2155" s="33" t="str">
        <f t="shared" si="119"/>
        <v>February 28 Week 4</v>
      </c>
      <c r="I2155" s="33" t="str">
        <f>CONCATENATE(UPPER(TableAopCalendar[[#This Row],[Month]])," ",TableAopCalendar[[#This Row],[Year]])</f>
        <v>FEBRUARY 28</v>
      </c>
      <c r="J2155" s="8" t="s">
        <v>274</v>
      </c>
      <c r="K2155" s="33" t="str">
        <f>CONCATENATE(TableAopCalendar[[#This Row],[Month for Plan]]," ",TableAopCalendar[[#This Row],[Plan]])</f>
        <v>FEBRUARY 28 PLANNED</v>
      </c>
    </row>
    <row r="2156" spans="1:11" x14ac:dyDescent="0.25">
      <c r="A2156" s="33">
        <f t="shared" si="117"/>
        <v>2</v>
      </c>
      <c r="B2156" s="34">
        <v>46806</v>
      </c>
      <c r="C2156" s="7" t="s">
        <v>272</v>
      </c>
      <c r="D2156" s="35">
        <v>28</v>
      </c>
      <c r="E2156" s="33">
        <f>DAY(TableAopCalendar[[#This Row],[Date]])</f>
        <v>23</v>
      </c>
      <c r="F215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56" s="33" t="str">
        <f t="shared" si="118"/>
        <v>Week 4</v>
      </c>
      <c r="H2156" s="33" t="str">
        <f t="shared" si="119"/>
        <v>February 28 Week 4</v>
      </c>
      <c r="I2156" s="33" t="str">
        <f>CONCATENATE(UPPER(TableAopCalendar[[#This Row],[Month]])," ",TableAopCalendar[[#This Row],[Year]])</f>
        <v>FEBRUARY 28</v>
      </c>
      <c r="J2156" s="8" t="s">
        <v>274</v>
      </c>
      <c r="K2156" s="33" t="str">
        <f>CONCATENATE(TableAopCalendar[[#This Row],[Month for Plan]]," ",TableAopCalendar[[#This Row],[Plan]])</f>
        <v>FEBRUARY 28 PLANNED</v>
      </c>
    </row>
    <row r="2157" spans="1:11" x14ac:dyDescent="0.25">
      <c r="A2157" s="33">
        <f t="shared" si="117"/>
        <v>3</v>
      </c>
      <c r="B2157" s="34">
        <v>46807</v>
      </c>
      <c r="C2157" s="7" t="s">
        <v>272</v>
      </c>
      <c r="D2157" s="35">
        <v>28</v>
      </c>
      <c r="E2157" s="33">
        <f>DAY(TableAopCalendar[[#This Row],[Date]])</f>
        <v>24</v>
      </c>
      <c r="F215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57" s="33" t="str">
        <f t="shared" si="118"/>
        <v>Week 4</v>
      </c>
      <c r="H2157" s="33" t="str">
        <f t="shared" si="119"/>
        <v>February 28 Week 4</v>
      </c>
      <c r="I2157" s="33" t="str">
        <f>CONCATENATE(UPPER(TableAopCalendar[[#This Row],[Month]])," ",TableAopCalendar[[#This Row],[Year]])</f>
        <v>FEBRUARY 28</v>
      </c>
      <c r="J2157" s="8" t="s">
        <v>274</v>
      </c>
      <c r="K2157" s="33" t="str">
        <f>CONCATENATE(TableAopCalendar[[#This Row],[Month for Plan]]," ",TableAopCalendar[[#This Row],[Plan]])</f>
        <v>FEBRUARY 28 PLANNED</v>
      </c>
    </row>
    <row r="2158" spans="1:11" x14ac:dyDescent="0.25">
      <c r="A2158" s="33">
        <f t="shared" si="117"/>
        <v>4</v>
      </c>
      <c r="B2158" s="34">
        <v>46808</v>
      </c>
      <c r="C2158" s="7" t="s">
        <v>272</v>
      </c>
      <c r="D2158" s="35">
        <v>28</v>
      </c>
      <c r="E2158" s="33">
        <f>DAY(TableAopCalendar[[#This Row],[Date]])</f>
        <v>25</v>
      </c>
      <c r="F215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58" s="33" t="str">
        <f t="shared" si="118"/>
        <v>Week 4</v>
      </c>
      <c r="H2158" s="33" t="str">
        <f t="shared" si="119"/>
        <v>February 28 Week 4</v>
      </c>
      <c r="I2158" s="33" t="str">
        <f>CONCATENATE(UPPER(TableAopCalendar[[#This Row],[Month]])," ",TableAopCalendar[[#This Row],[Year]])</f>
        <v>FEBRUARY 28</v>
      </c>
      <c r="J2158" s="8" t="s">
        <v>274</v>
      </c>
      <c r="K2158" s="33" t="str">
        <f>CONCATENATE(TableAopCalendar[[#This Row],[Month for Plan]]," ",TableAopCalendar[[#This Row],[Plan]])</f>
        <v>FEBRUARY 28 PLANNED</v>
      </c>
    </row>
    <row r="2159" spans="1:11" x14ac:dyDescent="0.25">
      <c r="A2159" s="33">
        <f t="shared" si="117"/>
        <v>5</v>
      </c>
      <c r="B2159" s="34">
        <v>46809</v>
      </c>
      <c r="C2159" s="7" t="s">
        <v>272</v>
      </c>
      <c r="D2159" s="35">
        <v>28</v>
      </c>
      <c r="E2159" s="33">
        <f>DAY(TableAopCalendar[[#This Row],[Date]])</f>
        <v>26</v>
      </c>
      <c r="F215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59" s="33" t="str">
        <f t="shared" si="118"/>
        <v>Week 4</v>
      </c>
      <c r="H2159" s="33" t="str">
        <f t="shared" si="119"/>
        <v>February 28 Week 4</v>
      </c>
      <c r="I2159" s="33" t="str">
        <f>CONCATENATE(UPPER(TableAopCalendar[[#This Row],[Month]])," ",TableAopCalendar[[#This Row],[Year]])</f>
        <v>FEBRUARY 28</v>
      </c>
      <c r="J2159" s="8" t="s">
        <v>274</v>
      </c>
      <c r="K2159" s="33" t="str">
        <f>CONCATENATE(TableAopCalendar[[#This Row],[Month for Plan]]," ",TableAopCalendar[[#This Row],[Plan]])</f>
        <v>FEBRUARY 28 PLANNED</v>
      </c>
    </row>
    <row r="2160" spans="1:11" x14ac:dyDescent="0.25">
      <c r="A2160" s="33">
        <f t="shared" si="117"/>
        <v>6</v>
      </c>
      <c r="B2160" s="34">
        <v>46810</v>
      </c>
      <c r="C2160" s="7" t="s">
        <v>272</v>
      </c>
      <c r="D2160" s="35">
        <v>28</v>
      </c>
      <c r="E2160" s="33">
        <f>DAY(TableAopCalendar[[#This Row],[Date]])</f>
        <v>27</v>
      </c>
      <c r="F216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60" s="33" t="str">
        <f t="shared" si="118"/>
        <v>Week 4</v>
      </c>
      <c r="H2160" s="33" t="str">
        <f t="shared" si="119"/>
        <v>February 28 Week 4</v>
      </c>
      <c r="I2160" s="33" t="str">
        <f>CONCATENATE(UPPER(TableAopCalendar[[#This Row],[Month]])," ",TableAopCalendar[[#This Row],[Year]])</f>
        <v>FEBRUARY 28</v>
      </c>
      <c r="J2160" s="8" t="s">
        <v>274</v>
      </c>
      <c r="K2160" s="33" t="str">
        <f>CONCATENATE(TableAopCalendar[[#This Row],[Month for Plan]]," ",TableAopCalendar[[#This Row],[Plan]])</f>
        <v>FEBRUARY 28 PLANNED</v>
      </c>
    </row>
    <row r="2161" spans="1:11" x14ac:dyDescent="0.25">
      <c r="A2161" s="33">
        <f t="shared" si="117"/>
        <v>7</v>
      </c>
      <c r="B2161" s="34">
        <v>46811</v>
      </c>
      <c r="C2161" s="7" t="s">
        <v>272</v>
      </c>
      <c r="D2161" s="35">
        <v>28</v>
      </c>
      <c r="E2161" s="33">
        <f>DAY(TableAopCalendar[[#This Row],[Date]])</f>
        <v>28</v>
      </c>
      <c r="F216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61" s="33" t="str">
        <f t="shared" si="118"/>
        <v>Week 4</v>
      </c>
      <c r="H2161" s="33" t="str">
        <f t="shared" si="119"/>
        <v>February 28 Week 4</v>
      </c>
      <c r="I2161" s="33" t="str">
        <f>CONCATENATE(UPPER(TableAopCalendar[[#This Row],[Month]])," ",TableAopCalendar[[#This Row],[Year]])</f>
        <v>FEBRUARY 28</v>
      </c>
      <c r="J2161" s="8" t="s">
        <v>274</v>
      </c>
      <c r="K2161" s="33" t="str">
        <f>CONCATENATE(TableAopCalendar[[#This Row],[Month for Plan]]," ",TableAopCalendar[[#This Row],[Plan]])</f>
        <v>FEBRUARY 28 PLANNED</v>
      </c>
    </row>
    <row r="2162" spans="1:11" x14ac:dyDescent="0.25">
      <c r="A2162" s="33">
        <f t="shared" si="117"/>
        <v>1</v>
      </c>
      <c r="B2162" s="34">
        <v>46812</v>
      </c>
      <c r="C2162" s="7" t="s">
        <v>272</v>
      </c>
      <c r="D2162" s="35">
        <v>28</v>
      </c>
      <c r="E2162" s="33">
        <f>DAY(TableAopCalendar[[#This Row],[Date]])</f>
        <v>29</v>
      </c>
      <c r="F216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62" s="33" t="str">
        <f t="shared" si="118"/>
        <v>Week 5</v>
      </c>
      <c r="H2162" s="33" t="str">
        <f t="shared" si="119"/>
        <v>February 28 Week 5</v>
      </c>
      <c r="I2162" s="33" t="str">
        <f>CONCATENATE(UPPER(TableAopCalendar[[#This Row],[Month]])," ",TableAopCalendar[[#This Row],[Year]])</f>
        <v>FEBRUARY 28</v>
      </c>
      <c r="J2162" s="8" t="s">
        <v>274</v>
      </c>
      <c r="K2162" s="33" t="str">
        <f>CONCATENATE(TableAopCalendar[[#This Row],[Month for Plan]]," ",TableAopCalendar[[#This Row],[Plan]])</f>
        <v>FEBRUARY 28 PLANNED</v>
      </c>
    </row>
    <row r="2163" spans="1:11" x14ac:dyDescent="0.25">
      <c r="A2163" s="33">
        <f t="shared" si="117"/>
        <v>1</v>
      </c>
      <c r="B2163" s="34">
        <v>46813</v>
      </c>
      <c r="C2163" s="7" t="s">
        <v>273</v>
      </c>
      <c r="D2163" s="35">
        <v>28</v>
      </c>
      <c r="E2163" s="33">
        <f>DAY(TableAopCalendar[[#This Row],[Date]])</f>
        <v>1</v>
      </c>
      <c r="F216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3" s="33" t="str">
        <f t="shared" si="118"/>
        <v>Week 1</v>
      </c>
      <c r="H2163" s="33" t="str">
        <f t="shared" si="119"/>
        <v>March 28 Week 1</v>
      </c>
      <c r="I2163" s="33" t="str">
        <f>CONCATENATE(UPPER(TableAopCalendar[[#This Row],[Month]])," ",TableAopCalendar[[#This Row],[Year]])</f>
        <v>MARCH 28</v>
      </c>
      <c r="J2163" s="8" t="s">
        <v>274</v>
      </c>
      <c r="K2163" s="33" t="str">
        <f>CONCATENATE(TableAopCalendar[[#This Row],[Month for Plan]]," ",TableAopCalendar[[#This Row],[Plan]])</f>
        <v>MARCH 28 PLANNED</v>
      </c>
    </row>
    <row r="2164" spans="1:11" x14ac:dyDescent="0.25">
      <c r="A2164" s="33">
        <f t="shared" si="117"/>
        <v>2</v>
      </c>
      <c r="B2164" s="34">
        <v>46814</v>
      </c>
      <c r="C2164" s="7" t="s">
        <v>273</v>
      </c>
      <c r="D2164" s="35">
        <v>28</v>
      </c>
      <c r="E2164" s="33">
        <f>DAY(TableAopCalendar[[#This Row],[Date]])</f>
        <v>2</v>
      </c>
      <c r="F216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4" s="33" t="str">
        <f t="shared" si="118"/>
        <v>Week 1</v>
      </c>
      <c r="H2164" s="33" t="str">
        <f t="shared" si="119"/>
        <v>March 28 Week 1</v>
      </c>
      <c r="I2164" s="33" t="str">
        <f>CONCATENATE(UPPER(TableAopCalendar[[#This Row],[Month]])," ",TableAopCalendar[[#This Row],[Year]])</f>
        <v>MARCH 28</v>
      </c>
      <c r="J2164" s="8" t="s">
        <v>274</v>
      </c>
      <c r="K2164" s="33" t="str">
        <f>CONCATENATE(TableAopCalendar[[#This Row],[Month for Plan]]," ",TableAopCalendar[[#This Row],[Plan]])</f>
        <v>MARCH 28 PLANNED</v>
      </c>
    </row>
    <row r="2165" spans="1:11" x14ac:dyDescent="0.25">
      <c r="A2165" s="33">
        <f t="shared" si="117"/>
        <v>3</v>
      </c>
      <c r="B2165" s="34">
        <v>46815</v>
      </c>
      <c r="C2165" s="7" t="s">
        <v>273</v>
      </c>
      <c r="D2165" s="35">
        <v>28</v>
      </c>
      <c r="E2165" s="33">
        <f>DAY(TableAopCalendar[[#This Row],[Date]])</f>
        <v>3</v>
      </c>
      <c r="F216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5" s="33" t="str">
        <f t="shared" si="118"/>
        <v>Week 1</v>
      </c>
      <c r="H2165" s="33" t="str">
        <f t="shared" si="119"/>
        <v>March 28 Week 1</v>
      </c>
      <c r="I2165" s="33" t="str">
        <f>CONCATENATE(UPPER(TableAopCalendar[[#This Row],[Month]])," ",TableAopCalendar[[#This Row],[Year]])</f>
        <v>MARCH 28</v>
      </c>
      <c r="J2165" s="8" t="s">
        <v>274</v>
      </c>
      <c r="K2165" s="33" t="str">
        <f>CONCATENATE(TableAopCalendar[[#This Row],[Month for Plan]]," ",TableAopCalendar[[#This Row],[Plan]])</f>
        <v>MARCH 28 PLANNED</v>
      </c>
    </row>
    <row r="2166" spans="1:11" x14ac:dyDescent="0.25">
      <c r="A2166" s="33">
        <f t="shared" si="117"/>
        <v>4</v>
      </c>
      <c r="B2166" s="34">
        <v>46816</v>
      </c>
      <c r="C2166" s="7" t="s">
        <v>273</v>
      </c>
      <c r="D2166" s="35">
        <v>28</v>
      </c>
      <c r="E2166" s="33">
        <f>DAY(TableAopCalendar[[#This Row],[Date]])</f>
        <v>4</v>
      </c>
      <c r="F216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6" s="33" t="str">
        <f t="shared" si="118"/>
        <v>Week 1</v>
      </c>
      <c r="H2166" s="33" t="str">
        <f t="shared" si="119"/>
        <v>March 28 Week 1</v>
      </c>
      <c r="I2166" s="33" t="str">
        <f>CONCATENATE(UPPER(TableAopCalendar[[#This Row],[Month]])," ",TableAopCalendar[[#This Row],[Year]])</f>
        <v>MARCH 28</v>
      </c>
      <c r="J2166" s="8" t="s">
        <v>274</v>
      </c>
      <c r="K2166" s="33" t="str">
        <f>CONCATENATE(TableAopCalendar[[#This Row],[Month for Plan]]," ",TableAopCalendar[[#This Row],[Plan]])</f>
        <v>MARCH 28 PLANNED</v>
      </c>
    </row>
    <row r="2167" spans="1:11" x14ac:dyDescent="0.25">
      <c r="A2167" s="33">
        <f t="shared" si="117"/>
        <v>5</v>
      </c>
      <c r="B2167" s="34">
        <v>46817</v>
      </c>
      <c r="C2167" s="7" t="s">
        <v>273</v>
      </c>
      <c r="D2167" s="35">
        <v>28</v>
      </c>
      <c r="E2167" s="33">
        <f>DAY(TableAopCalendar[[#This Row],[Date]])</f>
        <v>5</v>
      </c>
      <c r="F216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7" s="33" t="str">
        <f t="shared" si="118"/>
        <v>Week 1</v>
      </c>
      <c r="H2167" s="33" t="str">
        <f t="shared" si="119"/>
        <v>March 28 Week 1</v>
      </c>
      <c r="I2167" s="33" t="str">
        <f>CONCATENATE(UPPER(TableAopCalendar[[#This Row],[Month]])," ",TableAopCalendar[[#This Row],[Year]])</f>
        <v>MARCH 28</v>
      </c>
      <c r="J2167" s="8" t="s">
        <v>274</v>
      </c>
      <c r="K2167" s="33" t="str">
        <f>CONCATENATE(TableAopCalendar[[#This Row],[Month for Plan]]," ",TableAopCalendar[[#This Row],[Plan]])</f>
        <v>MARCH 28 PLANNED</v>
      </c>
    </row>
    <row r="2168" spans="1:11" x14ac:dyDescent="0.25">
      <c r="A2168" s="33">
        <f t="shared" si="117"/>
        <v>6</v>
      </c>
      <c r="B2168" s="34">
        <v>46818</v>
      </c>
      <c r="C2168" s="7" t="s">
        <v>273</v>
      </c>
      <c r="D2168" s="35">
        <v>28</v>
      </c>
      <c r="E2168" s="33">
        <f>DAY(TableAopCalendar[[#This Row],[Date]])</f>
        <v>6</v>
      </c>
      <c r="F216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8" s="33" t="str">
        <f t="shared" si="118"/>
        <v>Week 1</v>
      </c>
      <c r="H2168" s="33" t="str">
        <f t="shared" si="119"/>
        <v>March 28 Week 1</v>
      </c>
      <c r="I2168" s="33" t="str">
        <f>CONCATENATE(UPPER(TableAopCalendar[[#This Row],[Month]])," ",TableAopCalendar[[#This Row],[Year]])</f>
        <v>MARCH 28</v>
      </c>
      <c r="J2168" s="8" t="s">
        <v>274</v>
      </c>
      <c r="K2168" s="33" t="str">
        <f>CONCATENATE(TableAopCalendar[[#This Row],[Month for Plan]]," ",TableAopCalendar[[#This Row],[Plan]])</f>
        <v>MARCH 28 PLANNED</v>
      </c>
    </row>
    <row r="2169" spans="1:11" x14ac:dyDescent="0.25">
      <c r="A2169" s="33">
        <f t="shared" si="117"/>
        <v>7</v>
      </c>
      <c r="B2169" s="34">
        <v>46819</v>
      </c>
      <c r="C2169" s="7" t="s">
        <v>273</v>
      </c>
      <c r="D2169" s="35">
        <v>28</v>
      </c>
      <c r="E2169" s="33">
        <f>DAY(TableAopCalendar[[#This Row],[Date]])</f>
        <v>7</v>
      </c>
      <c r="F216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69" s="33" t="str">
        <f t="shared" si="118"/>
        <v>Week 1</v>
      </c>
      <c r="H2169" s="33" t="str">
        <f t="shared" si="119"/>
        <v>March 28 Week 1</v>
      </c>
      <c r="I2169" s="33" t="str">
        <f>CONCATENATE(UPPER(TableAopCalendar[[#This Row],[Month]])," ",TableAopCalendar[[#This Row],[Year]])</f>
        <v>MARCH 28</v>
      </c>
      <c r="J2169" s="8" t="s">
        <v>274</v>
      </c>
      <c r="K2169" s="33" t="str">
        <f>CONCATENATE(TableAopCalendar[[#This Row],[Month for Plan]]," ",TableAopCalendar[[#This Row],[Plan]])</f>
        <v>MARCH 28 PLANNED</v>
      </c>
    </row>
    <row r="2170" spans="1:11" x14ac:dyDescent="0.25">
      <c r="A2170" s="33">
        <f t="shared" si="117"/>
        <v>1</v>
      </c>
      <c r="B2170" s="34">
        <v>46820</v>
      </c>
      <c r="C2170" s="7" t="s">
        <v>273</v>
      </c>
      <c r="D2170" s="35">
        <v>28</v>
      </c>
      <c r="E2170" s="33">
        <f>DAY(TableAopCalendar[[#This Row],[Date]])</f>
        <v>8</v>
      </c>
      <c r="F217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70" s="33" t="str">
        <f t="shared" si="118"/>
        <v>Week 2</v>
      </c>
      <c r="H2170" s="33" t="str">
        <f t="shared" si="119"/>
        <v>March 28 Week 2</v>
      </c>
      <c r="I2170" s="33" t="str">
        <f>CONCATENATE(UPPER(TableAopCalendar[[#This Row],[Month]])," ",TableAopCalendar[[#This Row],[Year]])</f>
        <v>MARCH 28</v>
      </c>
      <c r="J2170" s="8" t="s">
        <v>274</v>
      </c>
      <c r="K2170" s="33" t="str">
        <f>CONCATENATE(TableAopCalendar[[#This Row],[Month for Plan]]," ",TableAopCalendar[[#This Row],[Plan]])</f>
        <v>MARCH 28 PLANNED</v>
      </c>
    </row>
    <row r="2171" spans="1:11" x14ac:dyDescent="0.25">
      <c r="A2171" s="33">
        <f t="shared" si="117"/>
        <v>2</v>
      </c>
      <c r="B2171" s="34">
        <v>46821</v>
      </c>
      <c r="C2171" s="7" t="s">
        <v>273</v>
      </c>
      <c r="D2171" s="35">
        <v>28</v>
      </c>
      <c r="E2171" s="33">
        <f>DAY(TableAopCalendar[[#This Row],[Date]])</f>
        <v>9</v>
      </c>
      <c r="F217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71" s="33" t="str">
        <f t="shared" si="118"/>
        <v>Week 2</v>
      </c>
      <c r="H2171" s="33" t="str">
        <f t="shared" si="119"/>
        <v>March 28 Week 2</v>
      </c>
      <c r="I2171" s="33" t="str">
        <f>CONCATENATE(UPPER(TableAopCalendar[[#This Row],[Month]])," ",TableAopCalendar[[#This Row],[Year]])</f>
        <v>MARCH 28</v>
      </c>
      <c r="J2171" s="8" t="s">
        <v>274</v>
      </c>
      <c r="K2171" s="33" t="str">
        <f>CONCATENATE(TableAopCalendar[[#This Row],[Month for Plan]]," ",TableAopCalendar[[#This Row],[Plan]])</f>
        <v>MARCH 28 PLANNED</v>
      </c>
    </row>
    <row r="2172" spans="1:11" x14ac:dyDescent="0.25">
      <c r="A2172" s="33">
        <f t="shared" si="117"/>
        <v>3</v>
      </c>
      <c r="B2172" s="34">
        <v>46822</v>
      </c>
      <c r="C2172" s="7" t="s">
        <v>273</v>
      </c>
      <c r="D2172" s="35">
        <v>28</v>
      </c>
      <c r="E2172" s="33">
        <f>DAY(TableAopCalendar[[#This Row],[Date]])</f>
        <v>10</v>
      </c>
      <c r="F217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72" s="33" t="str">
        <f t="shared" si="118"/>
        <v>Week 2</v>
      </c>
      <c r="H2172" s="33" t="str">
        <f t="shared" si="119"/>
        <v>March 28 Week 2</v>
      </c>
      <c r="I2172" s="33" t="str">
        <f>CONCATENATE(UPPER(TableAopCalendar[[#This Row],[Month]])," ",TableAopCalendar[[#This Row],[Year]])</f>
        <v>MARCH 28</v>
      </c>
      <c r="J2172" s="8" t="s">
        <v>274</v>
      </c>
      <c r="K2172" s="33" t="str">
        <f>CONCATENATE(TableAopCalendar[[#This Row],[Month for Plan]]," ",TableAopCalendar[[#This Row],[Plan]])</f>
        <v>MARCH 28 PLANNED</v>
      </c>
    </row>
    <row r="2173" spans="1:11" x14ac:dyDescent="0.25">
      <c r="A2173" s="33">
        <f t="shared" si="117"/>
        <v>4</v>
      </c>
      <c r="B2173" s="34">
        <v>46823</v>
      </c>
      <c r="C2173" s="7" t="s">
        <v>273</v>
      </c>
      <c r="D2173" s="35">
        <v>28</v>
      </c>
      <c r="E2173" s="33">
        <f>DAY(TableAopCalendar[[#This Row],[Date]])</f>
        <v>11</v>
      </c>
      <c r="F217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73" s="33" t="str">
        <f t="shared" si="118"/>
        <v>Week 2</v>
      </c>
      <c r="H2173" s="33" t="str">
        <f t="shared" si="119"/>
        <v>March 28 Week 2</v>
      </c>
      <c r="I2173" s="33" t="str">
        <f>CONCATENATE(UPPER(TableAopCalendar[[#This Row],[Month]])," ",TableAopCalendar[[#This Row],[Year]])</f>
        <v>MARCH 28</v>
      </c>
      <c r="J2173" s="8" t="s">
        <v>274</v>
      </c>
      <c r="K2173" s="33" t="str">
        <f>CONCATENATE(TableAopCalendar[[#This Row],[Month for Plan]]," ",TableAopCalendar[[#This Row],[Plan]])</f>
        <v>MARCH 28 PLANNED</v>
      </c>
    </row>
    <row r="2174" spans="1:11" x14ac:dyDescent="0.25">
      <c r="A2174" s="33">
        <f t="shared" si="117"/>
        <v>5</v>
      </c>
      <c r="B2174" s="34">
        <v>46824</v>
      </c>
      <c r="C2174" s="7" t="s">
        <v>273</v>
      </c>
      <c r="D2174" s="35">
        <v>28</v>
      </c>
      <c r="E2174" s="33">
        <f>DAY(TableAopCalendar[[#This Row],[Date]])</f>
        <v>12</v>
      </c>
      <c r="F217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74" s="33" t="str">
        <f t="shared" si="118"/>
        <v>Week 2</v>
      </c>
      <c r="H2174" s="33" t="str">
        <f t="shared" si="119"/>
        <v>March 28 Week 2</v>
      </c>
      <c r="I2174" s="33" t="str">
        <f>CONCATENATE(UPPER(TableAopCalendar[[#This Row],[Month]])," ",TableAopCalendar[[#This Row],[Year]])</f>
        <v>MARCH 28</v>
      </c>
      <c r="J2174" s="8" t="s">
        <v>274</v>
      </c>
      <c r="K2174" s="33" t="str">
        <f>CONCATENATE(TableAopCalendar[[#This Row],[Month for Plan]]," ",TableAopCalendar[[#This Row],[Plan]])</f>
        <v>MARCH 28 PLANNED</v>
      </c>
    </row>
    <row r="2175" spans="1:11" x14ac:dyDescent="0.25">
      <c r="A2175" s="33">
        <f t="shared" si="117"/>
        <v>6</v>
      </c>
      <c r="B2175" s="34">
        <v>46825</v>
      </c>
      <c r="C2175" s="7" t="s">
        <v>273</v>
      </c>
      <c r="D2175" s="35">
        <v>28</v>
      </c>
      <c r="E2175" s="33">
        <f>DAY(TableAopCalendar[[#This Row],[Date]])</f>
        <v>13</v>
      </c>
      <c r="F217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75" s="33" t="str">
        <f t="shared" si="118"/>
        <v>Week 2</v>
      </c>
      <c r="H2175" s="33" t="str">
        <f t="shared" si="119"/>
        <v>March 28 Week 2</v>
      </c>
      <c r="I2175" s="33" t="str">
        <f>CONCATENATE(UPPER(TableAopCalendar[[#This Row],[Month]])," ",TableAopCalendar[[#This Row],[Year]])</f>
        <v>MARCH 28</v>
      </c>
      <c r="J2175" s="8" t="s">
        <v>274</v>
      </c>
      <c r="K2175" s="33" t="str">
        <f>CONCATENATE(TableAopCalendar[[#This Row],[Month for Plan]]," ",TableAopCalendar[[#This Row],[Plan]])</f>
        <v>MARCH 28 PLANNED</v>
      </c>
    </row>
    <row r="2176" spans="1:11" x14ac:dyDescent="0.25">
      <c r="A2176" s="33">
        <f t="shared" si="117"/>
        <v>7</v>
      </c>
      <c r="B2176" s="34">
        <v>46826</v>
      </c>
      <c r="C2176" s="7" t="s">
        <v>273</v>
      </c>
      <c r="D2176" s="35">
        <v>28</v>
      </c>
      <c r="E2176" s="33">
        <f>DAY(TableAopCalendar[[#This Row],[Date]])</f>
        <v>14</v>
      </c>
      <c r="F217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176" s="33" t="str">
        <f t="shared" si="118"/>
        <v>Week 2</v>
      </c>
      <c r="H2176" s="33" t="str">
        <f t="shared" si="119"/>
        <v>March 28 Week 2</v>
      </c>
      <c r="I2176" s="33" t="str">
        <f>CONCATENATE(UPPER(TableAopCalendar[[#This Row],[Month]])," ",TableAopCalendar[[#This Row],[Year]])</f>
        <v>MARCH 28</v>
      </c>
      <c r="J2176" s="8" t="s">
        <v>274</v>
      </c>
      <c r="K2176" s="33" t="str">
        <f>CONCATENATE(TableAopCalendar[[#This Row],[Month for Plan]]," ",TableAopCalendar[[#This Row],[Plan]])</f>
        <v>MARCH 28 PLANNED</v>
      </c>
    </row>
    <row r="2177" spans="1:11" x14ac:dyDescent="0.25">
      <c r="A2177" s="33">
        <f t="shared" si="117"/>
        <v>1</v>
      </c>
      <c r="B2177" s="34">
        <v>46827</v>
      </c>
      <c r="C2177" s="7" t="s">
        <v>273</v>
      </c>
      <c r="D2177" s="35">
        <v>28</v>
      </c>
      <c r="E2177" s="33">
        <f>DAY(TableAopCalendar[[#This Row],[Date]])</f>
        <v>15</v>
      </c>
      <c r="F217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77" s="33" t="str">
        <f t="shared" si="118"/>
        <v>Week 3</v>
      </c>
      <c r="H2177" s="33" t="str">
        <f t="shared" si="119"/>
        <v>March 28 Week 3</v>
      </c>
      <c r="I2177" s="33" t="str">
        <f>CONCATENATE(UPPER(TableAopCalendar[[#This Row],[Month]])," ",TableAopCalendar[[#This Row],[Year]])</f>
        <v>MARCH 28</v>
      </c>
      <c r="J2177" s="8" t="s">
        <v>274</v>
      </c>
      <c r="K2177" s="33" t="str">
        <f>CONCATENATE(TableAopCalendar[[#This Row],[Month for Plan]]," ",TableAopCalendar[[#This Row],[Plan]])</f>
        <v>MARCH 28 PLANNED</v>
      </c>
    </row>
    <row r="2178" spans="1:11" x14ac:dyDescent="0.25">
      <c r="A2178" s="33">
        <f t="shared" si="117"/>
        <v>2</v>
      </c>
      <c r="B2178" s="34">
        <v>46828</v>
      </c>
      <c r="C2178" s="7" t="s">
        <v>273</v>
      </c>
      <c r="D2178" s="35">
        <v>28</v>
      </c>
      <c r="E2178" s="33">
        <f>DAY(TableAopCalendar[[#This Row],[Date]])</f>
        <v>16</v>
      </c>
      <c r="F217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78" s="33" t="str">
        <f t="shared" si="118"/>
        <v>Week 3</v>
      </c>
      <c r="H2178" s="33" t="str">
        <f t="shared" si="119"/>
        <v>March 28 Week 3</v>
      </c>
      <c r="I2178" s="33" t="str">
        <f>CONCATENATE(UPPER(TableAopCalendar[[#This Row],[Month]])," ",TableAopCalendar[[#This Row],[Year]])</f>
        <v>MARCH 28</v>
      </c>
      <c r="J2178" s="8" t="s">
        <v>274</v>
      </c>
      <c r="K2178" s="33" t="str">
        <f>CONCATENATE(TableAopCalendar[[#This Row],[Month for Plan]]," ",TableAopCalendar[[#This Row],[Plan]])</f>
        <v>MARCH 28 PLANNED</v>
      </c>
    </row>
    <row r="2179" spans="1:11" x14ac:dyDescent="0.25">
      <c r="A2179" s="33">
        <f t="shared" si="117"/>
        <v>3</v>
      </c>
      <c r="B2179" s="34">
        <v>46829</v>
      </c>
      <c r="C2179" s="7" t="s">
        <v>273</v>
      </c>
      <c r="D2179" s="35">
        <v>28</v>
      </c>
      <c r="E2179" s="33">
        <f>DAY(TableAopCalendar[[#This Row],[Date]])</f>
        <v>17</v>
      </c>
      <c r="F217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79" s="33" t="str">
        <f t="shared" si="118"/>
        <v>Week 3</v>
      </c>
      <c r="H2179" s="33" t="str">
        <f t="shared" si="119"/>
        <v>March 28 Week 3</v>
      </c>
      <c r="I2179" s="33" t="str">
        <f>CONCATENATE(UPPER(TableAopCalendar[[#This Row],[Month]])," ",TableAopCalendar[[#This Row],[Year]])</f>
        <v>MARCH 28</v>
      </c>
      <c r="J2179" s="8" t="s">
        <v>274</v>
      </c>
      <c r="K2179" s="33" t="str">
        <f>CONCATENATE(TableAopCalendar[[#This Row],[Month for Plan]]," ",TableAopCalendar[[#This Row],[Plan]])</f>
        <v>MARCH 28 PLANNED</v>
      </c>
    </row>
    <row r="2180" spans="1:11" x14ac:dyDescent="0.25">
      <c r="A2180" s="33">
        <f t="shared" si="117"/>
        <v>4</v>
      </c>
      <c r="B2180" s="34">
        <v>46830</v>
      </c>
      <c r="C2180" s="7" t="s">
        <v>273</v>
      </c>
      <c r="D2180" s="35">
        <v>28</v>
      </c>
      <c r="E2180" s="33">
        <f>DAY(TableAopCalendar[[#This Row],[Date]])</f>
        <v>18</v>
      </c>
      <c r="F218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80" s="33" t="str">
        <f t="shared" si="118"/>
        <v>Week 3</v>
      </c>
      <c r="H2180" s="33" t="str">
        <f t="shared" si="119"/>
        <v>March 28 Week 3</v>
      </c>
      <c r="I2180" s="33" t="str">
        <f>CONCATENATE(UPPER(TableAopCalendar[[#This Row],[Month]])," ",TableAopCalendar[[#This Row],[Year]])</f>
        <v>MARCH 28</v>
      </c>
      <c r="J2180" s="8" t="s">
        <v>274</v>
      </c>
      <c r="K2180" s="33" t="str">
        <f>CONCATENATE(TableAopCalendar[[#This Row],[Month for Plan]]," ",TableAopCalendar[[#This Row],[Plan]])</f>
        <v>MARCH 28 PLANNED</v>
      </c>
    </row>
    <row r="2181" spans="1:11" x14ac:dyDescent="0.25">
      <c r="A2181" s="33">
        <f t="shared" si="117"/>
        <v>5</v>
      </c>
      <c r="B2181" s="34">
        <v>46831</v>
      </c>
      <c r="C2181" s="7" t="s">
        <v>273</v>
      </c>
      <c r="D2181" s="35">
        <v>28</v>
      </c>
      <c r="E2181" s="33">
        <f>DAY(TableAopCalendar[[#This Row],[Date]])</f>
        <v>19</v>
      </c>
      <c r="F218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81" s="33" t="str">
        <f t="shared" si="118"/>
        <v>Week 3</v>
      </c>
      <c r="H2181" s="33" t="str">
        <f t="shared" si="119"/>
        <v>March 28 Week 3</v>
      </c>
      <c r="I2181" s="33" t="str">
        <f>CONCATENATE(UPPER(TableAopCalendar[[#This Row],[Month]])," ",TableAopCalendar[[#This Row],[Year]])</f>
        <v>MARCH 28</v>
      </c>
      <c r="J2181" s="8" t="s">
        <v>274</v>
      </c>
      <c r="K2181" s="33" t="str">
        <f>CONCATENATE(TableAopCalendar[[#This Row],[Month for Plan]]," ",TableAopCalendar[[#This Row],[Plan]])</f>
        <v>MARCH 28 PLANNED</v>
      </c>
    </row>
    <row r="2182" spans="1:11" x14ac:dyDescent="0.25">
      <c r="A2182" s="33">
        <f t="shared" si="117"/>
        <v>6</v>
      </c>
      <c r="B2182" s="34">
        <v>46832</v>
      </c>
      <c r="C2182" s="7" t="s">
        <v>273</v>
      </c>
      <c r="D2182" s="35">
        <v>28</v>
      </c>
      <c r="E2182" s="33">
        <f>DAY(TableAopCalendar[[#This Row],[Date]])</f>
        <v>20</v>
      </c>
      <c r="F218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82" s="33" t="str">
        <f t="shared" si="118"/>
        <v>Week 3</v>
      </c>
      <c r="H2182" s="33" t="str">
        <f t="shared" si="119"/>
        <v>March 28 Week 3</v>
      </c>
      <c r="I2182" s="33" t="str">
        <f>CONCATENATE(UPPER(TableAopCalendar[[#This Row],[Month]])," ",TableAopCalendar[[#This Row],[Year]])</f>
        <v>MARCH 28</v>
      </c>
      <c r="J2182" s="8" t="s">
        <v>274</v>
      </c>
      <c r="K2182" s="33" t="str">
        <f>CONCATENATE(TableAopCalendar[[#This Row],[Month for Plan]]," ",TableAopCalendar[[#This Row],[Plan]])</f>
        <v>MARCH 28 PLANNED</v>
      </c>
    </row>
    <row r="2183" spans="1:11" x14ac:dyDescent="0.25">
      <c r="A2183" s="33">
        <f t="shared" si="117"/>
        <v>7</v>
      </c>
      <c r="B2183" s="34">
        <v>46833</v>
      </c>
      <c r="C2183" s="7" t="s">
        <v>273</v>
      </c>
      <c r="D2183" s="35">
        <v>28</v>
      </c>
      <c r="E2183" s="33">
        <f>DAY(TableAopCalendar[[#This Row],[Date]])</f>
        <v>21</v>
      </c>
      <c r="F218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183" s="33" t="str">
        <f t="shared" si="118"/>
        <v>Week 3</v>
      </c>
      <c r="H2183" s="33" t="str">
        <f t="shared" si="119"/>
        <v>March 28 Week 3</v>
      </c>
      <c r="I2183" s="33" t="str">
        <f>CONCATENATE(UPPER(TableAopCalendar[[#This Row],[Month]])," ",TableAopCalendar[[#This Row],[Year]])</f>
        <v>MARCH 28</v>
      </c>
      <c r="J2183" s="8" t="s">
        <v>274</v>
      </c>
      <c r="K2183" s="33" t="str">
        <f>CONCATENATE(TableAopCalendar[[#This Row],[Month for Plan]]," ",TableAopCalendar[[#This Row],[Plan]])</f>
        <v>MARCH 28 PLANNED</v>
      </c>
    </row>
    <row r="2184" spans="1:11" x14ac:dyDescent="0.25">
      <c r="A2184" s="33">
        <f t="shared" si="117"/>
        <v>1</v>
      </c>
      <c r="B2184" s="34">
        <v>46834</v>
      </c>
      <c r="C2184" s="7" t="s">
        <v>273</v>
      </c>
      <c r="D2184" s="35">
        <v>28</v>
      </c>
      <c r="E2184" s="33">
        <f>DAY(TableAopCalendar[[#This Row],[Date]])</f>
        <v>22</v>
      </c>
      <c r="F218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84" s="33" t="str">
        <f t="shared" si="118"/>
        <v>Week 4</v>
      </c>
      <c r="H2184" s="33" t="str">
        <f t="shared" si="119"/>
        <v>March 28 Week 4</v>
      </c>
      <c r="I2184" s="33" t="str">
        <f>CONCATENATE(UPPER(TableAopCalendar[[#This Row],[Month]])," ",TableAopCalendar[[#This Row],[Year]])</f>
        <v>MARCH 28</v>
      </c>
      <c r="J2184" s="8" t="s">
        <v>274</v>
      </c>
      <c r="K2184" s="33" t="str">
        <f>CONCATENATE(TableAopCalendar[[#This Row],[Month for Plan]]," ",TableAopCalendar[[#This Row],[Plan]])</f>
        <v>MARCH 28 PLANNED</v>
      </c>
    </row>
    <row r="2185" spans="1:11" x14ac:dyDescent="0.25">
      <c r="A2185" s="33">
        <f t="shared" si="117"/>
        <v>2</v>
      </c>
      <c r="B2185" s="34">
        <v>46835</v>
      </c>
      <c r="C2185" s="7" t="s">
        <v>273</v>
      </c>
      <c r="D2185" s="35">
        <v>28</v>
      </c>
      <c r="E2185" s="33">
        <f>DAY(TableAopCalendar[[#This Row],[Date]])</f>
        <v>23</v>
      </c>
      <c r="F218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85" s="33" t="str">
        <f t="shared" si="118"/>
        <v>Week 4</v>
      </c>
      <c r="H2185" s="33" t="str">
        <f t="shared" si="119"/>
        <v>March 28 Week 4</v>
      </c>
      <c r="I2185" s="33" t="str">
        <f>CONCATENATE(UPPER(TableAopCalendar[[#This Row],[Month]])," ",TableAopCalendar[[#This Row],[Year]])</f>
        <v>MARCH 28</v>
      </c>
      <c r="J2185" s="8" t="s">
        <v>274</v>
      </c>
      <c r="K2185" s="33" t="str">
        <f>CONCATENATE(TableAopCalendar[[#This Row],[Month for Plan]]," ",TableAopCalendar[[#This Row],[Plan]])</f>
        <v>MARCH 28 PLANNED</v>
      </c>
    </row>
    <row r="2186" spans="1:11" x14ac:dyDescent="0.25">
      <c r="A2186" s="33">
        <f t="shared" si="117"/>
        <v>3</v>
      </c>
      <c r="B2186" s="34">
        <v>46836</v>
      </c>
      <c r="C2186" s="7" t="s">
        <v>273</v>
      </c>
      <c r="D2186" s="35">
        <v>28</v>
      </c>
      <c r="E2186" s="33">
        <f>DAY(TableAopCalendar[[#This Row],[Date]])</f>
        <v>24</v>
      </c>
      <c r="F218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86" s="33" t="str">
        <f t="shared" si="118"/>
        <v>Week 4</v>
      </c>
      <c r="H2186" s="33" t="str">
        <f t="shared" si="119"/>
        <v>March 28 Week 4</v>
      </c>
      <c r="I2186" s="33" t="str">
        <f>CONCATENATE(UPPER(TableAopCalendar[[#This Row],[Month]])," ",TableAopCalendar[[#This Row],[Year]])</f>
        <v>MARCH 28</v>
      </c>
      <c r="J2186" s="8" t="s">
        <v>274</v>
      </c>
      <c r="K2186" s="33" t="str">
        <f>CONCATENATE(TableAopCalendar[[#This Row],[Month for Plan]]," ",TableAopCalendar[[#This Row],[Plan]])</f>
        <v>MARCH 28 PLANNED</v>
      </c>
    </row>
    <row r="2187" spans="1:11" x14ac:dyDescent="0.25">
      <c r="A2187" s="33">
        <f t="shared" si="117"/>
        <v>4</v>
      </c>
      <c r="B2187" s="34">
        <v>46837</v>
      </c>
      <c r="C2187" s="7" t="s">
        <v>273</v>
      </c>
      <c r="D2187" s="35">
        <v>28</v>
      </c>
      <c r="E2187" s="33">
        <f>DAY(TableAopCalendar[[#This Row],[Date]])</f>
        <v>25</v>
      </c>
      <c r="F218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87" s="33" t="str">
        <f t="shared" si="118"/>
        <v>Week 4</v>
      </c>
      <c r="H2187" s="33" t="str">
        <f t="shared" si="119"/>
        <v>March 28 Week 4</v>
      </c>
      <c r="I2187" s="33" t="str">
        <f>CONCATENATE(UPPER(TableAopCalendar[[#This Row],[Month]])," ",TableAopCalendar[[#This Row],[Year]])</f>
        <v>MARCH 28</v>
      </c>
      <c r="J2187" s="8" t="s">
        <v>274</v>
      </c>
      <c r="K2187" s="33" t="str">
        <f>CONCATENATE(TableAopCalendar[[#This Row],[Month for Plan]]," ",TableAopCalendar[[#This Row],[Plan]])</f>
        <v>MARCH 28 PLANNED</v>
      </c>
    </row>
    <row r="2188" spans="1:11" x14ac:dyDescent="0.25">
      <c r="A2188" s="33">
        <f t="shared" si="117"/>
        <v>5</v>
      </c>
      <c r="B2188" s="34">
        <v>46838</v>
      </c>
      <c r="C2188" s="7" t="s">
        <v>273</v>
      </c>
      <c r="D2188" s="35">
        <v>28</v>
      </c>
      <c r="E2188" s="33">
        <f>DAY(TableAopCalendar[[#This Row],[Date]])</f>
        <v>26</v>
      </c>
      <c r="F218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88" s="33" t="str">
        <f t="shared" si="118"/>
        <v>Week 4</v>
      </c>
      <c r="H2188" s="33" t="str">
        <f t="shared" si="119"/>
        <v>March 28 Week 4</v>
      </c>
      <c r="I2188" s="33" t="str">
        <f>CONCATENATE(UPPER(TableAopCalendar[[#This Row],[Month]])," ",TableAopCalendar[[#This Row],[Year]])</f>
        <v>MARCH 28</v>
      </c>
      <c r="J2188" s="8" t="s">
        <v>274</v>
      </c>
      <c r="K2188" s="33" t="str">
        <f>CONCATENATE(TableAopCalendar[[#This Row],[Month for Plan]]," ",TableAopCalendar[[#This Row],[Plan]])</f>
        <v>MARCH 28 PLANNED</v>
      </c>
    </row>
    <row r="2189" spans="1:11" x14ac:dyDescent="0.25">
      <c r="A2189" s="33">
        <f t="shared" si="117"/>
        <v>6</v>
      </c>
      <c r="B2189" s="34">
        <v>46839</v>
      </c>
      <c r="C2189" s="7" t="s">
        <v>273</v>
      </c>
      <c r="D2189" s="35">
        <v>28</v>
      </c>
      <c r="E2189" s="33">
        <f>DAY(TableAopCalendar[[#This Row],[Date]])</f>
        <v>27</v>
      </c>
      <c r="F218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89" s="33" t="str">
        <f t="shared" si="118"/>
        <v>Week 4</v>
      </c>
      <c r="H2189" s="33" t="str">
        <f t="shared" si="119"/>
        <v>March 28 Week 4</v>
      </c>
      <c r="I2189" s="33" t="str">
        <f>CONCATENATE(UPPER(TableAopCalendar[[#This Row],[Month]])," ",TableAopCalendar[[#This Row],[Year]])</f>
        <v>MARCH 28</v>
      </c>
      <c r="J2189" s="8" t="s">
        <v>274</v>
      </c>
      <c r="K2189" s="33" t="str">
        <f>CONCATENATE(TableAopCalendar[[#This Row],[Month for Plan]]," ",TableAopCalendar[[#This Row],[Plan]])</f>
        <v>MARCH 28 PLANNED</v>
      </c>
    </row>
    <row r="2190" spans="1:11" x14ac:dyDescent="0.25">
      <c r="A2190" s="33">
        <f t="shared" si="117"/>
        <v>7</v>
      </c>
      <c r="B2190" s="34">
        <v>46840</v>
      </c>
      <c r="C2190" s="7" t="s">
        <v>273</v>
      </c>
      <c r="D2190" s="35">
        <v>28</v>
      </c>
      <c r="E2190" s="33">
        <f>DAY(TableAopCalendar[[#This Row],[Date]])</f>
        <v>28</v>
      </c>
      <c r="F219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190" s="33" t="str">
        <f t="shared" si="118"/>
        <v>Week 4</v>
      </c>
      <c r="H2190" s="33" t="str">
        <f t="shared" si="119"/>
        <v>March 28 Week 4</v>
      </c>
      <c r="I2190" s="33" t="str">
        <f>CONCATENATE(UPPER(TableAopCalendar[[#This Row],[Month]])," ",TableAopCalendar[[#This Row],[Year]])</f>
        <v>MARCH 28</v>
      </c>
      <c r="J2190" s="8" t="s">
        <v>274</v>
      </c>
      <c r="K2190" s="33" t="str">
        <f>CONCATENATE(TableAopCalendar[[#This Row],[Month for Plan]]," ",TableAopCalendar[[#This Row],[Plan]])</f>
        <v>MARCH 28 PLANNED</v>
      </c>
    </row>
    <row r="2191" spans="1:11" x14ac:dyDescent="0.25">
      <c r="A2191" s="33">
        <f t="shared" si="117"/>
        <v>1</v>
      </c>
      <c r="B2191" s="34">
        <v>46841</v>
      </c>
      <c r="C2191" s="7" t="s">
        <v>273</v>
      </c>
      <c r="D2191" s="35">
        <v>28</v>
      </c>
      <c r="E2191" s="33">
        <f>DAY(TableAopCalendar[[#This Row],[Date]])</f>
        <v>29</v>
      </c>
      <c r="F219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91" s="33" t="str">
        <f t="shared" si="118"/>
        <v>Week 5</v>
      </c>
      <c r="H2191" s="33" t="str">
        <f t="shared" si="119"/>
        <v>March 28 Week 5</v>
      </c>
      <c r="I2191" s="33" t="str">
        <f>CONCATENATE(UPPER(TableAopCalendar[[#This Row],[Month]])," ",TableAopCalendar[[#This Row],[Year]])</f>
        <v>MARCH 28</v>
      </c>
      <c r="J2191" s="8" t="s">
        <v>274</v>
      </c>
      <c r="K2191" s="33" t="str">
        <f>CONCATENATE(TableAopCalendar[[#This Row],[Month for Plan]]," ",TableAopCalendar[[#This Row],[Plan]])</f>
        <v>MARCH 28 PLANNED</v>
      </c>
    </row>
    <row r="2192" spans="1:11" x14ac:dyDescent="0.25">
      <c r="A2192" s="33">
        <f t="shared" si="117"/>
        <v>2</v>
      </c>
      <c r="B2192" s="34">
        <v>46842</v>
      </c>
      <c r="C2192" s="7" t="s">
        <v>273</v>
      </c>
      <c r="D2192" s="35">
        <v>28</v>
      </c>
      <c r="E2192" s="33">
        <f>DAY(TableAopCalendar[[#This Row],[Date]])</f>
        <v>30</v>
      </c>
      <c r="F219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92" s="33" t="str">
        <f t="shared" si="118"/>
        <v>Week 5</v>
      </c>
      <c r="H2192" s="33" t="str">
        <f t="shared" si="119"/>
        <v>March 28 Week 5</v>
      </c>
      <c r="I2192" s="33" t="str">
        <f>CONCATENATE(UPPER(TableAopCalendar[[#This Row],[Month]])," ",TableAopCalendar[[#This Row],[Year]])</f>
        <v>MARCH 28</v>
      </c>
      <c r="J2192" s="8" t="s">
        <v>274</v>
      </c>
      <c r="K2192" s="33" t="str">
        <f>CONCATENATE(TableAopCalendar[[#This Row],[Month for Plan]]," ",TableAopCalendar[[#This Row],[Plan]])</f>
        <v>MARCH 28 PLANNED</v>
      </c>
    </row>
    <row r="2193" spans="1:11" x14ac:dyDescent="0.25">
      <c r="A2193" s="33">
        <f t="shared" si="117"/>
        <v>3</v>
      </c>
      <c r="B2193" s="34">
        <v>46843</v>
      </c>
      <c r="C2193" s="7" t="s">
        <v>273</v>
      </c>
      <c r="D2193" s="35">
        <v>28</v>
      </c>
      <c r="E2193" s="33">
        <f>DAY(TableAopCalendar[[#This Row],[Date]])</f>
        <v>31</v>
      </c>
      <c r="F2193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193" s="33" t="str">
        <f t="shared" si="118"/>
        <v>Week 5</v>
      </c>
      <c r="H2193" s="33" t="str">
        <f t="shared" si="119"/>
        <v>March 28 Week 5</v>
      </c>
      <c r="I2193" s="33" t="str">
        <f>CONCATENATE(UPPER(TableAopCalendar[[#This Row],[Month]])," ",TableAopCalendar[[#This Row],[Year]])</f>
        <v>MARCH 28</v>
      </c>
      <c r="J2193" s="8" t="s">
        <v>274</v>
      </c>
      <c r="K2193" s="33" t="str">
        <f>CONCATENATE(TableAopCalendar[[#This Row],[Month for Plan]]," ",TableAopCalendar[[#This Row],[Plan]])</f>
        <v>MARCH 28 PLANNED</v>
      </c>
    </row>
    <row r="2194" spans="1:11" x14ac:dyDescent="0.25">
      <c r="A2194" s="33">
        <f t="shared" si="117"/>
        <v>1</v>
      </c>
      <c r="B2194" s="34">
        <v>46844</v>
      </c>
      <c r="C2194" s="7" t="s">
        <v>264</v>
      </c>
      <c r="D2194" s="35">
        <v>28</v>
      </c>
      <c r="E2194" s="33">
        <f>DAY(TableAopCalendar[[#This Row],[Date]])</f>
        <v>1</v>
      </c>
      <c r="F219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94" s="33" t="str">
        <f t="shared" si="118"/>
        <v>Week 1</v>
      </c>
      <c r="H2194" s="33" t="str">
        <f t="shared" si="119"/>
        <v>April 28 Week 1</v>
      </c>
      <c r="I2194" s="33" t="str">
        <f>CONCATENATE(UPPER(TableAopCalendar[[#This Row],[Month]])," ",TableAopCalendar[[#This Row],[Year]])</f>
        <v>APRIL 28</v>
      </c>
      <c r="J2194" s="8" t="s">
        <v>274</v>
      </c>
      <c r="K2194" s="33" t="str">
        <f>CONCATENATE(TableAopCalendar[[#This Row],[Month for Plan]]," ",TableAopCalendar[[#This Row],[Plan]])</f>
        <v>APRIL 28 PLANNED</v>
      </c>
    </row>
    <row r="2195" spans="1:11" x14ac:dyDescent="0.25">
      <c r="A2195" s="33">
        <f t="shared" si="117"/>
        <v>2</v>
      </c>
      <c r="B2195" s="34">
        <v>46845</v>
      </c>
      <c r="C2195" s="7" t="s">
        <v>264</v>
      </c>
      <c r="D2195" s="35">
        <v>28</v>
      </c>
      <c r="E2195" s="33">
        <f>DAY(TableAopCalendar[[#This Row],[Date]])</f>
        <v>2</v>
      </c>
      <c r="F219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95" s="33" t="str">
        <f t="shared" si="118"/>
        <v>Week 1</v>
      </c>
      <c r="H2195" s="33" t="str">
        <f t="shared" si="119"/>
        <v>April 28 Week 1</v>
      </c>
      <c r="I2195" s="33" t="str">
        <f>CONCATENATE(UPPER(TableAopCalendar[[#This Row],[Month]])," ",TableAopCalendar[[#This Row],[Year]])</f>
        <v>APRIL 28</v>
      </c>
      <c r="J2195" s="8" t="s">
        <v>274</v>
      </c>
      <c r="K2195" s="33" t="str">
        <f>CONCATENATE(TableAopCalendar[[#This Row],[Month for Plan]]," ",TableAopCalendar[[#This Row],[Plan]])</f>
        <v>APRIL 28 PLANNED</v>
      </c>
    </row>
    <row r="2196" spans="1:11" x14ac:dyDescent="0.25">
      <c r="A2196" s="33">
        <f t="shared" si="117"/>
        <v>3</v>
      </c>
      <c r="B2196" s="34">
        <v>46846</v>
      </c>
      <c r="C2196" s="7" t="s">
        <v>264</v>
      </c>
      <c r="D2196" s="35">
        <v>28</v>
      </c>
      <c r="E2196" s="33">
        <f>DAY(TableAopCalendar[[#This Row],[Date]])</f>
        <v>3</v>
      </c>
      <c r="F219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96" s="33" t="str">
        <f t="shared" si="118"/>
        <v>Week 1</v>
      </c>
      <c r="H2196" s="33" t="str">
        <f t="shared" si="119"/>
        <v>April 28 Week 1</v>
      </c>
      <c r="I2196" s="33" t="str">
        <f>CONCATENATE(UPPER(TableAopCalendar[[#This Row],[Month]])," ",TableAopCalendar[[#This Row],[Year]])</f>
        <v>APRIL 28</v>
      </c>
      <c r="J2196" s="8" t="s">
        <v>274</v>
      </c>
      <c r="K2196" s="33" t="str">
        <f>CONCATENATE(TableAopCalendar[[#This Row],[Month for Plan]]," ",TableAopCalendar[[#This Row],[Plan]])</f>
        <v>APRIL 28 PLANNED</v>
      </c>
    </row>
    <row r="2197" spans="1:11" x14ac:dyDescent="0.25">
      <c r="A2197" s="33">
        <f t="shared" si="117"/>
        <v>4</v>
      </c>
      <c r="B2197" s="34">
        <v>46847</v>
      </c>
      <c r="C2197" s="7" t="s">
        <v>264</v>
      </c>
      <c r="D2197" s="35">
        <v>28</v>
      </c>
      <c r="E2197" s="33">
        <f>DAY(TableAopCalendar[[#This Row],[Date]])</f>
        <v>4</v>
      </c>
      <c r="F219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97" s="33" t="str">
        <f t="shared" si="118"/>
        <v>Week 1</v>
      </c>
      <c r="H2197" s="33" t="str">
        <f t="shared" si="119"/>
        <v>April 28 Week 1</v>
      </c>
      <c r="I2197" s="33" t="str">
        <f>CONCATENATE(UPPER(TableAopCalendar[[#This Row],[Month]])," ",TableAopCalendar[[#This Row],[Year]])</f>
        <v>APRIL 28</v>
      </c>
      <c r="J2197" s="8" t="s">
        <v>274</v>
      </c>
      <c r="K2197" s="33" t="str">
        <f>CONCATENATE(TableAopCalendar[[#This Row],[Month for Plan]]," ",TableAopCalendar[[#This Row],[Plan]])</f>
        <v>APRIL 28 PLANNED</v>
      </c>
    </row>
    <row r="2198" spans="1:11" x14ac:dyDescent="0.25">
      <c r="A2198" s="33">
        <f t="shared" si="117"/>
        <v>5</v>
      </c>
      <c r="B2198" s="34">
        <v>46848</v>
      </c>
      <c r="C2198" s="7" t="s">
        <v>264</v>
      </c>
      <c r="D2198" s="35">
        <v>28</v>
      </c>
      <c r="E2198" s="33">
        <f>DAY(TableAopCalendar[[#This Row],[Date]])</f>
        <v>5</v>
      </c>
      <c r="F219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98" s="33" t="str">
        <f t="shared" si="118"/>
        <v>Week 1</v>
      </c>
      <c r="H2198" s="33" t="str">
        <f t="shared" si="119"/>
        <v>April 28 Week 1</v>
      </c>
      <c r="I2198" s="33" t="str">
        <f>CONCATENATE(UPPER(TableAopCalendar[[#This Row],[Month]])," ",TableAopCalendar[[#This Row],[Year]])</f>
        <v>APRIL 28</v>
      </c>
      <c r="J2198" s="8" t="s">
        <v>274</v>
      </c>
      <c r="K2198" s="33" t="str">
        <f>CONCATENATE(TableAopCalendar[[#This Row],[Month for Plan]]," ",TableAopCalendar[[#This Row],[Plan]])</f>
        <v>APRIL 28 PLANNED</v>
      </c>
    </row>
    <row r="2199" spans="1:11" x14ac:dyDescent="0.25">
      <c r="A2199" s="33">
        <f t="shared" si="117"/>
        <v>6</v>
      </c>
      <c r="B2199" s="34">
        <v>46849</v>
      </c>
      <c r="C2199" s="7" t="s">
        <v>264</v>
      </c>
      <c r="D2199" s="35">
        <v>28</v>
      </c>
      <c r="E2199" s="33">
        <f>DAY(TableAopCalendar[[#This Row],[Date]])</f>
        <v>6</v>
      </c>
      <c r="F219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199" s="33" t="str">
        <f t="shared" si="118"/>
        <v>Week 1</v>
      </c>
      <c r="H2199" s="33" t="str">
        <f t="shared" si="119"/>
        <v>April 28 Week 1</v>
      </c>
      <c r="I2199" s="33" t="str">
        <f>CONCATENATE(UPPER(TableAopCalendar[[#This Row],[Month]])," ",TableAopCalendar[[#This Row],[Year]])</f>
        <v>APRIL 28</v>
      </c>
      <c r="J2199" s="8" t="s">
        <v>274</v>
      </c>
      <c r="K2199" s="33" t="str">
        <f>CONCATENATE(TableAopCalendar[[#This Row],[Month for Plan]]," ",TableAopCalendar[[#This Row],[Plan]])</f>
        <v>APRIL 28 PLANNED</v>
      </c>
    </row>
    <row r="2200" spans="1:11" x14ac:dyDescent="0.25">
      <c r="A2200" s="33">
        <f t="shared" si="117"/>
        <v>7</v>
      </c>
      <c r="B2200" s="34">
        <v>46850</v>
      </c>
      <c r="C2200" s="7" t="s">
        <v>264</v>
      </c>
      <c r="D2200" s="35">
        <v>28</v>
      </c>
      <c r="E2200" s="33">
        <f>DAY(TableAopCalendar[[#This Row],[Date]])</f>
        <v>7</v>
      </c>
      <c r="F220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00" s="33" t="str">
        <f t="shared" si="118"/>
        <v>Week 1</v>
      </c>
      <c r="H2200" s="33" t="str">
        <f t="shared" si="119"/>
        <v>April 28 Week 1</v>
      </c>
      <c r="I2200" s="33" t="str">
        <f>CONCATENATE(UPPER(TableAopCalendar[[#This Row],[Month]])," ",TableAopCalendar[[#This Row],[Year]])</f>
        <v>APRIL 28</v>
      </c>
      <c r="J2200" s="8" t="s">
        <v>274</v>
      </c>
      <c r="K2200" s="33" t="str">
        <f>CONCATENATE(TableAopCalendar[[#This Row],[Month for Plan]]," ",TableAopCalendar[[#This Row],[Plan]])</f>
        <v>APRIL 28 PLANNED</v>
      </c>
    </row>
    <row r="2201" spans="1:11" x14ac:dyDescent="0.25">
      <c r="A2201" s="33">
        <f t="shared" si="117"/>
        <v>1</v>
      </c>
      <c r="B2201" s="34">
        <v>46851</v>
      </c>
      <c r="C2201" s="7" t="s">
        <v>264</v>
      </c>
      <c r="D2201" s="35">
        <v>28</v>
      </c>
      <c r="E2201" s="33">
        <f>DAY(TableAopCalendar[[#This Row],[Date]])</f>
        <v>8</v>
      </c>
      <c r="F220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01" s="33" t="str">
        <f t="shared" si="118"/>
        <v>Week 2</v>
      </c>
      <c r="H2201" s="33" t="str">
        <f t="shared" si="119"/>
        <v>April 28 Week 2</v>
      </c>
      <c r="I2201" s="33" t="str">
        <f>CONCATENATE(UPPER(TableAopCalendar[[#This Row],[Month]])," ",TableAopCalendar[[#This Row],[Year]])</f>
        <v>APRIL 28</v>
      </c>
      <c r="J2201" s="8" t="s">
        <v>274</v>
      </c>
      <c r="K2201" s="33" t="str">
        <f>CONCATENATE(TableAopCalendar[[#This Row],[Month for Plan]]," ",TableAopCalendar[[#This Row],[Plan]])</f>
        <v>APRIL 28 PLANNED</v>
      </c>
    </row>
    <row r="2202" spans="1:11" x14ac:dyDescent="0.25">
      <c r="A2202" s="33">
        <f t="shared" si="117"/>
        <v>2</v>
      </c>
      <c r="B2202" s="34">
        <v>46852</v>
      </c>
      <c r="C2202" s="7" t="s">
        <v>264</v>
      </c>
      <c r="D2202" s="35">
        <v>28</v>
      </c>
      <c r="E2202" s="33">
        <f>DAY(TableAopCalendar[[#This Row],[Date]])</f>
        <v>9</v>
      </c>
      <c r="F220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02" s="33" t="str">
        <f t="shared" si="118"/>
        <v>Week 2</v>
      </c>
      <c r="H2202" s="33" t="str">
        <f t="shared" si="119"/>
        <v>April 28 Week 2</v>
      </c>
      <c r="I2202" s="33" t="str">
        <f>CONCATENATE(UPPER(TableAopCalendar[[#This Row],[Month]])," ",TableAopCalendar[[#This Row],[Year]])</f>
        <v>APRIL 28</v>
      </c>
      <c r="J2202" s="8" t="s">
        <v>274</v>
      </c>
      <c r="K2202" s="33" t="str">
        <f>CONCATENATE(TableAopCalendar[[#This Row],[Month for Plan]]," ",TableAopCalendar[[#This Row],[Plan]])</f>
        <v>APRIL 28 PLANNED</v>
      </c>
    </row>
    <row r="2203" spans="1:11" x14ac:dyDescent="0.25">
      <c r="A2203" s="33">
        <f t="shared" si="117"/>
        <v>3</v>
      </c>
      <c r="B2203" s="34">
        <v>46853</v>
      </c>
      <c r="C2203" s="7" t="s">
        <v>264</v>
      </c>
      <c r="D2203" s="35">
        <v>28</v>
      </c>
      <c r="E2203" s="33">
        <f>DAY(TableAopCalendar[[#This Row],[Date]])</f>
        <v>10</v>
      </c>
      <c r="F220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03" s="33" t="str">
        <f t="shared" si="118"/>
        <v>Week 2</v>
      </c>
      <c r="H2203" s="33" t="str">
        <f t="shared" si="119"/>
        <v>April 28 Week 2</v>
      </c>
      <c r="I2203" s="33" t="str">
        <f>CONCATENATE(UPPER(TableAopCalendar[[#This Row],[Month]])," ",TableAopCalendar[[#This Row],[Year]])</f>
        <v>APRIL 28</v>
      </c>
      <c r="J2203" s="8" t="s">
        <v>274</v>
      </c>
      <c r="K2203" s="33" t="str">
        <f>CONCATENATE(TableAopCalendar[[#This Row],[Month for Plan]]," ",TableAopCalendar[[#This Row],[Plan]])</f>
        <v>APRIL 28 PLANNED</v>
      </c>
    </row>
    <row r="2204" spans="1:11" x14ac:dyDescent="0.25">
      <c r="A2204" s="33">
        <f t="shared" si="117"/>
        <v>4</v>
      </c>
      <c r="B2204" s="34">
        <v>46854</v>
      </c>
      <c r="C2204" s="7" t="s">
        <v>264</v>
      </c>
      <c r="D2204" s="35">
        <v>28</v>
      </c>
      <c r="E2204" s="33">
        <f>DAY(TableAopCalendar[[#This Row],[Date]])</f>
        <v>11</v>
      </c>
      <c r="F220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04" s="33" t="str">
        <f t="shared" si="118"/>
        <v>Week 2</v>
      </c>
      <c r="H2204" s="33" t="str">
        <f t="shared" si="119"/>
        <v>April 28 Week 2</v>
      </c>
      <c r="I2204" s="33" t="str">
        <f>CONCATENATE(UPPER(TableAopCalendar[[#This Row],[Month]])," ",TableAopCalendar[[#This Row],[Year]])</f>
        <v>APRIL 28</v>
      </c>
      <c r="J2204" s="8" t="s">
        <v>274</v>
      </c>
      <c r="K2204" s="33" t="str">
        <f>CONCATENATE(TableAopCalendar[[#This Row],[Month for Plan]]," ",TableAopCalendar[[#This Row],[Plan]])</f>
        <v>APRIL 28 PLANNED</v>
      </c>
    </row>
    <row r="2205" spans="1:11" x14ac:dyDescent="0.25">
      <c r="A2205" s="33">
        <f t="shared" si="117"/>
        <v>5</v>
      </c>
      <c r="B2205" s="34">
        <v>46855</v>
      </c>
      <c r="C2205" s="7" t="s">
        <v>264</v>
      </c>
      <c r="D2205" s="35">
        <v>28</v>
      </c>
      <c r="E2205" s="33">
        <f>DAY(TableAopCalendar[[#This Row],[Date]])</f>
        <v>12</v>
      </c>
      <c r="F220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05" s="33" t="str">
        <f t="shared" si="118"/>
        <v>Week 2</v>
      </c>
      <c r="H2205" s="33" t="str">
        <f t="shared" si="119"/>
        <v>April 28 Week 2</v>
      </c>
      <c r="I2205" s="33" t="str">
        <f>CONCATENATE(UPPER(TableAopCalendar[[#This Row],[Month]])," ",TableAopCalendar[[#This Row],[Year]])</f>
        <v>APRIL 28</v>
      </c>
      <c r="J2205" s="8" t="s">
        <v>274</v>
      </c>
      <c r="K2205" s="33" t="str">
        <f>CONCATENATE(TableAopCalendar[[#This Row],[Month for Plan]]," ",TableAopCalendar[[#This Row],[Plan]])</f>
        <v>APRIL 28 PLANNED</v>
      </c>
    </row>
    <row r="2206" spans="1:11" x14ac:dyDescent="0.25">
      <c r="A2206" s="33">
        <f t="shared" si="117"/>
        <v>6</v>
      </c>
      <c r="B2206" s="34">
        <v>46856</v>
      </c>
      <c r="C2206" s="7" t="s">
        <v>264</v>
      </c>
      <c r="D2206" s="35">
        <v>28</v>
      </c>
      <c r="E2206" s="33">
        <f>DAY(TableAopCalendar[[#This Row],[Date]])</f>
        <v>13</v>
      </c>
      <c r="F220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06" s="33" t="str">
        <f t="shared" si="118"/>
        <v>Week 2</v>
      </c>
      <c r="H2206" s="33" t="str">
        <f t="shared" si="119"/>
        <v>April 28 Week 2</v>
      </c>
      <c r="I2206" s="33" t="str">
        <f>CONCATENATE(UPPER(TableAopCalendar[[#This Row],[Month]])," ",TableAopCalendar[[#This Row],[Year]])</f>
        <v>APRIL 28</v>
      </c>
      <c r="J2206" s="8" t="s">
        <v>274</v>
      </c>
      <c r="K2206" s="33" t="str">
        <f>CONCATENATE(TableAopCalendar[[#This Row],[Month for Plan]]," ",TableAopCalendar[[#This Row],[Plan]])</f>
        <v>APRIL 28 PLANNED</v>
      </c>
    </row>
    <row r="2207" spans="1:11" x14ac:dyDescent="0.25">
      <c r="A2207" s="33">
        <f t="shared" si="117"/>
        <v>7</v>
      </c>
      <c r="B2207" s="34">
        <v>46857</v>
      </c>
      <c r="C2207" s="7" t="s">
        <v>264</v>
      </c>
      <c r="D2207" s="35">
        <v>28</v>
      </c>
      <c r="E2207" s="33">
        <f>DAY(TableAopCalendar[[#This Row],[Date]])</f>
        <v>14</v>
      </c>
      <c r="F220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07" s="33" t="str">
        <f t="shared" si="118"/>
        <v>Week 2</v>
      </c>
      <c r="H2207" s="33" t="str">
        <f t="shared" si="119"/>
        <v>April 28 Week 2</v>
      </c>
      <c r="I2207" s="33" t="str">
        <f>CONCATENATE(UPPER(TableAopCalendar[[#This Row],[Month]])," ",TableAopCalendar[[#This Row],[Year]])</f>
        <v>APRIL 28</v>
      </c>
      <c r="J2207" s="8" t="s">
        <v>274</v>
      </c>
      <c r="K2207" s="33" t="str">
        <f>CONCATENATE(TableAopCalendar[[#This Row],[Month for Plan]]," ",TableAopCalendar[[#This Row],[Plan]])</f>
        <v>APRIL 28 PLANNED</v>
      </c>
    </row>
    <row r="2208" spans="1:11" x14ac:dyDescent="0.25">
      <c r="A2208" s="33">
        <f t="shared" si="117"/>
        <v>1</v>
      </c>
      <c r="B2208" s="34">
        <v>46858</v>
      </c>
      <c r="C2208" s="7" t="s">
        <v>264</v>
      </c>
      <c r="D2208" s="35">
        <v>28</v>
      </c>
      <c r="E2208" s="33">
        <f>DAY(TableAopCalendar[[#This Row],[Date]])</f>
        <v>15</v>
      </c>
      <c r="F220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08" s="33" t="str">
        <f t="shared" si="118"/>
        <v>Week 3</v>
      </c>
      <c r="H2208" s="33" t="str">
        <f t="shared" si="119"/>
        <v>April 28 Week 3</v>
      </c>
      <c r="I2208" s="33" t="str">
        <f>CONCATENATE(UPPER(TableAopCalendar[[#This Row],[Month]])," ",TableAopCalendar[[#This Row],[Year]])</f>
        <v>APRIL 28</v>
      </c>
      <c r="J2208" s="8" t="s">
        <v>274</v>
      </c>
      <c r="K2208" s="33" t="str">
        <f>CONCATENATE(TableAopCalendar[[#This Row],[Month for Plan]]," ",TableAopCalendar[[#This Row],[Plan]])</f>
        <v>APRIL 28 PLANNED</v>
      </c>
    </row>
    <row r="2209" spans="1:11" x14ac:dyDescent="0.25">
      <c r="A2209" s="33">
        <f t="shared" si="117"/>
        <v>2</v>
      </c>
      <c r="B2209" s="34">
        <v>46859</v>
      </c>
      <c r="C2209" s="7" t="s">
        <v>264</v>
      </c>
      <c r="D2209" s="35">
        <v>28</v>
      </c>
      <c r="E2209" s="33">
        <f>DAY(TableAopCalendar[[#This Row],[Date]])</f>
        <v>16</v>
      </c>
      <c r="F220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09" s="33" t="str">
        <f t="shared" si="118"/>
        <v>Week 3</v>
      </c>
      <c r="H2209" s="33" t="str">
        <f t="shared" si="119"/>
        <v>April 28 Week 3</v>
      </c>
      <c r="I2209" s="33" t="str">
        <f>CONCATENATE(UPPER(TableAopCalendar[[#This Row],[Month]])," ",TableAopCalendar[[#This Row],[Year]])</f>
        <v>APRIL 28</v>
      </c>
      <c r="J2209" s="8" t="s">
        <v>274</v>
      </c>
      <c r="K2209" s="33" t="str">
        <f>CONCATENATE(TableAopCalendar[[#This Row],[Month for Plan]]," ",TableAopCalendar[[#This Row],[Plan]])</f>
        <v>APRIL 28 PLANNED</v>
      </c>
    </row>
    <row r="2210" spans="1:11" x14ac:dyDescent="0.25">
      <c r="A2210" s="33">
        <f t="shared" si="117"/>
        <v>3</v>
      </c>
      <c r="B2210" s="34">
        <v>46860</v>
      </c>
      <c r="C2210" s="7" t="s">
        <v>264</v>
      </c>
      <c r="D2210" s="35">
        <v>28</v>
      </c>
      <c r="E2210" s="33">
        <f>DAY(TableAopCalendar[[#This Row],[Date]])</f>
        <v>17</v>
      </c>
      <c r="F221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10" s="33" t="str">
        <f t="shared" si="118"/>
        <v>Week 3</v>
      </c>
      <c r="H2210" s="33" t="str">
        <f t="shared" si="119"/>
        <v>April 28 Week 3</v>
      </c>
      <c r="I2210" s="33" t="str">
        <f>CONCATENATE(UPPER(TableAopCalendar[[#This Row],[Month]])," ",TableAopCalendar[[#This Row],[Year]])</f>
        <v>APRIL 28</v>
      </c>
      <c r="J2210" s="8" t="s">
        <v>274</v>
      </c>
      <c r="K2210" s="33" t="str">
        <f>CONCATENATE(TableAopCalendar[[#This Row],[Month for Plan]]," ",TableAopCalendar[[#This Row],[Plan]])</f>
        <v>APRIL 28 PLANNED</v>
      </c>
    </row>
    <row r="2211" spans="1:11" x14ac:dyDescent="0.25">
      <c r="A2211" s="33">
        <f t="shared" si="117"/>
        <v>4</v>
      </c>
      <c r="B2211" s="34">
        <v>46861</v>
      </c>
      <c r="C2211" s="7" t="s">
        <v>264</v>
      </c>
      <c r="D2211" s="35">
        <v>28</v>
      </c>
      <c r="E2211" s="33">
        <f>DAY(TableAopCalendar[[#This Row],[Date]])</f>
        <v>18</v>
      </c>
      <c r="F221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11" s="33" t="str">
        <f t="shared" si="118"/>
        <v>Week 3</v>
      </c>
      <c r="H2211" s="33" t="str">
        <f t="shared" si="119"/>
        <v>April 28 Week 3</v>
      </c>
      <c r="I2211" s="33" t="str">
        <f>CONCATENATE(UPPER(TableAopCalendar[[#This Row],[Month]])," ",TableAopCalendar[[#This Row],[Year]])</f>
        <v>APRIL 28</v>
      </c>
      <c r="J2211" s="8" t="s">
        <v>274</v>
      </c>
      <c r="K2211" s="33" t="str">
        <f>CONCATENATE(TableAopCalendar[[#This Row],[Month for Plan]]," ",TableAopCalendar[[#This Row],[Plan]])</f>
        <v>APRIL 28 PLANNED</v>
      </c>
    </row>
    <row r="2212" spans="1:11" x14ac:dyDescent="0.25">
      <c r="A2212" s="33">
        <f t="shared" ref="A2212:A2275" si="120">IF(G2212=G2211,A2211+1,1)</f>
        <v>5</v>
      </c>
      <c r="B2212" s="34">
        <v>46862</v>
      </c>
      <c r="C2212" s="7" t="s">
        <v>264</v>
      </c>
      <c r="D2212" s="35">
        <v>28</v>
      </c>
      <c r="E2212" s="33">
        <f>DAY(TableAopCalendar[[#This Row],[Date]])</f>
        <v>19</v>
      </c>
      <c r="F221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12" s="33" t="str">
        <f t="shared" ref="G2212:G2275" si="121">"Week"&amp;" "&amp;F2212</f>
        <v>Week 3</v>
      </c>
      <c r="H2212" s="33" t="str">
        <f t="shared" ref="H2212:H2275" si="122">CONCATENATE(C2212," ",D2212," ",G2212)</f>
        <v>April 28 Week 3</v>
      </c>
      <c r="I2212" s="33" t="str">
        <f>CONCATENATE(UPPER(TableAopCalendar[[#This Row],[Month]])," ",TableAopCalendar[[#This Row],[Year]])</f>
        <v>APRIL 28</v>
      </c>
      <c r="J2212" s="8" t="s">
        <v>274</v>
      </c>
      <c r="K2212" s="33" t="str">
        <f>CONCATENATE(TableAopCalendar[[#This Row],[Month for Plan]]," ",TableAopCalendar[[#This Row],[Plan]])</f>
        <v>APRIL 28 PLANNED</v>
      </c>
    </row>
    <row r="2213" spans="1:11" x14ac:dyDescent="0.25">
      <c r="A2213" s="33">
        <f t="shared" si="120"/>
        <v>6</v>
      </c>
      <c r="B2213" s="34">
        <v>46863</v>
      </c>
      <c r="C2213" s="7" t="s">
        <v>264</v>
      </c>
      <c r="D2213" s="35">
        <v>28</v>
      </c>
      <c r="E2213" s="33">
        <f>DAY(TableAopCalendar[[#This Row],[Date]])</f>
        <v>20</v>
      </c>
      <c r="F221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13" s="33" t="str">
        <f t="shared" si="121"/>
        <v>Week 3</v>
      </c>
      <c r="H2213" s="33" t="str">
        <f t="shared" si="122"/>
        <v>April 28 Week 3</v>
      </c>
      <c r="I2213" s="33" t="str">
        <f>CONCATENATE(UPPER(TableAopCalendar[[#This Row],[Month]])," ",TableAopCalendar[[#This Row],[Year]])</f>
        <v>APRIL 28</v>
      </c>
      <c r="J2213" s="8" t="s">
        <v>274</v>
      </c>
      <c r="K2213" s="33" t="str">
        <f>CONCATENATE(TableAopCalendar[[#This Row],[Month for Plan]]," ",TableAopCalendar[[#This Row],[Plan]])</f>
        <v>APRIL 28 PLANNED</v>
      </c>
    </row>
    <row r="2214" spans="1:11" x14ac:dyDescent="0.25">
      <c r="A2214" s="33">
        <f t="shared" si="120"/>
        <v>7</v>
      </c>
      <c r="B2214" s="34">
        <v>46864</v>
      </c>
      <c r="C2214" s="7" t="s">
        <v>264</v>
      </c>
      <c r="D2214" s="35">
        <v>28</v>
      </c>
      <c r="E2214" s="33">
        <f>DAY(TableAopCalendar[[#This Row],[Date]])</f>
        <v>21</v>
      </c>
      <c r="F221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14" s="33" t="str">
        <f t="shared" si="121"/>
        <v>Week 3</v>
      </c>
      <c r="H2214" s="33" t="str">
        <f t="shared" si="122"/>
        <v>April 28 Week 3</v>
      </c>
      <c r="I2214" s="33" t="str">
        <f>CONCATENATE(UPPER(TableAopCalendar[[#This Row],[Month]])," ",TableAopCalendar[[#This Row],[Year]])</f>
        <v>APRIL 28</v>
      </c>
      <c r="J2214" s="8" t="s">
        <v>274</v>
      </c>
      <c r="K2214" s="33" t="str">
        <f>CONCATENATE(TableAopCalendar[[#This Row],[Month for Plan]]," ",TableAopCalendar[[#This Row],[Plan]])</f>
        <v>APRIL 28 PLANNED</v>
      </c>
    </row>
    <row r="2215" spans="1:11" x14ac:dyDescent="0.25">
      <c r="A2215" s="33">
        <f t="shared" si="120"/>
        <v>1</v>
      </c>
      <c r="B2215" s="34">
        <v>46865</v>
      </c>
      <c r="C2215" s="7" t="s">
        <v>264</v>
      </c>
      <c r="D2215" s="35">
        <v>28</v>
      </c>
      <c r="E2215" s="33">
        <f>DAY(TableAopCalendar[[#This Row],[Date]])</f>
        <v>22</v>
      </c>
      <c r="F221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15" s="33" t="str">
        <f t="shared" si="121"/>
        <v>Week 4</v>
      </c>
      <c r="H2215" s="33" t="str">
        <f t="shared" si="122"/>
        <v>April 28 Week 4</v>
      </c>
      <c r="I2215" s="33" t="str">
        <f>CONCATENATE(UPPER(TableAopCalendar[[#This Row],[Month]])," ",TableAopCalendar[[#This Row],[Year]])</f>
        <v>APRIL 28</v>
      </c>
      <c r="J2215" s="8" t="s">
        <v>274</v>
      </c>
      <c r="K2215" s="33" t="str">
        <f>CONCATENATE(TableAopCalendar[[#This Row],[Month for Plan]]," ",TableAopCalendar[[#This Row],[Plan]])</f>
        <v>APRIL 28 PLANNED</v>
      </c>
    </row>
    <row r="2216" spans="1:11" x14ac:dyDescent="0.25">
      <c r="A2216" s="33">
        <f t="shared" si="120"/>
        <v>2</v>
      </c>
      <c r="B2216" s="34">
        <v>46866</v>
      </c>
      <c r="C2216" s="7" t="s">
        <v>264</v>
      </c>
      <c r="D2216" s="35">
        <v>28</v>
      </c>
      <c r="E2216" s="33">
        <f>DAY(TableAopCalendar[[#This Row],[Date]])</f>
        <v>23</v>
      </c>
      <c r="F221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16" s="33" t="str">
        <f t="shared" si="121"/>
        <v>Week 4</v>
      </c>
      <c r="H2216" s="33" t="str">
        <f t="shared" si="122"/>
        <v>April 28 Week 4</v>
      </c>
      <c r="I2216" s="33" t="str">
        <f>CONCATENATE(UPPER(TableAopCalendar[[#This Row],[Month]])," ",TableAopCalendar[[#This Row],[Year]])</f>
        <v>APRIL 28</v>
      </c>
      <c r="J2216" s="8" t="s">
        <v>274</v>
      </c>
      <c r="K2216" s="33" t="str">
        <f>CONCATENATE(TableAopCalendar[[#This Row],[Month for Plan]]," ",TableAopCalendar[[#This Row],[Plan]])</f>
        <v>APRIL 28 PLANNED</v>
      </c>
    </row>
    <row r="2217" spans="1:11" x14ac:dyDescent="0.25">
      <c r="A2217" s="33">
        <f t="shared" si="120"/>
        <v>3</v>
      </c>
      <c r="B2217" s="34">
        <v>46867</v>
      </c>
      <c r="C2217" s="7" t="s">
        <v>264</v>
      </c>
      <c r="D2217" s="35">
        <v>28</v>
      </c>
      <c r="E2217" s="33">
        <f>DAY(TableAopCalendar[[#This Row],[Date]])</f>
        <v>24</v>
      </c>
      <c r="F221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17" s="33" t="str">
        <f t="shared" si="121"/>
        <v>Week 4</v>
      </c>
      <c r="H2217" s="33" t="str">
        <f t="shared" si="122"/>
        <v>April 28 Week 4</v>
      </c>
      <c r="I2217" s="33" t="str">
        <f>CONCATENATE(UPPER(TableAopCalendar[[#This Row],[Month]])," ",TableAopCalendar[[#This Row],[Year]])</f>
        <v>APRIL 28</v>
      </c>
      <c r="J2217" s="8" t="s">
        <v>274</v>
      </c>
      <c r="K2217" s="33" t="str">
        <f>CONCATENATE(TableAopCalendar[[#This Row],[Month for Plan]]," ",TableAopCalendar[[#This Row],[Plan]])</f>
        <v>APRIL 28 PLANNED</v>
      </c>
    </row>
    <row r="2218" spans="1:11" x14ac:dyDescent="0.25">
      <c r="A2218" s="33">
        <f t="shared" si="120"/>
        <v>4</v>
      </c>
      <c r="B2218" s="34">
        <v>46868</v>
      </c>
      <c r="C2218" s="7" t="s">
        <v>264</v>
      </c>
      <c r="D2218" s="35">
        <v>28</v>
      </c>
      <c r="E2218" s="33">
        <f>DAY(TableAopCalendar[[#This Row],[Date]])</f>
        <v>25</v>
      </c>
      <c r="F221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18" s="33" t="str">
        <f t="shared" si="121"/>
        <v>Week 4</v>
      </c>
      <c r="H2218" s="33" t="str">
        <f t="shared" si="122"/>
        <v>April 28 Week 4</v>
      </c>
      <c r="I2218" s="33" t="str">
        <f>CONCATENATE(UPPER(TableAopCalendar[[#This Row],[Month]])," ",TableAopCalendar[[#This Row],[Year]])</f>
        <v>APRIL 28</v>
      </c>
      <c r="J2218" s="8" t="s">
        <v>274</v>
      </c>
      <c r="K2218" s="33" t="str">
        <f>CONCATENATE(TableAopCalendar[[#This Row],[Month for Plan]]," ",TableAopCalendar[[#This Row],[Plan]])</f>
        <v>APRIL 28 PLANNED</v>
      </c>
    </row>
    <row r="2219" spans="1:11" x14ac:dyDescent="0.25">
      <c r="A2219" s="33">
        <f t="shared" si="120"/>
        <v>5</v>
      </c>
      <c r="B2219" s="34">
        <v>46869</v>
      </c>
      <c r="C2219" s="7" t="s">
        <v>264</v>
      </c>
      <c r="D2219" s="35">
        <v>28</v>
      </c>
      <c r="E2219" s="33">
        <f>DAY(TableAopCalendar[[#This Row],[Date]])</f>
        <v>26</v>
      </c>
      <c r="F221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19" s="33" t="str">
        <f t="shared" si="121"/>
        <v>Week 4</v>
      </c>
      <c r="H2219" s="33" t="str">
        <f t="shared" si="122"/>
        <v>April 28 Week 4</v>
      </c>
      <c r="I2219" s="33" t="str">
        <f>CONCATENATE(UPPER(TableAopCalendar[[#This Row],[Month]])," ",TableAopCalendar[[#This Row],[Year]])</f>
        <v>APRIL 28</v>
      </c>
      <c r="J2219" s="8" t="s">
        <v>274</v>
      </c>
      <c r="K2219" s="33" t="str">
        <f>CONCATENATE(TableAopCalendar[[#This Row],[Month for Plan]]," ",TableAopCalendar[[#This Row],[Plan]])</f>
        <v>APRIL 28 PLANNED</v>
      </c>
    </row>
    <row r="2220" spans="1:11" x14ac:dyDescent="0.25">
      <c r="A2220" s="33">
        <f t="shared" si="120"/>
        <v>6</v>
      </c>
      <c r="B2220" s="34">
        <v>46870</v>
      </c>
      <c r="C2220" s="7" t="s">
        <v>264</v>
      </c>
      <c r="D2220" s="35">
        <v>28</v>
      </c>
      <c r="E2220" s="33">
        <f>DAY(TableAopCalendar[[#This Row],[Date]])</f>
        <v>27</v>
      </c>
      <c r="F222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20" s="33" t="str">
        <f t="shared" si="121"/>
        <v>Week 4</v>
      </c>
      <c r="H2220" s="33" t="str">
        <f t="shared" si="122"/>
        <v>April 28 Week 4</v>
      </c>
      <c r="I2220" s="33" t="str">
        <f>CONCATENATE(UPPER(TableAopCalendar[[#This Row],[Month]])," ",TableAopCalendar[[#This Row],[Year]])</f>
        <v>APRIL 28</v>
      </c>
      <c r="J2220" s="8" t="s">
        <v>274</v>
      </c>
      <c r="K2220" s="33" t="str">
        <f>CONCATENATE(TableAopCalendar[[#This Row],[Month for Plan]]," ",TableAopCalendar[[#This Row],[Plan]])</f>
        <v>APRIL 28 PLANNED</v>
      </c>
    </row>
    <row r="2221" spans="1:11" x14ac:dyDescent="0.25">
      <c r="A2221" s="33">
        <f t="shared" si="120"/>
        <v>7</v>
      </c>
      <c r="B2221" s="34">
        <v>46871</v>
      </c>
      <c r="C2221" s="7" t="s">
        <v>264</v>
      </c>
      <c r="D2221" s="35">
        <v>28</v>
      </c>
      <c r="E2221" s="33">
        <f>DAY(TableAopCalendar[[#This Row],[Date]])</f>
        <v>28</v>
      </c>
      <c r="F222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21" s="33" t="str">
        <f t="shared" si="121"/>
        <v>Week 4</v>
      </c>
      <c r="H2221" s="33" t="str">
        <f t="shared" si="122"/>
        <v>April 28 Week 4</v>
      </c>
      <c r="I2221" s="33" t="str">
        <f>CONCATENATE(UPPER(TableAopCalendar[[#This Row],[Month]])," ",TableAopCalendar[[#This Row],[Year]])</f>
        <v>APRIL 28</v>
      </c>
      <c r="J2221" s="8" t="s">
        <v>274</v>
      </c>
      <c r="K2221" s="33" t="str">
        <f>CONCATENATE(TableAopCalendar[[#This Row],[Month for Plan]]," ",TableAopCalendar[[#This Row],[Plan]])</f>
        <v>APRIL 28 PLANNED</v>
      </c>
    </row>
    <row r="2222" spans="1:11" x14ac:dyDescent="0.25">
      <c r="A2222" s="33">
        <f t="shared" si="120"/>
        <v>1</v>
      </c>
      <c r="B2222" s="34">
        <v>46872</v>
      </c>
      <c r="C2222" s="7" t="s">
        <v>264</v>
      </c>
      <c r="D2222" s="35">
        <v>28</v>
      </c>
      <c r="E2222" s="33">
        <f>DAY(TableAopCalendar[[#This Row],[Date]])</f>
        <v>29</v>
      </c>
      <c r="F222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222" s="33" t="str">
        <f t="shared" si="121"/>
        <v>Week 5</v>
      </c>
      <c r="H2222" s="33" t="str">
        <f t="shared" si="122"/>
        <v>April 28 Week 5</v>
      </c>
      <c r="I2222" s="33" t="str">
        <f>CONCATENATE(UPPER(TableAopCalendar[[#This Row],[Month]])," ",TableAopCalendar[[#This Row],[Year]])</f>
        <v>APRIL 28</v>
      </c>
      <c r="J2222" s="8" t="s">
        <v>274</v>
      </c>
      <c r="K2222" s="33" t="str">
        <f>CONCATENATE(TableAopCalendar[[#This Row],[Month for Plan]]," ",TableAopCalendar[[#This Row],[Plan]])</f>
        <v>APRIL 28 PLANNED</v>
      </c>
    </row>
    <row r="2223" spans="1:11" x14ac:dyDescent="0.25">
      <c r="A2223" s="33">
        <f t="shared" si="120"/>
        <v>2</v>
      </c>
      <c r="B2223" s="34">
        <v>46873</v>
      </c>
      <c r="C2223" s="7" t="s">
        <v>264</v>
      </c>
      <c r="D2223" s="35">
        <v>28</v>
      </c>
      <c r="E2223" s="33">
        <f>DAY(TableAopCalendar[[#This Row],[Date]])</f>
        <v>30</v>
      </c>
      <c r="F2223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223" s="33" t="str">
        <f t="shared" si="121"/>
        <v>Week 5</v>
      </c>
      <c r="H2223" s="33" t="str">
        <f t="shared" si="122"/>
        <v>April 28 Week 5</v>
      </c>
      <c r="I2223" s="33" t="str">
        <f>CONCATENATE(UPPER(TableAopCalendar[[#This Row],[Month]])," ",TableAopCalendar[[#This Row],[Year]])</f>
        <v>APRIL 28</v>
      </c>
      <c r="J2223" s="8" t="s">
        <v>274</v>
      </c>
      <c r="K2223" s="33" t="str">
        <f>CONCATENATE(TableAopCalendar[[#This Row],[Month for Plan]]," ",TableAopCalendar[[#This Row],[Plan]])</f>
        <v>APRIL 28 PLANNED</v>
      </c>
    </row>
    <row r="2224" spans="1:11" x14ac:dyDescent="0.25">
      <c r="A2224" s="33">
        <f t="shared" si="120"/>
        <v>1</v>
      </c>
      <c r="B2224" s="34">
        <v>46874</v>
      </c>
      <c r="C2224" s="7" t="s">
        <v>265</v>
      </c>
      <c r="D2224" s="35">
        <v>28</v>
      </c>
      <c r="E2224" s="33">
        <f>DAY(TableAopCalendar[[#This Row],[Date]])</f>
        <v>1</v>
      </c>
      <c r="F222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24" s="33" t="str">
        <f t="shared" si="121"/>
        <v>Week 1</v>
      </c>
      <c r="H2224" s="33" t="str">
        <f t="shared" si="122"/>
        <v>May 28 Week 1</v>
      </c>
      <c r="I2224" s="33" t="str">
        <f>CONCATENATE(UPPER(TableAopCalendar[[#This Row],[Month]])," ",TableAopCalendar[[#This Row],[Year]])</f>
        <v>MAY 28</v>
      </c>
      <c r="J2224" s="8" t="s">
        <v>274</v>
      </c>
      <c r="K2224" s="33" t="str">
        <f>CONCATENATE(TableAopCalendar[[#This Row],[Month for Plan]]," ",TableAopCalendar[[#This Row],[Plan]])</f>
        <v>MAY 28 PLANNED</v>
      </c>
    </row>
    <row r="2225" spans="1:11" x14ac:dyDescent="0.25">
      <c r="A2225" s="33">
        <f t="shared" si="120"/>
        <v>2</v>
      </c>
      <c r="B2225" s="34">
        <v>46875</v>
      </c>
      <c r="C2225" s="7" t="s">
        <v>265</v>
      </c>
      <c r="D2225" s="35">
        <v>28</v>
      </c>
      <c r="E2225" s="33">
        <f>DAY(TableAopCalendar[[#This Row],[Date]])</f>
        <v>2</v>
      </c>
      <c r="F222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25" s="33" t="str">
        <f t="shared" si="121"/>
        <v>Week 1</v>
      </c>
      <c r="H2225" s="33" t="str">
        <f t="shared" si="122"/>
        <v>May 28 Week 1</v>
      </c>
      <c r="I2225" s="33" t="str">
        <f>CONCATENATE(UPPER(TableAopCalendar[[#This Row],[Month]])," ",TableAopCalendar[[#This Row],[Year]])</f>
        <v>MAY 28</v>
      </c>
      <c r="J2225" s="8" t="s">
        <v>274</v>
      </c>
      <c r="K2225" s="33" t="str">
        <f>CONCATENATE(TableAopCalendar[[#This Row],[Month for Plan]]," ",TableAopCalendar[[#This Row],[Plan]])</f>
        <v>MAY 28 PLANNED</v>
      </c>
    </row>
    <row r="2226" spans="1:11" x14ac:dyDescent="0.25">
      <c r="A2226" s="33">
        <f t="shared" si="120"/>
        <v>3</v>
      </c>
      <c r="B2226" s="34">
        <v>46876</v>
      </c>
      <c r="C2226" s="7" t="s">
        <v>265</v>
      </c>
      <c r="D2226" s="35">
        <v>28</v>
      </c>
      <c r="E2226" s="33">
        <f>DAY(TableAopCalendar[[#This Row],[Date]])</f>
        <v>3</v>
      </c>
      <c r="F222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26" s="33" t="str">
        <f t="shared" si="121"/>
        <v>Week 1</v>
      </c>
      <c r="H2226" s="33" t="str">
        <f t="shared" si="122"/>
        <v>May 28 Week 1</v>
      </c>
      <c r="I2226" s="33" t="str">
        <f>CONCATENATE(UPPER(TableAopCalendar[[#This Row],[Month]])," ",TableAopCalendar[[#This Row],[Year]])</f>
        <v>MAY 28</v>
      </c>
      <c r="J2226" s="8" t="s">
        <v>274</v>
      </c>
      <c r="K2226" s="33" t="str">
        <f>CONCATENATE(TableAopCalendar[[#This Row],[Month for Plan]]," ",TableAopCalendar[[#This Row],[Plan]])</f>
        <v>MAY 28 PLANNED</v>
      </c>
    </row>
    <row r="2227" spans="1:11" x14ac:dyDescent="0.25">
      <c r="A2227" s="33">
        <f t="shared" si="120"/>
        <v>4</v>
      </c>
      <c r="B2227" s="34">
        <v>46877</v>
      </c>
      <c r="C2227" s="7" t="s">
        <v>265</v>
      </c>
      <c r="D2227" s="35">
        <v>28</v>
      </c>
      <c r="E2227" s="33">
        <f>DAY(TableAopCalendar[[#This Row],[Date]])</f>
        <v>4</v>
      </c>
      <c r="F222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27" s="33" t="str">
        <f t="shared" si="121"/>
        <v>Week 1</v>
      </c>
      <c r="H2227" s="33" t="str">
        <f t="shared" si="122"/>
        <v>May 28 Week 1</v>
      </c>
      <c r="I2227" s="33" t="str">
        <f>CONCATENATE(UPPER(TableAopCalendar[[#This Row],[Month]])," ",TableAopCalendar[[#This Row],[Year]])</f>
        <v>MAY 28</v>
      </c>
      <c r="J2227" s="8" t="s">
        <v>274</v>
      </c>
      <c r="K2227" s="33" t="str">
        <f>CONCATENATE(TableAopCalendar[[#This Row],[Month for Plan]]," ",TableAopCalendar[[#This Row],[Plan]])</f>
        <v>MAY 28 PLANNED</v>
      </c>
    </row>
    <row r="2228" spans="1:11" x14ac:dyDescent="0.25">
      <c r="A2228" s="33">
        <f t="shared" si="120"/>
        <v>5</v>
      </c>
      <c r="B2228" s="34">
        <v>46878</v>
      </c>
      <c r="C2228" s="7" t="s">
        <v>265</v>
      </c>
      <c r="D2228" s="35">
        <v>28</v>
      </c>
      <c r="E2228" s="33">
        <f>DAY(TableAopCalendar[[#This Row],[Date]])</f>
        <v>5</v>
      </c>
      <c r="F222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28" s="33" t="str">
        <f t="shared" si="121"/>
        <v>Week 1</v>
      </c>
      <c r="H2228" s="33" t="str">
        <f t="shared" si="122"/>
        <v>May 28 Week 1</v>
      </c>
      <c r="I2228" s="33" t="str">
        <f>CONCATENATE(UPPER(TableAopCalendar[[#This Row],[Month]])," ",TableAopCalendar[[#This Row],[Year]])</f>
        <v>MAY 28</v>
      </c>
      <c r="J2228" s="8" t="s">
        <v>274</v>
      </c>
      <c r="K2228" s="33" t="str">
        <f>CONCATENATE(TableAopCalendar[[#This Row],[Month for Plan]]," ",TableAopCalendar[[#This Row],[Plan]])</f>
        <v>MAY 28 PLANNED</v>
      </c>
    </row>
    <row r="2229" spans="1:11" x14ac:dyDescent="0.25">
      <c r="A2229" s="33">
        <f t="shared" si="120"/>
        <v>6</v>
      </c>
      <c r="B2229" s="34">
        <v>46879</v>
      </c>
      <c r="C2229" s="7" t="s">
        <v>265</v>
      </c>
      <c r="D2229" s="35">
        <v>28</v>
      </c>
      <c r="E2229" s="33">
        <f>DAY(TableAopCalendar[[#This Row],[Date]])</f>
        <v>6</v>
      </c>
      <c r="F222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29" s="33" t="str">
        <f t="shared" si="121"/>
        <v>Week 1</v>
      </c>
      <c r="H2229" s="33" t="str">
        <f t="shared" si="122"/>
        <v>May 28 Week 1</v>
      </c>
      <c r="I2229" s="33" t="str">
        <f>CONCATENATE(UPPER(TableAopCalendar[[#This Row],[Month]])," ",TableAopCalendar[[#This Row],[Year]])</f>
        <v>MAY 28</v>
      </c>
      <c r="J2229" s="8" t="s">
        <v>274</v>
      </c>
      <c r="K2229" s="33" t="str">
        <f>CONCATENATE(TableAopCalendar[[#This Row],[Month for Plan]]," ",TableAopCalendar[[#This Row],[Plan]])</f>
        <v>MAY 28 PLANNED</v>
      </c>
    </row>
    <row r="2230" spans="1:11" x14ac:dyDescent="0.25">
      <c r="A2230" s="33">
        <f t="shared" si="120"/>
        <v>7</v>
      </c>
      <c r="B2230" s="34">
        <v>46880</v>
      </c>
      <c r="C2230" s="7" t="s">
        <v>265</v>
      </c>
      <c r="D2230" s="35">
        <v>28</v>
      </c>
      <c r="E2230" s="33">
        <f>DAY(TableAopCalendar[[#This Row],[Date]])</f>
        <v>7</v>
      </c>
      <c r="F223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30" s="33" t="str">
        <f t="shared" si="121"/>
        <v>Week 1</v>
      </c>
      <c r="H2230" s="33" t="str">
        <f t="shared" si="122"/>
        <v>May 28 Week 1</v>
      </c>
      <c r="I2230" s="33" t="str">
        <f>CONCATENATE(UPPER(TableAopCalendar[[#This Row],[Month]])," ",TableAopCalendar[[#This Row],[Year]])</f>
        <v>MAY 28</v>
      </c>
      <c r="J2230" s="8" t="s">
        <v>274</v>
      </c>
      <c r="K2230" s="33" t="str">
        <f>CONCATENATE(TableAopCalendar[[#This Row],[Month for Plan]]," ",TableAopCalendar[[#This Row],[Plan]])</f>
        <v>MAY 28 PLANNED</v>
      </c>
    </row>
    <row r="2231" spans="1:11" x14ac:dyDescent="0.25">
      <c r="A2231" s="33">
        <f t="shared" si="120"/>
        <v>1</v>
      </c>
      <c r="B2231" s="34">
        <v>46881</v>
      </c>
      <c r="C2231" s="7" t="s">
        <v>265</v>
      </c>
      <c r="D2231" s="35">
        <v>28</v>
      </c>
      <c r="E2231" s="33">
        <f>DAY(TableAopCalendar[[#This Row],[Date]])</f>
        <v>8</v>
      </c>
      <c r="F223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1" s="33" t="str">
        <f t="shared" si="121"/>
        <v>Week 2</v>
      </c>
      <c r="H2231" s="33" t="str">
        <f t="shared" si="122"/>
        <v>May 28 Week 2</v>
      </c>
      <c r="I2231" s="33" t="str">
        <f>CONCATENATE(UPPER(TableAopCalendar[[#This Row],[Month]])," ",TableAopCalendar[[#This Row],[Year]])</f>
        <v>MAY 28</v>
      </c>
      <c r="J2231" s="8" t="s">
        <v>274</v>
      </c>
      <c r="K2231" s="33" t="str">
        <f>CONCATENATE(TableAopCalendar[[#This Row],[Month for Plan]]," ",TableAopCalendar[[#This Row],[Plan]])</f>
        <v>MAY 28 PLANNED</v>
      </c>
    </row>
    <row r="2232" spans="1:11" x14ac:dyDescent="0.25">
      <c r="A2232" s="33">
        <f t="shared" si="120"/>
        <v>2</v>
      </c>
      <c r="B2232" s="34">
        <v>46882</v>
      </c>
      <c r="C2232" s="7" t="s">
        <v>265</v>
      </c>
      <c r="D2232" s="35">
        <v>28</v>
      </c>
      <c r="E2232" s="33">
        <f>DAY(TableAopCalendar[[#This Row],[Date]])</f>
        <v>9</v>
      </c>
      <c r="F223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2" s="33" t="str">
        <f t="shared" si="121"/>
        <v>Week 2</v>
      </c>
      <c r="H2232" s="33" t="str">
        <f t="shared" si="122"/>
        <v>May 28 Week 2</v>
      </c>
      <c r="I2232" s="33" t="str">
        <f>CONCATENATE(UPPER(TableAopCalendar[[#This Row],[Month]])," ",TableAopCalendar[[#This Row],[Year]])</f>
        <v>MAY 28</v>
      </c>
      <c r="J2232" s="8" t="s">
        <v>274</v>
      </c>
      <c r="K2232" s="33" t="str">
        <f>CONCATENATE(TableAopCalendar[[#This Row],[Month for Plan]]," ",TableAopCalendar[[#This Row],[Plan]])</f>
        <v>MAY 28 PLANNED</v>
      </c>
    </row>
    <row r="2233" spans="1:11" x14ac:dyDescent="0.25">
      <c r="A2233" s="33">
        <f t="shared" si="120"/>
        <v>3</v>
      </c>
      <c r="B2233" s="34">
        <v>46883</v>
      </c>
      <c r="C2233" s="7" t="s">
        <v>265</v>
      </c>
      <c r="D2233" s="35">
        <v>28</v>
      </c>
      <c r="E2233" s="33">
        <f>DAY(TableAopCalendar[[#This Row],[Date]])</f>
        <v>10</v>
      </c>
      <c r="F223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3" s="33" t="str">
        <f t="shared" si="121"/>
        <v>Week 2</v>
      </c>
      <c r="H2233" s="33" t="str">
        <f t="shared" si="122"/>
        <v>May 28 Week 2</v>
      </c>
      <c r="I2233" s="33" t="str">
        <f>CONCATENATE(UPPER(TableAopCalendar[[#This Row],[Month]])," ",TableAopCalendar[[#This Row],[Year]])</f>
        <v>MAY 28</v>
      </c>
      <c r="J2233" s="8" t="s">
        <v>274</v>
      </c>
      <c r="K2233" s="33" t="str">
        <f>CONCATENATE(TableAopCalendar[[#This Row],[Month for Plan]]," ",TableAopCalendar[[#This Row],[Plan]])</f>
        <v>MAY 28 PLANNED</v>
      </c>
    </row>
    <row r="2234" spans="1:11" x14ac:dyDescent="0.25">
      <c r="A2234" s="33">
        <f t="shared" si="120"/>
        <v>4</v>
      </c>
      <c r="B2234" s="34">
        <v>46884</v>
      </c>
      <c r="C2234" s="7" t="s">
        <v>265</v>
      </c>
      <c r="D2234" s="35">
        <v>28</v>
      </c>
      <c r="E2234" s="33">
        <f>DAY(TableAopCalendar[[#This Row],[Date]])</f>
        <v>11</v>
      </c>
      <c r="F223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4" s="33" t="str">
        <f t="shared" si="121"/>
        <v>Week 2</v>
      </c>
      <c r="H2234" s="33" t="str">
        <f t="shared" si="122"/>
        <v>May 28 Week 2</v>
      </c>
      <c r="I2234" s="33" t="str">
        <f>CONCATENATE(UPPER(TableAopCalendar[[#This Row],[Month]])," ",TableAopCalendar[[#This Row],[Year]])</f>
        <v>MAY 28</v>
      </c>
      <c r="J2234" s="8" t="s">
        <v>274</v>
      </c>
      <c r="K2234" s="33" t="str">
        <f>CONCATENATE(TableAopCalendar[[#This Row],[Month for Plan]]," ",TableAopCalendar[[#This Row],[Plan]])</f>
        <v>MAY 28 PLANNED</v>
      </c>
    </row>
    <row r="2235" spans="1:11" x14ac:dyDescent="0.25">
      <c r="A2235" s="33">
        <f t="shared" si="120"/>
        <v>5</v>
      </c>
      <c r="B2235" s="34">
        <v>46885</v>
      </c>
      <c r="C2235" s="7" t="s">
        <v>265</v>
      </c>
      <c r="D2235" s="35">
        <v>28</v>
      </c>
      <c r="E2235" s="33">
        <f>DAY(TableAopCalendar[[#This Row],[Date]])</f>
        <v>12</v>
      </c>
      <c r="F223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5" s="33" t="str">
        <f t="shared" si="121"/>
        <v>Week 2</v>
      </c>
      <c r="H2235" s="33" t="str">
        <f t="shared" si="122"/>
        <v>May 28 Week 2</v>
      </c>
      <c r="I2235" s="33" t="str">
        <f>CONCATENATE(UPPER(TableAopCalendar[[#This Row],[Month]])," ",TableAopCalendar[[#This Row],[Year]])</f>
        <v>MAY 28</v>
      </c>
      <c r="J2235" s="8" t="s">
        <v>274</v>
      </c>
      <c r="K2235" s="33" t="str">
        <f>CONCATENATE(TableAopCalendar[[#This Row],[Month for Plan]]," ",TableAopCalendar[[#This Row],[Plan]])</f>
        <v>MAY 28 PLANNED</v>
      </c>
    </row>
    <row r="2236" spans="1:11" x14ac:dyDescent="0.25">
      <c r="A2236" s="33">
        <f t="shared" si="120"/>
        <v>6</v>
      </c>
      <c r="B2236" s="34">
        <v>46886</v>
      </c>
      <c r="C2236" s="7" t="s">
        <v>265</v>
      </c>
      <c r="D2236" s="35">
        <v>28</v>
      </c>
      <c r="E2236" s="33">
        <f>DAY(TableAopCalendar[[#This Row],[Date]])</f>
        <v>13</v>
      </c>
      <c r="F223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6" s="33" t="str">
        <f t="shared" si="121"/>
        <v>Week 2</v>
      </c>
      <c r="H2236" s="33" t="str">
        <f t="shared" si="122"/>
        <v>May 28 Week 2</v>
      </c>
      <c r="I2236" s="33" t="str">
        <f>CONCATENATE(UPPER(TableAopCalendar[[#This Row],[Month]])," ",TableAopCalendar[[#This Row],[Year]])</f>
        <v>MAY 28</v>
      </c>
      <c r="J2236" s="8" t="s">
        <v>274</v>
      </c>
      <c r="K2236" s="33" t="str">
        <f>CONCATENATE(TableAopCalendar[[#This Row],[Month for Plan]]," ",TableAopCalendar[[#This Row],[Plan]])</f>
        <v>MAY 28 PLANNED</v>
      </c>
    </row>
    <row r="2237" spans="1:11" x14ac:dyDescent="0.25">
      <c r="A2237" s="33">
        <f t="shared" si="120"/>
        <v>7</v>
      </c>
      <c r="B2237" s="34">
        <v>46887</v>
      </c>
      <c r="C2237" s="7" t="s">
        <v>265</v>
      </c>
      <c r="D2237" s="35">
        <v>28</v>
      </c>
      <c r="E2237" s="33">
        <f>DAY(TableAopCalendar[[#This Row],[Date]])</f>
        <v>14</v>
      </c>
      <c r="F223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37" s="33" t="str">
        <f t="shared" si="121"/>
        <v>Week 2</v>
      </c>
      <c r="H2237" s="33" t="str">
        <f t="shared" si="122"/>
        <v>May 28 Week 2</v>
      </c>
      <c r="I2237" s="33" t="str">
        <f>CONCATENATE(UPPER(TableAopCalendar[[#This Row],[Month]])," ",TableAopCalendar[[#This Row],[Year]])</f>
        <v>MAY 28</v>
      </c>
      <c r="J2237" s="8" t="s">
        <v>274</v>
      </c>
      <c r="K2237" s="33" t="str">
        <f>CONCATENATE(TableAopCalendar[[#This Row],[Month for Plan]]," ",TableAopCalendar[[#This Row],[Plan]])</f>
        <v>MAY 28 PLANNED</v>
      </c>
    </row>
    <row r="2238" spans="1:11" x14ac:dyDescent="0.25">
      <c r="A2238" s="33">
        <f t="shared" si="120"/>
        <v>1</v>
      </c>
      <c r="B2238" s="34">
        <v>46888</v>
      </c>
      <c r="C2238" s="7" t="s">
        <v>265</v>
      </c>
      <c r="D2238" s="35">
        <v>28</v>
      </c>
      <c r="E2238" s="33">
        <f>DAY(TableAopCalendar[[#This Row],[Date]])</f>
        <v>15</v>
      </c>
      <c r="F223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38" s="33" t="str">
        <f t="shared" si="121"/>
        <v>Week 3</v>
      </c>
      <c r="H2238" s="33" t="str">
        <f t="shared" si="122"/>
        <v>May 28 Week 3</v>
      </c>
      <c r="I2238" s="33" t="str">
        <f>CONCATENATE(UPPER(TableAopCalendar[[#This Row],[Month]])," ",TableAopCalendar[[#This Row],[Year]])</f>
        <v>MAY 28</v>
      </c>
      <c r="J2238" s="8" t="s">
        <v>274</v>
      </c>
      <c r="K2238" s="33" t="str">
        <f>CONCATENATE(TableAopCalendar[[#This Row],[Month for Plan]]," ",TableAopCalendar[[#This Row],[Plan]])</f>
        <v>MAY 28 PLANNED</v>
      </c>
    </row>
    <row r="2239" spans="1:11" x14ac:dyDescent="0.25">
      <c r="A2239" s="33">
        <f t="shared" si="120"/>
        <v>2</v>
      </c>
      <c r="B2239" s="34">
        <v>46889</v>
      </c>
      <c r="C2239" s="7" t="s">
        <v>265</v>
      </c>
      <c r="D2239" s="35">
        <v>28</v>
      </c>
      <c r="E2239" s="33">
        <f>DAY(TableAopCalendar[[#This Row],[Date]])</f>
        <v>16</v>
      </c>
      <c r="F223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39" s="33" t="str">
        <f t="shared" si="121"/>
        <v>Week 3</v>
      </c>
      <c r="H2239" s="33" t="str">
        <f t="shared" si="122"/>
        <v>May 28 Week 3</v>
      </c>
      <c r="I2239" s="33" t="str">
        <f>CONCATENATE(UPPER(TableAopCalendar[[#This Row],[Month]])," ",TableAopCalendar[[#This Row],[Year]])</f>
        <v>MAY 28</v>
      </c>
      <c r="J2239" s="8" t="s">
        <v>274</v>
      </c>
      <c r="K2239" s="33" t="str">
        <f>CONCATENATE(TableAopCalendar[[#This Row],[Month for Plan]]," ",TableAopCalendar[[#This Row],[Plan]])</f>
        <v>MAY 28 PLANNED</v>
      </c>
    </row>
    <row r="2240" spans="1:11" x14ac:dyDescent="0.25">
      <c r="A2240" s="33">
        <f t="shared" si="120"/>
        <v>3</v>
      </c>
      <c r="B2240" s="34">
        <v>46890</v>
      </c>
      <c r="C2240" s="7" t="s">
        <v>265</v>
      </c>
      <c r="D2240" s="35">
        <v>28</v>
      </c>
      <c r="E2240" s="33">
        <f>DAY(TableAopCalendar[[#This Row],[Date]])</f>
        <v>17</v>
      </c>
      <c r="F224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40" s="33" t="str">
        <f t="shared" si="121"/>
        <v>Week 3</v>
      </c>
      <c r="H2240" s="33" t="str">
        <f t="shared" si="122"/>
        <v>May 28 Week 3</v>
      </c>
      <c r="I2240" s="33" t="str">
        <f>CONCATENATE(UPPER(TableAopCalendar[[#This Row],[Month]])," ",TableAopCalendar[[#This Row],[Year]])</f>
        <v>MAY 28</v>
      </c>
      <c r="J2240" s="8" t="s">
        <v>274</v>
      </c>
      <c r="K2240" s="33" t="str">
        <f>CONCATENATE(TableAopCalendar[[#This Row],[Month for Plan]]," ",TableAopCalendar[[#This Row],[Plan]])</f>
        <v>MAY 28 PLANNED</v>
      </c>
    </row>
    <row r="2241" spans="1:11" x14ac:dyDescent="0.25">
      <c r="A2241" s="33">
        <f t="shared" si="120"/>
        <v>4</v>
      </c>
      <c r="B2241" s="34">
        <v>46891</v>
      </c>
      <c r="C2241" s="7" t="s">
        <v>265</v>
      </c>
      <c r="D2241" s="35">
        <v>28</v>
      </c>
      <c r="E2241" s="33">
        <f>DAY(TableAopCalendar[[#This Row],[Date]])</f>
        <v>18</v>
      </c>
      <c r="F224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41" s="33" t="str">
        <f t="shared" si="121"/>
        <v>Week 3</v>
      </c>
      <c r="H2241" s="33" t="str">
        <f t="shared" si="122"/>
        <v>May 28 Week 3</v>
      </c>
      <c r="I2241" s="33" t="str">
        <f>CONCATENATE(UPPER(TableAopCalendar[[#This Row],[Month]])," ",TableAopCalendar[[#This Row],[Year]])</f>
        <v>MAY 28</v>
      </c>
      <c r="J2241" s="8" t="s">
        <v>274</v>
      </c>
      <c r="K2241" s="33" t="str">
        <f>CONCATENATE(TableAopCalendar[[#This Row],[Month for Plan]]," ",TableAopCalendar[[#This Row],[Plan]])</f>
        <v>MAY 28 PLANNED</v>
      </c>
    </row>
    <row r="2242" spans="1:11" x14ac:dyDescent="0.25">
      <c r="A2242" s="33">
        <f t="shared" si="120"/>
        <v>5</v>
      </c>
      <c r="B2242" s="34">
        <v>46892</v>
      </c>
      <c r="C2242" s="7" t="s">
        <v>265</v>
      </c>
      <c r="D2242" s="35">
        <v>28</v>
      </c>
      <c r="E2242" s="33">
        <f>DAY(TableAopCalendar[[#This Row],[Date]])</f>
        <v>19</v>
      </c>
      <c r="F224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42" s="33" t="str">
        <f t="shared" si="121"/>
        <v>Week 3</v>
      </c>
      <c r="H2242" s="33" t="str">
        <f t="shared" si="122"/>
        <v>May 28 Week 3</v>
      </c>
      <c r="I2242" s="33" t="str">
        <f>CONCATENATE(UPPER(TableAopCalendar[[#This Row],[Month]])," ",TableAopCalendar[[#This Row],[Year]])</f>
        <v>MAY 28</v>
      </c>
      <c r="J2242" s="8" t="s">
        <v>274</v>
      </c>
      <c r="K2242" s="33" t="str">
        <f>CONCATENATE(TableAopCalendar[[#This Row],[Month for Plan]]," ",TableAopCalendar[[#This Row],[Plan]])</f>
        <v>MAY 28 PLANNED</v>
      </c>
    </row>
    <row r="2243" spans="1:11" x14ac:dyDescent="0.25">
      <c r="A2243" s="33">
        <f t="shared" si="120"/>
        <v>6</v>
      </c>
      <c r="B2243" s="34">
        <v>46893</v>
      </c>
      <c r="C2243" s="7" t="s">
        <v>265</v>
      </c>
      <c r="D2243" s="35">
        <v>28</v>
      </c>
      <c r="E2243" s="33">
        <f>DAY(TableAopCalendar[[#This Row],[Date]])</f>
        <v>20</v>
      </c>
      <c r="F224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43" s="33" t="str">
        <f t="shared" si="121"/>
        <v>Week 3</v>
      </c>
      <c r="H2243" s="33" t="str">
        <f t="shared" si="122"/>
        <v>May 28 Week 3</v>
      </c>
      <c r="I2243" s="33" t="str">
        <f>CONCATENATE(UPPER(TableAopCalendar[[#This Row],[Month]])," ",TableAopCalendar[[#This Row],[Year]])</f>
        <v>MAY 28</v>
      </c>
      <c r="J2243" s="8" t="s">
        <v>274</v>
      </c>
      <c r="K2243" s="33" t="str">
        <f>CONCATENATE(TableAopCalendar[[#This Row],[Month for Plan]]," ",TableAopCalendar[[#This Row],[Plan]])</f>
        <v>MAY 28 PLANNED</v>
      </c>
    </row>
    <row r="2244" spans="1:11" x14ac:dyDescent="0.25">
      <c r="A2244" s="33">
        <f t="shared" si="120"/>
        <v>7</v>
      </c>
      <c r="B2244" s="34">
        <v>46894</v>
      </c>
      <c r="C2244" s="7" t="s">
        <v>265</v>
      </c>
      <c r="D2244" s="35">
        <v>28</v>
      </c>
      <c r="E2244" s="33">
        <f>DAY(TableAopCalendar[[#This Row],[Date]])</f>
        <v>21</v>
      </c>
      <c r="F224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44" s="33" t="str">
        <f t="shared" si="121"/>
        <v>Week 3</v>
      </c>
      <c r="H2244" s="33" t="str">
        <f t="shared" si="122"/>
        <v>May 28 Week 3</v>
      </c>
      <c r="I2244" s="33" t="str">
        <f>CONCATENATE(UPPER(TableAopCalendar[[#This Row],[Month]])," ",TableAopCalendar[[#This Row],[Year]])</f>
        <v>MAY 28</v>
      </c>
      <c r="J2244" s="8" t="s">
        <v>274</v>
      </c>
      <c r="K2244" s="33" t="str">
        <f>CONCATENATE(TableAopCalendar[[#This Row],[Month for Plan]]," ",TableAopCalendar[[#This Row],[Plan]])</f>
        <v>MAY 28 PLANNED</v>
      </c>
    </row>
    <row r="2245" spans="1:11" x14ac:dyDescent="0.25">
      <c r="A2245" s="33">
        <f t="shared" si="120"/>
        <v>1</v>
      </c>
      <c r="B2245" s="34">
        <v>46895</v>
      </c>
      <c r="C2245" s="7" t="s">
        <v>265</v>
      </c>
      <c r="D2245" s="35">
        <v>28</v>
      </c>
      <c r="E2245" s="33">
        <f>DAY(TableAopCalendar[[#This Row],[Date]])</f>
        <v>22</v>
      </c>
      <c r="F224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45" s="33" t="str">
        <f t="shared" si="121"/>
        <v>Week 4</v>
      </c>
      <c r="H2245" s="33" t="str">
        <f t="shared" si="122"/>
        <v>May 28 Week 4</v>
      </c>
      <c r="I2245" s="33" t="str">
        <f>CONCATENATE(UPPER(TableAopCalendar[[#This Row],[Month]])," ",TableAopCalendar[[#This Row],[Year]])</f>
        <v>MAY 28</v>
      </c>
      <c r="J2245" s="8" t="s">
        <v>274</v>
      </c>
      <c r="K2245" s="33" t="str">
        <f>CONCATENATE(TableAopCalendar[[#This Row],[Month for Plan]]," ",TableAopCalendar[[#This Row],[Plan]])</f>
        <v>MAY 28 PLANNED</v>
      </c>
    </row>
    <row r="2246" spans="1:11" x14ac:dyDescent="0.25">
      <c r="A2246" s="33">
        <f t="shared" si="120"/>
        <v>2</v>
      </c>
      <c r="B2246" s="34">
        <v>46896</v>
      </c>
      <c r="C2246" s="7" t="s">
        <v>265</v>
      </c>
      <c r="D2246" s="35">
        <v>28</v>
      </c>
      <c r="E2246" s="33">
        <f>DAY(TableAopCalendar[[#This Row],[Date]])</f>
        <v>23</v>
      </c>
      <c r="F224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46" s="33" t="str">
        <f t="shared" si="121"/>
        <v>Week 4</v>
      </c>
      <c r="H2246" s="33" t="str">
        <f t="shared" si="122"/>
        <v>May 28 Week 4</v>
      </c>
      <c r="I2246" s="33" t="str">
        <f>CONCATENATE(UPPER(TableAopCalendar[[#This Row],[Month]])," ",TableAopCalendar[[#This Row],[Year]])</f>
        <v>MAY 28</v>
      </c>
      <c r="J2246" s="8" t="s">
        <v>274</v>
      </c>
      <c r="K2246" s="33" t="str">
        <f>CONCATENATE(TableAopCalendar[[#This Row],[Month for Plan]]," ",TableAopCalendar[[#This Row],[Plan]])</f>
        <v>MAY 28 PLANNED</v>
      </c>
    </row>
    <row r="2247" spans="1:11" x14ac:dyDescent="0.25">
      <c r="A2247" s="33">
        <f t="shared" si="120"/>
        <v>3</v>
      </c>
      <c r="B2247" s="34">
        <v>46897</v>
      </c>
      <c r="C2247" s="7" t="s">
        <v>265</v>
      </c>
      <c r="D2247" s="35">
        <v>28</v>
      </c>
      <c r="E2247" s="33">
        <f>DAY(TableAopCalendar[[#This Row],[Date]])</f>
        <v>24</v>
      </c>
      <c r="F224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47" s="33" t="str">
        <f t="shared" si="121"/>
        <v>Week 4</v>
      </c>
      <c r="H2247" s="33" t="str">
        <f t="shared" si="122"/>
        <v>May 28 Week 4</v>
      </c>
      <c r="I2247" s="33" t="str">
        <f>CONCATENATE(UPPER(TableAopCalendar[[#This Row],[Month]])," ",TableAopCalendar[[#This Row],[Year]])</f>
        <v>MAY 28</v>
      </c>
      <c r="J2247" s="8" t="s">
        <v>274</v>
      </c>
      <c r="K2247" s="33" t="str">
        <f>CONCATENATE(TableAopCalendar[[#This Row],[Month for Plan]]," ",TableAopCalendar[[#This Row],[Plan]])</f>
        <v>MAY 28 PLANNED</v>
      </c>
    </row>
    <row r="2248" spans="1:11" x14ac:dyDescent="0.25">
      <c r="A2248" s="33">
        <f t="shared" si="120"/>
        <v>4</v>
      </c>
      <c r="B2248" s="34">
        <v>46898</v>
      </c>
      <c r="C2248" s="7" t="s">
        <v>265</v>
      </c>
      <c r="D2248" s="35">
        <v>28</v>
      </c>
      <c r="E2248" s="33">
        <f>DAY(TableAopCalendar[[#This Row],[Date]])</f>
        <v>25</v>
      </c>
      <c r="F224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48" s="33" t="str">
        <f t="shared" si="121"/>
        <v>Week 4</v>
      </c>
      <c r="H2248" s="33" t="str">
        <f t="shared" si="122"/>
        <v>May 28 Week 4</v>
      </c>
      <c r="I2248" s="33" t="str">
        <f>CONCATENATE(UPPER(TableAopCalendar[[#This Row],[Month]])," ",TableAopCalendar[[#This Row],[Year]])</f>
        <v>MAY 28</v>
      </c>
      <c r="J2248" s="8" t="s">
        <v>274</v>
      </c>
      <c r="K2248" s="33" t="str">
        <f>CONCATENATE(TableAopCalendar[[#This Row],[Month for Plan]]," ",TableAopCalendar[[#This Row],[Plan]])</f>
        <v>MAY 28 PLANNED</v>
      </c>
    </row>
    <row r="2249" spans="1:11" x14ac:dyDescent="0.25">
      <c r="A2249" s="33">
        <f t="shared" si="120"/>
        <v>5</v>
      </c>
      <c r="B2249" s="34">
        <v>46899</v>
      </c>
      <c r="C2249" s="7" t="s">
        <v>265</v>
      </c>
      <c r="D2249" s="35">
        <v>28</v>
      </c>
      <c r="E2249" s="33">
        <f>DAY(TableAopCalendar[[#This Row],[Date]])</f>
        <v>26</v>
      </c>
      <c r="F224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49" s="33" t="str">
        <f t="shared" si="121"/>
        <v>Week 4</v>
      </c>
      <c r="H2249" s="33" t="str">
        <f t="shared" si="122"/>
        <v>May 28 Week 4</v>
      </c>
      <c r="I2249" s="33" t="str">
        <f>CONCATENATE(UPPER(TableAopCalendar[[#This Row],[Month]])," ",TableAopCalendar[[#This Row],[Year]])</f>
        <v>MAY 28</v>
      </c>
      <c r="J2249" s="8" t="s">
        <v>274</v>
      </c>
      <c r="K2249" s="33" t="str">
        <f>CONCATENATE(TableAopCalendar[[#This Row],[Month for Plan]]," ",TableAopCalendar[[#This Row],[Plan]])</f>
        <v>MAY 28 PLANNED</v>
      </c>
    </row>
    <row r="2250" spans="1:11" x14ac:dyDescent="0.25">
      <c r="A2250" s="33">
        <f t="shared" si="120"/>
        <v>6</v>
      </c>
      <c r="B2250" s="34">
        <v>46900</v>
      </c>
      <c r="C2250" s="7" t="s">
        <v>265</v>
      </c>
      <c r="D2250" s="35">
        <v>28</v>
      </c>
      <c r="E2250" s="33">
        <f>DAY(TableAopCalendar[[#This Row],[Date]])</f>
        <v>27</v>
      </c>
      <c r="F225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50" s="33" t="str">
        <f t="shared" si="121"/>
        <v>Week 4</v>
      </c>
      <c r="H2250" s="33" t="str">
        <f t="shared" si="122"/>
        <v>May 28 Week 4</v>
      </c>
      <c r="I2250" s="33" t="str">
        <f>CONCATENATE(UPPER(TableAopCalendar[[#This Row],[Month]])," ",TableAopCalendar[[#This Row],[Year]])</f>
        <v>MAY 28</v>
      </c>
      <c r="J2250" s="8" t="s">
        <v>274</v>
      </c>
      <c r="K2250" s="33" t="str">
        <f>CONCATENATE(TableAopCalendar[[#This Row],[Month for Plan]]," ",TableAopCalendar[[#This Row],[Plan]])</f>
        <v>MAY 28 PLANNED</v>
      </c>
    </row>
    <row r="2251" spans="1:11" x14ac:dyDescent="0.25">
      <c r="A2251" s="33">
        <f t="shared" si="120"/>
        <v>7</v>
      </c>
      <c r="B2251" s="34">
        <v>46901</v>
      </c>
      <c r="C2251" s="7" t="s">
        <v>265</v>
      </c>
      <c r="D2251" s="35">
        <v>28</v>
      </c>
      <c r="E2251" s="33">
        <f>DAY(TableAopCalendar[[#This Row],[Date]])</f>
        <v>28</v>
      </c>
      <c r="F225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51" s="33" t="str">
        <f t="shared" si="121"/>
        <v>Week 4</v>
      </c>
      <c r="H2251" s="33" t="str">
        <f t="shared" si="122"/>
        <v>May 28 Week 4</v>
      </c>
      <c r="I2251" s="33" t="str">
        <f>CONCATENATE(UPPER(TableAopCalendar[[#This Row],[Month]])," ",TableAopCalendar[[#This Row],[Year]])</f>
        <v>MAY 28</v>
      </c>
      <c r="J2251" s="8" t="s">
        <v>274</v>
      </c>
      <c r="K2251" s="33" t="str">
        <f>CONCATENATE(TableAopCalendar[[#This Row],[Month for Plan]]," ",TableAopCalendar[[#This Row],[Plan]])</f>
        <v>MAY 28 PLANNED</v>
      </c>
    </row>
    <row r="2252" spans="1:11" x14ac:dyDescent="0.25">
      <c r="A2252" s="33">
        <f t="shared" si="120"/>
        <v>1</v>
      </c>
      <c r="B2252" s="34">
        <v>46902</v>
      </c>
      <c r="C2252" s="7" t="s">
        <v>265</v>
      </c>
      <c r="D2252" s="35">
        <v>28</v>
      </c>
      <c r="E2252" s="33">
        <f>DAY(TableAopCalendar[[#This Row],[Date]])</f>
        <v>29</v>
      </c>
      <c r="F225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252" s="33" t="str">
        <f t="shared" si="121"/>
        <v>Week 5</v>
      </c>
      <c r="H2252" s="33" t="str">
        <f t="shared" si="122"/>
        <v>May 28 Week 5</v>
      </c>
      <c r="I2252" s="33" t="str">
        <f>CONCATENATE(UPPER(TableAopCalendar[[#This Row],[Month]])," ",TableAopCalendar[[#This Row],[Year]])</f>
        <v>MAY 28</v>
      </c>
      <c r="J2252" s="8" t="s">
        <v>274</v>
      </c>
      <c r="K2252" s="33" t="str">
        <f>CONCATENATE(TableAopCalendar[[#This Row],[Month for Plan]]," ",TableAopCalendar[[#This Row],[Plan]])</f>
        <v>MAY 28 PLANNED</v>
      </c>
    </row>
    <row r="2253" spans="1:11" x14ac:dyDescent="0.25">
      <c r="A2253" s="33">
        <f t="shared" si="120"/>
        <v>2</v>
      </c>
      <c r="B2253" s="34">
        <v>46903</v>
      </c>
      <c r="C2253" s="7" t="s">
        <v>265</v>
      </c>
      <c r="D2253" s="35">
        <v>28</v>
      </c>
      <c r="E2253" s="33">
        <f>DAY(TableAopCalendar[[#This Row],[Date]])</f>
        <v>30</v>
      </c>
      <c r="F2253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253" s="33" t="str">
        <f t="shared" si="121"/>
        <v>Week 5</v>
      </c>
      <c r="H2253" s="33" t="str">
        <f t="shared" si="122"/>
        <v>May 28 Week 5</v>
      </c>
      <c r="I2253" s="33" t="str">
        <f>CONCATENATE(UPPER(TableAopCalendar[[#This Row],[Month]])," ",TableAopCalendar[[#This Row],[Year]])</f>
        <v>MAY 28</v>
      </c>
      <c r="J2253" s="8" t="s">
        <v>274</v>
      </c>
      <c r="K2253" s="33" t="str">
        <f>CONCATENATE(TableAopCalendar[[#This Row],[Month for Plan]]," ",TableAopCalendar[[#This Row],[Plan]])</f>
        <v>MAY 28 PLANNED</v>
      </c>
    </row>
    <row r="2254" spans="1:11" x14ac:dyDescent="0.25">
      <c r="A2254" s="33">
        <f t="shared" si="120"/>
        <v>3</v>
      </c>
      <c r="B2254" s="34">
        <v>46904</v>
      </c>
      <c r="C2254" s="7" t="s">
        <v>265</v>
      </c>
      <c r="D2254" s="35">
        <v>28</v>
      </c>
      <c r="E2254" s="33">
        <f>DAY(TableAopCalendar[[#This Row],[Date]])</f>
        <v>31</v>
      </c>
      <c r="F2254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254" s="33" t="str">
        <f t="shared" si="121"/>
        <v>Week 5</v>
      </c>
      <c r="H2254" s="33" t="str">
        <f t="shared" si="122"/>
        <v>May 28 Week 5</v>
      </c>
      <c r="I2254" s="33" t="str">
        <f>CONCATENATE(UPPER(TableAopCalendar[[#This Row],[Month]])," ",TableAopCalendar[[#This Row],[Year]])</f>
        <v>MAY 28</v>
      </c>
      <c r="J2254" s="8" t="s">
        <v>274</v>
      </c>
      <c r="K2254" s="33" t="str">
        <f>CONCATENATE(TableAopCalendar[[#This Row],[Month for Plan]]," ",TableAopCalendar[[#This Row],[Plan]])</f>
        <v>MAY 28 PLANNED</v>
      </c>
    </row>
    <row r="2255" spans="1:11" x14ac:dyDescent="0.25">
      <c r="A2255" s="33">
        <f t="shared" si="120"/>
        <v>1</v>
      </c>
      <c r="B2255" s="34">
        <v>46905</v>
      </c>
      <c r="C2255" s="7" t="s">
        <v>266</v>
      </c>
      <c r="D2255" s="35">
        <v>28</v>
      </c>
      <c r="E2255" s="33">
        <f>DAY(TableAopCalendar[[#This Row],[Date]])</f>
        <v>1</v>
      </c>
      <c r="F225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55" s="33" t="str">
        <f t="shared" si="121"/>
        <v>Week 1</v>
      </c>
      <c r="H2255" s="33" t="str">
        <f t="shared" si="122"/>
        <v>June 28 Week 1</v>
      </c>
      <c r="I2255" s="33" t="str">
        <f>CONCATENATE(UPPER(TableAopCalendar[[#This Row],[Month]])," ",TableAopCalendar[[#This Row],[Year]])</f>
        <v>JUNE 28</v>
      </c>
      <c r="J2255" s="8" t="s">
        <v>274</v>
      </c>
      <c r="K2255" s="33" t="str">
        <f>CONCATENATE(TableAopCalendar[[#This Row],[Month for Plan]]," ",TableAopCalendar[[#This Row],[Plan]])</f>
        <v>JUNE 28 PLANNED</v>
      </c>
    </row>
    <row r="2256" spans="1:11" x14ac:dyDescent="0.25">
      <c r="A2256" s="33">
        <f t="shared" si="120"/>
        <v>2</v>
      </c>
      <c r="B2256" s="34">
        <v>46906</v>
      </c>
      <c r="C2256" s="7" t="s">
        <v>266</v>
      </c>
      <c r="D2256" s="35">
        <v>28</v>
      </c>
      <c r="E2256" s="33">
        <f>DAY(TableAopCalendar[[#This Row],[Date]])</f>
        <v>2</v>
      </c>
      <c r="F225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56" s="33" t="str">
        <f t="shared" si="121"/>
        <v>Week 1</v>
      </c>
      <c r="H2256" s="33" t="str">
        <f t="shared" si="122"/>
        <v>June 28 Week 1</v>
      </c>
      <c r="I2256" s="33" t="str">
        <f>CONCATENATE(UPPER(TableAopCalendar[[#This Row],[Month]])," ",TableAopCalendar[[#This Row],[Year]])</f>
        <v>JUNE 28</v>
      </c>
      <c r="J2256" s="8" t="s">
        <v>274</v>
      </c>
      <c r="K2256" s="33" t="str">
        <f>CONCATENATE(TableAopCalendar[[#This Row],[Month for Plan]]," ",TableAopCalendar[[#This Row],[Plan]])</f>
        <v>JUNE 28 PLANNED</v>
      </c>
    </row>
    <row r="2257" spans="1:11" x14ac:dyDescent="0.25">
      <c r="A2257" s="33">
        <f t="shared" si="120"/>
        <v>3</v>
      </c>
      <c r="B2257" s="34">
        <v>46907</v>
      </c>
      <c r="C2257" s="7" t="s">
        <v>266</v>
      </c>
      <c r="D2257" s="35">
        <v>28</v>
      </c>
      <c r="E2257" s="33">
        <f>DAY(TableAopCalendar[[#This Row],[Date]])</f>
        <v>3</v>
      </c>
      <c r="F225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57" s="33" t="str">
        <f t="shared" si="121"/>
        <v>Week 1</v>
      </c>
      <c r="H2257" s="33" t="str">
        <f t="shared" si="122"/>
        <v>June 28 Week 1</v>
      </c>
      <c r="I2257" s="33" t="str">
        <f>CONCATENATE(UPPER(TableAopCalendar[[#This Row],[Month]])," ",TableAopCalendar[[#This Row],[Year]])</f>
        <v>JUNE 28</v>
      </c>
      <c r="J2257" s="8" t="s">
        <v>274</v>
      </c>
      <c r="K2257" s="33" t="str">
        <f>CONCATENATE(TableAopCalendar[[#This Row],[Month for Plan]]," ",TableAopCalendar[[#This Row],[Plan]])</f>
        <v>JUNE 28 PLANNED</v>
      </c>
    </row>
    <row r="2258" spans="1:11" x14ac:dyDescent="0.25">
      <c r="A2258" s="33">
        <f t="shared" si="120"/>
        <v>4</v>
      </c>
      <c r="B2258" s="34">
        <v>46908</v>
      </c>
      <c r="C2258" s="7" t="s">
        <v>266</v>
      </c>
      <c r="D2258" s="35">
        <v>28</v>
      </c>
      <c r="E2258" s="33">
        <f>DAY(TableAopCalendar[[#This Row],[Date]])</f>
        <v>4</v>
      </c>
      <c r="F225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58" s="33" t="str">
        <f t="shared" si="121"/>
        <v>Week 1</v>
      </c>
      <c r="H2258" s="33" t="str">
        <f t="shared" si="122"/>
        <v>June 28 Week 1</v>
      </c>
      <c r="I2258" s="33" t="str">
        <f>CONCATENATE(UPPER(TableAopCalendar[[#This Row],[Month]])," ",TableAopCalendar[[#This Row],[Year]])</f>
        <v>JUNE 28</v>
      </c>
      <c r="J2258" s="8" t="s">
        <v>274</v>
      </c>
      <c r="K2258" s="33" t="str">
        <f>CONCATENATE(TableAopCalendar[[#This Row],[Month for Plan]]," ",TableAopCalendar[[#This Row],[Plan]])</f>
        <v>JUNE 28 PLANNED</v>
      </c>
    </row>
    <row r="2259" spans="1:11" x14ac:dyDescent="0.25">
      <c r="A2259" s="33">
        <f t="shared" si="120"/>
        <v>5</v>
      </c>
      <c r="B2259" s="34">
        <v>46909</v>
      </c>
      <c r="C2259" s="7" t="s">
        <v>266</v>
      </c>
      <c r="D2259" s="35">
        <v>28</v>
      </c>
      <c r="E2259" s="33">
        <f>DAY(TableAopCalendar[[#This Row],[Date]])</f>
        <v>5</v>
      </c>
      <c r="F225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59" s="33" t="str">
        <f t="shared" si="121"/>
        <v>Week 1</v>
      </c>
      <c r="H2259" s="33" t="str">
        <f t="shared" si="122"/>
        <v>June 28 Week 1</v>
      </c>
      <c r="I2259" s="33" t="str">
        <f>CONCATENATE(UPPER(TableAopCalendar[[#This Row],[Month]])," ",TableAopCalendar[[#This Row],[Year]])</f>
        <v>JUNE 28</v>
      </c>
      <c r="J2259" s="8" t="s">
        <v>274</v>
      </c>
      <c r="K2259" s="33" t="str">
        <f>CONCATENATE(TableAopCalendar[[#This Row],[Month for Plan]]," ",TableAopCalendar[[#This Row],[Plan]])</f>
        <v>JUNE 28 PLANNED</v>
      </c>
    </row>
    <row r="2260" spans="1:11" x14ac:dyDescent="0.25">
      <c r="A2260" s="33">
        <f t="shared" si="120"/>
        <v>6</v>
      </c>
      <c r="B2260" s="34">
        <v>46910</v>
      </c>
      <c r="C2260" s="7" t="s">
        <v>266</v>
      </c>
      <c r="D2260" s="35">
        <v>28</v>
      </c>
      <c r="E2260" s="33">
        <f>DAY(TableAopCalendar[[#This Row],[Date]])</f>
        <v>6</v>
      </c>
      <c r="F226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60" s="33" t="str">
        <f t="shared" si="121"/>
        <v>Week 1</v>
      </c>
      <c r="H2260" s="33" t="str">
        <f t="shared" si="122"/>
        <v>June 28 Week 1</v>
      </c>
      <c r="I2260" s="33" t="str">
        <f>CONCATENATE(UPPER(TableAopCalendar[[#This Row],[Month]])," ",TableAopCalendar[[#This Row],[Year]])</f>
        <v>JUNE 28</v>
      </c>
      <c r="J2260" s="8" t="s">
        <v>274</v>
      </c>
      <c r="K2260" s="33" t="str">
        <f>CONCATENATE(TableAopCalendar[[#This Row],[Month for Plan]]," ",TableAopCalendar[[#This Row],[Plan]])</f>
        <v>JUNE 28 PLANNED</v>
      </c>
    </row>
    <row r="2261" spans="1:11" x14ac:dyDescent="0.25">
      <c r="A2261" s="33">
        <f t="shared" si="120"/>
        <v>7</v>
      </c>
      <c r="B2261" s="34">
        <v>46911</v>
      </c>
      <c r="C2261" s="7" t="s">
        <v>266</v>
      </c>
      <c r="D2261" s="35">
        <v>28</v>
      </c>
      <c r="E2261" s="33">
        <f>DAY(TableAopCalendar[[#This Row],[Date]])</f>
        <v>7</v>
      </c>
      <c r="F226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61" s="33" t="str">
        <f t="shared" si="121"/>
        <v>Week 1</v>
      </c>
      <c r="H2261" s="33" t="str">
        <f t="shared" si="122"/>
        <v>June 28 Week 1</v>
      </c>
      <c r="I2261" s="33" t="str">
        <f>CONCATENATE(UPPER(TableAopCalendar[[#This Row],[Month]])," ",TableAopCalendar[[#This Row],[Year]])</f>
        <v>JUNE 28</v>
      </c>
      <c r="J2261" s="8" t="s">
        <v>274</v>
      </c>
      <c r="K2261" s="33" t="str">
        <f>CONCATENATE(TableAopCalendar[[#This Row],[Month for Plan]]," ",TableAopCalendar[[#This Row],[Plan]])</f>
        <v>JUNE 28 PLANNED</v>
      </c>
    </row>
    <row r="2262" spans="1:11" x14ac:dyDescent="0.25">
      <c r="A2262" s="33">
        <f t="shared" si="120"/>
        <v>1</v>
      </c>
      <c r="B2262" s="34">
        <v>46912</v>
      </c>
      <c r="C2262" s="7" t="s">
        <v>266</v>
      </c>
      <c r="D2262" s="35">
        <v>28</v>
      </c>
      <c r="E2262" s="33">
        <f>DAY(TableAopCalendar[[#This Row],[Date]])</f>
        <v>8</v>
      </c>
      <c r="F226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2" s="33" t="str">
        <f t="shared" si="121"/>
        <v>Week 2</v>
      </c>
      <c r="H2262" s="33" t="str">
        <f t="shared" si="122"/>
        <v>June 28 Week 2</v>
      </c>
      <c r="I2262" s="33" t="str">
        <f>CONCATENATE(UPPER(TableAopCalendar[[#This Row],[Month]])," ",TableAopCalendar[[#This Row],[Year]])</f>
        <v>JUNE 28</v>
      </c>
      <c r="J2262" s="8" t="s">
        <v>274</v>
      </c>
      <c r="K2262" s="33" t="str">
        <f>CONCATENATE(TableAopCalendar[[#This Row],[Month for Plan]]," ",TableAopCalendar[[#This Row],[Plan]])</f>
        <v>JUNE 28 PLANNED</v>
      </c>
    </row>
    <row r="2263" spans="1:11" x14ac:dyDescent="0.25">
      <c r="A2263" s="33">
        <f t="shared" si="120"/>
        <v>2</v>
      </c>
      <c r="B2263" s="34">
        <v>46913</v>
      </c>
      <c r="C2263" s="7" t="s">
        <v>266</v>
      </c>
      <c r="D2263" s="35">
        <v>28</v>
      </c>
      <c r="E2263" s="33">
        <f>DAY(TableAopCalendar[[#This Row],[Date]])</f>
        <v>9</v>
      </c>
      <c r="F226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3" s="33" t="str">
        <f t="shared" si="121"/>
        <v>Week 2</v>
      </c>
      <c r="H2263" s="33" t="str">
        <f t="shared" si="122"/>
        <v>June 28 Week 2</v>
      </c>
      <c r="I2263" s="33" t="str">
        <f>CONCATENATE(UPPER(TableAopCalendar[[#This Row],[Month]])," ",TableAopCalendar[[#This Row],[Year]])</f>
        <v>JUNE 28</v>
      </c>
      <c r="J2263" s="8" t="s">
        <v>274</v>
      </c>
      <c r="K2263" s="33" t="str">
        <f>CONCATENATE(TableAopCalendar[[#This Row],[Month for Plan]]," ",TableAopCalendar[[#This Row],[Plan]])</f>
        <v>JUNE 28 PLANNED</v>
      </c>
    </row>
    <row r="2264" spans="1:11" x14ac:dyDescent="0.25">
      <c r="A2264" s="33">
        <f t="shared" si="120"/>
        <v>3</v>
      </c>
      <c r="B2264" s="34">
        <v>46914</v>
      </c>
      <c r="C2264" s="7" t="s">
        <v>266</v>
      </c>
      <c r="D2264" s="35">
        <v>28</v>
      </c>
      <c r="E2264" s="33">
        <f>DAY(TableAopCalendar[[#This Row],[Date]])</f>
        <v>10</v>
      </c>
      <c r="F226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4" s="33" t="str">
        <f t="shared" si="121"/>
        <v>Week 2</v>
      </c>
      <c r="H2264" s="33" t="str">
        <f t="shared" si="122"/>
        <v>June 28 Week 2</v>
      </c>
      <c r="I2264" s="33" t="str">
        <f>CONCATENATE(UPPER(TableAopCalendar[[#This Row],[Month]])," ",TableAopCalendar[[#This Row],[Year]])</f>
        <v>JUNE 28</v>
      </c>
      <c r="J2264" s="8" t="s">
        <v>274</v>
      </c>
      <c r="K2264" s="33" t="str">
        <f>CONCATENATE(TableAopCalendar[[#This Row],[Month for Plan]]," ",TableAopCalendar[[#This Row],[Plan]])</f>
        <v>JUNE 28 PLANNED</v>
      </c>
    </row>
    <row r="2265" spans="1:11" x14ac:dyDescent="0.25">
      <c r="A2265" s="33">
        <f t="shared" si="120"/>
        <v>4</v>
      </c>
      <c r="B2265" s="34">
        <v>46915</v>
      </c>
      <c r="C2265" s="7" t="s">
        <v>266</v>
      </c>
      <c r="D2265" s="35">
        <v>28</v>
      </c>
      <c r="E2265" s="33">
        <f>DAY(TableAopCalendar[[#This Row],[Date]])</f>
        <v>11</v>
      </c>
      <c r="F226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5" s="33" t="str">
        <f t="shared" si="121"/>
        <v>Week 2</v>
      </c>
      <c r="H2265" s="33" t="str">
        <f t="shared" si="122"/>
        <v>June 28 Week 2</v>
      </c>
      <c r="I2265" s="33" t="str">
        <f>CONCATENATE(UPPER(TableAopCalendar[[#This Row],[Month]])," ",TableAopCalendar[[#This Row],[Year]])</f>
        <v>JUNE 28</v>
      </c>
      <c r="J2265" s="8" t="s">
        <v>274</v>
      </c>
      <c r="K2265" s="33" t="str">
        <f>CONCATENATE(TableAopCalendar[[#This Row],[Month for Plan]]," ",TableAopCalendar[[#This Row],[Plan]])</f>
        <v>JUNE 28 PLANNED</v>
      </c>
    </row>
    <row r="2266" spans="1:11" x14ac:dyDescent="0.25">
      <c r="A2266" s="33">
        <f t="shared" si="120"/>
        <v>5</v>
      </c>
      <c r="B2266" s="34">
        <v>46916</v>
      </c>
      <c r="C2266" s="7" t="s">
        <v>266</v>
      </c>
      <c r="D2266" s="35">
        <v>28</v>
      </c>
      <c r="E2266" s="33">
        <f>DAY(TableAopCalendar[[#This Row],[Date]])</f>
        <v>12</v>
      </c>
      <c r="F226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6" s="33" t="str">
        <f t="shared" si="121"/>
        <v>Week 2</v>
      </c>
      <c r="H2266" s="33" t="str">
        <f t="shared" si="122"/>
        <v>June 28 Week 2</v>
      </c>
      <c r="I2266" s="33" t="str">
        <f>CONCATENATE(UPPER(TableAopCalendar[[#This Row],[Month]])," ",TableAopCalendar[[#This Row],[Year]])</f>
        <v>JUNE 28</v>
      </c>
      <c r="J2266" s="8" t="s">
        <v>274</v>
      </c>
      <c r="K2266" s="33" t="str">
        <f>CONCATENATE(TableAopCalendar[[#This Row],[Month for Plan]]," ",TableAopCalendar[[#This Row],[Plan]])</f>
        <v>JUNE 28 PLANNED</v>
      </c>
    </row>
    <row r="2267" spans="1:11" x14ac:dyDescent="0.25">
      <c r="A2267" s="33">
        <f t="shared" si="120"/>
        <v>6</v>
      </c>
      <c r="B2267" s="34">
        <v>46917</v>
      </c>
      <c r="C2267" s="7" t="s">
        <v>266</v>
      </c>
      <c r="D2267" s="35">
        <v>28</v>
      </c>
      <c r="E2267" s="33">
        <f>DAY(TableAopCalendar[[#This Row],[Date]])</f>
        <v>13</v>
      </c>
      <c r="F226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7" s="33" t="str">
        <f t="shared" si="121"/>
        <v>Week 2</v>
      </c>
      <c r="H2267" s="33" t="str">
        <f t="shared" si="122"/>
        <v>June 28 Week 2</v>
      </c>
      <c r="I2267" s="33" t="str">
        <f>CONCATENATE(UPPER(TableAopCalendar[[#This Row],[Month]])," ",TableAopCalendar[[#This Row],[Year]])</f>
        <v>JUNE 28</v>
      </c>
      <c r="J2267" s="8" t="s">
        <v>274</v>
      </c>
      <c r="K2267" s="33" t="str">
        <f>CONCATENATE(TableAopCalendar[[#This Row],[Month for Plan]]," ",TableAopCalendar[[#This Row],[Plan]])</f>
        <v>JUNE 28 PLANNED</v>
      </c>
    </row>
    <row r="2268" spans="1:11" x14ac:dyDescent="0.25">
      <c r="A2268" s="33">
        <f t="shared" si="120"/>
        <v>7</v>
      </c>
      <c r="B2268" s="34">
        <v>46918</v>
      </c>
      <c r="C2268" s="7" t="s">
        <v>266</v>
      </c>
      <c r="D2268" s="35">
        <v>28</v>
      </c>
      <c r="E2268" s="33">
        <f>DAY(TableAopCalendar[[#This Row],[Date]])</f>
        <v>14</v>
      </c>
      <c r="F226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68" s="33" t="str">
        <f t="shared" si="121"/>
        <v>Week 2</v>
      </c>
      <c r="H2268" s="33" t="str">
        <f t="shared" si="122"/>
        <v>June 28 Week 2</v>
      </c>
      <c r="I2268" s="33" t="str">
        <f>CONCATENATE(UPPER(TableAopCalendar[[#This Row],[Month]])," ",TableAopCalendar[[#This Row],[Year]])</f>
        <v>JUNE 28</v>
      </c>
      <c r="J2268" s="8" t="s">
        <v>274</v>
      </c>
      <c r="K2268" s="33" t="str">
        <f>CONCATENATE(TableAopCalendar[[#This Row],[Month for Plan]]," ",TableAopCalendar[[#This Row],[Plan]])</f>
        <v>JUNE 28 PLANNED</v>
      </c>
    </row>
    <row r="2269" spans="1:11" x14ac:dyDescent="0.25">
      <c r="A2269" s="33">
        <f t="shared" si="120"/>
        <v>1</v>
      </c>
      <c r="B2269" s="34">
        <v>46919</v>
      </c>
      <c r="C2269" s="7" t="s">
        <v>266</v>
      </c>
      <c r="D2269" s="35">
        <v>28</v>
      </c>
      <c r="E2269" s="33">
        <f>DAY(TableAopCalendar[[#This Row],[Date]])</f>
        <v>15</v>
      </c>
      <c r="F226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69" s="33" t="str">
        <f t="shared" si="121"/>
        <v>Week 3</v>
      </c>
      <c r="H2269" s="33" t="str">
        <f t="shared" si="122"/>
        <v>June 28 Week 3</v>
      </c>
      <c r="I2269" s="33" t="str">
        <f>CONCATENATE(UPPER(TableAopCalendar[[#This Row],[Month]])," ",TableAopCalendar[[#This Row],[Year]])</f>
        <v>JUNE 28</v>
      </c>
      <c r="J2269" s="8" t="s">
        <v>274</v>
      </c>
      <c r="K2269" s="33" t="str">
        <f>CONCATENATE(TableAopCalendar[[#This Row],[Month for Plan]]," ",TableAopCalendar[[#This Row],[Plan]])</f>
        <v>JUNE 28 PLANNED</v>
      </c>
    </row>
    <row r="2270" spans="1:11" x14ac:dyDescent="0.25">
      <c r="A2270" s="33">
        <f t="shared" si="120"/>
        <v>2</v>
      </c>
      <c r="B2270" s="34">
        <v>46920</v>
      </c>
      <c r="C2270" s="7" t="s">
        <v>266</v>
      </c>
      <c r="D2270" s="35">
        <v>28</v>
      </c>
      <c r="E2270" s="33">
        <f>DAY(TableAopCalendar[[#This Row],[Date]])</f>
        <v>16</v>
      </c>
      <c r="F227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70" s="33" t="str">
        <f t="shared" si="121"/>
        <v>Week 3</v>
      </c>
      <c r="H2270" s="33" t="str">
        <f t="shared" si="122"/>
        <v>June 28 Week 3</v>
      </c>
      <c r="I2270" s="33" t="str">
        <f>CONCATENATE(UPPER(TableAopCalendar[[#This Row],[Month]])," ",TableAopCalendar[[#This Row],[Year]])</f>
        <v>JUNE 28</v>
      </c>
      <c r="J2270" s="8" t="s">
        <v>274</v>
      </c>
      <c r="K2270" s="33" t="str">
        <f>CONCATENATE(TableAopCalendar[[#This Row],[Month for Plan]]," ",TableAopCalendar[[#This Row],[Plan]])</f>
        <v>JUNE 28 PLANNED</v>
      </c>
    </row>
    <row r="2271" spans="1:11" x14ac:dyDescent="0.25">
      <c r="A2271" s="33">
        <f t="shared" si="120"/>
        <v>3</v>
      </c>
      <c r="B2271" s="34">
        <v>46921</v>
      </c>
      <c r="C2271" s="7" t="s">
        <v>266</v>
      </c>
      <c r="D2271" s="35">
        <v>28</v>
      </c>
      <c r="E2271" s="33">
        <f>DAY(TableAopCalendar[[#This Row],[Date]])</f>
        <v>17</v>
      </c>
      <c r="F227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71" s="33" t="str">
        <f t="shared" si="121"/>
        <v>Week 3</v>
      </c>
      <c r="H2271" s="33" t="str">
        <f t="shared" si="122"/>
        <v>June 28 Week 3</v>
      </c>
      <c r="I2271" s="33" t="str">
        <f>CONCATENATE(UPPER(TableAopCalendar[[#This Row],[Month]])," ",TableAopCalendar[[#This Row],[Year]])</f>
        <v>JUNE 28</v>
      </c>
      <c r="J2271" s="8" t="s">
        <v>274</v>
      </c>
      <c r="K2271" s="33" t="str">
        <f>CONCATENATE(TableAopCalendar[[#This Row],[Month for Plan]]," ",TableAopCalendar[[#This Row],[Plan]])</f>
        <v>JUNE 28 PLANNED</v>
      </c>
    </row>
    <row r="2272" spans="1:11" x14ac:dyDescent="0.25">
      <c r="A2272" s="33">
        <f t="shared" si="120"/>
        <v>4</v>
      </c>
      <c r="B2272" s="34">
        <v>46922</v>
      </c>
      <c r="C2272" s="7" t="s">
        <v>266</v>
      </c>
      <c r="D2272" s="35">
        <v>28</v>
      </c>
      <c r="E2272" s="33">
        <f>DAY(TableAopCalendar[[#This Row],[Date]])</f>
        <v>18</v>
      </c>
      <c r="F227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72" s="33" t="str">
        <f t="shared" si="121"/>
        <v>Week 3</v>
      </c>
      <c r="H2272" s="33" t="str">
        <f t="shared" si="122"/>
        <v>June 28 Week 3</v>
      </c>
      <c r="I2272" s="33" t="str">
        <f>CONCATENATE(UPPER(TableAopCalendar[[#This Row],[Month]])," ",TableAopCalendar[[#This Row],[Year]])</f>
        <v>JUNE 28</v>
      </c>
      <c r="J2272" s="8" t="s">
        <v>274</v>
      </c>
      <c r="K2272" s="33" t="str">
        <f>CONCATENATE(TableAopCalendar[[#This Row],[Month for Plan]]," ",TableAopCalendar[[#This Row],[Plan]])</f>
        <v>JUNE 28 PLANNED</v>
      </c>
    </row>
    <row r="2273" spans="1:11" x14ac:dyDescent="0.25">
      <c r="A2273" s="33">
        <f t="shared" si="120"/>
        <v>5</v>
      </c>
      <c r="B2273" s="34">
        <v>46923</v>
      </c>
      <c r="C2273" s="7" t="s">
        <v>266</v>
      </c>
      <c r="D2273" s="35">
        <v>28</v>
      </c>
      <c r="E2273" s="33">
        <f>DAY(TableAopCalendar[[#This Row],[Date]])</f>
        <v>19</v>
      </c>
      <c r="F227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73" s="33" t="str">
        <f t="shared" si="121"/>
        <v>Week 3</v>
      </c>
      <c r="H2273" s="33" t="str">
        <f t="shared" si="122"/>
        <v>June 28 Week 3</v>
      </c>
      <c r="I2273" s="33" t="str">
        <f>CONCATENATE(UPPER(TableAopCalendar[[#This Row],[Month]])," ",TableAopCalendar[[#This Row],[Year]])</f>
        <v>JUNE 28</v>
      </c>
      <c r="J2273" s="8" t="s">
        <v>274</v>
      </c>
      <c r="K2273" s="33" t="str">
        <f>CONCATENATE(TableAopCalendar[[#This Row],[Month for Plan]]," ",TableAopCalendar[[#This Row],[Plan]])</f>
        <v>JUNE 28 PLANNED</v>
      </c>
    </row>
    <row r="2274" spans="1:11" x14ac:dyDescent="0.25">
      <c r="A2274" s="33">
        <f t="shared" si="120"/>
        <v>6</v>
      </c>
      <c r="B2274" s="34">
        <v>46924</v>
      </c>
      <c r="C2274" s="7" t="s">
        <v>266</v>
      </c>
      <c r="D2274" s="35">
        <v>28</v>
      </c>
      <c r="E2274" s="33">
        <f>DAY(TableAopCalendar[[#This Row],[Date]])</f>
        <v>20</v>
      </c>
      <c r="F227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74" s="33" t="str">
        <f t="shared" si="121"/>
        <v>Week 3</v>
      </c>
      <c r="H2274" s="33" t="str">
        <f t="shared" si="122"/>
        <v>June 28 Week 3</v>
      </c>
      <c r="I2274" s="33" t="str">
        <f>CONCATENATE(UPPER(TableAopCalendar[[#This Row],[Month]])," ",TableAopCalendar[[#This Row],[Year]])</f>
        <v>JUNE 28</v>
      </c>
      <c r="J2274" s="8" t="s">
        <v>274</v>
      </c>
      <c r="K2274" s="33" t="str">
        <f>CONCATENATE(TableAopCalendar[[#This Row],[Month for Plan]]," ",TableAopCalendar[[#This Row],[Plan]])</f>
        <v>JUNE 28 PLANNED</v>
      </c>
    </row>
    <row r="2275" spans="1:11" x14ac:dyDescent="0.25">
      <c r="A2275" s="33">
        <f t="shared" si="120"/>
        <v>7</v>
      </c>
      <c r="B2275" s="34">
        <v>46925</v>
      </c>
      <c r="C2275" s="7" t="s">
        <v>266</v>
      </c>
      <c r="D2275" s="35">
        <v>28</v>
      </c>
      <c r="E2275" s="33">
        <f>DAY(TableAopCalendar[[#This Row],[Date]])</f>
        <v>21</v>
      </c>
      <c r="F227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75" s="33" t="str">
        <f t="shared" si="121"/>
        <v>Week 3</v>
      </c>
      <c r="H2275" s="33" t="str">
        <f t="shared" si="122"/>
        <v>June 28 Week 3</v>
      </c>
      <c r="I2275" s="33" t="str">
        <f>CONCATENATE(UPPER(TableAopCalendar[[#This Row],[Month]])," ",TableAopCalendar[[#This Row],[Year]])</f>
        <v>JUNE 28</v>
      </c>
      <c r="J2275" s="8" t="s">
        <v>274</v>
      </c>
      <c r="K2275" s="33" t="str">
        <f>CONCATENATE(TableAopCalendar[[#This Row],[Month for Plan]]," ",TableAopCalendar[[#This Row],[Plan]])</f>
        <v>JUNE 28 PLANNED</v>
      </c>
    </row>
    <row r="2276" spans="1:11" x14ac:dyDescent="0.25">
      <c r="A2276" s="33">
        <f t="shared" ref="A2276:A2339" si="123">IF(G2276=G2275,A2275+1,1)</f>
        <v>1</v>
      </c>
      <c r="B2276" s="34">
        <v>46926</v>
      </c>
      <c r="C2276" s="7" t="s">
        <v>266</v>
      </c>
      <c r="D2276" s="35">
        <v>28</v>
      </c>
      <c r="E2276" s="33">
        <f>DAY(TableAopCalendar[[#This Row],[Date]])</f>
        <v>22</v>
      </c>
      <c r="F227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76" s="33" t="str">
        <f t="shared" ref="G2276:G2339" si="124">"Week"&amp;" "&amp;F2276</f>
        <v>Week 4</v>
      </c>
      <c r="H2276" s="33" t="str">
        <f t="shared" ref="H2276:H2339" si="125">CONCATENATE(C2276," ",D2276," ",G2276)</f>
        <v>June 28 Week 4</v>
      </c>
      <c r="I2276" s="33" t="str">
        <f>CONCATENATE(UPPER(TableAopCalendar[[#This Row],[Month]])," ",TableAopCalendar[[#This Row],[Year]])</f>
        <v>JUNE 28</v>
      </c>
      <c r="J2276" s="8" t="s">
        <v>274</v>
      </c>
      <c r="K2276" s="33" t="str">
        <f>CONCATENATE(TableAopCalendar[[#This Row],[Month for Plan]]," ",TableAopCalendar[[#This Row],[Plan]])</f>
        <v>JUNE 28 PLANNED</v>
      </c>
    </row>
    <row r="2277" spans="1:11" x14ac:dyDescent="0.25">
      <c r="A2277" s="33">
        <f t="shared" si="123"/>
        <v>2</v>
      </c>
      <c r="B2277" s="34">
        <v>46927</v>
      </c>
      <c r="C2277" s="7" t="s">
        <v>266</v>
      </c>
      <c r="D2277" s="35">
        <v>28</v>
      </c>
      <c r="E2277" s="33">
        <f>DAY(TableAopCalendar[[#This Row],[Date]])</f>
        <v>23</v>
      </c>
      <c r="F227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77" s="33" t="str">
        <f t="shared" si="124"/>
        <v>Week 4</v>
      </c>
      <c r="H2277" s="33" t="str">
        <f t="shared" si="125"/>
        <v>June 28 Week 4</v>
      </c>
      <c r="I2277" s="33" t="str">
        <f>CONCATENATE(UPPER(TableAopCalendar[[#This Row],[Month]])," ",TableAopCalendar[[#This Row],[Year]])</f>
        <v>JUNE 28</v>
      </c>
      <c r="J2277" s="8" t="s">
        <v>274</v>
      </c>
      <c r="K2277" s="33" t="str">
        <f>CONCATENATE(TableAopCalendar[[#This Row],[Month for Plan]]," ",TableAopCalendar[[#This Row],[Plan]])</f>
        <v>JUNE 28 PLANNED</v>
      </c>
    </row>
    <row r="2278" spans="1:11" x14ac:dyDescent="0.25">
      <c r="A2278" s="33">
        <f t="shared" si="123"/>
        <v>3</v>
      </c>
      <c r="B2278" s="34">
        <v>46928</v>
      </c>
      <c r="C2278" s="7" t="s">
        <v>266</v>
      </c>
      <c r="D2278" s="35">
        <v>28</v>
      </c>
      <c r="E2278" s="33">
        <f>DAY(TableAopCalendar[[#This Row],[Date]])</f>
        <v>24</v>
      </c>
      <c r="F227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78" s="33" t="str">
        <f t="shared" si="124"/>
        <v>Week 4</v>
      </c>
      <c r="H2278" s="33" t="str">
        <f t="shared" si="125"/>
        <v>June 28 Week 4</v>
      </c>
      <c r="I2278" s="33" t="str">
        <f>CONCATENATE(UPPER(TableAopCalendar[[#This Row],[Month]])," ",TableAopCalendar[[#This Row],[Year]])</f>
        <v>JUNE 28</v>
      </c>
      <c r="J2278" s="8" t="s">
        <v>274</v>
      </c>
      <c r="K2278" s="33" t="str">
        <f>CONCATENATE(TableAopCalendar[[#This Row],[Month for Plan]]," ",TableAopCalendar[[#This Row],[Plan]])</f>
        <v>JUNE 28 PLANNED</v>
      </c>
    </row>
    <row r="2279" spans="1:11" x14ac:dyDescent="0.25">
      <c r="A2279" s="33">
        <f t="shared" si="123"/>
        <v>4</v>
      </c>
      <c r="B2279" s="34">
        <v>46929</v>
      </c>
      <c r="C2279" s="7" t="s">
        <v>266</v>
      </c>
      <c r="D2279" s="35">
        <v>28</v>
      </c>
      <c r="E2279" s="33">
        <f>DAY(TableAopCalendar[[#This Row],[Date]])</f>
        <v>25</v>
      </c>
      <c r="F227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79" s="33" t="str">
        <f t="shared" si="124"/>
        <v>Week 4</v>
      </c>
      <c r="H2279" s="33" t="str">
        <f t="shared" si="125"/>
        <v>June 28 Week 4</v>
      </c>
      <c r="I2279" s="33" t="str">
        <f>CONCATENATE(UPPER(TableAopCalendar[[#This Row],[Month]])," ",TableAopCalendar[[#This Row],[Year]])</f>
        <v>JUNE 28</v>
      </c>
      <c r="J2279" s="8" t="s">
        <v>274</v>
      </c>
      <c r="K2279" s="33" t="str">
        <f>CONCATENATE(TableAopCalendar[[#This Row],[Month for Plan]]," ",TableAopCalendar[[#This Row],[Plan]])</f>
        <v>JUNE 28 PLANNED</v>
      </c>
    </row>
    <row r="2280" spans="1:11" x14ac:dyDescent="0.25">
      <c r="A2280" s="33">
        <f t="shared" si="123"/>
        <v>5</v>
      </c>
      <c r="B2280" s="34">
        <v>46930</v>
      </c>
      <c r="C2280" s="7" t="s">
        <v>266</v>
      </c>
      <c r="D2280" s="35">
        <v>28</v>
      </c>
      <c r="E2280" s="33">
        <f>DAY(TableAopCalendar[[#This Row],[Date]])</f>
        <v>26</v>
      </c>
      <c r="F228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80" s="33" t="str">
        <f t="shared" si="124"/>
        <v>Week 4</v>
      </c>
      <c r="H2280" s="33" t="str">
        <f t="shared" si="125"/>
        <v>June 28 Week 4</v>
      </c>
      <c r="I2280" s="33" t="str">
        <f>CONCATENATE(UPPER(TableAopCalendar[[#This Row],[Month]])," ",TableAopCalendar[[#This Row],[Year]])</f>
        <v>JUNE 28</v>
      </c>
      <c r="J2280" s="8" t="s">
        <v>274</v>
      </c>
      <c r="K2280" s="33" t="str">
        <f>CONCATENATE(TableAopCalendar[[#This Row],[Month for Plan]]," ",TableAopCalendar[[#This Row],[Plan]])</f>
        <v>JUNE 28 PLANNED</v>
      </c>
    </row>
    <row r="2281" spans="1:11" x14ac:dyDescent="0.25">
      <c r="A2281" s="33">
        <f t="shared" si="123"/>
        <v>6</v>
      </c>
      <c r="B2281" s="34">
        <v>46931</v>
      </c>
      <c r="C2281" s="7" t="s">
        <v>266</v>
      </c>
      <c r="D2281" s="35">
        <v>28</v>
      </c>
      <c r="E2281" s="33">
        <f>DAY(TableAopCalendar[[#This Row],[Date]])</f>
        <v>27</v>
      </c>
      <c r="F228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81" s="33" t="str">
        <f t="shared" si="124"/>
        <v>Week 4</v>
      </c>
      <c r="H2281" s="33" t="str">
        <f t="shared" si="125"/>
        <v>June 28 Week 4</v>
      </c>
      <c r="I2281" s="33" t="str">
        <f>CONCATENATE(UPPER(TableAopCalendar[[#This Row],[Month]])," ",TableAopCalendar[[#This Row],[Year]])</f>
        <v>JUNE 28</v>
      </c>
      <c r="J2281" s="8" t="s">
        <v>274</v>
      </c>
      <c r="K2281" s="33" t="str">
        <f>CONCATENATE(TableAopCalendar[[#This Row],[Month for Plan]]," ",TableAopCalendar[[#This Row],[Plan]])</f>
        <v>JUNE 28 PLANNED</v>
      </c>
    </row>
    <row r="2282" spans="1:11" x14ac:dyDescent="0.25">
      <c r="A2282" s="33">
        <f t="shared" si="123"/>
        <v>7</v>
      </c>
      <c r="B2282" s="34">
        <v>46932</v>
      </c>
      <c r="C2282" s="7" t="s">
        <v>266</v>
      </c>
      <c r="D2282" s="35">
        <v>28</v>
      </c>
      <c r="E2282" s="33">
        <f>DAY(TableAopCalendar[[#This Row],[Date]])</f>
        <v>28</v>
      </c>
      <c r="F228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282" s="33" t="str">
        <f t="shared" si="124"/>
        <v>Week 4</v>
      </c>
      <c r="H2282" s="33" t="str">
        <f t="shared" si="125"/>
        <v>June 28 Week 4</v>
      </c>
      <c r="I2282" s="33" t="str">
        <f>CONCATENATE(UPPER(TableAopCalendar[[#This Row],[Month]])," ",TableAopCalendar[[#This Row],[Year]])</f>
        <v>JUNE 28</v>
      </c>
      <c r="J2282" s="8" t="s">
        <v>274</v>
      </c>
      <c r="K2282" s="33" t="str">
        <f>CONCATENATE(TableAopCalendar[[#This Row],[Month for Plan]]," ",TableAopCalendar[[#This Row],[Plan]])</f>
        <v>JUNE 28 PLANNED</v>
      </c>
    </row>
    <row r="2283" spans="1:11" x14ac:dyDescent="0.25">
      <c r="A2283" s="33">
        <f t="shared" si="123"/>
        <v>1</v>
      </c>
      <c r="B2283" s="34">
        <v>46933</v>
      </c>
      <c r="C2283" s="7" t="s">
        <v>266</v>
      </c>
      <c r="D2283" s="35">
        <v>28</v>
      </c>
      <c r="E2283" s="33">
        <f>DAY(TableAopCalendar[[#This Row],[Date]])</f>
        <v>29</v>
      </c>
      <c r="F2283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283" s="33" t="str">
        <f t="shared" si="124"/>
        <v>Week 5</v>
      </c>
      <c r="H2283" s="33" t="str">
        <f t="shared" si="125"/>
        <v>June 28 Week 5</v>
      </c>
      <c r="I2283" s="33" t="str">
        <f>CONCATENATE(UPPER(TableAopCalendar[[#This Row],[Month]])," ",TableAopCalendar[[#This Row],[Year]])</f>
        <v>JUNE 28</v>
      </c>
      <c r="J2283" s="8" t="s">
        <v>274</v>
      </c>
      <c r="K2283" s="33" t="str">
        <f>CONCATENATE(TableAopCalendar[[#This Row],[Month for Plan]]," ",TableAopCalendar[[#This Row],[Plan]])</f>
        <v>JUNE 28 PLANNED</v>
      </c>
    </row>
    <row r="2284" spans="1:11" x14ac:dyDescent="0.25">
      <c r="A2284" s="33">
        <f t="shared" si="123"/>
        <v>2</v>
      </c>
      <c r="B2284" s="34">
        <v>46934</v>
      </c>
      <c r="C2284" s="7" t="s">
        <v>266</v>
      </c>
      <c r="D2284" s="35">
        <v>28</v>
      </c>
      <c r="E2284" s="33">
        <f>DAY(TableAopCalendar[[#This Row],[Date]])</f>
        <v>30</v>
      </c>
      <c r="F2284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284" s="33" t="str">
        <f t="shared" si="124"/>
        <v>Week 5</v>
      </c>
      <c r="H2284" s="33" t="str">
        <f t="shared" si="125"/>
        <v>June 28 Week 5</v>
      </c>
      <c r="I2284" s="33" t="str">
        <f>CONCATENATE(UPPER(TableAopCalendar[[#This Row],[Month]])," ",TableAopCalendar[[#This Row],[Year]])</f>
        <v>JUNE 28</v>
      </c>
      <c r="J2284" s="8" t="s">
        <v>274</v>
      </c>
      <c r="K2284" s="33" t="str">
        <f>CONCATENATE(TableAopCalendar[[#This Row],[Month for Plan]]," ",TableAopCalendar[[#This Row],[Plan]])</f>
        <v>JUNE 28 PLANNED</v>
      </c>
    </row>
    <row r="2285" spans="1:11" x14ac:dyDescent="0.25">
      <c r="A2285" s="33">
        <f t="shared" si="123"/>
        <v>1</v>
      </c>
      <c r="B2285" s="34">
        <v>46935</v>
      </c>
      <c r="C2285" s="7" t="s">
        <v>267</v>
      </c>
      <c r="D2285" s="35">
        <v>28</v>
      </c>
      <c r="E2285" s="33">
        <f>DAY(TableAopCalendar[[#This Row],[Date]])</f>
        <v>1</v>
      </c>
      <c r="F228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85" s="33" t="str">
        <f t="shared" si="124"/>
        <v>Week 1</v>
      </c>
      <c r="H2285" s="33" t="str">
        <f t="shared" si="125"/>
        <v>July 28 Week 1</v>
      </c>
      <c r="I2285" s="33" t="str">
        <f>CONCATENATE(UPPER(TableAopCalendar[[#This Row],[Month]])," ",TableAopCalendar[[#This Row],[Year]])</f>
        <v>JULY 28</v>
      </c>
      <c r="J2285" s="8" t="s">
        <v>274</v>
      </c>
      <c r="K2285" s="33" t="str">
        <f>CONCATENATE(TableAopCalendar[[#This Row],[Month for Plan]]," ",TableAopCalendar[[#This Row],[Plan]])</f>
        <v>JULY 28 PLANNED</v>
      </c>
    </row>
    <row r="2286" spans="1:11" x14ac:dyDescent="0.25">
      <c r="A2286" s="33">
        <f t="shared" si="123"/>
        <v>2</v>
      </c>
      <c r="B2286" s="34">
        <v>46936</v>
      </c>
      <c r="C2286" s="7" t="s">
        <v>267</v>
      </c>
      <c r="D2286" s="35">
        <v>28</v>
      </c>
      <c r="E2286" s="33">
        <f>DAY(TableAopCalendar[[#This Row],[Date]])</f>
        <v>2</v>
      </c>
      <c r="F228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86" s="33" t="str">
        <f t="shared" si="124"/>
        <v>Week 1</v>
      </c>
      <c r="H2286" s="33" t="str">
        <f t="shared" si="125"/>
        <v>July 28 Week 1</v>
      </c>
      <c r="I2286" s="33" t="str">
        <f>CONCATENATE(UPPER(TableAopCalendar[[#This Row],[Month]])," ",TableAopCalendar[[#This Row],[Year]])</f>
        <v>JULY 28</v>
      </c>
      <c r="J2286" s="8" t="s">
        <v>274</v>
      </c>
      <c r="K2286" s="33" t="str">
        <f>CONCATENATE(TableAopCalendar[[#This Row],[Month for Plan]]," ",TableAopCalendar[[#This Row],[Plan]])</f>
        <v>JULY 28 PLANNED</v>
      </c>
    </row>
    <row r="2287" spans="1:11" x14ac:dyDescent="0.25">
      <c r="A2287" s="33">
        <f t="shared" si="123"/>
        <v>3</v>
      </c>
      <c r="B2287" s="34">
        <v>46937</v>
      </c>
      <c r="C2287" s="7" t="s">
        <v>267</v>
      </c>
      <c r="D2287" s="35">
        <v>28</v>
      </c>
      <c r="E2287" s="33">
        <f>DAY(TableAopCalendar[[#This Row],[Date]])</f>
        <v>3</v>
      </c>
      <c r="F228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87" s="33" t="str">
        <f t="shared" si="124"/>
        <v>Week 1</v>
      </c>
      <c r="H2287" s="33" t="str">
        <f t="shared" si="125"/>
        <v>July 28 Week 1</v>
      </c>
      <c r="I2287" s="33" t="str">
        <f>CONCATENATE(UPPER(TableAopCalendar[[#This Row],[Month]])," ",TableAopCalendar[[#This Row],[Year]])</f>
        <v>JULY 28</v>
      </c>
      <c r="J2287" s="8" t="s">
        <v>274</v>
      </c>
      <c r="K2287" s="33" t="str">
        <f>CONCATENATE(TableAopCalendar[[#This Row],[Month for Plan]]," ",TableAopCalendar[[#This Row],[Plan]])</f>
        <v>JULY 28 PLANNED</v>
      </c>
    </row>
    <row r="2288" spans="1:11" x14ac:dyDescent="0.25">
      <c r="A2288" s="33">
        <f t="shared" si="123"/>
        <v>4</v>
      </c>
      <c r="B2288" s="34">
        <v>46938</v>
      </c>
      <c r="C2288" s="7" t="s">
        <v>267</v>
      </c>
      <c r="D2288" s="35">
        <v>28</v>
      </c>
      <c r="E2288" s="33">
        <f>DAY(TableAopCalendar[[#This Row],[Date]])</f>
        <v>4</v>
      </c>
      <c r="F228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88" s="33" t="str">
        <f t="shared" si="124"/>
        <v>Week 1</v>
      </c>
      <c r="H2288" s="33" t="str">
        <f t="shared" si="125"/>
        <v>July 28 Week 1</v>
      </c>
      <c r="I2288" s="33" t="str">
        <f>CONCATENATE(UPPER(TableAopCalendar[[#This Row],[Month]])," ",TableAopCalendar[[#This Row],[Year]])</f>
        <v>JULY 28</v>
      </c>
      <c r="J2288" s="8" t="s">
        <v>274</v>
      </c>
      <c r="K2288" s="33" t="str">
        <f>CONCATENATE(TableAopCalendar[[#This Row],[Month for Plan]]," ",TableAopCalendar[[#This Row],[Plan]])</f>
        <v>JULY 28 PLANNED</v>
      </c>
    </row>
    <row r="2289" spans="1:11" x14ac:dyDescent="0.25">
      <c r="A2289" s="33">
        <f t="shared" si="123"/>
        <v>5</v>
      </c>
      <c r="B2289" s="34">
        <v>46939</v>
      </c>
      <c r="C2289" s="7" t="s">
        <v>267</v>
      </c>
      <c r="D2289" s="35">
        <v>28</v>
      </c>
      <c r="E2289" s="33">
        <f>DAY(TableAopCalendar[[#This Row],[Date]])</f>
        <v>5</v>
      </c>
      <c r="F228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89" s="33" t="str">
        <f t="shared" si="124"/>
        <v>Week 1</v>
      </c>
      <c r="H2289" s="33" t="str">
        <f t="shared" si="125"/>
        <v>July 28 Week 1</v>
      </c>
      <c r="I2289" s="33" t="str">
        <f>CONCATENATE(UPPER(TableAopCalendar[[#This Row],[Month]])," ",TableAopCalendar[[#This Row],[Year]])</f>
        <v>JULY 28</v>
      </c>
      <c r="J2289" s="8" t="s">
        <v>274</v>
      </c>
      <c r="K2289" s="33" t="str">
        <f>CONCATENATE(TableAopCalendar[[#This Row],[Month for Plan]]," ",TableAopCalendar[[#This Row],[Plan]])</f>
        <v>JULY 28 PLANNED</v>
      </c>
    </row>
    <row r="2290" spans="1:11" x14ac:dyDescent="0.25">
      <c r="A2290" s="33">
        <f t="shared" si="123"/>
        <v>6</v>
      </c>
      <c r="B2290" s="34">
        <v>46940</v>
      </c>
      <c r="C2290" s="7" t="s">
        <v>267</v>
      </c>
      <c r="D2290" s="35">
        <v>28</v>
      </c>
      <c r="E2290" s="33">
        <f>DAY(TableAopCalendar[[#This Row],[Date]])</f>
        <v>6</v>
      </c>
      <c r="F229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90" s="33" t="str">
        <f t="shared" si="124"/>
        <v>Week 1</v>
      </c>
      <c r="H2290" s="33" t="str">
        <f t="shared" si="125"/>
        <v>July 28 Week 1</v>
      </c>
      <c r="I2290" s="33" t="str">
        <f>CONCATENATE(UPPER(TableAopCalendar[[#This Row],[Month]])," ",TableAopCalendar[[#This Row],[Year]])</f>
        <v>JULY 28</v>
      </c>
      <c r="J2290" s="8" t="s">
        <v>274</v>
      </c>
      <c r="K2290" s="33" t="str">
        <f>CONCATENATE(TableAopCalendar[[#This Row],[Month for Plan]]," ",TableAopCalendar[[#This Row],[Plan]])</f>
        <v>JULY 28 PLANNED</v>
      </c>
    </row>
    <row r="2291" spans="1:11" x14ac:dyDescent="0.25">
      <c r="A2291" s="33">
        <f t="shared" si="123"/>
        <v>7</v>
      </c>
      <c r="B2291" s="34">
        <v>46941</v>
      </c>
      <c r="C2291" s="7" t="s">
        <v>267</v>
      </c>
      <c r="D2291" s="35">
        <v>28</v>
      </c>
      <c r="E2291" s="33">
        <f>DAY(TableAopCalendar[[#This Row],[Date]])</f>
        <v>7</v>
      </c>
      <c r="F229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291" s="33" t="str">
        <f t="shared" si="124"/>
        <v>Week 1</v>
      </c>
      <c r="H2291" s="33" t="str">
        <f t="shared" si="125"/>
        <v>July 28 Week 1</v>
      </c>
      <c r="I2291" s="33" t="str">
        <f>CONCATENATE(UPPER(TableAopCalendar[[#This Row],[Month]])," ",TableAopCalendar[[#This Row],[Year]])</f>
        <v>JULY 28</v>
      </c>
      <c r="J2291" s="8" t="s">
        <v>274</v>
      </c>
      <c r="K2291" s="33" t="str">
        <f>CONCATENATE(TableAopCalendar[[#This Row],[Month for Plan]]," ",TableAopCalendar[[#This Row],[Plan]])</f>
        <v>JULY 28 PLANNED</v>
      </c>
    </row>
    <row r="2292" spans="1:11" x14ac:dyDescent="0.25">
      <c r="A2292" s="33">
        <f t="shared" si="123"/>
        <v>1</v>
      </c>
      <c r="B2292" s="34">
        <v>46942</v>
      </c>
      <c r="C2292" s="7" t="s">
        <v>267</v>
      </c>
      <c r="D2292" s="35">
        <v>28</v>
      </c>
      <c r="E2292" s="33">
        <f>DAY(TableAopCalendar[[#This Row],[Date]])</f>
        <v>8</v>
      </c>
      <c r="F229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2" s="33" t="str">
        <f t="shared" si="124"/>
        <v>Week 2</v>
      </c>
      <c r="H2292" s="33" t="str">
        <f t="shared" si="125"/>
        <v>July 28 Week 2</v>
      </c>
      <c r="I2292" s="33" t="str">
        <f>CONCATENATE(UPPER(TableAopCalendar[[#This Row],[Month]])," ",TableAopCalendar[[#This Row],[Year]])</f>
        <v>JULY 28</v>
      </c>
      <c r="J2292" s="8" t="s">
        <v>274</v>
      </c>
      <c r="K2292" s="33" t="str">
        <f>CONCATENATE(TableAopCalendar[[#This Row],[Month for Plan]]," ",TableAopCalendar[[#This Row],[Plan]])</f>
        <v>JULY 28 PLANNED</v>
      </c>
    </row>
    <row r="2293" spans="1:11" x14ac:dyDescent="0.25">
      <c r="A2293" s="33">
        <f t="shared" si="123"/>
        <v>2</v>
      </c>
      <c r="B2293" s="34">
        <v>46943</v>
      </c>
      <c r="C2293" s="7" t="s">
        <v>267</v>
      </c>
      <c r="D2293" s="35">
        <v>28</v>
      </c>
      <c r="E2293" s="33">
        <f>DAY(TableAopCalendar[[#This Row],[Date]])</f>
        <v>9</v>
      </c>
      <c r="F229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3" s="33" t="str">
        <f t="shared" si="124"/>
        <v>Week 2</v>
      </c>
      <c r="H2293" s="33" t="str">
        <f t="shared" si="125"/>
        <v>July 28 Week 2</v>
      </c>
      <c r="I2293" s="33" t="str">
        <f>CONCATENATE(UPPER(TableAopCalendar[[#This Row],[Month]])," ",TableAopCalendar[[#This Row],[Year]])</f>
        <v>JULY 28</v>
      </c>
      <c r="J2293" s="8" t="s">
        <v>274</v>
      </c>
      <c r="K2293" s="33" t="str">
        <f>CONCATENATE(TableAopCalendar[[#This Row],[Month for Plan]]," ",TableAopCalendar[[#This Row],[Plan]])</f>
        <v>JULY 28 PLANNED</v>
      </c>
    </row>
    <row r="2294" spans="1:11" x14ac:dyDescent="0.25">
      <c r="A2294" s="33">
        <f t="shared" si="123"/>
        <v>3</v>
      </c>
      <c r="B2294" s="34">
        <v>46944</v>
      </c>
      <c r="C2294" s="7" t="s">
        <v>267</v>
      </c>
      <c r="D2294" s="35">
        <v>28</v>
      </c>
      <c r="E2294" s="33">
        <f>DAY(TableAopCalendar[[#This Row],[Date]])</f>
        <v>10</v>
      </c>
      <c r="F229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4" s="33" t="str">
        <f t="shared" si="124"/>
        <v>Week 2</v>
      </c>
      <c r="H2294" s="33" t="str">
        <f t="shared" si="125"/>
        <v>July 28 Week 2</v>
      </c>
      <c r="I2294" s="33" t="str">
        <f>CONCATENATE(UPPER(TableAopCalendar[[#This Row],[Month]])," ",TableAopCalendar[[#This Row],[Year]])</f>
        <v>JULY 28</v>
      </c>
      <c r="J2294" s="8" t="s">
        <v>274</v>
      </c>
      <c r="K2294" s="33" t="str">
        <f>CONCATENATE(TableAopCalendar[[#This Row],[Month for Plan]]," ",TableAopCalendar[[#This Row],[Plan]])</f>
        <v>JULY 28 PLANNED</v>
      </c>
    </row>
    <row r="2295" spans="1:11" x14ac:dyDescent="0.25">
      <c r="A2295" s="33">
        <f t="shared" si="123"/>
        <v>4</v>
      </c>
      <c r="B2295" s="34">
        <v>46945</v>
      </c>
      <c r="C2295" s="7" t="s">
        <v>267</v>
      </c>
      <c r="D2295" s="35">
        <v>28</v>
      </c>
      <c r="E2295" s="33">
        <f>DAY(TableAopCalendar[[#This Row],[Date]])</f>
        <v>11</v>
      </c>
      <c r="F229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5" s="33" t="str">
        <f t="shared" si="124"/>
        <v>Week 2</v>
      </c>
      <c r="H2295" s="33" t="str">
        <f t="shared" si="125"/>
        <v>July 28 Week 2</v>
      </c>
      <c r="I2295" s="33" t="str">
        <f>CONCATENATE(UPPER(TableAopCalendar[[#This Row],[Month]])," ",TableAopCalendar[[#This Row],[Year]])</f>
        <v>JULY 28</v>
      </c>
      <c r="J2295" s="8" t="s">
        <v>274</v>
      </c>
      <c r="K2295" s="33" t="str">
        <f>CONCATENATE(TableAopCalendar[[#This Row],[Month for Plan]]," ",TableAopCalendar[[#This Row],[Plan]])</f>
        <v>JULY 28 PLANNED</v>
      </c>
    </row>
    <row r="2296" spans="1:11" x14ac:dyDescent="0.25">
      <c r="A2296" s="33">
        <f t="shared" si="123"/>
        <v>5</v>
      </c>
      <c r="B2296" s="34">
        <v>46946</v>
      </c>
      <c r="C2296" s="7" t="s">
        <v>267</v>
      </c>
      <c r="D2296" s="35">
        <v>28</v>
      </c>
      <c r="E2296" s="33">
        <f>DAY(TableAopCalendar[[#This Row],[Date]])</f>
        <v>12</v>
      </c>
      <c r="F229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6" s="33" t="str">
        <f t="shared" si="124"/>
        <v>Week 2</v>
      </c>
      <c r="H2296" s="33" t="str">
        <f t="shared" si="125"/>
        <v>July 28 Week 2</v>
      </c>
      <c r="I2296" s="33" t="str">
        <f>CONCATENATE(UPPER(TableAopCalendar[[#This Row],[Month]])," ",TableAopCalendar[[#This Row],[Year]])</f>
        <v>JULY 28</v>
      </c>
      <c r="J2296" s="8" t="s">
        <v>274</v>
      </c>
      <c r="K2296" s="33" t="str">
        <f>CONCATENATE(TableAopCalendar[[#This Row],[Month for Plan]]," ",TableAopCalendar[[#This Row],[Plan]])</f>
        <v>JULY 28 PLANNED</v>
      </c>
    </row>
    <row r="2297" spans="1:11" x14ac:dyDescent="0.25">
      <c r="A2297" s="33">
        <f t="shared" si="123"/>
        <v>6</v>
      </c>
      <c r="B2297" s="34">
        <v>46947</v>
      </c>
      <c r="C2297" s="7" t="s">
        <v>267</v>
      </c>
      <c r="D2297" s="35">
        <v>28</v>
      </c>
      <c r="E2297" s="33">
        <f>DAY(TableAopCalendar[[#This Row],[Date]])</f>
        <v>13</v>
      </c>
      <c r="F229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7" s="33" t="str">
        <f t="shared" si="124"/>
        <v>Week 2</v>
      </c>
      <c r="H2297" s="33" t="str">
        <f t="shared" si="125"/>
        <v>July 28 Week 2</v>
      </c>
      <c r="I2297" s="33" t="str">
        <f>CONCATENATE(UPPER(TableAopCalendar[[#This Row],[Month]])," ",TableAopCalendar[[#This Row],[Year]])</f>
        <v>JULY 28</v>
      </c>
      <c r="J2297" s="8" t="s">
        <v>274</v>
      </c>
      <c r="K2297" s="33" t="str">
        <f>CONCATENATE(TableAopCalendar[[#This Row],[Month for Plan]]," ",TableAopCalendar[[#This Row],[Plan]])</f>
        <v>JULY 28 PLANNED</v>
      </c>
    </row>
    <row r="2298" spans="1:11" x14ac:dyDescent="0.25">
      <c r="A2298" s="33">
        <f t="shared" si="123"/>
        <v>7</v>
      </c>
      <c r="B2298" s="34">
        <v>46948</v>
      </c>
      <c r="C2298" s="7" t="s">
        <v>267</v>
      </c>
      <c r="D2298" s="35">
        <v>28</v>
      </c>
      <c r="E2298" s="33">
        <f>DAY(TableAopCalendar[[#This Row],[Date]])</f>
        <v>14</v>
      </c>
      <c r="F229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298" s="33" t="str">
        <f t="shared" si="124"/>
        <v>Week 2</v>
      </c>
      <c r="H2298" s="33" t="str">
        <f t="shared" si="125"/>
        <v>July 28 Week 2</v>
      </c>
      <c r="I2298" s="33" t="str">
        <f>CONCATENATE(UPPER(TableAopCalendar[[#This Row],[Month]])," ",TableAopCalendar[[#This Row],[Year]])</f>
        <v>JULY 28</v>
      </c>
      <c r="J2298" s="8" t="s">
        <v>274</v>
      </c>
      <c r="K2298" s="33" t="str">
        <f>CONCATENATE(TableAopCalendar[[#This Row],[Month for Plan]]," ",TableAopCalendar[[#This Row],[Plan]])</f>
        <v>JULY 28 PLANNED</v>
      </c>
    </row>
    <row r="2299" spans="1:11" x14ac:dyDescent="0.25">
      <c r="A2299" s="33">
        <f t="shared" si="123"/>
        <v>1</v>
      </c>
      <c r="B2299" s="34">
        <v>46949</v>
      </c>
      <c r="C2299" s="7" t="s">
        <v>267</v>
      </c>
      <c r="D2299" s="35">
        <v>28</v>
      </c>
      <c r="E2299" s="33">
        <f>DAY(TableAopCalendar[[#This Row],[Date]])</f>
        <v>15</v>
      </c>
      <c r="F229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299" s="33" t="str">
        <f t="shared" si="124"/>
        <v>Week 3</v>
      </c>
      <c r="H2299" s="33" t="str">
        <f t="shared" si="125"/>
        <v>July 28 Week 3</v>
      </c>
      <c r="I2299" s="33" t="str">
        <f>CONCATENATE(UPPER(TableAopCalendar[[#This Row],[Month]])," ",TableAopCalendar[[#This Row],[Year]])</f>
        <v>JULY 28</v>
      </c>
      <c r="J2299" s="8" t="s">
        <v>274</v>
      </c>
      <c r="K2299" s="33" t="str">
        <f>CONCATENATE(TableAopCalendar[[#This Row],[Month for Plan]]," ",TableAopCalendar[[#This Row],[Plan]])</f>
        <v>JULY 28 PLANNED</v>
      </c>
    </row>
    <row r="2300" spans="1:11" x14ac:dyDescent="0.25">
      <c r="A2300" s="33">
        <f t="shared" si="123"/>
        <v>2</v>
      </c>
      <c r="B2300" s="34">
        <v>46950</v>
      </c>
      <c r="C2300" s="7" t="s">
        <v>267</v>
      </c>
      <c r="D2300" s="35">
        <v>28</v>
      </c>
      <c r="E2300" s="33">
        <f>DAY(TableAopCalendar[[#This Row],[Date]])</f>
        <v>16</v>
      </c>
      <c r="F230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00" s="33" t="str">
        <f t="shared" si="124"/>
        <v>Week 3</v>
      </c>
      <c r="H2300" s="33" t="str">
        <f t="shared" si="125"/>
        <v>July 28 Week 3</v>
      </c>
      <c r="I2300" s="33" t="str">
        <f>CONCATENATE(UPPER(TableAopCalendar[[#This Row],[Month]])," ",TableAopCalendar[[#This Row],[Year]])</f>
        <v>JULY 28</v>
      </c>
      <c r="J2300" s="8" t="s">
        <v>274</v>
      </c>
      <c r="K2300" s="33" t="str">
        <f>CONCATENATE(TableAopCalendar[[#This Row],[Month for Plan]]," ",TableAopCalendar[[#This Row],[Plan]])</f>
        <v>JULY 28 PLANNED</v>
      </c>
    </row>
    <row r="2301" spans="1:11" x14ac:dyDescent="0.25">
      <c r="A2301" s="33">
        <f t="shared" si="123"/>
        <v>3</v>
      </c>
      <c r="B2301" s="34">
        <v>46951</v>
      </c>
      <c r="C2301" s="7" t="s">
        <v>267</v>
      </c>
      <c r="D2301" s="35">
        <v>28</v>
      </c>
      <c r="E2301" s="33">
        <f>DAY(TableAopCalendar[[#This Row],[Date]])</f>
        <v>17</v>
      </c>
      <c r="F230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01" s="33" t="str">
        <f t="shared" si="124"/>
        <v>Week 3</v>
      </c>
      <c r="H2301" s="33" t="str">
        <f t="shared" si="125"/>
        <v>July 28 Week 3</v>
      </c>
      <c r="I2301" s="33" t="str">
        <f>CONCATENATE(UPPER(TableAopCalendar[[#This Row],[Month]])," ",TableAopCalendar[[#This Row],[Year]])</f>
        <v>JULY 28</v>
      </c>
      <c r="J2301" s="8" t="s">
        <v>274</v>
      </c>
      <c r="K2301" s="33" t="str">
        <f>CONCATENATE(TableAopCalendar[[#This Row],[Month for Plan]]," ",TableAopCalendar[[#This Row],[Plan]])</f>
        <v>JULY 28 PLANNED</v>
      </c>
    </row>
    <row r="2302" spans="1:11" x14ac:dyDescent="0.25">
      <c r="A2302" s="33">
        <f t="shared" si="123"/>
        <v>4</v>
      </c>
      <c r="B2302" s="34">
        <v>46952</v>
      </c>
      <c r="C2302" s="7" t="s">
        <v>267</v>
      </c>
      <c r="D2302" s="35">
        <v>28</v>
      </c>
      <c r="E2302" s="33">
        <f>DAY(TableAopCalendar[[#This Row],[Date]])</f>
        <v>18</v>
      </c>
      <c r="F230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02" s="33" t="str">
        <f t="shared" si="124"/>
        <v>Week 3</v>
      </c>
      <c r="H2302" s="33" t="str">
        <f t="shared" si="125"/>
        <v>July 28 Week 3</v>
      </c>
      <c r="I2302" s="33" t="str">
        <f>CONCATENATE(UPPER(TableAopCalendar[[#This Row],[Month]])," ",TableAopCalendar[[#This Row],[Year]])</f>
        <v>JULY 28</v>
      </c>
      <c r="J2302" s="8" t="s">
        <v>274</v>
      </c>
      <c r="K2302" s="33" t="str">
        <f>CONCATENATE(TableAopCalendar[[#This Row],[Month for Plan]]," ",TableAopCalendar[[#This Row],[Plan]])</f>
        <v>JULY 28 PLANNED</v>
      </c>
    </row>
    <row r="2303" spans="1:11" x14ac:dyDescent="0.25">
      <c r="A2303" s="33">
        <f t="shared" si="123"/>
        <v>5</v>
      </c>
      <c r="B2303" s="34">
        <v>46953</v>
      </c>
      <c r="C2303" s="7" t="s">
        <v>267</v>
      </c>
      <c r="D2303" s="35">
        <v>28</v>
      </c>
      <c r="E2303" s="33">
        <f>DAY(TableAopCalendar[[#This Row],[Date]])</f>
        <v>19</v>
      </c>
      <c r="F230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03" s="33" t="str">
        <f t="shared" si="124"/>
        <v>Week 3</v>
      </c>
      <c r="H2303" s="33" t="str">
        <f t="shared" si="125"/>
        <v>July 28 Week 3</v>
      </c>
      <c r="I2303" s="33" t="str">
        <f>CONCATENATE(UPPER(TableAopCalendar[[#This Row],[Month]])," ",TableAopCalendar[[#This Row],[Year]])</f>
        <v>JULY 28</v>
      </c>
      <c r="J2303" s="8" t="s">
        <v>274</v>
      </c>
      <c r="K2303" s="33" t="str">
        <f>CONCATENATE(TableAopCalendar[[#This Row],[Month for Plan]]," ",TableAopCalendar[[#This Row],[Plan]])</f>
        <v>JULY 28 PLANNED</v>
      </c>
    </row>
    <row r="2304" spans="1:11" x14ac:dyDescent="0.25">
      <c r="A2304" s="33">
        <f t="shared" si="123"/>
        <v>6</v>
      </c>
      <c r="B2304" s="34">
        <v>46954</v>
      </c>
      <c r="C2304" s="7" t="s">
        <v>267</v>
      </c>
      <c r="D2304" s="35">
        <v>28</v>
      </c>
      <c r="E2304" s="33">
        <f>DAY(TableAopCalendar[[#This Row],[Date]])</f>
        <v>20</v>
      </c>
      <c r="F230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04" s="33" t="str">
        <f t="shared" si="124"/>
        <v>Week 3</v>
      </c>
      <c r="H2304" s="33" t="str">
        <f t="shared" si="125"/>
        <v>July 28 Week 3</v>
      </c>
      <c r="I2304" s="33" t="str">
        <f>CONCATENATE(UPPER(TableAopCalendar[[#This Row],[Month]])," ",TableAopCalendar[[#This Row],[Year]])</f>
        <v>JULY 28</v>
      </c>
      <c r="J2304" s="8" t="s">
        <v>274</v>
      </c>
      <c r="K2304" s="33" t="str">
        <f>CONCATENATE(TableAopCalendar[[#This Row],[Month for Plan]]," ",TableAopCalendar[[#This Row],[Plan]])</f>
        <v>JULY 28 PLANNED</v>
      </c>
    </row>
    <row r="2305" spans="1:11" x14ac:dyDescent="0.25">
      <c r="A2305" s="33">
        <f t="shared" si="123"/>
        <v>7</v>
      </c>
      <c r="B2305" s="34">
        <v>46955</v>
      </c>
      <c r="C2305" s="7" t="s">
        <v>267</v>
      </c>
      <c r="D2305" s="35">
        <v>28</v>
      </c>
      <c r="E2305" s="33">
        <f>DAY(TableAopCalendar[[#This Row],[Date]])</f>
        <v>21</v>
      </c>
      <c r="F230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05" s="33" t="str">
        <f t="shared" si="124"/>
        <v>Week 3</v>
      </c>
      <c r="H2305" s="33" t="str">
        <f t="shared" si="125"/>
        <v>July 28 Week 3</v>
      </c>
      <c r="I2305" s="33" t="str">
        <f>CONCATENATE(UPPER(TableAopCalendar[[#This Row],[Month]])," ",TableAopCalendar[[#This Row],[Year]])</f>
        <v>JULY 28</v>
      </c>
      <c r="J2305" s="8" t="s">
        <v>274</v>
      </c>
      <c r="K2305" s="33" t="str">
        <f>CONCATENATE(TableAopCalendar[[#This Row],[Month for Plan]]," ",TableAopCalendar[[#This Row],[Plan]])</f>
        <v>JULY 28 PLANNED</v>
      </c>
    </row>
    <row r="2306" spans="1:11" x14ac:dyDescent="0.25">
      <c r="A2306" s="33">
        <f t="shared" si="123"/>
        <v>1</v>
      </c>
      <c r="B2306" s="34">
        <v>46956</v>
      </c>
      <c r="C2306" s="7" t="s">
        <v>267</v>
      </c>
      <c r="D2306" s="35">
        <v>28</v>
      </c>
      <c r="E2306" s="33">
        <f>DAY(TableAopCalendar[[#This Row],[Date]])</f>
        <v>22</v>
      </c>
      <c r="F230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06" s="33" t="str">
        <f t="shared" si="124"/>
        <v>Week 4</v>
      </c>
      <c r="H2306" s="33" t="str">
        <f t="shared" si="125"/>
        <v>July 28 Week 4</v>
      </c>
      <c r="I2306" s="33" t="str">
        <f>CONCATENATE(UPPER(TableAopCalendar[[#This Row],[Month]])," ",TableAopCalendar[[#This Row],[Year]])</f>
        <v>JULY 28</v>
      </c>
      <c r="J2306" s="8" t="s">
        <v>274</v>
      </c>
      <c r="K2306" s="33" t="str">
        <f>CONCATENATE(TableAopCalendar[[#This Row],[Month for Plan]]," ",TableAopCalendar[[#This Row],[Plan]])</f>
        <v>JULY 28 PLANNED</v>
      </c>
    </row>
    <row r="2307" spans="1:11" x14ac:dyDescent="0.25">
      <c r="A2307" s="33">
        <f t="shared" si="123"/>
        <v>2</v>
      </c>
      <c r="B2307" s="34">
        <v>46957</v>
      </c>
      <c r="C2307" s="7" t="s">
        <v>267</v>
      </c>
      <c r="D2307" s="35">
        <v>28</v>
      </c>
      <c r="E2307" s="33">
        <f>DAY(TableAopCalendar[[#This Row],[Date]])</f>
        <v>23</v>
      </c>
      <c r="F230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07" s="33" t="str">
        <f t="shared" si="124"/>
        <v>Week 4</v>
      </c>
      <c r="H2307" s="33" t="str">
        <f t="shared" si="125"/>
        <v>July 28 Week 4</v>
      </c>
      <c r="I2307" s="33" t="str">
        <f>CONCATENATE(UPPER(TableAopCalendar[[#This Row],[Month]])," ",TableAopCalendar[[#This Row],[Year]])</f>
        <v>JULY 28</v>
      </c>
      <c r="J2307" s="8" t="s">
        <v>274</v>
      </c>
      <c r="K2307" s="33" t="str">
        <f>CONCATENATE(TableAopCalendar[[#This Row],[Month for Plan]]," ",TableAopCalendar[[#This Row],[Plan]])</f>
        <v>JULY 28 PLANNED</v>
      </c>
    </row>
    <row r="2308" spans="1:11" x14ac:dyDescent="0.25">
      <c r="A2308" s="33">
        <f t="shared" si="123"/>
        <v>3</v>
      </c>
      <c r="B2308" s="34">
        <v>46958</v>
      </c>
      <c r="C2308" s="7" t="s">
        <v>267</v>
      </c>
      <c r="D2308" s="35">
        <v>28</v>
      </c>
      <c r="E2308" s="33">
        <f>DAY(TableAopCalendar[[#This Row],[Date]])</f>
        <v>24</v>
      </c>
      <c r="F230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08" s="33" t="str">
        <f t="shared" si="124"/>
        <v>Week 4</v>
      </c>
      <c r="H2308" s="33" t="str">
        <f t="shared" si="125"/>
        <v>July 28 Week 4</v>
      </c>
      <c r="I2308" s="33" t="str">
        <f>CONCATENATE(UPPER(TableAopCalendar[[#This Row],[Month]])," ",TableAopCalendar[[#This Row],[Year]])</f>
        <v>JULY 28</v>
      </c>
      <c r="J2308" s="8" t="s">
        <v>274</v>
      </c>
      <c r="K2308" s="33" t="str">
        <f>CONCATENATE(TableAopCalendar[[#This Row],[Month for Plan]]," ",TableAopCalendar[[#This Row],[Plan]])</f>
        <v>JULY 28 PLANNED</v>
      </c>
    </row>
    <row r="2309" spans="1:11" x14ac:dyDescent="0.25">
      <c r="A2309" s="33">
        <f t="shared" si="123"/>
        <v>4</v>
      </c>
      <c r="B2309" s="34">
        <v>46959</v>
      </c>
      <c r="C2309" s="7" t="s">
        <v>267</v>
      </c>
      <c r="D2309" s="35">
        <v>28</v>
      </c>
      <c r="E2309" s="33">
        <f>DAY(TableAopCalendar[[#This Row],[Date]])</f>
        <v>25</v>
      </c>
      <c r="F230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09" s="33" t="str">
        <f t="shared" si="124"/>
        <v>Week 4</v>
      </c>
      <c r="H2309" s="33" t="str">
        <f t="shared" si="125"/>
        <v>July 28 Week 4</v>
      </c>
      <c r="I2309" s="33" t="str">
        <f>CONCATENATE(UPPER(TableAopCalendar[[#This Row],[Month]])," ",TableAopCalendar[[#This Row],[Year]])</f>
        <v>JULY 28</v>
      </c>
      <c r="J2309" s="8" t="s">
        <v>274</v>
      </c>
      <c r="K2309" s="33" t="str">
        <f>CONCATENATE(TableAopCalendar[[#This Row],[Month for Plan]]," ",TableAopCalendar[[#This Row],[Plan]])</f>
        <v>JULY 28 PLANNED</v>
      </c>
    </row>
    <row r="2310" spans="1:11" x14ac:dyDescent="0.25">
      <c r="A2310" s="33">
        <f t="shared" si="123"/>
        <v>5</v>
      </c>
      <c r="B2310" s="34">
        <v>46960</v>
      </c>
      <c r="C2310" s="7" t="s">
        <v>267</v>
      </c>
      <c r="D2310" s="35">
        <v>28</v>
      </c>
      <c r="E2310" s="33">
        <f>DAY(TableAopCalendar[[#This Row],[Date]])</f>
        <v>26</v>
      </c>
      <c r="F231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10" s="33" t="str">
        <f t="shared" si="124"/>
        <v>Week 4</v>
      </c>
      <c r="H2310" s="33" t="str">
        <f t="shared" si="125"/>
        <v>July 28 Week 4</v>
      </c>
      <c r="I2310" s="33" t="str">
        <f>CONCATENATE(UPPER(TableAopCalendar[[#This Row],[Month]])," ",TableAopCalendar[[#This Row],[Year]])</f>
        <v>JULY 28</v>
      </c>
      <c r="J2310" s="8" t="s">
        <v>274</v>
      </c>
      <c r="K2310" s="33" t="str">
        <f>CONCATENATE(TableAopCalendar[[#This Row],[Month for Plan]]," ",TableAopCalendar[[#This Row],[Plan]])</f>
        <v>JULY 28 PLANNED</v>
      </c>
    </row>
    <row r="2311" spans="1:11" x14ac:dyDescent="0.25">
      <c r="A2311" s="33">
        <f t="shared" si="123"/>
        <v>6</v>
      </c>
      <c r="B2311" s="34">
        <v>46961</v>
      </c>
      <c r="C2311" s="7" t="s">
        <v>267</v>
      </c>
      <c r="D2311" s="35">
        <v>28</v>
      </c>
      <c r="E2311" s="33">
        <f>DAY(TableAopCalendar[[#This Row],[Date]])</f>
        <v>27</v>
      </c>
      <c r="F231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11" s="33" t="str">
        <f t="shared" si="124"/>
        <v>Week 4</v>
      </c>
      <c r="H2311" s="33" t="str">
        <f t="shared" si="125"/>
        <v>July 28 Week 4</v>
      </c>
      <c r="I2311" s="33" t="str">
        <f>CONCATENATE(UPPER(TableAopCalendar[[#This Row],[Month]])," ",TableAopCalendar[[#This Row],[Year]])</f>
        <v>JULY 28</v>
      </c>
      <c r="J2311" s="8" t="s">
        <v>274</v>
      </c>
      <c r="K2311" s="33" t="str">
        <f>CONCATENATE(TableAopCalendar[[#This Row],[Month for Plan]]," ",TableAopCalendar[[#This Row],[Plan]])</f>
        <v>JULY 28 PLANNED</v>
      </c>
    </row>
    <row r="2312" spans="1:11" x14ac:dyDescent="0.25">
      <c r="A2312" s="33">
        <f t="shared" si="123"/>
        <v>7</v>
      </c>
      <c r="B2312" s="34">
        <v>46962</v>
      </c>
      <c r="C2312" s="7" t="s">
        <v>267</v>
      </c>
      <c r="D2312" s="35">
        <v>28</v>
      </c>
      <c r="E2312" s="33">
        <f>DAY(TableAopCalendar[[#This Row],[Date]])</f>
        <v>28</v>
      </c>
      <c r="F231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12" s="33" t="str">
        <f t="shared" si="124"/>
        <v>Week 4</v>
      </c>
      <c r="H2312" s="33" t="str">
        <f t="shared" si="125"/>
        <v>July 28 Week 4</v>
      </c>
      <c r="I2312" s="33" t="str">
        <f>CONCATENATE(UPPER(TableAopCalendar[[#This Row],[Month]])," ",TableAopCalendar[[#This Row],[Year]])</f>
        <v>JULY 28</v>
      </c>
      <c r="J2312" s="8" t="s">
        <v>274</v>
      </c>
      <c r="K2312" s="33" t="str">
        <f>CONCATENATE(TableAopCalendar[[#This Row],[Month for Plan]]," ",TableAopCalendar[[#This Row],[Plan]])</f>
        <v>JULY 28 PLANNED</v>
      </c>
    </row>
    <row r="2313" spans="1:11" x14ac:dyDescent="0.25">
      <c r="A2313" s="33">
        <f t="shared" si="123"/>
        <v>1</v>
      </c>
      <c r="B2313" s="34">
        <v>46963</v>
      </c>
      <c r="C2313" s="7" t="s">
        <v>267</v>
      </c>
      <c r="D2313" s="35">
        <v>28</v>
      </c>
      <c r="E2313" s="33">
        <f>DAY(TableAopCalendar[[#This Row],[Date]])</f>
        <v>29</v>
      </c>
      <c r="F2313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13" s="33" t="str">
        <f t="shared" si="124"/>
        <v>Week 5</v>
      </c>
      <c r="H2313" s="33" t="str">
        <f t="shared" si="125"/>
        <v>July 28 Week 5</v>
      </c>
      <c r="I2313" s="33" t="str">
        <f>CONCATENATE(UPPER(TableAopCalendar[[#This Row],[Month]])," ",TableAopCalendar[[#This Row],[Year]])</f>
        <v>JULY 28</v>
      </c>
      <c r="J2313" s="8" t="s">
        <v>274</v>
      </c>
      <c r="K2313" s="33" t="str">
        <f>CONCATENATE(TableAopCalendar[[#This Row],[Month for Plan]]," ",TableAopCalendar[[#This Row],[Plan]])</f>
        <v>JULY 28 PLANNED</v>
      </c>
    </row>
    <row r="2314" spans="1:11" x14ac:dyDescent="0.25">
      <c r="A2314" s="33">
        <f t="shared" si="123"/>
        <v>2</v>
      </c>
      <c r="B2314" s="34">
        <v>46964</v>
      </c>
      <c r="C2314" s="7" t="s">
        <v>267</v>
      </c>
      <c r="D2314" s="35">
        <v>28</v>
      </c>
      <c r="E2314" s="33">
        <f>DAY(TableAopCalendar[[#This Row],[Date]])</f>
        <v>30</v>
      </c>
      <c r="F2314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14" s="33" t="str">
        <f t="shared" si="124"/>
        <v>Week 5</v>
      </c>
      <c r="H2314" s="33" t="str">
        <f t="shared" si="125"/>
        <v>July 28 Week 5</v>
      </c>
      <c r="I2314" s="33" t="str">
        <f>CONCATENATE(UPPER(TableAopCalendar[[#This Row],[Month]])," ",TableAopCalendar[[#This Row],[Year]])</f>
        <v>JULY 28</v>
      </c>
      <c r="J2314" s="8" t="s">
        <v>274</v>
      </c>
      <c r="K2314" s="33" t="str">
        <f>CONCATENATE(TableAopCalendar[[#This Row],[Month for Plan]]," ",TableAopCalendar[[#This Row],[Plan]])</f>
        <v>JULY 28 PLANNED</v>
      </c>
    </row>
    <row r="2315" spans="1:11" x14ac:dyDescent="0.25">
      <c r="A2315" s="33">
        <f t="shared" si="123"/>
        <v>3</v>
      </c>
      <c r="B2315" s="34">
        <v>46965</v>
      </c>
      <c r="C2315" s="7" t="s">
        <v>267</v>
      </c>
      <c r="D2315" s="35">
        <v>28</v>
      </c>
      <c r="E2315" s="33">
        <f>DAY(TableAopCalendar[[#This Row],[Date]])</f>
        <v>31</v>
      </c>
      <c r="F2315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15" s="33" t="str">
        <f t="shared" si="124"/>
        <v>Week 5</v>
      </c>
      <c r="H2315" s="33" t="str">
        <f t="shared" si="125"/>
        <v>July 28 Week 5</v>
      </c>
      <c r="I2315" s="33" t="str">
        <f>CONCATENATE(UPPER(TableAopCalendar[[#This Row],[Month]])," ",TableAopCalendar[[#This Row],[Year]])</f>
        <v>JULY 28</v>
      </c>
      <c r="J2315" s="8" t="s">
        <v>274</v>
      </c>
      <c r="K2315" s="33" t="str">
        <f>CONCATENATE(TableAopCalendar[[#This Row],[Month for Plan]]," ",TableAopCalendar[[#This Row],[Plan]])</f>
        <v>JULY 28 PLANNED</v>
      </c>
    </row>
    <row r="2316" spans="1:11" x14ac:dyDescent="0.25">
      <c r="A2316" s="33">
        <f t="shared" si="123"/>
        <v>1</v>
      </c>
      <c r="B2316" s="34">
        <v>46966</v>
      </c>
      <c r="C2316" s="7" t="s">
        <v>268</v>
      </c>
      <c r="D2316" s="35">
        <v>28</v>
      </c>
      <c r="E2316" s="33">
        <f>DAY(TableAopCalendar[[#This Row],[Date]])</f>
        <v>1</v>
      </c>
      <c r="F231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16" s="33" t="str">
        <f t="shared" si="124"/>
        <v>Week 1</v>
      </c>
      <c r="H2316" s="33" t="str">
        <f t="shared" si="125"/>
        <v>August 28 Week 1</v>
      </c>
      <c r="I2316" s="33" t="str">
        <f>CONCATENATE(UPPER(TableAopCalendar[[#This Row],[Month]])," ",TableAopCalendar[[#This Row],[Year]])</f>
        <v>AUGUST 28</v>
      </c>
      <c r="J2316" s="8" t="s">
        <v>274</v>
      </c>
      <c r="K2316" s="33" t="str">
        <f>CONCATENATE(TableAopCalendar[[#This Row],[Month for Plan]]," ",TableAopCalendar[[#This Row],[Plan]])</f>
        <v>AUGUST 28 PLANNED</v>
      </c>
    </row>
    <row r="2317" spans="1:11" x14ac:dyDescent="0.25">
      <c r="A2317" s="33">
        <f t="shared" si="123"/>
        <v>2</v>
      </c>
      <c r="B2317" s="34">
        <v>46967</v>
      </c>
      <c r="C2317" s="7" t="s">
        <v>268</v>
      </c>
      <c r="D2317" s="35">
        <v>28</v>
      </c>
      <c r="E2317" s="33">
        <f>DAY(TableAopCalendar[[#This Row],[Date]])</f>
        <v>2</v>
      </c>
      <c r="F231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17" s="33" t="str">
        <f t="shared" si="124"/>
        <v>Week 1</v>
      </c>
      <c r="H2317" s="33" t="str">
        <f t="shared" si="125"/>
        <v>August 28 Week 1</v>
      </c>
      <c r="I2317" s="33" t="str">
        <f>CONCATENATE(UPPER(TableAopCalendar[[#This Row],[Month]])," ",TableAopCalendar[[#This Row],[Year]])</f>
        <v>AUGUST 28</v>
      </c>
      <c r="J2317" s="8" t="s">
        <v>274</v>
      </c>
      <c r="K2317" s="33" t="str">
        <f>CONCATENATE(TableAopCalendar[[#This Row],[Month for Plan]]," ",TableAopCalendar[[#This Row],[Plan]])</f>
        <v>AUGUST 28 PLANNED</v>
      </c>
    </row>
    <row r="2318" spans="1:11" x14ac:dyDescent="0.25">
      <c r="A2318" s="33">
        <f t="shared" si="123"/>
        <v>3</v>
      </c>
      <c r="B2318" s="34">
        <v>46968</v>
      </c>
      <c r="C2318" s="7" t="s">
        <v>268</v>
      </c>
      <c r="D2318" s="35">
        <v>28</v>
      </c>
      <c r="E2318" s="33">
        <f>DAY(TableAopCalendar[[#This Row],[Date]])</f>
        <v>3</v>
      </c>
      <c r="F231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18" s="33" t="str">
        <f t="shared" si="124"/>
        <v>Week 1</v>
      </c>
      <c r="H2318" s="33" t="str">
        <f t="shared" si="125"/>
        <v>August 28 Week 1</v>
      </c>
      <c r="I2318" s="33" t="str">
        <f>CONCATENATE(UPPER(TableAopCalendar[[#This Row],[Month]])," ",TableAopCalendar[[#This Row],[Year]])</f>
        <v>AUGUST 28</v>
      </c>
      <c r="J2318" s="8" t="s">
        <v>274</v>
      </c>
      <c r="K2318" s="33" t="str">
        <f>CONCATENATE(TableAopCalendar[[#This Row],[Month for Plan]]," ",TableAopCalendar[[#This Row],[Plan]])</f>
        <v>AUGUST 28 PLANNED</v>
      </c>
    </row>
    <row r="2319" spans="1:11" x14ac:dyDescent="0.25">
      <c r="A2319" s="33">
        <f t="shared" si="123"/>
        <v>4</v>
      </c>
      <c r="B2319" s="34">
        <v>46969</v>
      </c>
      <c r="C2319" s="7" t="s">
        <v>268</v>
      </c>
      <c r="D2319" s="35">
        <v>28</v>
      </c>
      <c r="E2319" s="33">
        <f>DAY(TableAopCalendar[[#This Row],[Date]])</f>
        <v>4</v>
      </c>
      <c r="F231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19" s="33" t="str">
        <f t="shared" si="124"/>
        <v>Week 1</v>
      </c>
      <c r="H2319" s="33" t="str">
        <f t="shared" si="125"/>
        <v>August 28 Week 1</v>
      </c>
      <c r="I2319" s="33" t="str">
        <f>CONCATENATE(UPPER(TableAopCalendar[[#This Row],[Month]])," ",TableAopCalendar[[#This Row],[Year]])</f>
        <v>AUGUST 28</v>
      </c>
      <c r="J2319" s="8" t="s">
        <v>274</v>
      </c>
      <c r="K2319" s="33" t="str">
        <f>CONCATENATE(TableAopCalendar[[#This Row],[Month for Plan]]," ",TableAopCalendar[[#This Row],[Plan]])</f>
        <v>AUGUST 28 PLANNED</v>
      </c>
    </row>
    <row r="2320" spans="1:11" x14ac:dyDescent="0.25">
      <c r="A2320" s="33">
        <f t="shared" si="123"/>
        <v>5</v>
      </c>
      <c r="B2320" s="34">
        <v>46970</v>
      </c>
      <c r="C2320" s="7" t="s">
        <v>268</v>
      </c>
      <c r="D2320" s="35">
        <v>28</v>
      </c>
      <c r="E2320" s="33">
        <f>DAY(TableAopCalendar[[#This Row],[Date]])</f>
        <v>5</v>
      </c>
      <c r="F232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20" s="33" t="str">
        <f t="shared" si="124"/>
        <v>Week 1</v>
      </c>
      <c r="H2320" s="33" t="str">
        <f t="shared" si="125"/>
        <v>August 28 Week 1</v>
      </c>
      <c r="I2320" s="33" t="str">
        <f>CONCATENATE(UPPER(TableAopCalendar[[#This Row],[Month]])," ",TableAopCalendar[[#This Row],[Year]])</f>
        <v>AUGUST 28</v>
      </c>
      <c r="J2320" s="8" t="s">
        <v>274</v>
      </c>
      <c r="K2320" s="33" t="str">
        <f>CONCATENATE(TableAopCalendar[[#This Row],[Month for Plan]]," ",TableAopCalendar[[#This Row],[Plan]])</f>
        <v>AUGUST 28 PLANNED</v>
      </c>
    </row>
    <row r="2321" spans="1:11" x14ac:dyDescent="0.25">
      <c r="A2321" s="33">
        <f t="shared" si="123"/>
        <v>6</v>
      </c>
      <c r="B2321" s="34">
        <v>46971</v>
      </c>
      <c r="C2321" s="7" t="s">
        <v>268</v>
      </c>
      <c r="D2321" s="35">
        <v>28</v>
      </c>
      <c r="E2321" s="33">
        <f>DAY(TableAopCalendar[[#This Row],[Date]])</f>
        <v>6</v>
      </c>
      <c r="F232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21" s="33" t="str">
        <f t="shared" si="124"/>
        <v>Week 1</v>
      </c>
      <c r="H2321" s="33" t="str">
        <f t="shared" si="125"/>
        <v>August 28 Week 1</v>
      </c>
      <c r="I2321" s="33" t="str">
        <f>CONCATENATE(UPPER(TableAopCalendar[[#This Row],[Month]])," ",TableAopCalendar[[#This Row],[Year]])</f>
        <v>AUGUST 28</v>
      </c>
      <c r="J2321" s="8" t="s">
        <v>274</v>
      </c>
      <c r="K2321" s="33" t="str">
        <f>CONCATENATE(TableAopCalendar[[#This Row],[Month for Plan]]," ",TableAopCalendar[[#This Row],[Plan]])</f>
        <v>AUGUST 28 PLANNED</v>
      </c>
    </row>
    <row r="2322" spans="1:11" x14ac:dyDescent="0.25">
      <c r="A2322" s="33">
        <f t="shared" si="123"/>
        <v>7</v>
      </c>
      <c r="B2322" s="34">
        <v>46972</v>
      </c>
      <c r="C2322" s="7" t="s">
        <v>268</v>
      </c>
      <c r="D2322" s="35">
        <v>28</v>
      </c>
      <c r="E2322" s="33">
        <f>DAY(TableAopCalendar[[#This Row],[Date]])</f>
        <v>7</v>
      </c>
      <c r="F232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22" s="33" t="str">
        <f t="shared" si="124"/>
        <v>Week 1</v>
      </c>
      <c r="H2322" s="33" t="str">
        <f t="shared" si="125"/>
        <v>August 28 Week 1</v>
      </c>
      <c r="I2322" s="33" t="str">
        <f>CONCATENATE(UPPER(TableAopCalendar[[#This Row],[Month]])," ",TableAopCalendar[[#This Row],[Year]])</f>
        <v>AUGUST 28</v>
      </c>
      <c r="J2322" s="8" t="s">
        <v>274</v>
      </c>
      <c r="K2322" s="33" t="str">
        <f>CONCATENATE(TableAopCalendar[[#This Row],[Month for Plan]]," ",TableAopCalendar[[#This Row],[Plan]])</f>
        <v>AUGUST 28 PLANNED</v>
      </c>
    </row>
    <row r="2323" spans="1:11" x14ac:dyDescent="0.25">
      <c r="A2323" s="33">
        <f t="shared" si="123"/>
        <v>1</v>
      </c>
      <c r="B2323" s="34">
        <v>46973</v>
      </c>
      <c r="C2323" s="7" t="s">
        <v>268</v>
      </c>
      <c r="D2323" s="35">
        <v>28</v>
      </c>
      <c r="E2323" s="33">
        <f>DAY(TableAopCalendar[[#This Row],[Date]])</f>
        <v>8</v>
      </c>
      <c r="F232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23" s="33" t="str">
        <f t="shared" si="124"/>
        <v>Week 2</v>
      </c>
      <c r="H2323" s="33" t="str">
        <f t="shared" si="125"/>
        <v>August 28 Week 2</v>
      </c>
      <c r="I2323" s="33" t="str">
        <f>CONCATENATE(UPPER(TableAopCalendar[[#This Row],[Month]])," ",TableAopCalendar[[#This Row],[Year]])</f>
        <v>AUGUST 28</v>
      </c>
      <c r="J2323" s="8" t="s">
        <v>274</v>
      </c>
      <c r="K2323" s="33" t="str">
        <f>CONCATENATE(TableAopCalendar[[#This Row],[Month for Plan]]," ",TableAopCalendar[[#This Row],[Plan]])</f>
        <v>AUGUST 28 PLANNED</v>
      </c>
    </row>
    <row r="2324" spans="1:11" x14ac:dyDescent="0.25">
      <c r="A2324" s="33">
        <f t="shared" si="123"/>
        <v>2</v>
      </c>
      <c r="B2324" s="34">
        <v>46974</v>
      </c>
      <c r="C2324" s="7" t="s">
        <v>268</v>
      </c>
      <c r="D2324" s="35">
        <v>28</v>
      </c>
      <c r="E2324" s="33">
        <f>DAY(TableAopCalendar[[#This Row],[Date]])</f>
        <v>9</v>
      </c>
      <c r="F232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24" s="33" t="str">
        <f t="shared" si="124"/>
        <v>Week 2</v>
      </c>
      <c r="H2324" s="33" t="str">
        <f t="shared" si="125"/>
        <v>August 28 Week 2</v>
      </c>
      <c r="I2324" s="33" t="str">
        <f>CONCATENATE(UPPER(TableAopCalendar[[#This Row],[Month]])," ",TableAopCalendar[[#This Row],[Year]])</f>
        <v>AUGUST 28</v>
      </c>
      <c r="J2324" s="8" t="s">
        <v>274</v>
      </c>
      <c r="K2324" s="33" t="str">
        <f>CONCATENATE(TableAopCalendar[[#This Row],[Month for Plan]]," ",TableAopCalendar[[#This Row],[Plan]])</f>
        <v>AUGUST 28 PLANNED</v>
      </c>
    </row>
    <row r="2325" spans="1:11" x14ac:dyDescent="0.25">
      <c r="A2325" s="33">
        <f t="shared" si="123"/>
        <v>3</v>
      </c>
      <c r="B2325" s="34">
        <v>46975</v>
      </c>
      <c r="C2325" s="7" t="s">
        <v>268</v>
      </c>
      <c r="D2325" s="35">
        <v>28</v>
      </c>
      <c r="E2325" s="33">
        <f>DAY(TableAopCalendar[[#This Row],[Date]])</f>
        <v>10</v>
      </c>
      <c r="F232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25" s="33" t="str">
        <f t="shared" si="124"/>
        <v>Week 2</v>
      </c>
      <c r="H2325" s="33" t="str">
        <f t="shared" si="125"/>
        <v>August 28 Week 2</v>
      </c>
      <c r="I2325" s="33" t="str">
        <f>CONCATENATE(UPPER(TableAopCalendar[[#This Row],[Month]])," ",TableAopCalendar[[#This Row],[Year]])</f>
        <v>AUGUST 28</v>
      </c>
      <c r="J2325" s="8" t="s">
        <v>274</v>
      </c>
      <c r="K2325" s="33" t="str">
        <f>CONCATENATE(TableAopCalendar[[#This Row],[Month for Plan]]," ",TableAopCalendar[[#This Row],[Plan]])</f>
        <v>AUGUST 28 PLANNED</v>
      </c>
    </row>
    <row r="2326" spans="1:11" x14ac:dyDescent="0.25">
      <c r="A2326" s="33">
        <f t="shared" si="123"/>
        <v>4</v>
      </c>
      <c r="B2326" s="34">
        <v>46976</v>
      </c>
      <c r="C2326" s="7" t="s">
        <v>268</v>
      </c>
      <c r="D2326" s="35">
        <v>28</v>
      </c>
      <c r="E2326" s="33">
        <f>DAY(TableAopCalendar[[#This Row],[Date]])</f>
        <v>11</v>
      </c>
      <c r="F232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26" s="33" t="str">
        <f t="shared" si="124"/>
        <v>Week 2</v>
      </c>
      <c r="H2326" s="33" t="str">
        <f t="shared" si="125"/>
        <v>August 28 Week 2</v>
      </c>
      <c r="I2326" s="33" t="str">
        <f>CONCATENATE(UPPER(TableAopCalendar[[#This Row],[Month]])," ",TableAopCalendar[[#This Row],[Year]])</f>
        <v>AUGUST 28</v>
      </c>
      <c r="J2326" s="8" t="s">
        <v>274</v>
      </c>
      <c r="K2326" s="33" t="str">
        <f>CONCATENATE(TableAopCalendar[[#This Row],[Month for Plan]]," ",TableAopCalendar[[#This Row],[Plan]])</f>
        <v>AUGUST 28 PLANNED</v>
      </c>
    </row>
    <row r="2327" spans="1:11" x14ac:dyDescent="0.25">
      <c r="A2327" s="33">
        <f t="shared" si="123"/>
        <v>5</v>
      </c>
      <c r="B2327" s="34">
        <v>46977</v>
      </c>
      <c r="C2327" s="7" t="s">
        <v>268</v>
      </c>
      <c r="D2327" s="35">
        <v>28</v>
      </c>
      <c r="E2327" s="33">
        <f>DAY(TableAopCalendar[[#This Row],[Date]])</f>
        <v>12</v>
      </c>
      <c r="F232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27" s="33" t="str">
        <f t="shared" si="124"/>
        <v>Week 2</v>
      </c>
      <c r="H2327" s="33" t="str">
        <f t="shared" si="125"/>
        <v>August 28 Week 2</v>
      </c>
      <c r="I2327" s="33" t="str">
        <f>CONCATENATE(UPPER(TableAopCalendar[[#This Row],[Month]])," ",TableAopCalendar[[#This Row],[Year]])</f>
        <v>AUGUST 28</v>
      </c>
      <c r="J2327" s="8" t="s">
        <v>274</v>
      </c>
      <c r="K2327" s="33" t="str">
        <f>CONCATENATE(TableAopCalendar[[#This Row],[Month for Plan]]," ",TableAopCalendar[[#This Row],[Plan]])</f>
        <v>AUGUST 28 PLANNED</v>
      </c>
    </row>
    <row r="2328" spans="1:11" x14ac:dyDescent="0.25">
      <c r="A2328" s="33">
        <f t="shared" si="123"/>
        <v>6</v>
      </c>
      <c r="B2328" s="34">
        <v>46978</v>
      </c>
      <c r="C2328" s="7" t="s">
        <v>268</v>
      </c>
      <c r="D2328" s="35">
        <v>28</v>
      </c>
      <c r="E2328" s="33">
        <f>DAY(TableAopCalendar[[#This Row],[Date]])</f>
        <v>13</v>
      </c>
      <c r="F232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28" s="33" t="str">
        <f t="shared" si="124"/>
        <v>Week 2</v>
      </c>
      <c r="H2328" s="33" t="str">
        <f t="shared" si="125"/>
        <v>August 28 Week 2</v>
      </c>
      <c r="I2328" s="33" t="str">
        <f>CONCATENATE(UPPER(TableAopCalendar[[#This Row],[Month]])," ",TableAopCalendar[[#This Row],[Year]])</f>
        <v>AUGUST 28</v>
      </c>
      <c r="J2328" s="8" t="s">
        <v>274</v>
      </c>
      <c r="K2328" s="33" t="str">
        <f>CONCATENATE(TableAopCalendar[[#This Row],[Month for Plan]]," ",TableAopCalendar[[#This Row],[Plan]])</f>
        <v>AUGUST 28 PLANNED</v>
      </c>
    </row>
    <row r="2329" spans="1:11" x14ac:dyDescent="0.25">
      <c r="A2329" s="33">
        <f t="shared" si="123"/>
        <v>7</v>
      </c>
      <c r="B2329" s="34">
        <v>46979</v>
      </c>
      <c r="C2329" s="7" t="s">
        <v>268</v>
      </c>
      <c r="D2329" s="35">
        <v>28</v>
      </c>
      <c r="E2329" s="33">
        <f>DAY(TableAopCalendar[[#This Row],[Date]])</f>
        <v>14</v>
      </c>
      <c r="F232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29" s="33" t="str">
        <f t="shared" si="124"/>
        <v>Week 2</v>
      </c>
      <c r="H2329" s="33" t="str">
        <f t="shared" si="125"/>
        <v>August 28 Week 2</v>
      </c>
      <c r="I2329" s="33" t="str">
        <f>CONCATENATE(UPPER(TableAopCalendar[[#This Row],[Month]])," ",TableAopCalendar[[#This Row],[Year]])</f>
        <v>AUGUST 28</v>
      </c>
      <c r="J2329" s="8" t="s">
        <v>274</v>
      </c>
      <c r="K2329" s="33" t="str">
        <f>CONCATENATE(TableAopCalendar[[#This Row],[Month for Plan]]," ",TableAopCalendar[[#This Row],[Plan]])</f>
        <v>AUGUST 28 PLANNED</v>
      </c>
    </row>
    <row r="2330" spans="1:11" x14ac:dyDescent="0.25">
      <c r="A2330" s="33">
        <f t="shared" si="123"/>
        <v>1</v>
      </c>
      <c r="B2330" s="34">
        <v>46980</v>
      </c>
      <c r="C2330" s="7" t="s">
        <v>268</v>
      </c>
      <c r="D2330" s="35">
        <v>28</v>
      </c>
      <c r="E2330" s="33">
        <f>DAY(TableAopCalendar[[#This Row],[Date]])</f>
        <v>15</v>
      </c>
      <c r="F233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0" s="33" t="str">
        <f t="shared" si="124"/>
        <v>Week 3</v>
      </c>
      <c r="H2330" s="33" t="str">
        <f t="shared" si="125"/>
        <v>August 28 Week 3</v>
      </c>
      <c r="I2330" s="33" t="str">
        <f>CONCATENATE(UPPER(TableAopCalendar[[#This Row],[Month]])," ",TableAopCalendar[[#This Row],[Year]])</f>
        <v>AUGUST 28</v>
      </c>
      <c r="J2330" s="8" t="s">
        <v>274</v>
      </c>
      <c r="K2330" s="33" t="str">
        <f>CONCATENATE(TableAopCalendar[[#This Row],[Month for Plan]]," ",TableAopCalendar[[#This Row],[Plan]])</f>
        <v>AUGUST 28 PLANNED</v>
      </c>
    </row>
    <row r="2331" spans="1:11" x14ac:dyDescent="0.25">
      <c r="A2331" s="33">
        <f t="shared" si="123"/>
        <v>2</v>
      </c>
      <c r="B2331" s="34">
        <v>46981</v>
      </c>
      <c r="C2331" s="7" t="s">
        <v>268</v>
      </c>
      <c r="D2331" s="35">
        <v>28</v>
      </c>
      <c r="E2331" s="33">
        <f>DAY(TableAopCalendar[[#This Row],[Date]])</f>
        <v>16</v>
      </c>
      <c r="F233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1" s="33" t="str">
        <f t="shared" si="124"/>
        <v>Week 3</v>
      </c>
      <c r="H2331" s="33" t="str">
        <f t="shared" si="125"/>
        <v>August 28 Week 3</v>
      </c>
      <c r="I2331" s="33" t="str">
        <f>CONCATENATE(UPPER(TableAopCalendar[[#This Row],[Month]])," ",TableAopCalendar[[#This Row],[Year]])</f>
        <v>AUGUST 28</v>
      </c>
      <c r="J2331" s="8" t="s">
        <v>274</v>
      </c>
      <c r="K2331" s="33" t="str">
        <f>CONCATENATE(TableAopCalendar[[#This Row],[Month for Plan]]," ",TableAopCalendar[[#This Row],[Plan]])</f>
        <v>AUGUST 28 PLANNED</v>
      </c>
    </row>
    <row r="2332" spans="1:11" x14ac:dyDescent="0.25">
      <c r="A2332" s="33">
        <f t="shared" si="123"/>
        <v>3</v>
      </c>
      <c r="B2332" s="34">
        <v>46982</v>
      </c>
      <c r="C2332" s="7" t="s">
        <v>268</v>
      </c>
      <c r="D2332" s="35">
        <v>28</v>
      </c>
      <c r="E2332" s="33">
        <f>DAY(TableAopCalendar[[#This Row],[Date]])</f>
        <v>17</v>
      </c>
      <c r="F233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2" s="33" t="str">
        <f t="shared" si="124"/>
        <v>Week 3</v>
      </c>
      <c r="H2332" s="33" t="str">
        <f t="shared" si="125"/>
        <v>August 28 Week 3</v>
      </c>
      <c r="I2332" s="33" t="str">
        <f>CONCATENATE(UPPER(TableAopCalendar[[#This Row],[Month]])," ",TableAopCalendar[[#This Row],[Year]])</f>
        <v>AUGUST 28</v>
      </c>
      <c r="J2332" s="8" t="s">
        <v>274</v>
      </c>
      <c r="K2332" s="33" t="str">
        <f>CONCATENATE(TableAopCalendar[[#This Row],[Month for Plan]]," ",TableAopCalendar[[#This Row],[Plan]])</f>
        <v>AUGUST 28 PLANNED</v>
      </c>
    </row>
    <row r="2333" spans="1:11" x14ac:dyDescent="0.25">
      <c r="A2333" s="33">
        <f t="shared" si="123"/>
        <v>4</v>
      </c>
      <c r="B2333" s="34">
        <v>46983</v>
      </c>
      <c r="C2333" s="7" t="s">
        <v>268</v>
      </c>
      <c r="D2333" s="35">
        <v>28</v>
      </c>
      <c r="E2333" s="33">
        <f>DAY(TableAopCalendar[[#This Row],[Date]])</f>
        <v>18</v>
      </c>
      <c r="F233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3" s="33" t="str">
        <f t="shared" si="124"/>
        <v>Week 3</v>
      </c>
      <c r="H2333" s="33" t="str">
        <f t="shared" si="125"/>
        <v>August 28 Week 3</v>
      </c>
      <c r="I2333" s="33" t="str">
        <f>CONCATENATE(UPPER(TableAopCalendar[[#This Row],[Month]])," ",TableAopCalendar[[#This Row],[Year]])</f>
        <v>AUGUST 28</v>
      </c>
      <c r="J2333" s="8" t="s">
        <v>274</v>
      </c>
      <c r="K2333" s="33" t="str">
        <f>CONCATENATE(TableAopCalendar[[#This Row],[Month for Plan]]," ",TableAopCalendar[[#This Row],[Plan]])</f>
        <v>AUGUST 28 PLANNED</v>
      </c>
    </row>
    <row r="2334" spans="1:11" x14ac:dyDescent="0.25">
      <c r="A2334" s="33">
        <f t="shared" si="123"/>
        <v>5</v>
      </c>
      <c r="B2334" s="34">
        <v>46984</v>
      </c>
      <c r="C2334" s="7" t="s">
        <v>268</v>
      </c>
      <c r="D2334" s="35">
        <v>28</v>
      </c>
      <c r="E2334" s="33">
        <f>DAY(TableAopCalendar[[#This Row],[Date]])</f>
        <v>19</v>
      </c>
      <c r="F233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4" s="33" t="str">
        <f t="shared" si="124"/>
        <v>Week 3</v>
      </c>
      <c r="H2334" s="33" t="str">
        <f t="shared" si="125"/>
        <v>August 28 Week 3</v>
      </c>
      <c r="I2334" s="33" t="str">
        <f>CONCATENATE(UPPER(TableAopCalendar[[#This Row],[Month]])," ",TableAopCalendar[[#This Row],[Year]])</f>
        <v>AUGUST 28</v>
      </c>
      <c r="J2334" s="8" t="s">
        <v>274</v>
      </c>
      <c r="K2334" s="33" t="str">
        <f>CONCATENATE(TableAopCalendar[[#This Row],[Month for Plan]]," ",TableAopCalendar[[#This Row],[Plan]])</f>
        <v>AUGUST 28 PLANNED</v>
      </c>
    </row>
    <row r="2335" spans="1:11" x14ac:dyDescent="0.25">
      <c r="A2335" s="33">
        <f t="shared" si="123"/>
        <v>6</v>
      </c>
      <c r="B2335" s="34">
        <v>46985</v>
      </c>
      <c r="C2335" s="7" t="s">
        <v>268</v>
      </c>
      <c r="D2335" s="35">
        <v>28</v>
      </c>
      <c r="E2335" s="33">
        <f>DAY(TableAopCalendar[[#This Row],[Date]])</f>
        <v>20</v>
      </c>
      <c r="F233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5" s="33" t="str">
        <f t="shared" si="124"/>
        <v>Week 3</v>
      </c>
      <c r="H2335" s="33" t="str">
        <f t="shared" si="125"/>
        <v>August 28 Week 3</v>
      </c>
      <c r="I2335" s="33" t="str">
        <f>CONCATENATE(UPPER(TableAopCalendar[[#This Row],[Month]])," ",TableAopCalendar[[#This Row],[Year]])</f>
        <v>AUGUST 28</v>
      </c>
      <c r="J2335" s="8" t="s">
        <v>274</v>
      </c>
      <c r="K2335" s="33" t="str">
        <f>CONCATENATE(TableAopCalendar[[#This Row],[Month for Plan]]," ",TableAopCalendar[[#This Row],[Plan]])</f>
        <v>AUGUST 28 PLANNED</v>
      </c>
    </row>
    <row r="2336" spans="1:11" x14ac:dyDescent="0.25">
      <c r="A2336" s="33">
        <f t="shared" si="123"/>
        <v>7</v>
      </c>
      <c r="B2336" s="34">
        <v>46986</v>
      </c>
      <c r="C2336" s="7" t="s">
        <v>268</v>
      </c>
      <c r="D2336" s="35">
        <v>28</v>
      </c>
      <c r="E2336" s="33">
        <f>DAY(TableAopCalendar[[#This Row],[Date]])</f>
        <v>21</v>
      </c>
      <c r="F233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36" s="33" t="str">
        <f t="shared" si="124"/>
        <v>Week 3</v>
      </c>
      <c r="H2336" s="33" t="str">
        <f t="shared" si="125"/>
        <v>August 28 Week 3</v>
      </c>
      <c r="I2336" s="33" t="str">
        <f>CONCATENATE(UPPER(TableAopCalendar[[#This Row],[Month]])," ",TableAopCalendar[[#This Row],[Year]])</f>
        <v>AUGUST 28</v>
      </c>
      <c r="J2336" s="8" t="s">
        <v>274</v>
      </c>
      <c r="K2336" s="33" t="str">
        <f>CONCATENATE(TableAopCalendar[[#This Row],[Month for Plan]]," ",TableAopCalendar[[#This Row],[Plan]])</f>
        <v>AUGUST 28 PLANNED</v>
      </c>
    </row>
    <row r="2337" spans="1:11" x14ac:dyDescent="0.25">
      <c r="A2337" s="33">
        <f t="shared" si="123"/>
        <v>1</v>
      </c>
      <c r="B2337" s="34">
        <v>46987</v>
      </c>
      <c r="C2337" s="7" t="s">
        <v>268</v>
      </c>
      <c r="D2337" s="35">
        <v>28</v>
      </c>
      <c r="E2337" s="33">
        <f>DAY(TableAopCalendar[[#This Row],[Date]])</f>
        <v>22</v>
      </c>
      <c r="F233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37" s="33" t="str">
        <f t="shared" si="124"/>
        <v>Week 4</v>
      </c>
      <c r="H2337" s="33" t="str">
        <f t="shared" si="125"/>
        <v>August 28 Week 4</v>
      </c>
      <c r="I2337" s="33" t="str">
        <f>CONCATENATE(UPPER(TableAopCalendar[[#This Row],[Month]])," ",TableAopCalendar[[#This Row],[Year]])</f>
        <v>AUGUST 28</v>
      </c>
      <c r="J2337" s="8" t="s">
        <v>274</v>
      </c>
      <c r="K2337" s="33" t="str">
        <f>CONCATENATE(TableAopCalendar[[#This Row],[Month for Plan]]," ",TableAopCalendar[[#This Row],[Plan]])</f>
        <v>AUGUST 28 PLANNED</v>
      </c>
    </row>
    <row r="2338" spans="1:11" x14ac:dyDescent="0.25">
      <c r="A2338" s="33">
        <f t="shared" si="123"/>
        <v>2</v>
      </c>
      <c r="B2338" s="34">
        <v>46988</v>
      </c>
      <c r="C2338" s="7" t="s">
        <v>268</v>
      </c>
      <c r="D2338" s="35">
        <v>28</v>
      </c>
      <c r="E2338" s="33">
        <f>DAY(TableAopCalendar[[#This Row],[Date]])</f>
        <v>23</v>
      </c>
      <c r="F233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38" s="33" t="str">
        <f t="shared" si="124"/>
        <v>Week 4</v>
      </c>
      <c r="H2338" s="33" t="str">
        <f t="shared" si="125"/>
        <v>August 28 Week 4</v>
      </c>
      <c r="I2338" s="33" t="str">
        <f>CONCATENATE(UPPER(TableAopCalendar[[#This Row],[Month]])," ",TableAopCalendar[[#This Row],[Year]])</f>
        <v>AUGUST 28</v>
      </c>
      <c r="J2338" s="8" t="s">
        <v>274</v>
      </c>
      <c r="K2338" s="33" t="str">
        <f>CONCATENATE(TableAopCalendar[[#This Row],[Month for Plan]]," ",TableAopCalendar[[#This Row],[Plan]])</f>
        <v>AUGUST 28 PLANNED</v>
      </c>
    </row>
    <row r="2339" spans="1:11" x14ac:dyDescent="0.25">
      <c r="A2339" s="33">
        <f t="shared" si="123"/>
        <v>3</v>
      </c>
      <c r="B2339" s="34">
        <v>46989</v>
      </c>
      <c r="C2339" s="7" t="s">
        <v>268</v>
      </c>
      <c r="D2339" s="35">
        <v>28</v>
      </c>
      <c r="E2339" s="33">
        <f>DAY(TableAopCalendar[[#This Row],[Date]])</f>
        <v>24</v>
      </c>
      <c r="F233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39" s="33" t="str">
        <f t="shared" si="124"/>
        <v>Week 4</v>
      </c>
      <c r="H2339" s="33" t="str">
        <f t="shared" si="125"/>
        <v>August 28 Week 4</v>
      </c>
      <c r="I2339" s="33" t="str">
        <f>CONCATENATE(UPPER(TableAopCalendar[[#This Row],[Month]])," ",TableAopCalendar[[#This Row],[Year]])</f>
        <v>AUGUST 28</v>
      </c>
      <c r="J2339" s="8" t="s">
        <v>274</v>
      </c>
      <c r="K2339" s="33" t="str">
        <f>CONCATENATE(TableAopCalendar[[#This Row],[Month for Plan]]," ",TableAopCalendar[[#This Row],[Plan]])</f>
        <v>AUGUST 28 PLANNED</v>
      </c>
    </row>
    <row r="2340" spans="1:11" x14ac:dyDescent="0.25">
      <c r="A2340" s="33">
        <f t="shared" ref="A2340:A2403" si="126">IF(G2340=G2339,A2339+1,1)</f>
        <v>4</v>
      </c>
      <c r="B2340" s="34">
        <v>46990</v>
      </c>
      <c r="C2340" s="7" t="s">
        <v>268</v>
      </c>
      <c r="D2340" s="35">
        <v>28</v>
      </c>
      <c r="E2340" s="33">
        <f>DAY(TableAopCalendar[[#This Row],[Date]])</f>
        <v>25</v>
      </c>
      <c r="F234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40" s="33" t="str">
        <f t="shared" ref="G2340:G2403" si="127">"Week"&amp;" "&amp;F2340</f>
        <v>Week 4</v>
      </c>
      <c r="H2340" s="33" t="str">
        <f t="shared" ref="H2340:H2403" si="128">CONCATENATE(C2340," ",D2340," ",G2340)</f>
        <v>August 28 Week 4</v>
      </c>
      <c r="I2340" s="33" t="str">
        <f>CONCATENATE(UPPER(TableAopCalendar[[#This Row],[Month]])," ",TableAopCalendar[[#This Row],[Year]])</f>
        <v>AUGUST 28</v>
      </c>
      <c r="J2340" s="8" t="s">
        <v>274</v>
      </c>
      <c r="K2340" s="33" t="str">
        <f>CONCATENATE(TableAopCalendar[[#This Row],[Month for Plan]]," ",TableAopCalendar[[#This Row],[Plan]])</f>
        <v>AUGUST 28 PLANNED</v>
      </c>
    </row>
    <row r="2341" spans="1:11" x14ac:dyDescent="0.25">
      <c r="A2341" s="33">
        <f t="shared" si="126"/>
        <v>5</v>
      </c>
      <c r="B2341" s="34">
        <v>46991</v>
      </c>
      <c r="C2341" s="7" t="s">
        <v>268</v>
      </c>
      <c r="D2341" s="35">
        <v>28</v>
      </c>
      <c r="E2341" s="33">
        <f>DAY(TableAopCalendar[[#This Row],[Date]])</f>
        <v>26</v>
      </c>
      <c r="F234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41" s="33" t="str">
        <f t="shared" si="127"/>
        <v>Week 4</v>
      </c>
      <c r="H2341" s="33" t="str">
        <f t="shared" si="128"/>
        <v>August 28 Week 4</v>
      </c>
      <c r="I2341" s="33" t="str">
        <f>CONCATENATE(UPPER(TableAopCalendar[[#This Row],[Month]])," ",TableAopCalendar[[#This Row],[Year]])</f>
        <v>AUGUST 28</v>
      </c>
      <c r="J2341" s="8" t="s">
        <v>274</v>
      </c>
      <c r="K2341" s="33" t="str">
        <f>CONCATENATE(TableAopCalendar[[#This Row],[Month for Plan]]," ",TableAopCalendar[[#This Row],[Plan]])</f>
        <v>AUGUST 28 PLANNED</v>
      </c>
    </row>
    <row r="2342" spans="1:11" x14ac:dyDescent="0.25">
      <c r="A2342" s="33">
        <f t="shared" si="126"/>
        <v>6</v>
      </c>
      <c r="B2342" s="34">
        <v>46992</v>
      </c>
      <c r="C2342" s="7" t="s">
        <v>268</v>
      </c>
      <c r="D2342" s="35">
        <v>28</v>
      </c>
      <c r="E2342" s="33">
        <f>DAY(TableAopCalendar[[#This Row],[Date]])</f>
        <v>27</v>
      </c>
      <c r="F234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42" s="33" t="str">
        <f t="shared" si="127"/>
        <v>Week 4</v>
      </c>
      <c r="H2342" s="33" t="str">
        <f t="shared" si="128"/>
        <v>August 28 Week 4</v>
      </c>
      <c r="I2342" s="33" t="str">
        <f>CONCATENATE(UPPER(TableAopCalendar[[#This Row],[Month]])," ",TableAopCalendar[[#This Row],[Year]])</f>
        <v>AUGUST 28</v>
      </c>
      <c r="J2342" s="8" t="s">
        <v>274</v>
      </c>
      <c r="K2342" s="33" t="str">
        <f>CONCATENATE(TableAopCalendar[[#This Row],[Month for Plan]]," ",TableAopCalendar[[#This Row],[Plan]])</f>
        <v>AUGUST 28 PLANNED</v>
      </c>
    </row>
    <row r="2343" spans="1:11" x14ac:dyDescent="0.25">
      <c r="A2343" s="33">
        <f t="shared" si="126"/>
        <v>7</v>
      </c>
      <c r="B2343" s="34">
        <v>46993</v>
      </c>
      <c r="C2343" s="7" t="s">
        <v>268</v>
      </c>
      <c r="D2343" s="35">
        <v>28</v>
      </c>
      <c r="E2343" s="33">
        <f>DAY(TableAopCalendar[[#This Row],[Date]])</f>
        <v>28</v>
      </c>
      <c r="F234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43" s="33" t="str">
        <f t="shared" si="127"/>
        <v>Week 4</v>
      </c>
      <c r="H2343" s="33" t="str">
        <f t="shared" si="128"/>
        <v>August 28 Week 4</v>
      </c>
      <c r="I2343" s="33" t="str">
        <f>CONCATENATE(UPPER(TableAopCalendar[[#This Row],[Month]])," ",TableAopCalendar[[#This Row],[Year]])</f>
        <v>AUGUST 28</v>
      </c>
      <c r="J2343" s="8" t="s">
        <v>274</v>
      </c>
      <c r="K2343" s="33" t="str">
        <f>CONCATENATE(TableAopCalendar[[#This Row],[Month for Plan]]," ",TableAopCalendar[[#This Row],[Plan]])</f>
        <v>AUGUST 28 PLANNED</v>
      </c>
    </row>
    <row r="2344" spans="1:11" x14ac:dyDescent="0.25">
      <c r="A2344" s="33">
        <f t="shared" si="126"/>
        <v>1</v>
      </c>
      <c r="B2344" s="34">
        <v>46994</v>
      </c>
      <c r="C2344" s="7" t="s">
        <v>268</v>
      </c>
      <c r="D2344" s="35">
        <v>28</v>
      </c>
      <c r="E2344" s="33">
        <f>DAY(TableAopCalendar[[#This Row],[Date]])</f>
        <v>29</v>
      </c>
      <c r="F2344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44" s="33" t="str">
        <f t="shared" si="127"/>
        <v>Week 5</v>
      </c>
      <c r="H2344" s="33" t="str">
        <f t="shared" si="128"/>
        <v>August 28 Week 5</v>
      </c>
      <c r="I2344" s="33" t="str">
        <f>CONCATENATE(UPPER(TableAopCalendar[[#This Row],[Month]])," ",TableAopCalendar[[#This Row],[Year]])</f>
        <v>AUGUST 28</v>
      </c>
      <c r="J2344" s="8" t="s">
        <v>274</v>
      </c>
      <c r="K2344" s="33" t="str">
        <f>CONCATENATE(TableAopCalendar[[#This Row],[Month for Plan]]," ",TableAopCalendar[[#This Row],[Plan]])</f>
        <v>AUGUST 28 PLANNED</v>
      </c>
    </row>
    <row r="2345" spans="1:11" x14ac:dyDescent="0.25">
      <c r="A2345" s="33">
        <f t="shared" si="126"/>
        <v>2</v>
      </c>
      <c r="B2345" s="34">
        <v>46995</v>
      </c>
      <c r="C2345" s="7" t="s">
        <v>268</v>
      </c>
      <c r="D2345" s="35">
        <v>28</v>
      </c>
      <c r="E2345" s="33">
        <f>DAY(TableAopCalendar[[#This Row],[Date]])</f>
        <v>30</v>
      </c>
      <c r="F2345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45" s="33" t="str">
        <f t="shared" si="127"/>
        <v>Week 5</v>
      </c>
      <c r="H2345" s="33" t="str">
        <f t="shared" si="128"/>
        <v>August 28 Week 5</v>
      </c>
      <c r="I2345" s="33" t="str">
        <f>CONCATENATE(UPPER(TableAopCalendar[[#This Row],[Month]])," ",TableAopCalendar[[#This Row],[Year]])</f>
        <v>AUGUST 28</v>
      </c>
      <c r="J2345" s="8" t="s">
        <v>274</v>
      </c>
      <c r="K2345" s="33" t="str">
        <f>CONCATENATE(TableAopCalendar[[#This Row],[Month for Plan]]," ",TableAopCalendar[[#This Row],[Plan]])</f>
        <v>AUGUST 28 PLANNED</v>
      </c>
    </row>
    <row r="2346" spans="1:11" x14ac:dyDescent="0.25">
      <c r="A2346" s="33">
        <f t="shared" si="126"/>
        <v>3</v>
      </c>
      <c r="B2346" s="34">
        <v>46996</v>
      </c>
      <c r="C2346" s="7" t="s">
        <v>268</v>
      </c>
      <c r="D2346" s="35">
        <v>28</v>
      </c>
      <c r="E2346" s="33">
        <f>DAY(TableAopCalendar[[#This Row],[Date]])</f>
        <v>31</v>
      </c>
      <c r="F2346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46" s="33" t="str">
        <f t="shared" si="127"/>
        <v>Week 5</v>
      </c>
      <c r="H2346" s="33" t="str">
        <f t="shared" si="128"/>
        <v>August 28 Week 5</v>
      </c>
      <c r="I2346" s="33" t="str">
        <f>CONCATENATE(UPPER(TableAopCalendar[[#This Row],[Month]])," ",TableAopCalendar[[#This Row],[Year]])</f>
        <v>AUGUST 28</v>
      </c>
      <c r="J2346" s="8" t="s">
        <v>274</v>
      </c>
      <c r="K2346" s="33" t="str">
        <f>CONCATENATE(TableAopCalendar[[#This Row],[Month for Plan]]," ",TableAopCalendar[[#This Row],[Plan]])</f>
        <v>AUGUST 28 PLANNED</v>
      </c>
    </row>
    <row r="2347" spans="1:11" x14ac:dyDescent="0.25">
      <c r="A2347" s="33">
        <f t="shared" si="126"/>
        <v>1</v>
      </c>
      <c r="B2347" s="34">
        <v>46997</v>
      </c>
      <c r="C2347" s="7" t="s">
        <v>269</v>
      </c>
      <c r="D2347" s="35">
        <v>28</v>
      </c>
      <c r="E2347" s="33">
        <f>DAY(TableAopCalendar[[#This Row],[Date]])</f>
        <v>1</v>
      </c>
      <c r="F234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47" s="33" t="str">
        <f t="shared" si="127"/>
        <v>Week 1</v>
      </c>
      <c r="H2347" s="33" t="str">
        <f t="shared" si="128"/>
        <v>September 28 Week 1</v>
      </c>
      <c r="I2347" s="33" t="str">
        <f>CONCATENATE(UPPER(TableAopCalendar[[#This Row],[Month]])," ",TableAopCalendar[[#This Row],[Year]])</f>
        <v>SEPTEMBER 28</v>
      </c>
      <c r="J2347" s="8" t="s">
        <v>274</v>
      </c>
      <c r="K2347" s="33" t="str">
        <f>CONCATENATE(TableAopCalendar[[#This Row],[Month for Plan]]," ",TableAopCalendar[[#This Row],[Plan]])</f>
        <v>SEPTEMBER 28 PLANNED</v>
      </c>
    </row>
    <row r="2348" spans="1:11" x14ac:dyDescent="0.25">
      <c r="A2348" s="33">
        <f t="shared" si="126"/>
        <v>2</v>
      </c>
      <c r="B2348" s="34">
        <v>46998</v>
      </c>
      <c r="C2348" s="7" t="s">
        <v>269</v>
      </c>
      <c r="D2348" s="35">
        <v>28</v>
      </c>
      <c r="E2348" s="33">
        <f>DAY(TableAopCalendar[[#This Row],[Date]])</f>
        <v>2</v>
      </c>
      <c r="F234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48" s="33" t="str">
        <f t="shared" si="127"/>
        <v>Week 1</v>
      </c>
      <c r="H2348" s="33" t="str">
        <f t="shared" si="128"/>
        <v>September 28 Week 1</v>
      </c>
      <c r="I2348" s="33" t="str">
        <f>CONCATENATE(UPPER(TableAopCalendar[[#This Row],[Month]])," ",TableAopCalendar[[#This Row],[Year]])</f>
        <v>SEPTEMBER 28</v>
      </c>
      <c r="J2348" s="8" t="s">
        <v>274</v>
      </c>
      <c r="K2348" s="33" t="str">
        <f>CONCATENATE(TableAopCalendar[[#This Row],[Month for Plan]]," ",TableAopCalendar[[#This Row],[Plan]])</f>
        <v>SEPTEMBER 28 PLANNED</v>
      </c>
    </row>
    <row r="2349" spans="1:11" x14ac:dyDescent="0.25">
      <c r="A2349" s="33">
        <f t="shared" si="126"/>
        <v>3</v>
      </c>
      <c r="B2349" s="34">
        <v>46999</v>
      </c>
      <c r="C2349" s="7" t="s">
        <v>269</v>
      </c>
      <c r="D2349" s="35">
        <v>28</v>
      </c>
      <c r="E2349" s="33">
        <f>DAY(TableAopCalendar[[#This Row],[Date]])</f>
        <v>3</v>
      </c>
      <c r="F234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49" s="33" t="str">
        <f t="shared" si="127"/>
        <v>Week 1</v>
      </c>
      <c r="H2349" s="33" t="str">
        <f t="shared" si="128"/>
        <v>September 28 Week 1</v>
      </c>
      <c r="I2349" s="33" t="str">
        <f>CONCATENATE(UPPER(TableAopCalendar[[#This Row],[Month]])," ",TableAopCalendar[[#This Row],[Year]])</f>
        <v>SEPTEMBER 28</v>
      </c>
      <c r="J2349" s="8" t="s">
        <v>274</v>
      </c>
      <c r="K2349" s="33" t="str">
        <f>CONCATENATE(TableAopCalendar[[#This Row],[Month for Plan]]," ",TableAopCalendar[[#This Row],[Plan]])</f>
        <v>SEPTEMBER 28 PLANNED</v>
      </c>
    </row>
    <row r="2350" spans="1:11" x14ac:dyDescent="0.25">
      <c r="A2350" s="33">
        <f t="shared" si="126"/>
        <v>4</v>
      </c>
      <c r="B2350" s="34">
        <v>47000</v>
      </c>
      <c r="C2350" s="7" t="s">
        <v>269</v>
      </c>
      <c r="D2350" s="35">
        <v>28</v>
      </c>
      <c r="E2350" s="33">
        <f>DAY(TableAopCalendar[[#This Row],[Date]])</f>
        <v>4</v>
      </c>
      <c r="F235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50" s="33" t="str">
        <f t="shared" si="127"/>
        <v>Week 1</v>
      </c>
      <c r="H2350" s="33" t="str">
        <f t="shared" si="128"/>
        <v>September 28 Week 1</v>
      </c>
      <c r="I2350" s="33" t="str">
        <f>CONCATENATE(UPPER(TableAopCalendar[[#This Row],[Month]])," ",TableAopCalendar[[#This Row],[Year]])</f>
        <v>SEPTEMBER 28</v>
      </c>
      <c r="J2350" s="8" t="s">
        <v>274</v>
      </c>
      <c r="K2350" s="33" t="str">
        <f>CONCATENATE(TableAopCalendar[[#This Row],[Month for Plan]]," ",TableAopCalendar[[#This Row],[Plan]])</f>
        <v>SEPTEMBER 28 PLANNED</v>
      </c>
    </row>
    <row r="2351" spans="1:11" x14ac:dyDescent="0.25">
      <c r="A2351" s="33">
        <f t="shared" si="126"/>
        <v>5</v>
      </c>
      <c r="B2351" s="34">
        <v>47001</v>
      </c>
      <c r="C2351" s="7" t="s">
        <v>269</v>
      </c>
      <c r="D2351" s="35">
        <v>28</v>
      </c>
      <c r="E2351" s="33">
        <f>DAY(TableAopCalendar[[#This Row],[Date]])</f>
        <v>5</v>
      </c>
      <c r="F235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51" s="33" t="str">
        <f t="shared" si="127"/>
        <v>Week 1</v>
      </c>
      <c r="H2351" s="33" t="str">
        <f t="shared" si="128"/>
        <v>September 28 Week 1</v>
      </c>
      <c r="I2351" s="33" t="str">
        <f>CONCATENATE(UPPER(TableAopCalendar[[#This Row],[Month]])," ",TableAopCalendar[[#This Row],[Year]])</f>
        <v>SEPTEMBER 28</v>
      </c>
      <c r="J2351" s="8" t="s">
        <v>274</v>
      </c>
      <c r="K2351" s="33" t="str">
        <f>CONCATENATE(TableAopCalendar[[#This Row],[Month for Plan]]," ",TableAopCalendar[[#This Row],[Plan]])</f>
        <v>SEPTEMBER 28 PLANNED</v>
      </c>
    </row>
    <row r="2352" spans="1:11" x14ac:dyDescent="0.25">
      <c r="A2352" s="33">
        <f t="shared" si="126"/>
        <v>6</v>
      </c>
      <c r="B2352" s="34">
        <v>47002</v>
      </c>
      <c r="C2352" s="7" t="s">
        <v>269</v>
      </c>
      <c r="D2352" s="35">
        <v>28</v>
      </c>
      <c r="E2352" s="33">
        <f>DAY(TableAopCalendar[[#This Row],[Date]])</f>
        <v>6</v>
      </c>
      <c r="F235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52" s="33" t="str">
        <f t="shared" si="127"/>
        <v>Week 1</v>
      </c>
      <c r="H2352" s="33" t="str">
        <f t="shared" si="128"/>
        <v>September 28 Week 1</v>
      </c>
      <c r="I2352" s="33" t="str">
        <f>CONCATENATE(UPPER(TableAopCalendar[[#This Row],[Month]])," ",TableAopCalendar[[#This Row],[Year]])</f>
        <v>SEPTEMBER 28</v>
      </c>
      <c r="J2352" s="8" t="s">
        <v>274</v>
      </c>
      <c r="K2352" s="33" t="str">
        <f>CONCATENATE(TableAopCalendar[[#This Row],[Month for Plan]]," ",TableAopCalendar[[#This Row],[Plan]])</f>
        <v>SEPTEMBER 28 PLANNED</v>
      </c>
    </row>
    <row r="2353" spans="1:11" x14ac:dyDescent="0.25">
      <c r="A2353" s="33">
        <f t="shared" si="126"/>
        <v>7</v>
      </c>
      <c r="B2353" s="34">
        <v>47003</v>
      </c>
      <c r="C2353" s="7" t="s">
        <v>269</v>
      </c>
      <c r="D2353" s="35">
        <v>28</v>
      </c>
      <c r="E2353" s="33">
        <f>DAY(TableAopCalendar[[#This Row],[Date]])</f>
        <v>7</v>
      </c>
      <c r="F235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53" s="33" t="str">
        <f t="shared" si="127"/>
        <v>Week 1</v>
      </c>
      <c r="H2353" s="33" t="str">
        <f t="shared" si="128"/>
        <v>September 28 Week 1</v>
      </c>
      <c r="I2353" s="33" t="str">
        <f>CONCATENATE(UPPER(TableAopCalendar[[#This Row],[Month]])," ",TableAopCalendar[[#This Row],[Year]])</f>
        <v>SEPTEMBER 28</v>
      </c>
      <c r="J2353" s="8" t="s">
        <v>274</v>
      </c>
      <c r="K2353" s="33" t="str">
        <f>CONCATENATE(TableAopCalendar[[#This Row],[Month for Plan]]," ",TableAopCalendar[[#This Row],[Plan]])</f>
        <v>SEPTEMBER 28 PLANNED</v>
      </c>
    </row>
    <row r="2354" spans="1:11" x14ac:dyDescent="0.25">
      <c r="A2354" s="33">
        <f t="shared" si="126"/>
        <v>1</v>
      </c>
      <c r="B2354" s="34">
        <v>47004</v>
      </c>
      <c r="C2354" s="7" t="s">
        <v>269</v>
      </c>
      <c r="D2354" s="35">
        <v>28</v>
      </c>
      <c r="E2354" s="33">
        <f>DAY(TableAopCalendar[[#This Row],[Date]])</f>
        <v>8</v>
      </c>
      <c r="F235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54" s="33" t="str">
        <f t="shared" si="127"/>
        <v>Week 2</v>
      </c>
      <c r="H2354" s="33" t="str">
        <f t="shared" si="128"/>
        <v>September 28 Week 2</v>
      </c>
      <c r="I2354" s="33" t="str">
        <f>CONCATENATE(UPPER(TableAopCalendar[[#This Row],[Month]])," ",TableAopCalendar[[#This Row],[Year]])</f>
        <v>SEPTEMBER 28</v>
      </c>
      <c r="J2354" s="8" t="s">
        <v>274</v>
      </c>
      <c r="K2354" s="33" t="str">
        <f>CONCATENATE(TableAopCalendar[[#This Row],[Month for Plan]]," ",TableAopCalendar[[#This Row],[Plan]])</f>
        <v>SEPTEMBER 28 PLANNED</v>
      </c>
    </row>
    <row r="2355" spans="1:11" x14ac:dyDescent="0.25">
      <c r="A2355" s="33">
        <f t="shared" si="126"/>
        <v>2</v>
      </c>
      <c r="B2355" s="34">
        <v>47005</v>
      </c>
      <c r="C2355" s="7" t="s">
        <v>269</v>
      </c>
      <c r="D2355" s="35">
        <v>28</v>
      </c>
      <c r="E2355" s="33">
        <f>DAY(TableAopCalendar[[#This Row],[Date]])</f>
        <v>9</v>
      </c>
      <c r="F235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55" s="33" t="str">
        <f t="shared" si="127"/>
        <v>Week 2</v>
      </c>
      <c r="H2355" s="33" t="str">
        <f t="shared" si="128"/>
        <v>September 28 Week 2</v>
      </c>
      <c r="I2355" s="33" t="str">
        <f>CONCATENATE(UPPER(TableAopCalendar[[#This Row],[Month]])," ",TableAopCalendar[[#This Row],[Year]])</f>
        <v>SEPTEMBER 28</v>
      </c>
      <c r="J2355" s="8" t="s">
        <v>274</v>
      </c>
      <c r="K2355" s="33" t="str">
        <f>CONCATENATE(TableAopCalendar[[#This Row],[Month for Plan]]," ",TableAopCalendar[[#This Row],[Plan]])</f>
        <v>SEPTEMBER 28 PLANNED</v>
      </c>
    </row>
    <row r="2356" spans="1:11" x14ac:dyDescent="0.25">
      <c r="A2356" s="33">
        <f t="shared" si="126"/>
        <v>3</v>
      </c>
      <c r="B2356" s="34">
        <v>47006</v>
      </c>
      <c r="C2356" s="7" t="s">
        <v>269</v>
      </c>
      <c r="D2356" s="35">
        <v>28</v>
      </c>
      <c r="E2356" s="33">
        <f>DAY(TableAopCalendar[[#This Row],[Date]])</f>
        <v>10</v>
      </c>
      <c r="F235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56" s="33" t="str">
        <f t="shared" si="127"/>
        <v>Week 2</v>
      </c>
      <c r="H2356" s="33" t="str">
        <f t="shared" si="128"/>
        <v>September 28 Week 2</v>
      </c>
      <c r="I2356" s="33" t="str">
        <f>CONCATENATE(UPPER(TableAopCalendar[[#This Row],[Month]])," ",TableAopCalendar[[#This Row],[Year]])</f>
        <v>SEPTEMBER 28</v>
      </c>
      <c r="J2356" s="8" t="s">
        <v>274</v>
      </c>
      <c r="K2356" s="33" t="str">
        <f>CONCATENATE(TableAopCalendar[[#This Row],[Month for Plan]]," ",TableAopCalendar[[#This Row],[Plan]])</f>
        <v>SEPTEMBER 28 PLANNED</v>
      </c>
    </row>
    <row r="2357" spans="1:11" x14ac:dyDescent="0.25">
      <c r="A2357" s="33">
        <f t="shared" si="126"/>
        <v>4</v>
      </c>
      <c r="B2357" s="34">
        <v>47007</v>
      </c>
      <c r="C2357" s="7" t="s">
        <v>269</v>
      </c>
      <c r="D2357" s="35">
        <v>28</v>
      </c>
      <c r="E2357" s="33">
        <f>DAY(TableAopCalendar[[#This Row],[Date]])</f>
        <v>11</v>
      </c>
      <c r="F235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57" s="33" t="str">
        <f t="shared" si="127"/>
        <v>Week 2</v>
      </c>
      <c r="H2357" s="33" t="str">
        <f t="shared" si="128"/>
        <v>September 28 Week 2</v>
      </c>
      <c r="I2357" s="33" t="str">
        <f>CONCATENATE(UPPER(TableAopCalendar[[#This Row],[Month]])," ",TableAopCalendar[[#This Row],[Year]])</f>
        <v>SEPTEMBER 28</v>
      </c>
      <c r="J2357" s="8" t="s">
        <v>274</v>
      </c>
      <c r="K2357" s="33" t="str">
        <f>CONCATENATE(TableAopCalendar[[#This Row],[Month for Plan]]," ",TableAopCalendar[[#This Row],[Plan]])</f>
        <v>SEPTEMBER 28 PLANNED</v>
      </c>
    </row>
    <row r="2358" spans="1:11" x14ac:dyDescent="0.25">
      <c r="A2358" s="33">
        <f t="shared" si="126"/>
        <v>5</v>
      </c>
      <c r="B2358" s="34">
        <v>47008</v>
      </c>
      <c r="C2358" s="7" t="s">
        <v>269</v>
      </c>
      <c r="D2358" s="35">
        <v>28</v>
      </c>
      <c r="E2358" s="33">
        <f>DAY(TableAopCalendar[[#This Row],[Date]])</f>
        <v>12</v>
      </c>
      <c r="F235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58" s="33" t="str">
        <f t="shared" si="127"/>
        <v>Week 2</v>
      </c>
      <c r="H2358" s="33" t="str">
        <f t="shared" si="128"/>
        <v>September 28 Week 2</v>
      </c>
      <c r="I2358" s="33" t="str">
        <f>CONCATENATE(UPPER(TableAopCalendar[[#This Row],[Month]])," ",TableAopCalendar[[#This Row],[Year]])</f>
        <v>SEPTEMBER 28</v>
      </c>
      <c r="J2358" s="8" t="s">
        <v>274</v>
      </c>
      <c r="K2358" s="33" t="str">
        <f>CONCATENATE(TableAopCalendar[[#This Row],[Month for Plan]]," ",TableAopCalendar[[#This Row],[Plan]])</f>
        <v>SEPTEMBER 28 PLANNED</v>
      </c>
    </row>
    <row r="2359" spans="1:11" x14ac:dyDescent="0.25">
      <c r="A2359" s="33">
        <f t="shared" si="126"/>
        <v>6</v>
      </c>
      <c r="B2359" s="34">
        <v>47009</v>
      </c>
      <c r="C2359" s="7" t="s">
        <v>269</v>
      </c>
      <c r="D2359" s="35">
        <v>28</v>
      </c>
      <c r="E2359" s="33">
        <f>DAY(TableAopCalendar[[#This Row],[Date]])</f>
        <v>13</v>
      </c>
      <c r="F235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59" s="33" t="str">
        <f t="shared" si="127"/>
        <v>Week 2</v>
      </c>
      <c r="H2359" s="33" t="str">
        <f t="shared" si="128"/>
        <v>September 28 Week 2</v>
      </c>
      <c r="I2359" s="33" t="str">
        <f>CONCATENATE(UPPER(TableAopCalendar[[#This Row],[Month]])," ",TableAopCalendar[[#This Row],[Year]])</f>
        <v>SEPTEMBER 28</v>
      </c>
      <c r="J2359" s="8" t="s">
        <v>274</v>
      </c>
      <c r="K2359" s="33" t="str">
        <f>CONCATENATE(TableAopCalendar[[#This Row],[Month for Plan]]," ",TableAopCalendar[[#This Row],[Plan]])</f>
        <v>SEPTEMBER 28 PLANNED</v>
      </c>
    </row>
    <row r="2360" spans="1:11" x14ac:dyDescent="0.25">
      <c r="A2360" s="33">
        <f t="shared" si="126"/>
        <v>7</v>
      </c>
      <c r="B2360" s="34">
        <v>47010</v>
      </c>
      <c r="C2360" s="7" t="s">
        <v>269</v>
      </c>
      <c r="D2360" s="35">
        <v>28</v>
      </c>
      <c r="E2360" s="33">
        <f>DAY(TableAopCalendar[[#This Row],[Date]])</f>
        <v>14</v>
      </c>
      <c r="F236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60" s="33" t="str">
        <f t="shared" si="127"/>
        <v>Week 2</v>
      </c>
      <c r="H2360" s="33" t="str">
        <f t="shared" si="128"/>
        <v>September 28 Week 2</v>
      </c>
      <c r="I2360" s="33" t="str">
        <f>CONCATENATE(UPPER(TableAopCalendar[[#This Row],[Month]])," ",TableAopCalendar[[#This Row],[Year]])</f>
        <v>SEPTEMBER 28</v>
      </c>
      <c r="J2360" s="8" t="s">
        <v>274</v>
      </c>
      <c r="K2360" s="33" t="str">
        <f>CONCATENATE(TableAopCalendar[[#This Row],[Month for Plan]]," ",TableAopCalendar[[#This Row],[Plan]])</f>
        <v>SEPTEMBER 28 PLANNED</v>
      </c>
    </row>
    <row r="2361" spans="1:11" x14ac:dyDescent="0.25">
      <c r="A2361" s="33">
        <f t="shared" si="126"/>
        <v>1</v>
      </c>
      <c r="B2361" s="34">
        <v>47011</v>
      </c>
      <c r="C2361" s="7" t="s">
        <v>269</v>
      </c>
      <c r="D2361" s="35">
        <v>28</v>
      </c>
      <c r="E2361" s="33">
        <f>DAY(TableAopCalendar[[#This Row],[Date]])</f>
        <v>15</v>
      </c>
      <c r="F236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1" s="33" t="str">
        <f t="shared" si="127"/>
        <v>Week 3</v>
      </c>
      <c r="H2361" s="33" t="str">
        <f t="shared" si="128"/>
        <v>September 28 Week 3</v>
      </c>
      <c r="I2361" s="33" t="str">
        <f>CONCATENATE(UPPER(TableAopCalendar[[#This Row],[Month]])," ",TableAopCalendar[[#This Row],[Year]])</f>
        <v>SEPTEMBER 28</v>
      </c>
      <c r="J2361" s="8" t="s">
        <v>274</v>
      </c>
      <c r="K2361" s="33" t="str">
        <f>CONCATENATE(TableAopCalendar[[#This Row],[Month for Plan]]," ",TableAopCalendar[[#This Row],[Plan]])</f>
        <v>SEPTEMBER 28 PLANNED</v>
      </c>
    </row>
    <row r="2362" spans="1:11" x14ac:dyDescent="0.25">
      <c r="A2362" s="33">
        <f t="shared" si="126"/>
        <v>2</v>
      </c>
      <c r="B2362" s="34">
        <v>47012</v>
      </c>
      <c r="C2362" s="7" t="s">
        <v>269</v>
      </c>
      <c r="D2362" s="35">
        <v>28</v>
      </c>
      <c r="E2362" s="33">
        <f>DAY(TableAopCalendar[[#This Row],[Date]])</f>
        <v>16</v>
      </c>
      <c r="F236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2" s="33" t="str">
        <f t="shared" si="127"/>
        <v>Week 3</v>
      </c>
      <c r="H2362" s="33" t="str">
        <f t="shared" si="128"/>
        <v>September 28 Week 3</v>
      </c>
      <c r="I2362" s="33" t="str">
        <f>CONCATENATE(UPPER(TableAopCalendar[[#This Row],[Month]])," ",TableAopCalendar[[#This Row],[Year]])</f>
        <v>SEPTEMBER 28</v>
      </c>
      <c r="J2362" s="8" t="s">
        <v>274</v>
      </c>
      <c r="K2362" s="33" t="str">
        <f>CONCATENATE(TableAopCalendar[[#This Row],[Month for Plan]]," ",TableAopCalendar[[#This Row],[Plan]])</f>
        <v>SEPTEMBER 28 PLANNED</v>
      </c>
    </row>
    <row r="2363" spans="1:11" x14ac:dyDescent="0.25">
      <c r="A2363" s="33">
        <f t="shared" si="126"/>
        <v>3</v>
      </c>
      <c r="B2363" s="34">
        <v>47013</v>
      </c>
      <c r="C2363" s="7" t="s">
        <v>269</v>
      </c>
      <c r="D2363" s="35">
        <v>28</v>
      </c>
      <c r="E2363" s="33">
        <f>DAY(TableAopCalendar[[#This Row],[Date]])</f>
        <v>17</v>
      </c>
      <c r="F236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3" s="33" t="str">
        <f t="shared" si="127"/>
        <v>Week 3</v>
      </c>
      <c r="H2363" s="33" t="str">
        <f t="shared" si="128"/>
        <v>September 28 Week 3</v>
      </c>
      <c r="I2363" s="33" t="str">
        <f>CONCATENATE(UPPER(TableAopCalendar[[#This Row],[Month]])," ",TableAopCalendar[[#This Row],[Year]])</f>
        <v>SEPTEMBER 28</v>
      </c>
      <c r="J2363" s="8" t="s">
        <v>274</v>
      </c>
      <c r="K2363" s="33" t="str">
        <f>CONCATENATE(TableAopCalendar[[#This Row],[Month for Plan]]," ",TableAopCalendar[[#This Row],[Plan]])</f>
        <v>SEPTEMBER 28 PLANNED</v>
      </c>
    </row>
    <row r="2364" spans="1:11" x14ac:dyDescent="0.25">
      <c r="A2364" s="33">
        <f t="shared" si="126"/>
        <v>4</v>
      </c>
      <c r="B2364" s="34">
        <v>47014</v>
      </c>
      <c r="C2364" s="7" t="s">
        <v>269</v>
      </c>
      <c r="D2364" s="35">
        <v>28</v>
      </c>
      <c r="E2364" s="33">
        <f>DAY(TableAopCalendar[[#This Row],[Date]])</f>
        <v>18</v>
      </c>
      <c r="F236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4" s="33" t="str">
        <f t="shared" si="127"/>
        <v>Week 3</v>
      </c>
      <c r="H2364" s="33" t="str">
        <f t="shared" si="128"/>
        <v>September 28 Week 3</v>
      </c>
      <c r="I2364" s="33" t="str">
        <f>CONCATENATE(UPPER(TableAopCalendar[[#This Row],[Month]])," ",TableAopCalendar[[#This Row],[Year]])</f>
        <v>SEPTEMBER 28</v>
      </c>
      <c r="J2364" s="8" t="s">
        <v>274</v>
      </c>
      <c r="K2364" s="33" t="str">
        <f>CONCATENATE(TableAopCalendar[[#This Row],[Month for Plan]]," ",TableAopCalendar[[#This Row],[Plan]])</f>
        <v>SEPTEMBER 28 PLANNED</v>
      </c>
    </row>
    <row r="2365" spans="1:11" x14ac:dyDescent="0.25">
      <c r="A2365" s="33">
        <f t="shared" si="126"/>
        <v>5</v>
      </c>
      <c r="B2365" s="34">
        <v>47015</v>
      </c>
      <c r="C2365" s="7" t="s">
        <v>269</v>
      </c>
      <c r="D2365" s="35">
        <v>28</v>
      </c>
      <c r="E2365" s="33">
        <f>DAY(TableAopCalendar[[#This Row],[Date]])</f>
        <v>19</v>
      </c>
      <c r="F236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5" s="33" t="str">
        <f t="shared" si="127"/>
        <v>Week 3</v>
      </c>
      <c r="H2365" s="33" t="str">
        <f t="shared" si="128"/>
        <v>September 28 Week 3</v>
      </c>
      <c r="I2365" s="33" t="str">
        <f>CONCATENATE(UPPER(TableAopCalendar[[#This Row],[Month]])," ",TableAopCalendar[[#This Row],[Year]])</f>
        <v>SEPTEMBER 28</v>
      </c>
      <c r="J2365" s="8" t="s">
        <v>274</v>
      </c>
      <c r="K2365" s="33" t="str">
        <f>CONCATENATE(TableAopCalendar[[#This Row],[Month for Plan]]," ",TableAopCalendar[[#This Row],[Plan]])</f>
        <v>SEPTEMBER 28 PLANNED</v>
      </c>
    </row>
    <row r="2366" spans="1:11" x14ac:dyDescent="0.25">
      <c r="A2366" s="33">
        <f t="shared" si="126"/>
        <v>6</v>
      </c>
      <c r="B2366" s="34">
        <v>47016</v>
      </c>
      <c r="C2366" s="7" t="s">
        <v>269</v>
      </c>
      <c r="D2366" s="35">
        <v>28</v>
      </c>
      <c r="E2366" s="33">
        <f>DAY(TableAopCalendar[[#This Row],[Date]])</f>
        <v>20</v>
      </c>
      <c r="F236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6" s="33" t="str">
        <f t="shared" si="127"/>
        <v>Week 3</v>
      </c>
      <c r="H2366" s="33" t="str">
        <f t="shared" si="128"/>
        <v>September 28 Week 3</v>
      </c>
      <c r="I2366" s="33" t="str">
        <f>CONCATENATE(UPPER(TableAopCalendar[[#This Row],[Month]])," ",TableAopCalendar[[#This Row],[Year]])</f>
        <v>SEPTEMBER 28</v>
      </c>
      <c r="J2366" s="8" t="s">
        <v>274</v>
      </c>
      <c r="K2366" s="33" t="str">
        <f>CONCATENATE(TableAopCalendar[[#This Row],[Month for Plan]]," ",TableAopCalendar[[#This Row],[Plan]])</f>
        <v>SEPTEMBER 28 PLANNED</v>
      </c>
    </row>
    <row r="2367" spans="1:11" x14ac:dyDescent="0.25">
      <c r="A2367" s="33">
        <f t="shared" si="126"/>
        <v>7</v>
      </c>
      <c r="B2367" s="34">
        <v>47017</v>
      </c>
      <c r="C2367" s="7" t="s">
        <v>269</v>
      </c>
      <c r="D2367" s="35">
        <v>28</v>
      </c>
      <c r="E2367" s="33">
        <f>DAY(TableAopCalendar[[#This Row],[Date]])</f>
        <v>21</v>
      </c>
      <c r="F236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67" s="33" t="str">
        <f t="shared" si="127"/>
        <v>Week 3</v>
      </c>
      <c r="H2367" s="33" t="str">
        <f t="shared" si="128"/>
        <v>September 28 Week 3</v>
      </c>
      <c r="I2367" s="33" t="str">
        <f>CONCATENATE(UPPER(TableAopCalendar[[#This Row],[Month]])," ",TableAopCalendar[[#This Row],[Year]])</f>
        <v>SEPTEMBER 28</v>
      </c>
      <c r="J2367" s="8" t="s">
        <v>274</v>
      </c>
      <c r="K2367" s="33" t="str">
        <f>CONCATENATE(TableAopCalendar[[#This Row],[Month for Plan]]," ",TableAopCalendar[[#This Row],[Plan]])</f>
        <v>SEPTEMBER 28 PLANNED</v>
      </c>
    </row>
    <row r="2368" spans="1:11" x14ac:dyDescent="0.25">
      <c r="A2368" s="33">
        <f t="shared" si="126"/>
        <v>1</v>
      </c>
      <c r="B2368" s="34">
        <v>47018</v>
      </c>
      <c r="C2368" s="7" t="s">
        <v>269</v>
      </c>
      <c r="D2368" s="35">
        <v>28</v>
      </c>
      <c r="E2368" s="33">
        <f>DAY(TableAopCalendar[[#This Row],[Date]])</f>
        <v>22</v>
      </c>
      <c r="F236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68" s="33" t="str">
        <f t="shared" si="127"/>
        <v>Week 4</v>
      </c>
      <c r="H2368" s="33" t="str">
        <f t="shared" si="128"/>
        <v>September 28 Week 4</v>
      </c>
      <c r="I2368" s="33" t="str">
        <f>CONCATENATE(UPPER(TableAopCalendar[[#This Row],[Month]])," ",TableAopCalendar[[#This Row],[Year]])</f>
        <v>SEPTEMBER 28</v>
      </c>
      <c r="J2368" s="8" t="s">
        <v>274</v>
      </c>
      <c r="K2368" s="33" t="str">
        <f>CONCATENATE(TableAopCalendar[[#This Row],[Month for Plan]]," ",TableAopCalendar[[#This Row],[Plan]])</f>
        <v>SEPTEMBER 28 PLANNED</v>
      </c>
    </row>
    <row r="2369" spans="1:11" x14ac:dyDescent="0.25">
      <c r="A2369" s="33">
        <f t="shared" si="126"/>
        <v>2</v>
      </c>
      <c r="B2369" s="34">
        <v>47019</v>
      </c>
      <c r="C2369" s="7" t="s">
        <v>269</v>
      </c>
      <c r="D2369" s="35">
        <v>28</v>
      </c>
      <c r="E2369" s="33">
        <f>DAY(TableAopCalendar[[#This Row],[Date]])</f>
        <v>23</v>
      </c>
      <c r="F236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69" s="33" t="str">
        <f t="shared" si="127"/>
        <v>Week 4</v>
      </c>
      <c r="H2369" s="33" t="str">
        <f t="shared" si="128"/>
        <v>September 28 Week 4</v>
      </c>
      <c r="I2369" s="33" t="str">
        <f>CONCATENATE(UPPER(TableAopCalendar[[#This Row],[Month]])," ",TableAopCalendar[[#This Row],[Year]])</f>
        <v>SEPTEMBER 28</v>
      </c>
      <c r="J2369" s="8" t="s">
        <v>274</v>
      </c>
      <c r="K2369" s="33" t="str">
        <f>CONCATENATE(TableAopCalendar[[#This Row],[Month for Plan]]," ",TableAopCalendar[[#This Row],[Plan]])</f>
        <v>SEPTEMBER 28 PLANNED</v>
      </c>
    </row>
    <row r="2370" spans="1:11" x14ac:dyDescent="0.25">
      <c r="A2370" s="33">
        <f t="shared" si="126"/>
        <v>3</v>
      </c>
      <c r="B2370" s="34">
        <v>47020</v>
      </c>
      <c r="C2370" s="7" t="s">
        <v>269</v>
      </c>
      <c r="D2370" s="35">
        <v>28</v>
      </c>
      <c r="E2370" s="33">
        <f>DAY(TableAopCalendar[[#This Row],[Date]])</f>
        <v>24</v>
      </c>
      <c r="F237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70" s="33" t="str">
        <f t="shared" si="127"/>
        <v>Week 4</v>
      </c>
      <c r="H2370" s="33" t="str">
        <f t="shared" si="128"/>
        <v>September 28 Week 4</v>
      </c>
      <c r="I2370" s="33" t="str">
        <f>CONCATENATE(UPPER(TableAopCalendar[[#This Row],[Month]])," ",TableAopCalendar[[#This Row],[Year]])</f>
        <v>SEPTEMBER 28</v>
      </c>
      <c r="J2370" s="8" t="s">
        <v>274</v>
      </c>
      <c r="K2370" s="33" t="str">
        <f>CONCATENATE(TableAopCalendar[[#This Row],[Month for Plan]]," ",TableAopCalendar[[#This Row],[Plan]])</f>
        <v>SEPTEMBER 28 PLANNED</v>
      </c>
    </row>
    <row r="2371" spans="1:11" x14ac:dyDescent="0.25">
      <c r="A2371" s="33">
        <f t="shared" si="126"/>
        <v>4</v>
      </c>
      <c r="B2371" s="34">
        <v>47021</v>
      </c>
      <c r="C2371" s="7" t="s">
        <v>269</v>
      </c>
      <c r="D2371" s="35">
        <v>28</v>
      </c>
      <c r="E2371" s="33">
        <f>DAY(TableAopCalendar[[#This Row],[Date]])</f>
        <v>25</v>
      </c>
      <c r="F237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71" s="33" t="str">
        <f t="shared" si="127"/>
        <v>Week 4</v>
      </c>
      <c r="H2371" s="33" t="str">
        <f t="shared" si="128"/>
        <v>September 28 Week 4</v>
      </c>
      <c r="I2371" s="33" t="str">
        <f>CONCATENATE(UPPER(TableAopCalendar[[#This Row],[Month]])," ",TableAopCalendar[[#This Row],[Year]])</f>
        <v>SEPTEMBER 28</v>
      </c>
      <c r="J2371" s="8" t="s">
        <v>274</v>
      </c>
      <c r="K2371" s="33" t="str">
        <f>CONCATENATE(TableAopCalendar[[#This Row],[Month for Plan]]," ",TableAopCalendar[[#This Row],[Plan]])</f>
        <v>SEPTEMBER 28 PLANNED</v>
      </c>
    </row>
    <row r="2372" spans="1:11" x14ac:dyDescent="0.25">
      <c r="A2372" s="33">
        <f t="shared" si="126"/>
        <v>5</v>
      </c>
      <c r="B2372" s="34">
        <v>47022</v>
      </c>
      <c r="C2372" s="7" t="s">
        <v>269</v>
      </c>
      <c r="D2372" s="35">
        <v>28</v>
      </c>
      <c r="E2372" s="33">
        <f>DAY(TableAopCalendar[[#This Row],[Date]])</f>
        <v>26</v>
      </c>
      <c r="F237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72" s="33" t="str">
        <f t="shared" si="127"/>
        <v>Week 4</v>
      </c>
      <c r="H2372" s="33" t="str">
        <f t="shared" si="128"/>
        <v>September 28 Week 4</v>
      </c>
      <c r="I2372" s="33" t="str">
        <f>CONCATENATE(UPPER(TableAopCalendar[[#This Row],[Month]])," ",TableAopCalendar[[#This Row],[Year]])</f>
        <v>SEPTEMBER 28</v>
      </c>
      <c r="J2372" s="8" t="s">
        <v>274</v>
      </c>
      <c r="K2372" s="33" t="str">
        <f>CONCATENATE(TableAopCalendar[[#This Row],[Month for Plan]]," ",TableAopCalendar[[#This Row],[Plan]])</f>
        <v>SEPTEMBER 28 PLANNED</v>
      </c>
    </row>
    <row r="2373" spans="1:11" x14ac:dyDescent="0.25">
      <c r="A2373" s="33">
        <f t="shared" si="126"/>
        <v>6</v>
      </c>
      <c r="B2373" s="34">
        <v>47023</v>
      </c>
      <c r="C2373" s="7" t="s">
        <v>269</v>
      </c>
      <c r="D2373" s="35">
        <v>28</v>
      </c>
      <c r="E2373" s="33">
        <f>DAY(TableAopCalendar[[#This Row],[Date]])</f>
        <v>27</v>
      </c>
      <c r="F237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73" s="33" t="str">
        <f t="shared" si="127"/>
        <v>Week 4</v>
      </c>
      <c r="H2373" s="33" t="str">
        <f t="shared" si="128"/>
        <v>September 28 Week 4</v>
      </c>
      <c r="I2373" s="33" t="str">
        <f>CONCATENATE(UPPER(TableAopCalendar[[#This Row],[Month]])," ",TableAopCalendar[[#This Row],[Year]])</f>
        <v>SEPTEMBER 28</v>
      </c>
      <c r="J2373" s="8" t="s">
        <v>274</v>
      </c>
      <c r="K2373" s="33" t="str">
        <f>CONCATENATE(TableAopCalendar[[#This Row],[Month for Plan]]," ",TableAopCalendar[[#This Row],[Plan]])</f>
        <v>SEPTEMBER 28 PLANNED</v>
      </c>
    </row>
    <row r="2374" spans="1:11" x14ac:dyDescent="0.25">
      <c r="A2374" s="33">
        <f t="shared" si="126"/>
        <v>7</v>
      </c>
      <c r="B2374" s="34">
        <v>47024</v>
      </c>
      <c r="C2374" s="7" t="s">
        <v>269</v>
      </c>
      <c r="D2374" s="35">
        <v>28</v>
      </c>
      <c r="E2374" s="33">
        <f>DAY(TableAopCalendar[[#This Row],[Date]])</f>
        <v>28</v>
      </c>
      <c r="F237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74" s="33" t="str">
        <f t="shared" si="127"/>
        <v>Week 4</v>
      </c>
      <c r="H2374" s="33" t="str">
        <f t="shared" si="128"/>
        <v>September 28 Week 4</v>
      </c>
      <c r="I2374" s="33" t="str">
        <f>CONCATENATE(UPPER(TableAopCalendar[[#This Row],[Month]])," ",TableAopCalendar[[#This Row],[Year]])</f>
        <v>SEPTEMBER 28</v>
      </c>
      <c r="J2374" s="8" t="s">
        <v>274</v>
      </c>
      <c r="K2374" s="33" t="str">
        <f>CONCATENATE(TableAopCalendar[[#This Row],[Month for Plan]]," ",TableAopCalendar[[#This Row],[Plan]])</f>
        <v>SEPTEMBER 28 PLANNED</v>
      </c>
    </row>
    <row r="2375" spans="1:11" x14ac:dyDescent="0.25">
      <c r="A2375" s="33">
        <f t="shared" si="126"/>
        <v>1</v>
      </c>
      <c r="B2375" s="34">
        <v>47025</v>
      </c>
      <c r="C2375" s="7" t="s">
        <v>269</v>
      </c>
      <c r="D2375" s="35">
        <v>28</v>
      </c>
      <c r="E2375" s="33">
        <f>DAY(TableAopCalendar[[#This Row],[Date]])</f>
        <v>29</v>
      </c>
      <c r="F2375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75" s="33" t="str">
        <f t="shared" si="127"/>
        <v>Week 5</v>
      </c>
      <c r="H2375" s="33" t="str">
        <f t="shared" si="128"/>
        <v>September 28 Week 5</v>
      </c>
      <c r="I2375" s="33" t="str">
        <f>CONCATENATE(UPPER(TableAopCalendar[[#This Row],[Month]])," ",TableAopCalendar[[#This Row],[Year]])</f>
        <v>SEPTEMBER 28</v>
      </c>
      <c r="J2375" s="8" t="s">
        <v>274</v>
      </c>
      <c r="K2375" s="33" t="str">
        <f>CONCATENATE(TableAopCalendar[[#This Row],[Month for Plan]]," ",TableAopCalendar[[#This Row],[Plan]])</f>
        <v>SEPTEMBER 28 PLANNED</v>
      </c>
    </row>
    <row r="2376" spans="1:11" x14ac:dyDescent="0.25">
      <c r="A2376" s="33">
        <f t="shared" si="126"/>
        <v>2</v>
      </c>
      <c r="B2376" s="34">
        <v>47026</v>
      </c>
      <c r="C2376" s="7" t="s">
        <v>269</v>
      </c>
      <c r="D2376" s="35">
        <v>28</v>
      </c>
      <c r="E2376" s="33">
        <f>DAY(TableAopCalendar[[#This Row],[Date]])</f>
        <v>30</v>
      </c>
      <c r="F2376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376" s="33" t="str">
        <f t="shared" si="127"/>
        <v>Week 5</v>
      </c>
      <c r="H2376" s="33" t="str">
        <f t="shared" si="128"/>
        <v>September 28 Week 5</v>
      </c>
      <c r="I2376" s="33" t="str">
        <f>CONCATENATE(UPPER(TableAopCalendar[[#This Row],[Month]])," ",TableAopCalendar[[#This Row],[Year]])</f>
        <v>SEPTEMBER 28</v>
      </c>
      <c r="J2376" s="8" t="s">
        <v>274</v>
      </c>
      <c r="K2376" s="33" t="str">
        <f>CONCATENATE(TableAopCalendar[[#This Row],[Month for Plan]]," ",TableAopCalendar[[#This Row],[Plan]])</f>
        <v>SEPTEMBER 28 PLANNED</v>
      </c>
    </row>
    <row r="2377" spans="1:11" x14ac:dyDescent="0.25">
      <c r="A2377" s="33">
        <f t="shared" si="126"/>
        <v>1</v>
      </c>
      <c r="B2377" s="34">
        <v>47027</v>
      </c>
      <c r="C2377" s="7" t="s">
        <v>114</v>
      </c>
      <c r="D2377" s="35">
        <v>28</v>
      </c>
      <c r="E2377" s="33">
        <f>DAY(TableAopCalendar[[#This Row],[Date]])</f>
        <v>1</v>
      </c>
      <c r="F237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77" s="33" t="str">
        <f t="shared" si="127"/>
        <v>Week 1</v>
      </c>
      <c r="H2377" s="33" t="str">
        <f t="shared" si="128"/>
        <v>October 28 Week 1</v>
      </c>
      <c r="I2377" s="33" t="str">
        <f>CONCATENATE(UPPER(TableAopCalendar[[#This Row],[Month]])," ",TableAopCalendar[[#This Row],[Year]])</f>
        <v>OCTOBER 28</v>
      </c>
      <c r="J2377" s="8" t="s">
        <v>274</v>
      </c>
      <c r="K2377" s="33" t="str">
        <f>CONCATENATE(TableAopCalendar[[#This Row],[Month for Plan]]," ",TableAopCalendar[[#This Row],[Plan]])</f>
        <v>OCTOBER 28 PLANNED</v>
      </c>
    </row>
    <row r="2378" spans="1:11" x14ac:dyDescent="0.25">
      <c r="A2378" s="33">
        <f t="shared" si="126"/>
        <v>2</v>
      </c>
      <c r="B2378" s="34">
        <v>47028</v>
      </c>
      <c r="C2378" s="7" t="s">
        <v>114</v>
      </c>
      <c r="D2378" s="35">
        <v>28</v>
      </c>
      <c r="E2378" s="33">
        <f>DAY(TableAopCalendar[[#This Row],[Date]])</f>
        <v>2</v>
      </c>
      <c r="F237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78" s="33" t="str">
        <f t="shared" si="127"/>
        <v>Week 1</v>
      </c>
      <c r="H2378" s="33" t="str">
        <f t="shared" si="128"/>
        <v>October 28 Week 1</v>
      </c>
      <c r="I2378" s="33" t="str">
        <f>CONCATENATE(UPPER(TableAopCalendar[[#This Row],[Month]])," ",TableAopCalendar[[#This Row],[Year]])</f>
        <v>OCTOBER 28</v>
      </c>
      <c r="J2378" s="8" t="s">
        <v>274</v>
      </c>
      <c r="K2378" s="33" t="str">
        <f>CONCATENATE(TableAopCalendar[[#This Row],[Month for Plan]]," ",TableAopCalendar[[#This Row],[Plan]])</f>
        <v>OCTOBER 28 PLANNED</v>
      </c>
    </row>
    <row r="2379" spans="1:11" x14ac:dyDescent="0.25">
      <c r="A2379" s="33">
        <f t="shared" si="126"/>
        <v>3</v>
      </c>
      <c r="B2379" s="34">
        <v>47029</v>
      </c>
      <c r="C2379" s="7" t="s">
        <v>114</v>
      </c>
      <c r="D2379" s="35">
        <v>28</v>
      </c>
      <c r="E2379" s="33">
        <f>DAY(TableAopCalendar[[#This Row],[Date]])</f>
        <v>3</v>
      </c>
      <c r="F237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79" s="33" t="str">
        <f t="shared" si="127"/>
        <v>Week 1</v>
      </c>
      <c r="H2379" s="33" t="str">
        <f t="shared" si="128"/>
        <v>October 28 Week 1</v>
      </c>
      <c r="I2379" s="33" t="str">
        <f>CONCATENATE(UPPER(TableAopCalendar[[#This Row],[Month]])," ",TableAopCalendar[[#This Row],[Year]])</f>
        <v>OCTOBER 28</v>
      </c>
      <c r="J2379" s="8" t="s">
        <v>274</v>
      </c>
      <c r="K2379" s="33" t="str">
        <f>CONCATENATE(TableAopCalendar[[#This Row],[Month for Plan]]," ",TableAopCalendar[[#This Row],[Plan]])</f>
        <v>OCTOBER 28 PLANNED</v>
      </c>
    </row>
    <row r="2380" spans="1:11" x14ac:dyDescent="0.25">
      <c r="A2380" s="33">
        <f t="shared" si="126"/>
        <v>4</v>
      </c>
      <c r="B2380" s="34">
        <v>47030</v>
      </c>
      <c r="C2380" s="7" t="s">
        <v>114</v>
      </c>
      <c r="D2380" s="35">
        <v>28</v>
      </c>
      <c r="E2380" s="33">
        <f>DAY(TableAopCalendar[[#This Row],[Date]])</f>
        <v>4</v>
      </c>
      <c r="F238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80" s="33" t="str">
        <f t="shared" si="127"/>
        <v>Week 1</v>
      </c>
      <c r="H2380" s="33" t="str">
        <f t="shared" si="128"/>
        <v>October 28 Week 1</v>
      </c>
      <c r="I2380" s="33" t="str">
        <f>CONCATENATE(UPPER(TableAopCalendar[[#This Row],[Month]])," ",TableAopCalendar[[#This Row],[Year]])</f>
        <v>OCTOBER 28</v>
      </c>
      <c r="J2380" s="8" t="s">
        <v>274</v>
      </c>
      <c r="K2380" s="33" t="str">
        <f>CONCATENATE(TableAopCalendar[[#This Row],[Month for Plan]]," ",TableAopCalendar[[#This Row],[Plan]])</f>
        <v>OCTOBER 28 PLANNED</v>
      </c>
    </row>
    <row r="2381" spans="1:11" x14ac:dyDescent="0.25">
      <c r="A2381" s="33">
        <f t="shared" si="126"/>
        <v>5</v>
      </c>
      <c r="B2381" s="34">
        <v>47031</v>
      </c>
      <c r="C2381" s="7" t="s">
        <v>114</v>
      </c>
      <c r="D2381" s="35">
        <v>28</v>
      </c>
      <c r="E2381" s="33">
        <f>DAY(TableAopCalendar[[#This Row],[Date]])</f>
        <v>5</v>
      </c>
      <c r="F238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81" s="33" t="str">
        <f t="shared" si="127"/>
        <v>Week 1</v>
      </c>
      <c r="H2381" s="33" t="str">
        <f t="shared" si="128"/>
        <v>October 28 Week 1</v>
      </c>
      <c r="I2381" s="33" t="str">
        <f>CONCATENATE(UPPER(TableAopCalendar[[#This Row],[Month]])," ",TableAopCalendar[[#This Row],[Year]])</f>
        <v>OCTOBER 28</v>
      </c>
      <c r="J2381" s="8" t="s">
        <v>274</v>
      </c>
      <c r="K2381" s="33" t="str">
        <f>CONCATENATE(TableAopCalendar[[#This Row],[Month for Plan]]," ",TableAopCalendar[[#This Row],[Plan]])</f>
        <v>OCTOBER 28 PLANNED</v>
      </c>
    </row>
    <row r="2382" spans="1:11" x14ac:dyDescent="0.25">
      <c r="A2382" s="33">
        <f t="shared" si="126"/>
        <v>6</v>
      </c>
      <c r="B2382" s="34">
        <v>47032</v>
      </c>
      <c r="C2382" s="7" t="s">
        <v>114</v>
      </c>
      <c r="D2382" s="35">
        <v>28</v>
      </c>
      <c r="E2382" s="33">
        <f>DAY(TableAopCalendar[[#This Row],[Date]])</f>
        <v>6</v>
      </c>
      <c r="F238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82" s="33" t="str">
        <f t="shared" si="127"/>
        <v>Week 1</v>
      </c>
      <c r="H2382" s="33" t="str">
        <f t="shared" si="128"/>
        <v>October 28 Week 1</v>
      </c>
      <c r="I2382" s="33" t="str">
        <f>CONCATENATE(UPPER(TableAopCalendar[[#This Row],[Month]])," ",TableAopCalendar[[#This Row],[Year]])</f>
        <v>OCTOBER 28</v>
      </c>
      <c r="J2382" s="8" t="s">
        <v>274</v>
      </c>
      <c r="K2382" s="33" t="str">
        <f>CONCATENATE(TableAopCalendar[[#This Row],[Month for Plan]]," ",TableAopCalendar[[#This Row],[Plan]])</f>
        <v>OCTOBER 28 PLANNED</v>
      </c>
    </row>
    <row r="2383" spans="1:11" x14ac:dyDescent="0.25">
      <c r="A2383" s="33">
        <f t="shared" si="126"/>
        <v>7</v>
      </c>
      <c r="B2383" s="34">
        <v>47033</v>
      </c>
      <c r="C2383" s="7" t="s">
        <v>114</v>
      </c>
      <c r="D2383" s="35">
        <v>28</v>
      </c>
      <c r="E2383" s="33">
        <f>DAY(TableAopCalendar[[#This Row],[Date]])</f>
        <v>7</v>
      </c>
      <c r="F238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383" s="33" t="str">
        <f t="shared" si="127"/>
        <v>Week 1</v>
      </c>
      <c r="H2383" s="33" t="str">
        <f t="shared" si="128"/>
        <v>October 28 Week 1</v>
      </c>
      <c r="I2383" s="33" t="str">
        <f>CONCATENATE(UPPER(TableAopCalendar[[#This Row],[Month]])," ",TableAopCalendar[[#This Row],[Year]])</f>
        <v>OCTOBER 28</v>
      </c>
      <c r="J2383" s="8" t="s">
        <v>274</v>
      </c>
      <c r="K2383" s="33" t="str">
        <f>CONCATENATE(TableAopCalendar[[#This Row],[Month for Plan]]," ",TableAopCalendar[[#This Row],[Plan]])</f>
        <v>OCTOBER 28 PLANNED</v>
      </c>
    </row>
    <row r="2384" spans="1:11" x14ac:dyDescent="0.25">
      <c r="A2384" s="33">
        <f t="shared" si="126"/>
        <v>1</v>
      </c>
      <c r="B2384" s="34">
        <v>47034</v>
      </c>
      <c r="C2384" s="7" t="s">
        <v>114</v>
      </c>
      <c r="D2384" s="35">
        <v>28</v>
      </c>
      <c r="E2384" s="33">
        <f>DAY(TableAopCalendar[[#This Row],[Date]])</f>
        <v>8</v>
      </c>
      <c r="F238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84" s="33" t="str">
        <f t="shared" si="127"/>
        <v>Week 2</v>
      </c>
      <c r="H2384" s="33" t="str">
        <f t="shared" si="128"/>
        <v>October 28 Week 2</v>
      </c>
      <c r="I2384" s="33" t="str">
        <f>CONCATENATE(UPPER(TableAopCalendar[[#This Row],[Month]])," ",TableAopCalendar[[#This Row],[Year]])</f>
        <v>OCTOBER 28</v>
      </c>
      <c r="J2384" s="8" t="s">
        <v>274</v>
      </c>
      <c r="K2384" s="33" t="str">
        <f>CONCATENATE(TableAopCalendar[[#This Row],[Month for Plan]]," ",TableAopCalendar[[#This Row],[Plan]])</f>
        <v>OCTOBER 28 PLANNED</v>
      </c>
    </row>
    <row r="2385" spans="1:11" x14ac:dyDescent="0.25">
      <c r="A2385" s="33">
        <f t="shared" si="126"/>
        <v>2</v>
      </c>
      <c r="B2385" s="34">
        <v>47035</v>
      </c>
      <c r="C2385" s="7" t="s">
        <v>114</v>
      </c>
      <c r="D2385" s="35">
        <v>28</v>
      </c>
      <c r="E2385" s="33">
        <f>DAY(TableAopCalendar[[#This Row],[Date]])</f>
        <v>9</v>
      </c>
      <c r="F238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85" s="33" t="str">
        <f t="shared" si="127"/>
        <v>Week 2</v>
      </c>
      <c r="H2385" s="33" t="str">
        <f t="shared" si="128"/>
        <v>October 28 Week 2</v>
      </c>
      <c r="I2385" s="33" t="str">
        <f>CONCATENATE(UPPER(TableAopCalendar[[#This Row],[Month]])," ",TableAopCalendar[[#This Row],[Year]])</f>
        <v>OCTOBER 28</v>
      </c>
      <c r="J2385" s="8" t="s">
        <v>274</v>
      </c>
      <c r="K2385" s="33" t="str">
        <f>CONCATENATE(TableAopCalendar[[#This Row],[Month for Plan]]," ",TableAopCalendar[[#This Row],[Plan]])</f>
        <v>OCTOBER 28 PLANNED</v>
      </c>
    </row>
    <row r="2386" spans="1:11" x14ac:dyDescent="0.25">
      <c r="A2386" s="33">
        <f t="shared" si="126"/>
        <v>3</v>
      </c>
      <c r="B2386" s="34">
        <v>47036</v>
      </c>
      <c r="C2386" s="7" t="s">
        <v>114</v>
      </c>
      <c r="D2386" s="35">
        <v>28</v>
      </c>
      <c r="E2386" s="33">
        <f>DAY(TableAopCalendar[[#This Row],[Date]])</f>
        <v>10</v>
      </c>
      <c r="F238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86" s="33" t="str">
        <f t="shared" si="127"/>
        <v>Week 2</v>
      </c>
      <c r="H2386" s="33" t="str">
        <f t="shared" si="128"/>
        <v>October 28 Week 2</v>
      </c>
      <c r="I2386" s="33" t="str">
        <f>CONCATENATE(UPPER(TableAopCalendar[[#This Row],[Month]])," ",TableAopCalendar[[#This Row],[Year]])</f>
        <v>OCTOBER 28</v>
      </c>
      <c r="J2386" s="8" t="s">
        <v>274</v>
      </c>
      <c r="K2386" s="33" t="str">
        <f>CONCATENATE(TableAopCalendar[[#This Row],[Month for Plan]]," ",TableAopCalendar[[#This Row],[Plan]])</f>
        <v>OCTOBER 28 PLANNED</v>
      </c>
    </row>
    <row r="2387" spans="1:11" x14ac:dyDescent="0.25">
      <c r="A2387" s="33">
        <f t="shared" si="126"/>
        <v>4</v>
      </c>
      <c r="B2387" s="34">
        <v>47037</v>
      </c>
      <c r="C2387" s="7" t="s">
        <v>114</v>
      </c>
      <c r="D2387" s="35">
        <v>28</v>
      </c>
      <c r="E2387" s="33">
        <f>DAY(TableAopCalendar[[#This Row],[Date]])</f>
        <v>11</v>
      </c>
      <c r="F238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87" s="33" t="str">
        <f t="shared" si="127"/>
        <v>Week 2</v>
      </c>
      <c r="H2387" s="33" t="str">
        <f t="shared" si="128"/>
        <v>October 28 Week 2</v>
      </c>
      <c r="I2387" s="33" t="str">
        <f>CONCATENATE(UPPER(TableAopCalendar[[#This Row],[Month]])," ",TableAopCalendar[[#This Row],[Year]])</f>
        <v>OCTOBER 28</v>
      </c>
      <c r="J2387" s="8" t="s">
        <v>274</v>
      </c>
      <c r="K2387" s="33" t="str">
        <f>CONCATENATE(TableAopCalendar[[#This Row],[Month for Plan]]," ",TableAopCalendar[[#This Row],[Plan]])</f>
        <v>OCTOBER 28 PLANNED</v>
      </c>
    </row>
    <row r="2388" spans="1:11" x14ac:dyDescent="0.25">
      <c r="A2388" s="33">
        <f t="shared" si="126"/>
        <v>5</v>
      </c>
      <c r="B2388" s="34">
        <v>47038</v>
      </c>
      <c r="C2388" s="7" t="s">
        <v>114</v>
      </c>
      <c r="D2388" s="35">
        <v>28</v>
      </c>
      <c r="E2388" s="33">
        <f>DAY(TableAopCalendar[[#This Row],[Date]])</f>
        <v>12</v>
      </c>
      <c r="F238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88" s="33" t="str">
        <f t="shared" si="127"/>
        <v>Week 2</v>
      </c>
      <c r="H2388" s="33" t="str">
        <f t="shared" si="128"/>
        <v>October 28 Week 2</v>
      </c>
      <c r="I2388" s="33" t="str">
        <f>CONCATENATE(UPPER(TableAopCalendar[[#This Row],[Month]])," ",TableAopCalendar[[#This Row],[Year]])</f>
        <v>OCTOBER 28</v>
      </c>
      <c r="J2388" s="8" t="s">
        <v>274</v>
      </c>
      <c r="K2388" s="33" t="str">
        <f>CONCATENATE(TableAopCalendar[[#This Row],[Month for Plan]]," ",TableAopCalendar[[#This Row],[Plan]])</f>
        <v>OCTOBER 28 PLANNED</v>
      </c>
    </row>
    <row r="2389" spans="1:11" x14ac:dyDescent="0.25">
      <c r="A2389" s="33">
        <f t="shared" si="126"/>
        <v>6</v>
      </c>
      <c r="B2389" s="34">
        <v>47039</v>
      </c>
      <c r="C2389" s="7" t="s">
        <v>114</v>
      </c>
      <c r="D2389" s="35">
        <v>28</v>
      </c>
      <c r="E2389" s="33">
        <f>DAY(TableAopCalendar[[#This Row],[Date]])</f>
        <v>13</v>
      </c>
      <c r="F238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89" s="33" t="str">
        <f t="shared" si="127"/>
        <v>Week 2</v>
      </c>
      <c r="H2389" s="33" t="str">
        <f t="shared" si="128"/>
        <v>October 28 Week 2</v>
      </c>
      <c r="I2389" s="33" t="str">
        <f>CONCATENATE(UPPER(TableAopCalendar[[#This Row],[Month]])," ",TableAopCalendar[[#This Row],[Year]])</f>
        <v>OCTOBER 28</v>
      </c>
      <c r="J2389" s="8" t="s">
        <v>274</v>
      </c>
      <c r="K2389" s="33" t="str">
        <f>CONCATENATE(TableAopCalendar[[#This Row],[Month for Plan]]," ",TableAopCalendar[[#This Row],[Plan]])</f>
        <v>OCTOBER 28 PLANNED</v>
      </c>
    </row>
    <row r="2390" spans="1:11" x14ac:dyDescent="0.25">
      <c r="A2390" s="33">
        <f t="shared" si="126"/>
        <v>7</v>
      </c>
      <c r="B2390" s="34">
        <v>47040</v>
      </c>
      <c r="C2390" s="7" t="s">
        <v>114</v>
      </c>
      <c r="D2390" s="35">
        <v>28</v>
      </c>
      <c r="E2390" s="33">
        <f>DAY(TableAopCalendar[[#This Row],[Date]])</f>
        <v>14</v>
      </c>
      <c r="F239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390" s="33" t="str">
        <f t="shared" si="127"/>
        <v>Week 2</v>
      </c>
      <c r="H2390" s="33" t="str">
        <f t="shared" si="128"/>
        <v>October 28 Week 2</v>
      </c>
      <c r="I2390" s="33" t="str">
        <f>CONCATENATE(UPPER(TableAopCalendar[[#This Row],[Month]])," ",TableAopCalendar[[#This Row],[Year]])</f>
        <v>OCTOBER 28</v>
      </c>
      <c r="J2390" s="8" t="s">
        <v>274</v>
      </c>
      <c r="K2390" s="33" t="str">
        <f>CONCATENATE(TableAopCalendar[[#This Row],[Month for Plan]]," ",TableAopCalendar[[#This Row],[Plan]])</f>
        <v>OCTOBER 28 PLANNED</v>
      </c>
    </row>
    <row r="2391" spans="1:11" x14ac:dyDescent="0.25">
      <c r="A2391" s="33">
        <f t="shared" si="126"/>
        <v>1</v>
      </c>
      <c r="B2391" s="34">
        <v>47041</v>
      </c>
      <c r="C2391" s="7" t="s">
        <v>114</v>
      </c>
      <c r="D2391" s="35">
        <v>28</v>
      </c>
      <c r="E2391" s="33">
        <f>DAY(TableAopCalendar[[#This Row],[Date]])</f>
        <v>15</v>
      </c>
      <c r="F239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91" s="33" t="str">
        <f t="shared" si="127"/>
        <v>Week 3</v>
      </c>
      <c r="H2391" s="33" t="str">
        <f t="shared" si="128"/>
        <v>October 28 Week 3</v>
      </c>
      <c r="I2391" s="33" t="str">
        <f>CONCATENATE(UPPER(TableAopCalendar[[#This Row],[Month]])," ",TableAopCalendar[[#This Row],[Year]])</f>
        <v>OCTOBER 28</v>
      </c>
      <c r="J2391" s="8" t="s">
        <v>274</v>
      </c>
      <c r="K2391" s="33" t="str">
        <f>CONCATENATE(TableAopCalendar[[#This Row],[Month for Plan]]," ",TableAopCalendar[[#This Row],[Plan]])</f>
        <v>OCTOBER 28 PLANNED</v>
      </c>
    </row>
    <row r="2392" spans="1:11" x14ac:dyDescent="0.25">
      <c r="A2392" s="33">
        <f t="shared" si="126"/>
        <v>2</v>
      </c>
      <c r="B2392" s="34">
        <v>47042</v>
      </c>
      <c r="C2392" s="7" t="s">
        <v>114</v>
      </c>
      <c r="D2392" s="35">
        <v>28</v>
      </c>
      <c r="E2392" s="33">
        <f>DAY(TableAopCalendar[[#This Row],[Date]])</f>
        <v>16</v>
      </c>
      <c r="F239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92" s="33" t="str">
        <f t="shared" si="127"/>
        <v>Week 3</v>
      </c>
      <c r="H2392" s="33" t="str">
        <f t="shared" si="128"/>
        <v>October 28 Week 3</v>
      </c>
      <c r="I2392" s="33" t="str">
        <f>CONCATENATE(UPPER(TableAopCalendar[[#This Row],[Month]])," ",TableAopCalendar[[#This Row],[Year]])</f>
        <v>OCTOBER 28</v>
      </c>
      <c r="J2392" s="8" t="s">
        <v>274</v>
      </c>
      <c r="K2392" s="33" t="str">
        <f>CONCATENATE(TableAopCalendar[[#This Row],[Month for Plan]]," ",TableAopCalendar[[#This Row],[Plan]])</f>
        <v>OCTOBER 28 PLANNED</v>
      </c>
    </row>
    <row r="2393" spans="1:11" x14ac:dyDescent="0.25">
      <c r="A2393" s="33">
        <f t="shared" si="126"/>
        <v>3</v>
      </c>
      <c r="B2393" s="34">
        <v>47043</v>
      </c>
      <c r="C2393" s="7" t="s">
        <v>114</v>
      </c>
      <c r="D2393" s="35">
        <v>28</v>
      </c>
      <c r="E2393" s="33">
        <f>DAY(TableAopCalendar[[#This Row],[Date]])</f>
        <v>17</v>
      </c>
      <c r="F239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93" s="33" t="str">
        <f t="shared" si="127"/>
        <v>Week 3</v>
      </c>
      <c r="H2393" s="33" t="str">
        <f t="shared" si="128"/>
        <v>October 28 Week 3</v>
      </c>
      <c r="I2393" s="33" t="str">
        <f>CONCATENATE(UPPER(TableAopCalendar[[#This Row],[Month]])," ",TableAopCalendar[[#This Row],[Year]])</f>
        <v>OCTOBER 28</v>
      </c>
      <c r="J2393" s="8" t="s">
        <v>274</v>
      </c>
      <c r="K2393" s="33" t="str">
        <f>CONCATENATE(TableAopCalendar[[#This Row],[Month for Plan]]," ",TableAopCalendar[[#This Row],[Plan]])</f>
        <v>OCTOBER 28 PLANNED</v>
      </c>
    </row>
    <row r="2394" spans="1:11" x14ac:dyDescent="0.25">
      <c r="A2394" s="33">
        <f t="shared" si="126"/>
        <v>4</v>
      </c>
      <c r="B2394" s="34">
        <v>47044</v>
      </c>
      <c r="C2394" s="7" t="s">
        <v>114</v>
      </c>
      <c r="D2394" s="35">
        <v>28</v>
      </c>
      <c r="E2394" s="33">
        <f>DAY(TableAopCalendar[[#This Row],[Date]])</f>
        <v>18</v>
      </c>
      <c r="F239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94" s="33" t="str">
        <f t="shared" si="127"/>
        <v>Week 3</v>
      </c>
      <c r="H2394" s="33" t="str">
        <f t="shared" si="128"/>
        <v>October 28 Week 3</v>
      </c>
      <c r="I2394" s="33" t="str">
        <f>CONCATENATE(UPPER(TableAopCalendar[[#This Row],[Month]])," ",TableAopCalendar[[#This Row],[Year]])</f>
        <v>OCTOBER 28</v>
      </c>
      <c r="J2394" s="8" t="s">
        <v>274</v>
      </c>
      <c r="K2394" s="33" t="str">
        <f>CONCATENATE(TableAopCalendar[[#This Row],[Month for Plan]]," ",TableAopCalendar[[#This Row],[Plan]])</f>
        <v>OCTOBER 28 PLANNED</v>
      </c>
    </row>
    <row r="2395" spans="1:11" x14ac:dyDescent="0.25">
      <c r="A2395" s="33">
        <f t="shared" si="126"/>
        <v>5</v>
      </c>
      <c r="B2395" s="34">
        <v>47045</v>
      </c>
      <c r="C2395" s="7" t="s">
        <v>114</v>
      </c>
      <c r="D2395" s="35">
        <v>28</v>
      </c>
      <c r="E2395" s="33">
        <f>DAY(TableAopCalendar[[#This Row],[Date]])</f>
        <v>19</v>
      </c>
      <c r="F239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95" s="33" t="str">
        <f t="shared" si="127"/>
        <v>Week 3</v>
      </c>
      <c r="H2395" s="33" t="str">
        <f t="shared" si="128"/>
        <v>October 28 Week 3</v>
      </c>
      <c r="I2395" s="33" t="str">
        <f>CONCATENATE(UPPER(TableAopCalendar[[#This Row],[Month]])," ",TableAopCalendar[[#This Row],[Year]])</f>
        <v>OCTOBER 28</v>
      </c>
      <c r="J2395" s="8" t="s">
        <v>274</v>
      </c>
      <c r="K2395" s="33" t="str">
        <f>CONCATENATE(TableAopCalendar[[#This Row],[Month for Plan]]," ",TableAopCalendar[[#This Row],[Plan]])</f>
        <v>OCTOBER 28 PLANNED</v>
      </c>
    </row>
    <row r="2396" spans="1:11" x14ac:dyDescent="0.25">
      <c r="A2396" s="33">
        <f t="shared" si="126"/>
        <v>6</v>
      </c>
      <c r="B2396" s="34">
        <v>47046</v>
      </c>
      <c r="C2396" s="7" t="s">
        <v>114</v>
      </c>
      <c r="D2396" s="35">
        <v>28</v>
      </c>
      <c r="E2396" s="33">
        <f>DAY(TableAopCalendar[[#This Row],[Date]])</f>
        <v>20</v>
      </c>
      <c r="F239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96" s="33" t="str">
        <f t="shared" si="127"/>
        <v>Week 3</v>
      </c>
      <c r="H2396" s="33" t="str">
        <f t="shared" si="128"/>
        <v>October 28 Week 3</v>
      </c>
      <c r="I2396" s="33" t="str">
        <f>CONCATENATE(UPPER(TableAopCalendar[[#This Row],[Month]])," ",TableAopCalendar[[#This Row],[Year]])</f>
        <v>OCTOBER 28</v>
      </c>
      <c r="J2396" s="8" t="s">
        <v>274</v>
      </c>
      <c r="K2396" s="33" t="str">
        <f>CONCATENATE(TableAopCalendar[[#This Row],[Month for Plan]]," ",TableAopCalendar[[#This Row],[Plan]])</f>
        <v>OCTOBER 28 PLANNED</v>
      </c>
    </row>
    <row r="2397" spans="1:11" x14ac:dyDescent="0.25">
      <c r="A2397" s="33">
        <f t="shared" si="126"/>
        <v>7</v>
      </c>
      <c r="B2397" s="34">
        <v>47047</v>
      </c>
      <c r="C2397" s="7" t="s">
        <v>114</v>
      </c>
      <c r="D2397" s="35">
        <v>28</v>
      </c>
      <c r="E2397" s="33">
        <f>DAY(TableAopCalendar[[#This Row],[Date]])</f>
        <v>21</v>
      </c>
      <c r="F239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397" s="33" t="str">
        <f t="shared" si="127"/>
        <v>Week 3</v>
      </c>
      <c r="H2397" s="33" t="str">
        <f t="shared" si="128"/>
        <v>October 28 Week 3</v>
      </c>
      <c r="I2397" s="33" t="str">
        <f>CONCATENATE(UPPER(TableAopCalendar[[#This Row],[Month]])," ",TableAopCalendar[[#This Row],[Year]])</f>
        <v>OCTOBER 28</v>
      </c>
      <c r="J2397" s="8" t="s">
        <v>274</v>
      </c>
      <c r="K2397" s="33" t="str">
        <f>CONCATENATE(TableAopCalendar[[#This Row],[Month for Plan]]," ",TableAopCalendar[[#This Row],[Plan]])</f>
        <v>OCTOBER 28 PLANNED</v>
      </c>
    </row>
    <row r="2398" spans="1:11" x14ac:dyDescent="0.25">
      <c r="A2398" s="33">
        <f t="shared" si="126"/>
        <v>1</v>
      </c>
      <c r="B2398" s="34">
        <v>47048</v>
      </c>
      <c r="C2398" s="7" t="s">
        <v>114</v>
      </c>
      <c r="D2398" s="35">
        <v>28</v>
      </c>
      <c r="E2398" s="33">
        <f>DAY(TableAopCalendar[[#This Row],[Date]])</f>
        <v>22</v>
      </c>
      <c r="F239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98" s="33" t="str">
        <f t="shared" si="127"/>
        <v>Week 4</v>
      </c>
      <c r="H2398" s="33" t="str">
        <f t="shared" si="128"/>
        <v>October 28 Week 4</v>
      </c>
      <c r="I2398" s="33" t="str">
        <f>CONCATENATE(UPPER(TableAopCalendar[[#This Row],[Month]])," ",TableAopCalendar[[#This Row],[Year]])</f>
        <v>OCTOBER 28</v>
      </c>
      <c r="J2398" s="8" t="s">
        <v>274</v>
      </c>
      <c r="K2398" s="33" t="str">
        <f>CONCATENATE(TableAopCalendar[[#This Row],[Month for Plan]]," ",TableAopCalendar[[#This Row],[Plan]])</f>
        <v>OCTOBER 28 PLANNED</v>
      </c>
    </row>
    <row r="2399" spans="1:11" x14ac:dyDescent="0.25">
      <c r="A2399" s="33">
        <f t="shared" si="126"/>
        <v>2</v>
      </c>
      <c r="B2399" s="34">
        <v>47049</v>
      </c>
      <c r="C2399" s="7" t="s">
        <v>114</v>
      </c>
      <c r="D2399" s="35">
        <v>28</v>
      </c>
      <c r="E2399" s="33">
        <f>DAY(TableAopCalendar[[#This Row],[Date]])</f>
        <v>23</v>
      </c>
      <c r="F239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399" s="33" t="str">
        <f t="shared" si="127"/>
        <v>Week 4</v>
      </c>
      <c r="H2399" s="33" t="str">
        <f t="shared" si="128"/>
        <v>October 28 Week 4</v>
      </c>
      <c r="I2399" s="33" t="str">
        <f>CONCATENATE(UPPER(TableAopCalendar[[#This Row],[Month]])," ",TableAopCalendar[[#This Row],[Year]])</f>
        <v>OCTOBER 28</v>
      </c>
      <c r="J2399" s="8" t="s">
        <v>274</v>
      </c>
      <c r="K2399" s="33" t="str">
        <f>CONCATENATE(TableAopCalendar[[#This Row],[Month for Plan]]," ",TableAopCalendar[[#This Row],[Plan]])</f>
        <v>OCTOBER 28 PLANNED</v>
      </c>
    </row>
    <row r="2400" spans="1:11" x14ac:dyDescent="0.25">
      <c r="A2400" s="33">
        <f t="shared" si="126"/>
        <v>3</v>
      </c>
      <c r="B2400" s="34">
        <v>47050</v>
      </c>
      <c r="C2400" s="7" t="s">
        <v>114</v>
      </c>
      <c r="D2400" s="35">
        <v>28</v>
      </c>
      <c r="E2400" s="33">
        <f>DAY(TableAopCalendar[[#This Row],[Date]])</f>
        <v>24</v>
      </c>
      <c r="F240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00" s="33" t="str">
        <f t="shared" si="127"/>
        <v>Week 4</v>
      </c>
      <c r="H2400" s="33" t="str">
        <f t="shared" si="128"/>
        <v>October 28 Week 4</v>
      </c>
      <c r="I2400" s="33" t="str">
        <f>CONCATENATE(UPPER(TableAopCalendar[[#This Row],[Month]])," ",TableAopCalendar[[#This Row],[Year]])</f>
        <v>OCTOBER 28</v>
      </c>
      <c r="J2400" s="8" t="s">
        <v>274</v>
      </c>
      <c r="K2400" s="33" t="str">
        <f>CONCATENATE(TableAopCalendar[[#This Row],[Month for Plan]]," ",TableAopCalendar[[#This Row],[Plan]])</f>
        <v>OCTOBER 28 PLANNED</v>
      </c>
    </row>
    <row r="2401" spans="1:11" x14ac:dyDescent="0.25">
      <c r="A2401" s="33">
        <f t="shared" si="126"/>
        <v>4</v>
      </c>
      <c r="B2401" s="34">
        <v>47051</v>
      </c>
      <c r="C2401" s="7" t="s">
        <v>114</v>
      </c>
      <c r="D2401" s="35">
        <v>28</v>
      </c>
      <c r="E2401" s="33">
        <f>DAY(TableAopCalendar[[#This Row],[Date]])</f>
        <v>25</v>
      </c>
      <c r="F240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01" s="33" t="str">
        <f t="shared" si="127"/>
        <v>Week 4</v>
      </c>
      <c r="H2401" s="33" t="str">
        <f t="shared" si="128"/>
        <v>October 28 Week 4</v>
      </c>
      <c r="I2401" s="33" t="str">
        <f>CONCATENATE(UPPER(TableAopCalendar[[#This Row],[Month]])," ",TableAopCalendar[[#This Row],[Year]])</f>
        <v>OCTOBER 28</v>
      </c>
      <c r="J2401" s="8" t="s">
        <v>274</v>
      </c>
      <c r="K2401" s="33" t="str">
        <f>CONCATENATE(TableAopCalendar[[#This Row],[Month for Plan]]," ",TableAopCalendar[[#This Row],[Plan]])</f>
        <v>OCTOBER 28 PLANNED</v>
      </c>
    </row>
    <row r="2402" spans="1:11" x14ac:dyDescent="0.25">
      <c r="A2402" s="33">
        <f t="shared" si="126"/>
        <v>5</v>
      </c>
      <c r="B2402" s="34">
        <v>47052</v>
      </c>
      <c r="C2402" s="7" t="s">
        <v>114</v>
      </c>
      <c r="D2402" s="35">
        <v>28</v>
      </c>
      <c r="E2402" s="33">
        <f>DAY(TableAopCalendar[[#This Row],[Date]])</f>
        <v>26</v>
      </c>
      <c r="F240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02" s="33" t="str">
        <f t="shared" si="127"/>
        <v>Week 4</v>
      </c>
      <c r="H2402" s="33" t="str">
        <f t="shared" si="128"/>
        <v>October 28 Week 4</v>
      </c>
      <c r="I2402" s="33" t="str">
        <f>CONCATENATE(UPPER(TableAopCalendar[[#This Row],[Month]])," ",TableAopCalendar[[#This Row],[Year]])</f>
        <v>OCTOBER 28</v>
      </c>
      <c r="J2402" s="8" t="s">
        <v>274</v>
      </c>
      <c r="K2402" s="33" t="str">
        <f>CONCATENATE(TableAopCalendar[[#This Row],[Month for Plan]]," ",TableAopCalendar[[#This Row],[Plan]])</f>
        <v>OCTOBER 28 PLANNED</v>
      </c>
    </row>
    <row r="2403" spans="1:11" x14ac:dyDescent="0.25">
      <c r="A2403" s="33">
        <f t="shared" si="126"/>
        <v>6</v>
      </c>
      <c r="B2403" s="34">
        <v>47053</v>
      </c>
      <c r="C2403" s="7" t="s">
        <v>114</v>
      </c>
      <c r="D2403" s="35">
        <v>28</v>
      </c>
      <c r="E2403" s="33">
        <f>DAY(TableAopCalendar[[#This Row],[Date]])</f>
        <v>27</v>
      </c>
      <c r="F240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03" s="33" t="str">
        <f t="shared" si="127"/>
        <v>Week 4</v>
      </c>
      <c r="H2403" s="33" t="str">
        <f t="shared" si="128"/>
        <v>October 28 Week 4</v>
      </c>
      <c r="I2403" s="33" t="str">
        <f>CONCATENATE(UPPER(TableAopCalendar[[#This Row],[Month]])," ",TableAopCalendar[[#This Row],[Year]])</f>
        <v>OCTOBER 28</v>
      </c>
      <c r="J2403" s="8" t="s">
        <v>274</v>
      </c>
      <c r="K2403" s="33" t="str">
        <f>CONCATENATE(TableAopCalendar[[#This Row],[Month for Plan]]," ",TableAopCalendar[[#This Row],[Plan]])</f>
        <v>OCTOBER 28 PLANNED</v>
      </c>
    </row>
    <row r="2404" spans="1:11" x14ac:dyDescent="0.25">
      <c r="A2404" s="33">
        <f t="shared" ref="A2404:A2467" si="129">IF(G2404=G2403,A2403+1,1)</f>
        <v>7</v>
      </c>
      <c r="B2404" s="34">
        <v>47054</v>
      </c>
      <c r="C2404" s="7" t="s">
        <v>114</v>
      </c>
      <c r="D2404" s="35">
        <v>28</v>
      </c>
      <c r="E2404" s="33">
        <f>DAY(TableAopCalendar[[#This Row],[Date]])</f>
        <v>28</v>
      </c>
      <c r="F240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04" s="33" t="str">
        <f t="shared" ref="G2404:G2467" si="130">"Week"&amp;" "&amp;F2404</f>
        <v>Week 4</v>
      </c>
      <c r="H2404" s="33" t="str">
        <f t="shared" ref="H2404:H2467" si="131">CONCATENATE(C2404," ",D2404," ",G2404)</f>
        <v>October 28 Week 4</v>
      </c>
      <c r="I2404" s="33" t="str">
        <f>CONCATENATE(UPPER(TableAopCalendar[[#This Row],[Month]])," ",TableAopCalendar[[#This Row],[Year]])</f>
        <v>OCTOBER 28</v>
      </c>
      <c r="J2404" s="8" t="s">
        <v>274</v>
      </c>
      <c r="K2404" s="33" t="str">
        <f>CONCATENATE(TableAopCalendar[[#This Row],[Month for Plan]]," ",TableAopCalendar[[#This Row],[Plan]])</f>
        <v>OCTOBER 28 PLANNED</v>
      </c>
    </row>
    <row r="2405" spans="1:11" x14ac:dyDescent="0.25">
      <c r="A2405" s="33">
        <f t="shared" si="129"/>
        <v>1</v>
      </c>
      <c r="B2405" s="34">
        <v>47055</v>
      </c>
      <c r="C2405" s="7" t="s">
        <v>114</v>
      </c>
      <c r="D2405" s="35">
        <v>28</v>
      </c>
      <c r="E2405" s="33">
        <f>DAY(TableAopCalendar[[#This Row],[Date]])</f>
        <v>29</v>
      </c>
      <c r="F2405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05" s="33" t="str">
        <f t="shared" si="130"/>
        <v>Week 5</v>
      </c>
      <c r="H2405" s="33" t="str">
        <f t="shared" si="131"/>
        <v>October 28 Week 5</v>
      </c>
      <c r="I2405" s="33" t="str">
        <f>CONCATENATE(UPPER(TableAopCalendar[[#This Row],[Month]])," ",TableAopCalendar[[#This Row],[Year]])</f>
        <v>OCTOBER 28</v>
      </c>
      <c r="J2405" s="8" t="s">
        <v>274</v>
      </c>
      <c r="K2405" s="33" t="str">
        <f>CONCATENATE(TableAopCalendar[[#This Row],[Month for Plan]]," ",TableAopCalendar[[#This Row],[Plan]])</f>
        <v>OCTOBER 28 PLANNED</v>
      </c>
    </row>
    <row r="2406" spans="1:11" x14ac:dyDescent="0.25">
      <c r="A2406" s="33">
        <f t="shared" si="129"/>
        <v>2</v>
      </c>
      <c r="B2406" s="34">
        <v>47056</v>
      </c>
      <c r="C2406" s="7" t="s">
        <v>114</v>
      </c>
      <c r="D2406" s="35">
        <v>28</v>
      </c>
      <c r="E2406" s="33">
        <f>DAY(TableAopCalendar[[#This Row],[Date]])</f>
        <v>30</v>
      </c>
      <c r="F2406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06" s="33" t="str">
        <f t="shared" si="130"/>
        <v>Week 5</v>
      </c>
      <c r="H2406" s="33" t="str">
        <f t="shared" si="131"/>
        <v>October 28 Week 5</v>
      </c>
      <c r="I2406" s="33" t="str">
        <f>CONCATENATE(UPPER(TableAopCalendar[[#This Row],[Month]])," ",TableAopCalendar[[#This Row],[Year]])</f>
        <v>OCTOBER 28</v>
      </c>
      <c r="J2406" s="8" t="s">
        <v>274</v>
      </c>
      <c r="K2406" s="33" t="str">
        <f>CONCATENATE(TableAopCalendar[[#This Row],[Month for Plan]]," ",TableAopCalendar[[#This Row],[Plan]])</f>
        <v>OCTOBER 28 PLANNED</v>
      </c>
    </row>
    <row r="2407" spans="1:11" x14ac:dyDescent="0.25">
      <c r="A2407" s="33">
        <f t="shared" si="129"/>
        <v>3</v>
      </c>
      <c r="B2407" s="34">
        <v>47057</v>
      </c>
      <c r="C2407" s="7" t="s">
        <v>114</v>
      </c>
      <c r="D2407" s="35">
        <v>28</v>
      </c>
      <c r="E2407" s="33">
        <f>DAY(TableAopCalendar[[#This Row],[Date]])</f>
        <v>31</v>
      </c>
      <c r="F240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07" s="33" t="str">
        <f t="shared" si="130"/>
        <v>Week 5</v>
      </c>
      <c r="H2407" s="33" t="str">
        <f t="shared" si="131"/>
        <v>October 28 Week 5</v>
      </c>
      <c r="I2407" s="33" t="str">
        <f>CONCATENATE(UPPER(TableAopCalendar[[#This Row],[Month]])," ",TableAopCalendar[[#This Row],[Year]])</f>
        <v>OCTOBER 28</v>
      </c>
      <c r="J2407" s="8" t="s">
        <v>274</v>
      </c>
      <c r="K2407" s="33" t="str">
        <f>CONCATENATE(TableAopCalendar[[#This Row],[Month for Plan]]," ",TableAopCalendar[[#This Row],[Plan]])</f>
        <v>OCTOBER 28 PLANNED</v>
      </c>
    </row>
    <row r="2408" spans="1:11" x14ac:dyDescent="0.25">
      <c r="A2408" s="33">
        <f t="shared" si="129"/>
        <v>1</v>
      </c>
      <c r="B2408" s="34">
        <v>47058</v>
      </c>
      <c r="C2408" s="7" t="s">
        <v>117</v>
      </c>
      <c r="D2408" s="35">
        <v>28</v>
      </c>
      <c r="E2408" s="33">
        <f>DAY(TableAopCalendar[[#This Row],[Date]])</f>
        <v>1</v>
      </c>
      <c r="F240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08" s="33" t="str">
        <f t="shared" si="130"/>
        <v>Week 1</v>
      </c>
      <c r="H2408" s="33" t="str">
        <f t="shared" si="131"/>
        <v>November 28 Week 1</v>
      </c>
      <c r="I2408" s="33" t="str">
        <f>CONCATENATE(UPPER(TableAopCalendar[[#This Row],[Month]])," ",TableAopCalendar[[#This Row],[Year]])</f>
        <v>NOVEMBER 28</v>
      </c>
      <c r="J2408" s="8" t="s">
        <v>274</v>
      </c>
      <c r="K2408" s="33" t="str">
        <f>CONCATENATE(TableAopCalendar[[#This Row],[Month for Plan]]," ",TableAopCalendar[[#This Row],[Plan]])</f>
        <v>NOVEMBER 28 PLANNED</v>
      </c>
    </row>
    <row r="2409" spans="1:11" x14ac:dyDescent="0.25">
      <c r="A2409" s="33">
        <f t="shared" si="129"/>
        <v>2</v>
      </c>
      <c r="B2409" s="34">
        <v>47059</v>
      </c>
      <c r="C2409" s="7" t="s">
        <v>117</v>
      </c>
      <c r="D2409" s="35">
        <v>28</v>
      </c>
      <c r="E2409" s="33">
        <f>DAY(TableAopCalendar[[#This Row],[Date]])</f>
        <v>2</v>
      </c>
      <c r="F240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09" s="33" t="str">
        <f t="shared" si="130"/>
        <v>Week 1</v>
      </c>
      <c r="H2409" s="33" t="str">
        <f t="shared" si="131"/>
        <v>November 28 Week 1</v>
      </c>
      <c r="I2409" s="33" t="str">
        <f>CONCATENATE(UPPER(TableAopCalendar[[#This Row],[Month]])," ",TableAopCalendar[[#This Row],[Year]])</f>
        <v>NOVEMBER 28</v>
      </c>
      <c r="J2409" s="8" t="s">
        <v>274</v>
      </c>
      <c r="K2409" s="33" t="str">
        <f>CONCATENATE(TableAopCalendar[[#This Row],[Month for Plan]]," ",TableAopCalendar[[#This Row],[Plan]])</f>
        <v>NOVEMBER 28 PLANNED</v>
      </c>
    </row>
    <row r="2410" spans="1:11" x14ac:dyDescent="0.25">
      <c r="A2410" s="33">
        <f t="shared" si="129"/>
        <v>3</v>
      </c>
      <c r="B2410" s="34">
        <v>47060</v>
      </c>
      <c r="C2410" s="7" t="s">
        <v>117</v>
      </c>
      <c r="D2410" s="35">
        <v>28</v>
      </c>
      <c r="E2410" s="33">
        <f>DAY(TableAopCalendar[[#This Row],[Date]])</f>
        <v>3</v>
      </c>
      <c r="F241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10" s="33" t="str">
        <f t="shared" si="130"/>
        <v>Week 1</v>
      </c>
      <c r="H2410" s="33" t="str">
        <f t="shared" si="131"/>
        <v>November 28 Week 1</v>
      </c>
      <c r="I2410" s="33" t="str">
        <f>CONCATENATE(UPPER(TableAopCalendar[[#This Row],[Month]])," ",TableAopCalendar[[#This Row],[Year]])</f>
        <v>NOVEMBER 28</v>
      </c>
      <c r="J2410" s="8" t="s">
        <v>274</v>
      </c>
      <c r="K2410" s="33" t="str">
        <f>CONCATENATE(TableAopCalendar[[#This Row],[Month for Plan]]," ",TableAopCalendar[[#This Row],[Plan]])</f>
        <v>NOVEMBER 28 PLANNED</v>
      </c>
    </row>
    <row r="2411" spans="1:11" x14ac:dyDescent="0.25">
      <c r="A2411" s="33">
        <f t="shared" si="129"/>
        <v>4</v>
      </c>
      <c r="B2411" s="34">
        <v>47061</v>
      </c>
      <c r="C2411" s="7" t="s">
        <v>117</v>
      </c>
      <c r="D2411" s="35">
        <v>28</v>
      </c>
      <c r="E2411" s="33">
        <f>DAY(TableAopCalendar[[#This Row],[Date]])</f>
        <v>4</v>
      </c>
      <c r="F241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11" s="33" t="str">
        <f t="shared" si="130"/>
        <v>Week 1</v>
      </c>
      <c r="H2411" s="33" t="str">
        <f t="shared" si="131"/>
        <v>November 28 Week 1</v>
      </c>
      <c r="I2411" s="33" t="str">
        <f>CONCATENATE(UPPER(TableAopCalendar[[#This Row],[Month]])," ",TableAopCalendar[[#This Row],[Year]])</f>
        <v>NOVEMBER 28</v>
      </c>
      <c r="J2411" s="8" t="s">
        <v>274</v>
      </c>
      <c r="K2411" s="33" t="str">
        <f>CONCATENATE(TableAopCalendar[[#This Row],[Month for Plan]]," ",TableAopCalendar[[#This Row],[Plan]])</f>
        <v>NOVEMBER 28 PLANNED</v>
      </c>
    </row>
    <row r="2412" spans="1:11" x14ac:dyDescent="0.25">
      <c r="A2412" s="33">
        <f t="shared" si="129"/>
        <v>5</v>
      </c>
      <c r="B2412" s="34">
        <v>47062</v>
      </c>
      <c r="C2412" s="7" t="s">
        <v>117</v>
      </c>
      <c r="D2412" s="35">
        <v>28</v>
      </c>
      <c r="E2412" s="33">
        <f>DAY(TableAopCalendar[[#This Row],[Date]])</f>
        <v>5</v>
      </c>
      <c r="F241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12" s="33" t="str">
        <f t="shared" si="130"/>
        <v>Week 1</v>
      </c>
      <c r="H2412" s="33" t="str">
        <f t="shared" si="131"/>
        <v>November 28 Week 1</v>
      </c>
      <c r="I2412" s="33" t="str">
        <f>CONCATENATE(UPPER(TableAopCalendar[[#This Row],[Month]])," ",TableAopCalendar[[#This Row],[Year]])</f>
        <v>NOVEMBER 28</v>
      </c>
      <c r="J2412" s="8" t="s">
        <v>274</v>
      </c>
      <c r="K2412" s="33" t="str">
        <f>CONCATENATE(TableAopCalendar[[#This Row],[Month for Plan]]," ",TableAopCalendar[[#This Row],[Plan]])</f>
        <v>NOVEMBER 28 PLANNED</v>
      </c>
    </row>
    <row r="2413" spans="1:11" x14ac:dyDescent="0.25">
      <c r="A2413" s="33">
        <f t="shared" si="129"/>
        <v>6</v>
      </c>
      <c r="B2413" s="34">
        <v>47063</v>
      </c>
      <c r="C2413" s="7" t="s">
        <v>117</v>
      </c>
      <c r="D2413" s="35">
        <v>28</v>
      </c>
      <c r="E2413" s="33">
        <f>DAY(TableAopCalendar[[#This Row],[Date]])</f>
        <v>6</v>
      </c>
      <c r="F241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13" s="33" t="str">
        <f t="shared" si="130"/>
        <v>Week 1</v>
      </c>
      <c r="H2413" s="33" t="str">
        <f t="shared" si="131"/>
        <v>November 28 Week 1</v>
      </c>
      <c r="I2413" s="33" t="str">
        <f>CONCATENATE(UPPER(TableAopCalendar[[#This Row],[Month]])," ",TableAopCalendar[[#This Row],[Year]])</f>
        <v>NOVEMBER 28</v>
      </c>
      <c r="J2413" s="8" t="s">
        <v>274</v>
      </c>
      <c r="K2413" s="33" t="str">
        <f>CONCATENATE(TableAopCalendar[[#This Row],[Month for Plan]]," ",TableAopCalendar[[#This Row],[Plan]])</f>
        <v>NOVEMBER 28 PLANNED</v>
      </c>
    </row>
    <row r="2414" spans="1:11" x14ac:dyDescent="0.25">
      <c r="A2414" s="33">
        <f t="shared" si="129"/>
        <v>7</v>
      </c>
      <c r="B2414" s="34">
        <v>47064</v>
      </c>
      <c r="C2414" s="7" t="s">
        <v>117</v>
      </c>
      <c r="D2414" s="35">
        <v>28</v>
      </c>
      <c r="E2414" s="33">
        <f>DAY(TableAopCalendar[[#This Row],[Date]])</f>
        <v>7</v>
      </c>
      <c r="F241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14" s="33" t="str">
        <f t="shared" si="130"/>
        <v>Week 1</v>
      </c>
      <c r="H2414" s="33" t="str">
        <f t="shared" si="131"/>
        <v>November 28 Week 1</v>
      </c>
      <c r="I2414" s="33" t="str">
        <f>CONCATENATE(UPPER(TableAopCalendar[[#This Row],[Month]])," ",TableAopCalendar[[#This Row],[Year]])</f>
        <v>NOVEMBER 28</v>
      </c>
      <c r="J2414" s="8" t="s">
        <v>274</v>
      </c>
      <c r="K2414" s="33" t="str">
        <f>CONCATENATE(TableAopCalendar[[#This Row],[Month for Plan]]," ",TableAopCalendar[[#This Row],[Plan]])</f>
        <v>NOVEMBER 28 PLANNED</v>
      </c>
    </row>
    <row r="2415" spans="1:11" x14ac:dyDescent="0.25">
      <c r="A2415" s="33">
        <f t="shared" si="129"/>
        <v>1</v>
      </c>
      <c r="B2415" s="34">
        <v>47065</v>
      </c>
      <c r="C2415" s="7" t="s">
        <v>117</v>
      </c>
      <c r="D2415" s="35">
        <v>28</v>
      </c>
      <c r="E2415" s="33">
        <f>DAY(TableAopCalendar[[#This Row],[Date]])</f>
        <v>8</v>
      </c>
      <c r="F241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15" s="33" t="str">
        <f t="shared" si="130"/>
        <v>Week 2</v>
      </c>
      <c r="H2415" s="33" t="str">
        <f t="shared" si="131"/>
        <v>November 28 Week 2</v>
      </c>
      <c r="I2415" s="33" t="str">
        <f>CONCATENATE(UPPER(TableAopCalendar[[#This Row],[Month]])," ",TableAopCalendar[[#This Row],[Year]])</f>
        <v>NOVEMBER 28</v>
      </c>
      <c r="J2415" s="8" t="s">
        <v>274</v>
      </c>
      <c r="K2415" s="33" t="str">
        <f>CONCATENATE(TableAopCalendar[[#This Row],[Month for Plan]]," ",TableAopCalendar[[#This Row],[Plan]])</f>
        <v>NOVEMBER 28 PLANNED</v>
      </c>
    </row>
    <row r="2416" spans="1:11" x14ac:dyDescent="0.25">
      <c r="A2416" s="33">
        <f t="shared" si="129"/>
        <v>2</v>
      </c>
      <c r="B2416" s="34">
        <v>47066</v>
      </c>
      <c r="C2416" s="7" t="s">
        <v>117</v>
      </c>
      <c r="D2416" s="35">
        <v>28</v>
      </c>
      <c r="E2416" s="33">
        <f>DAY(TableAopCalendar[[#This Row],[Date]])</f>
        <v>9</v>
      </c>
      <c r="F241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16" s="33" t="str">
        <f t="shared" si="130"/>
        <v>Week 2</v>
      </c>
      <c r="H2416" s="33" t="str">
        <f t="shared" si="131"/>
        <v>November 28 Week 2</v>
      </c>
      <c r="I2416" s="33" t="str">
        <f>CONCATENATE(UPPER(TableAopCalendar[[#This Row],[Month]])," ",TableAopCalendar[[#This Row],[Year]])</f>
        <v>NOVEMBER 28</v>
      </c>
      <c r="J2416" s="8" t="s">
        <v>274</v>
      </c>
      <c r="K2416" s="33" t="str">
        <f>CONCATENATE(TableAopCalendar[[#This Row],[Month for Plan]]," ",TableAopCalendar[[#This Row],[Plan]])</f>
        <v>NOVEMBER 28 PLANNED</v>
      </c>
    </row>
    <row r="2417" spans="1:11" x14ac:dyDescent="0.25">
      <c r="A2417" s="33">
        <f t="shared" si="129"/>
        <v>3</v>
      </c>
      <c r="B2417" s="34">
        <v>47067</v>
      </c>
      <c r="C2417" s="7" t="s">
        <v>117</v>
      </c>
      <c r="D2417" s="35">
        <v>28</v>
      </c>
      <c r="E2417" s="33">
        <f>DAY(TableAopCalendar[[#This Row],[Date]])</f>
        <v>10</v>
      </c>
      <c r="F241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17" s="33" t="str">
        <f t="shared" si="130"/>
        <v>Week 2</v>
      </c>
      <c r="H2417" s="33" t="str">
        <f t="shared" si="131"/>
        <v>November 28 Week 2</v>
      </c>
      <c r="I2417" s="33" t="str">
        <f>CONCATENATE(UPPER(TableAopCalendar[[#This Row],[Month]])," ",TableAopCalendar[[#This Row],[Year]])</f>
        <v>NOVEMBER 28</v>
      </c>
      <c r="J2417" s="8" t="s">
        <v>274</v>
      </c>
      <c r="K2417" s="33" t="str">
        <f>CONCATENATE(TableAopCalendar[[#This Row],[Month for Plan]]," ",TableAopCalendar[[#This Row],[Plan]])</f>
        <v>NOVEMBER 28 PLANNED</v>
      </c>
    </row>
    <row r="2418" spans="1:11" x14ac:dyDescent="0.25">
      <c r="A2418" s="33">
        <f t="shared" si="129"/>
        <v>4</v>
      </c>
      <c r="B2418" s="34">
        <v>47068</v>
      </c>
      <c r="C2418" s="7" t="s">
        <v>117</v>
      </c>
      <c r="D2418" s="35">
        <v>28</v>
      </c>
      <c r="E2418" s="33">
        <f>DAY(TableAopCalendar[[#This Row],[Date]])</f>
        <v>11</v>
      </c>
      <c r="F241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18" s="33" t="str">
        <f t="shared" si="130"/>
        <v>Week 2</v>
      </c>
      <c r="H2418" s="33" t="str">
        <f t="shared" si="131"/>
        <v>November 28 Week 2</v>
      </c>
      <c r="I2418" s="33" t="str">
        <f>CONCATENATE(UPPER(TableAopCalendar[[#This Row],[Month]])," ",TableAopCalendar[[#This Row],[Year]])</f>
        <v>NOVEMBER 28</v>
      </c>
      <c r="J2418" s="8" t="s">
        <v>274</v>
      </c>
      <c r="K2418" s="33" t="str">
        <f>CONCATENATE(TableAopCalendar[[#This Row],[Month for Plan]]," ",TableAopCalendar[[#This Row],[Plan]])</f>
        <v>NOVEMBER 28 PLANNED</v>
      </c>
    </row>
    <row r="2419" spans="1:11" x14ac:dyDescent="0.25">
      <c r="A2419" s="33">
        <f t="shared" si="129"/>
        <v>5</v>
      </c>
      <c r="B2419" s="34">
        <v>47069</v>
      </c>
      <c r="C2419" s="7" t="s">
        <v>117</v>
      </c>
      <c r="D2419" s="35">
        <v>28</v>
      </c>
      <c r="E2419" s="33">
        <f>DAY(TableAopCalendar[[#This Row],[Date]])</f>
        <v>12</v>
      </c>
      <c r="F241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19" s="33" t="str">
        <f t="shared" si="130"/>
        <v>Week 2</v>
      </c>
      <c r="H2419" s="33" t="str">
        <f t="shared" si="131"/>
        <v>November 28 Week 2</v>
      </c>
      <c r="I2419" s="33" t="str">
        <f>CONCATENATE(UPPER(TableAopCalendar[[#This Row],[Month]])," ",TableAopCalendar[[#This Row],[Year]])</f>
        <v>NOVEMBER 28</v>
      </c>
      <c r="J2419" s="8" t="s">
        <v>274</v>
      </c>
      <c r="K2419" s="33" t="str">
        <f>CONCATENATE(TableAopCalendar[[#This Row],[Month for Plan]]," ",TableAopCalendar[[#This Row],[Plan]])</f>
        <v>NOVEMBER 28 PLANNED</v>
      </c>
    </row>
    <row r="2420" spans="1:11" x14ac:dyDescent="0.25">
      <c r="A2420" s="33">
        <f t="shared" si="129"/>
        <v>6</v>
      </c>
      <c r="B2420" s="34">
        <v>47070</v>
      </c>
      <c r="C2420" s="7" t="s">
        <v>117</v>
      </c>
      <c r="D2420" s="35">
        <v>28</v>
      </c>
      <c r="E2420" s="33">
        <f>DAY(TableAopCalendar[[#This Row],[Date]])</f>
        <v>13</v>
      </c>
      <c r="F242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20" s="33" t="str">
        <f t="shared" si="130"/>
        <v>Week 2</v>
      </c>
      <c r="H2420" s="33" t="str">
        <f t="shared" si="131"/>
        <v>November 28 Week 2</v>
      </c>
      <c r="I2420" s="33" t="str">
        <f>CONCATENATE(UPPER(TableAopCalendar[[#This Row],[Month]])," ",TableAopCalendar[[#This Row],[Year]])</f>
        <v>NOVEMBER 28</v>
      </c>
      <c r="J2420" s="8" t="s">
        <v>274</v>
      </c>
      <c r="K2420" s="33" t="str">
        <f>CONCATENATE(TableAopCalendar[[#This Row],[Month for Plan]]," ",TableAopCalendar[[#This Row],[Plan]])</f>
        <v>NOVEMBER 28 PLANNED</v>
      </c>
    </row>
    <row r="2421" spans="1:11" x14ac:dyDescent="0.25">
      <c r="A2421" s="33">
        <f t="shared" si="129"/>
        <v>7</v>
      </c>
      <c r="B2421" s="34">
        <v>47071</v>
      </c>
      <c r="C2421" s="7" t="s">
        <v>117</v>
      </c>
      <c r="D2421" s="35">
        <v>28</v>
      </c>
      <c r="E2421" s="33">
        <f>DAY(TableAopCalendar[[#This Row],[Date]])</f>
        <v>14</v>
      </c>
      <c r="F242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21" s="33" t="str">
        <f t="shared" si="130"/>
        <v>Week 2</v>
      </c>
      <c r="H2421" s="33" t="str">
        <f t="shared" si="131"/>
        <v>November 28 Week 2</v>
      </c>
      <c r="I2421" s="33" t="str">
        <f>CONCATENATE(UPPER(TableAopCalendar[[#This Row],[Month]])," ",TableAopCalendar[[#This Row],[Year]])</f>
        <v>NOVEMBER 28</v>
      </c>
      <c r="J2421" s="8" t="s">
        <v>274</v>
      </c>
      <c r="K2421" s="33" t="str">
        <f>CONCATENATE(TableAopCalendar[[#This Row],[Month for Plan]]," ",TableAopCalendar[[#This Row],[Plan]])</f>
        <v>NOVEMBER 28 PLANNED</v>
      </c>
    </row>
    <row r="2422" spans="1:11" x14ac:dyDescent="0.25">
      <c r="A2422" s="33">
        <f t="shared" si="129"/>
        <v>1</v>
      </c>
      <c r="B2422" s="34">
        <v>47072</v>
      </c>
      <c r="C2422" s="7" t="s">
        <v>117</v>
      </c>
      <c r="D2422" s="35">
        <v>28</v>
      </c>
      <c r="E2422" s="33">
        <f>DAY(TableAopCalendar[[#This Row],[Date]])</f>
        <v>15</v>
      </c>
      <c r="F242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22" s="33" t="str">
        <f t="shared" si="130"/>
        <v>Week 3</v>
      </c>
      <c r="H2422" s="33" t="str">
        <f t="shared" si="131"/>
        <v>November 28 Week 3</v>
      </c>
      <c r="I2422" s="33" t="str">
        <f>CONCATENATE(UPPER(TableAopCalendar[[#This Row],[Month]])," ",TableAopCalendar[[#This Row],[Year]])</f>
        <v>NOVEMBER 28</v>
      </c>
      <c r="J2422" s="8" t="s">
        <v>274</v>
      </c>
      <c r="K2422" s="33" t="str">
        <f>CONCATENATE(TableAopCalendar[[#This Row],[Month for Plan]]," ",TableAopCalendar[[#This Row],[Plan]])</f>
        <v>NOVEMBER 28 PLANNED</v>
      </c>
    </row>
    <row r="2423" spans="1:11" x14ac:dyDescent="0.25">
      <c r="A2423" s="33">
        <f t="shared" si="129"/>
        <v>2</v>
      </c>
      <c r="B2423" s="34">
        <v>47073</v>
      </c>
      <c r="C2423" s="7" t="s">
        <v>117</v>
      </c>
      <c r="D2423" s="35">
        <v>28</v>
      </c>
      <c r="E2423" s="33">
        <f>DAY(TableAopCalendar[[#This Row],[Date]])</f>
        <v>16</v>
      </c>
      <c r="F242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23" s="33" t="str">
        <f t="shared" si="130"/>
        <v>Week 3</v>
      </c>
      <c r="H2423" s="33" t="str">
        <f t="shared" si="131"/>
        <v>November 28 Week 3</v>
      </c>
      <c r="I2423" s="33" t="str">
        <f>CONCATENATE(UPPER(TableAopCalendar[[#This Row],[Month]])," ",TableAopCalendar[[#This Row],[Year]])</f>
        <v>NOVEMBER 28</v>
      </c>
      <c r="J2423" s="8" t="s">
        <v>274</v>
      </c>
      <c r="K2423" s="33" t="str">
        <f>CONCATENATE(TableAopCalendar[[#This Row],[Month for Plan]]," ",TableAopCalendar[[#This Row],[Plan]])</f>
        <v>NOVEMBER 28 PLANNED</v>
      </c>
    </row>
    <row r="2424" spans="1:11" x14ac:dyDescent="0.25">
      <c r="A2424" s="33">
        <f t="shared" si="129"/>
        <v>3</v>
      </c>
      <c r="B2424" s="34">
        <v>47074</v>
      </c>
      <c r="C2424" s="7" t="s">
        <v>117</v>
      </c>
      <c r="D2424" s="35">
        <v>28</v>
      </c>
      <c r="E2424" s="33">
        <f>DAY(TableAopCalendar[[#This Row],[Date]])</f>
        <v>17</v>
      </c>
      <c r="F242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24" s="33" t="str">
        <f t="shared" si="130"/>
        <v>Week 3</v>
      </c>
      <c r="H2424" s="33" t="str">
        <f t="shared" si="131"/>
        <v>November 28 Week 3</v>
      </c>
      <c r="I2424" s="33" t="str">
        <f>CONCATENATE(UPPER(TableAopCalendar[[#This Row],[Month]])," ",TableAopCalendar[[#This Row],[Year]])</f>
        <v>NOVEMBER 28</v>
      </c>
      <c r="J2424" s="8" t="s">
        <v>274</v>
      </c>
      <c r="K2424" s="33" t="str">
        <f>CONCATENATE(TableAopCalendar[[#This Row],[Month for Plan]]," ",TableAopCalendar[[#This Row],[Plan]])</f>
        <v>NOVEMBER 28 PLANNED</v>
      </c>
    </row>
    <row r="2425" spans="1:11" x14ac:dyDescent="0.25">
      <c r="A2425" s="33">
        <f t="shared" si="129"/>
        <v>4</v>
      </c>
      <c r="B2425" s="34">
        <v>47075</v>
      </c>
      <c r="C2425" s="7" t="s">
        <v>117</v>
      </c>
      <c r="D2425" s="35">
        <v>28</v>
      </c>
      <c r="E2425" s="33">
        <f>DAY(TableAopCalendar[[#This Row],[Date]])</f>
        <v>18</v>
      </c>
      <c r="F242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25" s="33" t="str">
        <f t="shared" si="130"/>
        <v>Week 3</v>
      </c>
      <c r="H2425" s="33" t="str">
        <f t="shared" si="131"/>
        <v>November 28 Week 3</v>
      </c>
      <c r="I2425" s="33" t="str">
        <f>CONCATENATE(UPPER(TableAopCalendar[[#This Row],[Month]])," ",TableAopCalendar[[#This Row],[Year]])</f>
        <v>NOVEMBER 28</v>
      </c>
      <c r="J2425" s="8" t="s">
        <v>274</v>
      </c>
      <c r="K2425" s="33" t="str">
        <f>CONCATENATE(TableAopCalendar[[#This Row],[Month for Plan]]," ",TableAopCalendar[[#This Row],[Plan]])</f>
        <v>NOVEMBER 28 PLANNED</v>
      </c>
    </row>
    <row r="2426" spans="1:11" x14ac:dyDescent="0.25">
      <c r="A2426" s="33">
        <f t="shared" si="129"/>
        <v>5</v>
      </c>
      <c r="B2426" s="34">
        <v>47076</v>
      </c>
      <c r="C2426" s="7" t="s">
        <v>117</v>
      </c>
      <c r="D2426" s="35">
        <v>28</v>
      </c>
      <c r="E2426" s="33">
        <f>DAY(TableAopCalendar[[#This Row],[Date]])</f>
        <v>19</v>
      </c>
      <c r="F242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26" s="33" t="str">
        <f t="shared" si="130"/>
        <v>Week 3</v>
      </c>
      <c r="H2426" s="33" t="str">
        <f t="shared" si="131"/>
        <v>November 28 Week 3</v>
      </c>
      <c r="I2426" s="33" t="str">
        <f>CONCATENATE(UPPER(TableAopCalendar[[#This Row],[Month]])," ",TableAopCalendar[[#This Row],[Year]])</f>
        <v>NOVEMBER 28</v>
      </c>
      <c r="J2426" s="8" t="s">
        <v>274</v>
      </c>
      <c r="K2426" s="33" t="str">
        <f>CONCATENATE(TableAopCalendar[[#This Row],[Month for Plan]]," ",TableAopCalendar[[#This Row],[Plan]])</f>
        <v>NOVEMBER 28 PLANNED</v>
      </c>
    </row>
    <row r="2427" spans="1:11" x14ac:dyDescent="0.25">
      <c r="A2427" s="33">
        <f t="shared" si="129"/>
        <v>6</v>
      </c>
      <c r="B2427" s="34">
        <v>47077</v>
      </c>
      <c r="C2427" s="7" t="s">
        <v>117</v>
      </c>
      <c r="D2427" s="35">
        <v>28</v>
      </c>
      <c r="E2427" s="33">
        <f>DAY(TableAopCalendar[[#This Row],[Date]])</f>
        <v>20</v>
      </c>
      <c r="F242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27" s="33" t="str">
        <f t="shared" si="130"/>
        <v>Week 3</v>
      </c>
      <c r="H2427" s="33" t="str">
        <f t="shared" si="131"/>
        <v>November 28 Week 3</v>
      </c>
      <c r="I2427" s="33" t="str">
        <f>CONCATENATE(UPPER(TableAopCalendar[[#This Row],[Month]])," ",TableAopCalendar[[#This Row],[Year]])</f>
        <v>NOVEMBER 28</v>
      </c>
      <c r="J2427" s="8" t="s">
        <v>274</v>
      </c>
      <c r="K2427" s="33" t="str">
        <f>CONCATENATE(TableAopCalendar[[#This Row],[Month for Plan]]," ",TableAopCalendar[[#This Row],[Plan]])</f>
        <v>NOVEMBER 28 PLANNED</v>
      </c>
    </row>
    <row r="2428" spans="1:11" x14ac:dyDescent="0.25">
      <c r="A2428" s="33">
        <f t="shared" si="129"/>
        <v>7</v>
      </c>
      <c r="B2428" s="34">
        <v>47078</v>
      </c>
      <c r="C2428" s="7" t="s">
        <v>117</v>
      </c>
      <c r="D2428" s="35">
        <v>28</v>
      </c>
      <c r="E2428" s="33">
        <f>DAY(TableAopCalendar[[#This Row],[Date]])</f>
        <v>21</v>
      </c>
      <c r="F242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28" s="33" t="str">
        <f t="shared" si="130"/>
        <v>Week 3</v>
      </c>
      <c r="H2428" s="33" t="str">
        <f t="shared" si="131"/>
        <v>November 28 Week 3</v>
      </c>
      <c r="I2428" s="33" t="str">
        <f>CONCATENATE(UPPER(TableAopCalendar[[#This Row],[Month]])," ",TableAopCalendar[[#This Row],[Year]])</f>
        <v>NOVEMBER 28</v>
      </c>
      <c r="J2428" s="8" t="s">
        <v>274</v>
      </c>
      <c r="K2428" s="33" t="str">
        <f>CONCATENATE(TableAopCalendar[[#This Row],[Month for Plan]]," ",TableAopCalendar[[#This Row],[Plan]])</f>
        <v>NOVEMBER 28 PLANNED</v>
      </c>
    </row>
    <row r="2429" spans="1:11" x14ac:dyDescent="0.25">
      <c r="A2429" s="33">
        <f t="shared" si="129"/>
        <v>1</v>
      </c>
      <c r="B2429" s="34">
        <v>47079</v>
      </c>
      <c r="C2429" s="7" t="s">
        <v>117</v>
      </c>
      <c r="D2429" s="35">
        <v>28</v>
      </c>
      <c r="E2429" s="33">
        <f>DAY(TableAopCalendar[[#This Row],[Date]])</f>
        <v>22</v>
      </c>
      <c r="F242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29" s="33" t="str">
        <f t="shared" si="130"/>
        <v>Week 4</v>
      </c>
      <c r="H2429" s="33" t="str">
        <f t="shared" si="131"/>
        <v>November 28 Week 4</v>
      </c>
      <c r="I2429" s="33" t="str">
        <f>CONCATENATE(UPPER(TableAopCalendar[[#This Row],[Month]])," ",TableAopCalendar[[#This Row],[Year]])</f>
        <v>NOVEMBER 28</v>
      </c>
      <c r="J2429" s="8" t="s">
        <v>274</v>
      </c>
      <c r="K2429" s="33" t="str">
        <f>CONCATENATE(TableAopCalendar[[#This Row],[Month for Plan]]," ",TableAopCalendar[[#This Row],[Plan]])</f>
        <v>NOVEMBER 28 PLANNED</v>
      </c>
    </row>
    <row r="2430" spans="1:11" x14ac:dyDescent="0.25">
      <c r="A2430" s="33">
        <f t="shared" si="129"/>
        <v>2</v>
      </c>
      <c r="B2430" s="34">
        <v>47080</v>
      </c>
      <c r="C2430" s="7" t="s">
        <v>117</v>
      </c>
      <c r="D2430" s="35">
        <v>28</v>
      </c>
      <c r="E2430" s="33">
        <f>DAY(TableAopCalendar[[#This Row],[Date]])</f>
        <v>23</v>
      </c>
      <c r="F243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30" s="33" t="str">
        <f t="shared" si="130"/>
        <v>Week 4</v>
      </c>
      <c r="H2430" s="33" t="str">
        <f t="shared" si="131"/>
        <v>November 28 Week 4</v>
      </c>
      <c r="I2430" s="33" t="str">
        <f>CONCATENATE(UPPER(TableAopCalendar[[#This Row],[Month]])," ",TableAopCalendar[[#This Row],[Year]])</f>
        <v>NOVEMBER 28</v>
      </c>
      <c r="J2430" s="8" t="s">
        <v>274</v>
      </c>
      <c r="K2430" s="33" t="str">
        <f>CONCATENATE(TableAopCalendar[[#This Row],[Month for Plan]]," ",TableAopCalendar[[#This Row],[Plan]])</f>
        <v>NOVEMBER 28 PLANNED</v>
      </c>
    </row>
    <row r="2431" spans="1:11" x14ac:dyDescent="0.25">
      <c r="A2431" s="33">
        <f t="shared" si="129"/>
        <v>3</v>
      </c>
      <c r="B2431" s="34">
        <v>47081</v>
      </c>
      <c r="C2431" s="7" t="s">
        <v>117</v>
      </c>
      <c r="D2431" s="35">
        <v>28</v>
      </c>
      <c r="E2431" s="33">
        <f>DAY(TableAopCalendar[[#This Row],[Date]])</f>
        <v>24</v>
      </c>
      <c r="F243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31" s="33" t="str">
        <f t="shared" si="130"/>
        <v>Week 4</v>
      </c>
      <c r="H2431" s="33" t="str">
        <f t="shared" si="131"/>
        <v>November 28 Week 4</v>
      </c>
      <c r="I2431" s="33" t="str">
        <f>CONCATENATE(UPPER(TableAopCalendar[[#This Row],[Month]])," ",TableAopCalendar[[#This Row],[Year]])</f>
        <v>NOVEMBER 28</v>
      </c>
      <c r="J2431" s="8" t="s">
        <v>274</v>
      </c>
      <c r="K2431" s="33" t="str">
        <f>CONCATENATE(TableAopCalendar[[#This Row],[Month for Plan]]," ",TableAopCalendar[[#This Row],[Plan]])</f>
        <v>NOVEMBER 28 PLANNED</v>
      </c>
    </row>
    <row r="2432" spans="1:11" x14ac:dyDescent="0.25">
      <c r="A2432" s="33">
        <f t="shared" si="129"/>
        <v>4</v>
      </c>
      <c r="B2432" s="34">
        <v>47082</v>
      </c>
      <c r="C2432" s="7" t="s">
        <v>117</v>
      </c>
      <c r="D2432" s="35">
        <v>28</v>
      </c>
      <c r="E2432" s="33">
        <f>DAY(TableAopCalendar[[#This Row],[Date]])</f>
        <v>25</v>
      </c>
      <c r="F243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32" s="33" t="str">
        <f t="shared" si="130"/>
        <v>Week 4</v>
      </c>
      <c r="H2432" s="33" t="str">
        <f t="shared" si="131"/>
        <v>November 28 Week 4</v>
      </c>
      <c r="I2432" s="33" t="str">
        <f>CONCATENATE(UPPER(TableAopCalendar[[#This Row],[Month]])," ",TableAopCalendar[[#This Row],[Year]])</f>
        <v>NOVEMBER 28</v>
      </c>
      <c r="J2432" s="8" t="s">
        <v>274</v>
      </c>
      <c r="K2432" s="33" t="str">
        <f>CONCATENATE(TableAopCalendar[[#This Row],[Month for Plan]]," ",TableAopCalendar[[#This Row],[Plan]])</f>
        <v>NOVEMBER 28 PLANNED</v>
      </c>
    </row>
    <row r="2433" spans="1:11" x14ac:dyDescent="0.25">
      <c r="A2433" s="33">
        <f t="shared" si="129"/>
        <v>5</v>
      </c>
      <c r="B2433" s="34">
        <v>47083</v>
      </c>
      <c r="C2433" s="7" t="s">
        <v>117</v>
      </c>
      <c r="D2433" s="35">
        <v>28</v>
      </c>
      <c r="E2433" s="33">
        <f>DAY(TableAopCalendar[[#This Row],[Date]])</f>
        <v>26</v>
      </c>
      <c r="F243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33" s="33" t="str">
        <f t="shared" si="130"/>
        <v>Week 4</v>
      </c>
      <c r="H2433" s="33" t="str">
        <f t="shared" si="131"/>
        <v>November 28 Week 4</v>
      </c>
      <c r="I2433" s="33" t="str">
        <f>CONCATENATE(UPPER(TableAopCalendar[[#This Row],[Month]])," ",TableAopCalendar[[#This Row],[Year]])</f>
        <v>NOVEMBER 28</v>
      </c>
      <c r="J2433" s="8" t="s">
        <v>274</v>
      </c>
      <c r="K2433" s="33" t="str">
        <f>CONCATENATE(TableAopCalendar[[#This Row],[Month for Plan]]," ",TableAopCalendar[[#This Row],[Plan]])</f>
        <v>NOVEMBER 28 PLANNED</v>
      </c>
    </row>
    <row r="2434" spans="1:11" x14ac:dyDescent="0.25">
      <c r="A2434" s="33">
        <f t="shared" si="129"/>
        <v>6</v>
      </c>
      <c r="B2434" s="34">
        <v>47084</v>
      </c>
      <c r="C2434" s="7" t="s">
        <v>117</v>
      </c>
      <c r="D2434" s="35">
        <v>28</v>
      </c>
      <c r="E2434" s="33">
        <f>DAY(TableAopCalendar[[#This Row],[Date]])</f>
        <v>27</v>
      </c>
      <c r="F243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34" s="33" t="str">
        <f t="shared" si="130"/>
        <v>Week 4</v>
      </c>
      <c r="H2434" s="33" t="str">
        <f t="shared" si="131"/>
        <v>November 28 Week 4</v>
      </c>
      <c r="I2434" s="33" t="str">
        <f>CONCATENATE(UPPER(TableAopCalendar[[#This Row],[Month]])," ",TableAopCalendar[[#This Row],[Year]])</f>
        <v>NOVEMBER 28</v>
      </c>
      <c r="J2434" s="8" t="s">
        <v>274</v>
      </c>
      <c r="K2434" s="33" t="str">
        <f>CONCATENATE(TableAopCalendar[[#This Row],[Month for Plan]]," ",TableAopCalendar[[#This Row],[Plan]])</f>
        <v>NOVEMBER 28 PLANNED</v>
      </c>
    </row>
    <row r="2435" spans="1:11" x14ac:dyDescent="0.25">
      <c r="A2435" s="33">
        <f t="shared" si="129"/>
        <v>7</v>
      </c>
      <c r="B2435" s="34">
        <v>47085</v>
      </c>
      <c r="C2435" s="7" t="s">
        <v>117</v>
      </c>
      <c r="D2435" s="35">
        <v>28</v>
      </c>
      <c r="E2435" s="33">
        <f>DAY(TableAopCalendar[[#This Row],[Date]])</f>
        <v>28</v>
      </c>
      <c r="F243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35" s="33" t="str">
        <f t="shared" si="130"/>
        <v>Week 4</v>
      </c>
      <c r="H2435" s="33" t="str">
        <f t="shared" si="131"/>
        <v>November 28 Week 4</v>
      </c>
      <c r="I2435" s="33" t="str">
        <f>CONCATENATE(UPPER(TableAopCalendar[[#This Row],[Month]])," ",TableAopCalendar[[#This Row],[Year]])</f>
        <v>NOVEMBER 28</v>
      </c>
      <c r="J2435" s="8" t="s">
        <v>274</v>
      </c>
      <c r="K2435" s="33" t="str">
        <f>CONCATENATE(TableAopCalendar[[#This Row],[Month for Plan]]," ",TableAopCalendar[[#This Row],[Plan]])</f>
        <v>NOVEMBER 28 PLANNED</v>
      </c>
    </row>
    <row r="2436" spans="1:11" x14ac:dyDescent="0.25">
      <c r="A2436" s="33">
        <f t="shared" si="129"/>
        <v>1</v>
      </c>
      <c r="B2436" s="34">
        <v>47086</v>
      </c>
      <c r="C2436" s="7" t="s">
        <v>117</v>
      </c>
      <c r="D2436" s="35">
        <v>28</v>
      </c>
      <c r="E2436" s="33">
        <f>DAY(TableAopCalendar[[#This Row],[Date]])</f>
        <v>29</v>
      </c>
      <c r="F2436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36" s="33" t="str">
        <f t="shared" si="130"/>
        <v>Week 5</v>
      </c>
      <c r="H2436" s="33" t="str">
        <f t="shared" si="131"/>
        <v>November 28 Week 5</v>
      </c>
      <c r="I2436" s="33" t="str">
        <f>CONCATENATE(UPPER(TableAopCalendar[[#This Row],[Month]])," ",TableAopCalendar[[#This Row],[Year]])</f>
        <v>NOVEMBER 28</v>
      </c>
      <c r="J2436" s="8" t="s">
        <v>274</v>
      </c>
      <c r="K2436" s="33" t="str">
        <f>CONCATENATE(TableAopCalendar[[#This Row],[Month for Plan]]," ",TableAopCalendar[[#This Row],[Plan]])</f>
        <v>NOVEMBER 28 PLANNED</v>
      </c>
    </row>
    <row r="2437" spans="1:11" x14ac:dyDescent="0.25">
      <c r="A2437" s="33">
        <f t="shared" si="129"/>
        <v>2</v>
      </c>
      <c r="B2437" s="34">
        <v>47087</v>
      </c>
      <c r="C2437" s="7" t="s">
        <v>117</v>
      </c>
      <c r="D2437" s="35">
        <v>28</v>
      </c>
      <c r="E2437" s="33">
        <f>DAY(TableAopCalendar[[#This Row],[Date]])</f>
        <v>30</v>
      </c>
      <c r="F243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37" s="33" t="str">
        <f t="shared" si="130"/>
        <v>Week 5</v>
      </c>
      <c r="H2437" s="33" t="str">
        <f t="shared" si="131"/>
        <v>November 28 Week 5</v>
      </c>
      <c r="I2437" s="33" t="str">
        <f>CONCATENATE(UPPER(TableAopCalendar[[#This Row],[Month]])," ",TableAopCalendar[[#This Row],[Year]])</f>
        <v>NOVEMBER 28</v>
      </c>
      <c r="J2437" s="8" t="s">
        <v>274</v>
      </c>
      <c r="K2437" s="33" t="str">
        <f>CONCATENATE(TableAopCalendar[[#This Row],[Month for Plan]]," ",TableAopCalendar[[#This Row],[Plan]])</f>
        <v>NOVEMBER 28 PLANNED</v>
      </c>
    </row>
    <row r="2438" spans="1:11" x14ac:dyDescent="0.25">
      <c r="A2438" s="33">
        <f t="shared" si="129"/>
        <v>1</v>
      </c>
      <c r="B2438" s="34">
        <v>47088</v>
      </c>
      <c r="C2438" s="7" t="s">
        <v>270</v>
      </c>
      <c r="D2438" s="35">
        <v>28</v>
      </c>
      <c r="E2438" s="33">
        <f>DAY(TableAopCalendar[[#This Row],[Date]])</f>
        <v>1</v>
      </c>
      <c r="F243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38" s="33" t="str">
        <f t="shared" si="130"/>
        <v>Week 1</v>
      </c>
      <c r="H2438" s="33" t="str">
        <f t="shared" si="131"/>
        <v>December 28 Week 1</v>
      </c>
      <c r="I2438" s="33" t="str">
        <f>CONCATENATE(UPPER(TableAopCalendar[[#This Row],[Month]])," ",TableAopCalendar[[#This Row],[Year]])</f>
        <v>DECEMBER 28</v>
      </c>
      <c r="J2438" s="8" t="s">
        <v>274</v>
      </c>
      <c r="K2438" s="33" t="str">
        <f>CONCATENATE(TableAopCalendar[[#This Row],[Month for Plan]]," ",TableAopCalendar[[#This Row],[Plan]])</f>
        <v>DECEMBER 28 PLANNED</v>
      </c>
    </row>
    <row r="2439" spans="1:11" x14ac:dyDescent="0.25">
      <c r="A2439" s="33">
        <f t="shared" si="129"/>
        <v>2</v>
      </c>
      <c r="B2439" s="34">
        <v>47089</v>
      </c>
      <c r="C2439" s="7" t="s">
        <v>270</v>
      </c>
      <c r="D2439" s="35">
        <v>28</v>
      </c>
      <c r="E2439" s="33">
        <f>DAY(TableAopCalendar[[#This Row],[Date]])</f>
        <v>2</v>
      </c>
      <c r="F243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39" s="33" t="str">
        <f t="shared" si="130"/>
        <v>Week 1</v>
      </c>
      <c r="H2439" s="33" t="str">
        <f t="shared" si="131"/>
        <v>December 28 Week 1</v>
      </c>
      <c r="I2439" s="33" t="str">
        <f>CONCATENATE(UPPER(TableAopCalendar[[#This Row],[Month]])," ",TableAopCalendar[[#This Row],[Year]])</f>
        <v>DECEMBER 28</v>
      </c>
      <c r="J2439" s="8" t="s">
        <v>274</v>
      </c>
      <c r="K2439" s="33" t="str">
        <f>CONCATENATE(TableAopCalendar[[#This Row],[Month for Plan]]," ",TableAopCalendar[[#This Row],[Plan]])</f>
        <v>DECEMBER 28 PLANNED</v>
      </c>
    </row>
    <row r="2440" spans="1:11" x14ac:dyDescent="0.25">
      <c r="A2440" s="33">
        <f t="shared" si="129"/>
        <v>3</v>
      </c>
      <c r="B2440" s="34">
        <v>47090</v>
      </c>
      <c r="C2440" s="7" t="s">
        <v>270</v>
      </c>
      <c r="D2440" s="35">
        <v>28</v>
      </c>
      <c r="E2440" s="33">
        <f>DAY(TableAopCalendar[[#This Row],[Date]])</f>
        <v>3</v>
      </c>
      <c r="F244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40" s="33" t="str">
        <f t="shared" si="130"/>
        <v>Week 1</v>
      </c>
      <c r="H2440" s="33" t="str">
        <f t="shared" si="131"/>
        <v>December 28 Week 1</v>
      </c>
      <c r="I2440" s="33" t="str">
        <f>CONCATENATE(UPPER(TableAopCalendar[[#This Row],[Month]])," ",TableAopCalendar[[#This Row],[Year]])</f>
        <v>DECEMBER 28</v>
      </c>
      <c r="J2440" s="8" t="s">
        <v>274</v>
      </c>
      <c r="K2440" s="33" t="str">
        <f>CONCATENATE(TableAopCalendar[[#This Row],[Month for Plan]]," ",TableAopCalendar[[#This Row],[Plan]])</f>
        <v>DECEMBER 28 PLANNED</v>
      </c>
    </row>
    <row r="2441" spans="1:11" x14ac:dyDescent="0.25">
      <c r="A2441" s="33">
        <f t="shared" si="129"/>
        <v>4</v>
      </c>
      <c r="B2441" s="34">
        <v>47091</v>
      </c>
      <c r="C2441" s="7" t="s">
        <v>270</v>
      </c>
      <c r="D2441" s="35">
        <v>28</v>
      </c>
      <c r="E2441" s="33">
        <f>DAY(TableAopCalendar[[#This Row],[Date]])</f>
        <v>4</v>
      </c>
      <c r="F244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41" s="33" t="str">
        <f t="shared" si="130"/>
        <v>Week 1</v>
      </c>
      <c r="H2441" s="33" t="str">
        <f t="shared" si="131"/>
        <v>December 28 Week 1</v>
      </c>
      <c r="I2441" s="33" t="str">
        <f>CONCATENATE(UPPER(TableAopCalendar[[#This Row],[Month]])," ",TableAopCalendar[[#This Row],[Year]])</f>
        <v>DECEMBER 28</v>
      </c>
      <c r="J2441" s="8" t="s">
        <v>274</v>
      </c>
      <c r="K2441" s="33" t="str">
        <f>CONCATENATE(TableAopCalendar[[#This Row],[Month for Plan]]," ",TableAopCalendar[[#This Row],[Plan]])</f>
        <v>DECEMBER 28 PLANNED</v>
      </c>
    </row>
    <row r="2442" spans="1:11" x14ac:dyDescent="0.25">
      <c r="A2442" s="33">
        <f t="shared" si="129"/>
        <v>5</v>
      </c>
      <c r="B2442" s="34">
        <v>47092</v>
      </c>
      <c r="C2442" s="7" t="s">
        <v>270</v>
      </c>
      <c r="D2442" s="35">
        <v>28</v>
      </c>
      <c r="E2442" s="33">
        <f>DAY(TableAopCalendar[[#This Row],[Date]])</f>
        <v>5</v>
      </c>
      <c r="F244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42" s="33" t="str">
        <f t="shared" si="130"/>
        <v>Week 1</v>
      </c>
      <c r="H2442" s="33" t="str">
        <f t="shared" si="131"/>
        <v>December 28 Week 1</v>
      </c>
      <c r="I2442" s="33" t="str">
        <f>CONCATENATE(UPPER(TableAopCalendar[[#This Row],[Month]])," ",TableAopCalendar[[#This Row],[Year]])</f>
        <v>DECEMBER 28</v>
      </c>
      <c r="J2442" s="8" t="s">
        <v>274</v>
      </c>
      <c r="K2442" s="33" t="str">
        <f>CONCATENATE(TableAopCalendar[[#This Row],[Month for Plan]]," ",TableAopCalendar[[#This Row],[Plan]])</f>
        <v>DECEMBER 28 PLANNED</v>
      </c>
    </row>
    <row r="2443" spans="1:11" x14ac:dyDescent="0.25">
      <c r="A2443" s="33">
        <f t="shared" si="129"/>
        <v>6</v>
      </c>
      <c r="B2443" s="34">
        <v>47093</v>
      </c>
      <c r="C2443" s="7" t="s">
        <v>270</v>
      </c>
      <c r="D2443" s="35">
        <v>28</v>
      </c>
      <c r="E2443" s="33">
        <f>DAY(TableAopCalendar[[#This Row],[Date]])</f>
        <v>6</v>
      </c>
      <c r="F244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43" s="33" t="str">
        <f t="shared" si="130"/>
        <v>Week 1</v>
      </c>
      <c r="H2443" s="33" t="str">
        <f t="shared" si="131"/>
        <v>December 28 Week 1</v>
      </c>
      <c r="I2443" s="33" t="str">
        <f>CONCATENATE(UPPER(TableAopCalendar[[#This Row],[Month]])," ",TableAopCalendar[[#This Row],[Year]])</f>
        <v>DECEMBER 28</v>
      </c>
      <c r="J2443" s="8" t="s">
        <v>274</v>
      </c>
      <c r="K2443" s="33" t="str">
        <f>CONCATENATE(TableAopCalendar[[#This Row],[Month for Plan]]," ",TableAopCalendar[[#This Row],[Plan]])</f>
        <v>DECEMBER 28 PLANNED</v>
      </c>
    </row>
    <row r="2444" spans="1:11" x14ac:dyDescent="0.25">
      <c r="A2444" s="33">
        <f t="shared" si="129"/>
        <v>7</v>
      </c>
      <c r="B2444" s="34">
        <v>47094</v>
      </c>
      <c r="C2444" s="7" t="s">
        <v>270</v>
      </c>
      <c r="D2444" s="35">
        <v>28</v>
      </c>
      <c r="E2444" s="33">
        <f>DAY(TableAopCalendar[[#This Row],[Date]])</f>
        <v>7</v>
      </c>
      <c r="F244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44" s="33" t="str">
        <f t="shared" si="130"/>
        <v>Week 1</v>
      </c>
      <c r="H2444" s="33" t="str">
        <f t="shared" si="131"/>
        <v>December 28 Week 1</v>
      </c>
      <c r="I2444" s="33" t="str">
        <f>CONCATENATE(UPPER(TableAopCalendar[[#This Row],[Month]])," ",TableAopCalendar[[#This Row],[Year]])</f>
        <v>DECEMBER 28</v>
      </c>
      <c r="J2444" s="8" t="s">
        <v>274</v>
      </c>
      <c r="K2444" s="33" t="str">
        <f>CONCATENATE(TableAopCalendar[[#This Row],[Month for Plan]]," ",TableAopCalendar[[#This Row],[Plan]])</f>
        <v>DECEMBER 28 PLANNED</v>
      </c>
    </row>
    <row r="2445" spans="1:11" x14ac:dyDescent="0.25">
      <c r="A2445" s="33">
        <f t="shared" si="129"/>
        <v>1</v>
      </c>
      <c r="B2445" s="34">
        <v>47095</v>
      </c>
      <c r="C2445" s="7" t="s">
        <v>270</v>
      </c>
      <c r="D2445" s="35">
        <v>28</v>
      </c>
      <c r="E2445" s="33">
        <f>DAY(TableAopCalendar[[#This Row],[Date]])</f>
        <v>8</v>
      </c>
      <c r="F244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45" s="33" t="str">
        <f t="shared" si="130"/>
        <v>Week 2</v>
      </c>
      <c r="H2445" s="33" t="str">
        <f t="shared" si="131"/>
        <v>December 28 Week 2</v>
      </c>
      <c r="I2445" s="33" t="str">
        <f>CONCATENATE(UPPER(TableAopCalendar[[#This Row],[Month]])," ",TableAopCalendar[[#This Row],[Year]])</f>
        <v>DECEMBER 28</v>
      </c>
      <c r="J2445" s="8" t="s">
        <v>274</v>
      </c>
      <c r="K2445" s="33" t="str">
        <f>CONCATENATE(TableAopCalendar[[#This Row],[Month for Plan]]," ",TableAopCalendar[[#This Row],[Plan]])</f>
        <v>DECEMBER 28 PLANNED</v>
      </c>
    </row>
    <row r="2446" spans="1:11" x14ac:dyDescent="0.25">
      <c r="A2446" s="33">
        <f t="shared" si="129"/>
        <v>2</v>
      </c>
      <c r="B2446" s="34">
        <v>47096</v>
      </c>
      <c r="C2446" s="7" t="s">
        <v>270</v>
      </c>
      <c r="D2446" s="35">
        <v>28</v>
      </c>
      <c r="E2446" s="33">
        <f>DAY(TableAopCalendar[[#This Row],[Date]])</f>
        <v>9</v>
      </c>
      <c r="F244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46" s="33" t="str">
        <f t="shared" si="130"/>
        <v>Week 2</v>
      </c>
      <c r="H2446" s="33" t="str">
        <f t="shared" si="131"/>
        <v>December 28 Week 2</v>
      </c>
      <c r="I2446" s="33" t="str">
        <f>CONCATENATE(UPPER(TableAopCalendar[[#This Row],[Month]])," ",TableAopCalendar[[#This Row],[Year]])</f>
        <v>DECEMBER 28</v>
      </c>
      <c r="J2446" s="8" t="s">
        <v>274</v>
      </c>
      <c r="K2446" s="33" t="str">
        <f>CONCATENATE(TableAopCalendar[[#This Row],[Month for Plan]]," ",TableAopCalendar[[#This Row],[Plan]])</f>
        <v>DECEMBER 28 PLANNED</v>
      </c>
    </row>
    <row r="2447" spans="1:11" x14ac:dyDescent="0.25">
      <c r="A2447" s="33">
        <f t="shared" si="129"/>
        <v>3</v>
      </c>
      <c r="B2447" s="34">
        <v>47097</v>
      </c>
      <c r="C2447" s="7" t="s">
        <v>270</v>
      </c>
      <c r="D2447" s="35">
        <v>28</v>
      </c>
      <c r="E2447" s="33">
        <f>DAY(TableAopCalendar[[#This Row],[Date]])</f>
        <v>10</v>
      </c>
      <c r="F244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47" s="33" t="str">
        <f t="shared" si="130"/>
        <v>Week 2</v>
      </c>
      <c r="H2447" s="33" t="str">
        <f t="shared" si="131"/>
        <v>December 28 Week 2</v>
      </c>
      <c r="I2447" s="33" t="str">
        <f>CONCATENATE(UPPER(TableAopCalendar[[#This Row],[Month]])," ",TableAopCalendar[[#This Row],[Year]])</f>
        <v>DECEMBER 28</v>
      </c>
      <c r="J2447" s="8" t="s">
        <v>274</v>
      </c>
      <c r="K2447" s="33" t="str">
        <f>CONCATENATE(TableAopCalendar[[#This Row],[Month for Plan]]," ",TableAopCalendar[[#This Row],[Plan]])</f>
        <v>DECEMBER 28 PLANNED</v>
      </c>
    </row>
    <row r="2448" spans="1:11" x14ac:dyDescent="0.25">
      <c r="A2448" s="33">
        <f t="shared" si="129"/>
        <v>4</v>
      </c>
      <c r="B2448" s="34">
        <v>47098</v>
      </c>
      <c r="C2448" s="7" t="s">
        <v>270</v>
      </c>
      <c r="D2448" s="35">
        <v>28</v>
      </c>
      <c r="E2448" s="33">
        <f>DAY(TableAopCalendar[[#This Row],[Date]])</f>
        <v>11</v>
      </c>
      <c r="F244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48" s="33" t="str">
        <f t="shared" si="130"/>
        <v>Week 2</v>
      </c>
      <c r="H2448" s="33" t="str">
        <f t="shared" si="131"/>
        <v>December 28 Week 2</v>
      </c>
      <c r="I2448" s="33" t="str">
        <f>CONCATENATE(UPPER(TableAopCalendar[[#This Row],[Month]])," ",TableAopCalendar[[#This Row],[Year]])</f>
        <v>DECEMBER 28</v>
      </c>
      <c r="J2448" s="8" t="s">
        <v>274</v>
      </c>
      <c r="K2448" s="33" t="str">
        <f>CONCATENATE(TableAopCalendar[[#This Row],[Month for Plan]]," ",TableAopCalendar[[#This Row],[Plan]])</f>
        <v>DECEMBER 28 PLANNED</v>
      </c>
    </row>
    <row r="2449" spans="1:11" x14ac:dyDescent="0.25">
      <c r="A2449" s="33">
        <f t="shared" si="129"/>
        <v>5</v>
      </c>
      <c r="B2449" s="34">
        <v>47099</v>
      </c>
      <c r="C2449" s="7" t="s">
        <v>270</v>
      </c>
      <c r="D2449" s="35">
        <v>28</v>
      </c>
      <c r="E2449" s="33">
        <f>DAY(TableAopCalendar[[#This Row],[Date]])</f>
        <v>12</v>
      </c>
      <c r="F244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49" s="33" t="str">
        <f t="shared" si="130"/>
        <v>Week 2</v>
      </c>
      <c r="H2449" s="33" t="str">
        <f t="shared" si="131"/>
        <v>December 28 Week 2</v>
      </c>
      <c r="I2449" s="33" t="str">
        <f>CONCATENATE(UPPER(TableAopCalendar[[#This Row],[Month]])," ",TableAopCalendar[[#This Row],[Year]])</f>
        <v>DECEMBER 28</v>
      </c>
      <c r="J2449" s="8" t="s">
        <v>274</v>
      </c>
      <c r="K2449" s="33" t="str">
        <f>CONCATENATE(TableAopCalendar[[#This Row],[Month for Plan]]," ",TableAopCalendar[[#This Row],[Plan]])</f>
        <v>DECEMBER 28 PLANNED</v>
      </c>
    </row>
    <row r="2450" spans="1:11" x14ac:dyDescent="0.25">
      <c r="A2450" s="33">
        <f t="shared" si="129"/>
        <v>6</v>
      </c>
      <c r="B2450" s="34">
        <v>47100</v>
      </c>
      <c r="C2450" s="7" t="s">
        <v>270</v>
      </c>
      <c r="D2450" s="35">
        <v>28</v>
      </c>
      <c r="E2450" s="33">
        <f>DAY(TableAopCalendar[[#This Row],[Date]])</f>
        <v>13</v>
      </c>
      <c r="F245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50" s="33" t="str">
        <f t="shared" si="130"/>
        <v>Week 2</v>
      </c>
      <c r="H2450" s="33" t="str">
        <f t="shared" si="131"/>
        <v>December 28 Week 2</v>
      </c>
      <c r="I2450" s="33" t="str">
        <f>CONCATENATE(UPPER(TableAopCalendar[[#This Row],[Month]])," ",TableAopCalendar[[#This Row],[Year]])</f>
        <v>DECEMBER 28</v>
      </c>
      <c r="J2450" s="8" t="s">
        <v>274</v>
      </c>
      <c r="K2450" s="33" t="str">
        <f>CONCATENATE(TableAopCalendar[[#This Row],[Month for Plan]]," ",TableAopCalendar[[#This Row],[Plan]])</f>
        <v>DECEMBER 28 PLANNED</v>
      </c>
    </row>
    <row r="2451" spans="1:11" x14ac:dyDescent="0.25">
      <c r="A2451" s="33">
        <f t="shared" si="129"/>
        <v>7</v>
      </c>
      <c r="B2451" s="34">
        <v>47101</v>
      </c>
      <c r="C2451" s="7" t="s">
        <v>270</v>
      </c>
      <c r="D2451" s="35">
        <v>28</v>
      </c>
      <c r="E2451" s="33">
        <f>DAY(TableAopCalendar[[#This Row],[Date]])</f>
        <v>14</v>
      </c>
      <c r="F245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51" s="33" t="str">
        <f t="shared" si="130"/>
        <v>Week 2</v>
      </c>
      <c r="H2451" s="33" t="str">
        <f t="shared" si="131"/>
        <v>December 28 Week 2</v>
      </c>
      <c r="I2451" s="33" t="str">
        <f>CONCATENATE(UPPER(TableAopCalendar[[#This Row],[Month]])," ",TableAopCalendar[[#This Row],[Year]])</f>
        <v>DECEMBER 28</v>
      </c>
      <c r="J2451" s="8" t="s">
        <v>274</v>
      </c>
      <c r="K2451" s="33" t="str">
        <f>CONCATENATE(TableAopCalendar[[#This Row],[Month for Plan]]," ",TableAopCalendar[[#This Row],[Plan]])</f>
        <v>DECEMBER 28 PLANNED</v>
      </c>
    </row>
    <row r="2452" spans="1:11" x14ac:dyDescent="0.25">
      <c r="A2452" s="33">
        <f t="shared" si="129"/>
        <v>1</v>
      </c>
      <c r="B2452" s="34">
        <v>47102</v>
      </c>
      <c r="C2452" s="7" t="s">
        <v>270</v>
      </c>
      <c r="D2452" s="35">
        <v>28</v>
      </c>
      <c r="E2452" s="33">
        <f>DAY(TableAopCalendar[[#This Row],[Date]])</f>
        <v>15</v>
      </c>
      <c r="F245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52" s="33" t="str">
        <f t="shared" si="130"/>
        <v>Week 3</v>
      </c>
      <c r="H2452" s="33" t="str">
        <f t="shared" si="131"/>
        <v>December 28 Week 3</v>
      </c>
      <c r="I2452" s="33" t="str">
        <f>CONCATENATE(UPPER(TableAopCalendar[[#This Row],[Month]])," ",TableAopCalendar[[#This Row],[Year]])</f>
        <v>DECEMBER 28</v>
      </c>
      <c r="J2452" s="8" t="s">
        <v>274</v>
      </c>
      <c r="K2452" s="33" t="str">
        <f>CONCATENATE(TableAopCalendar[[#This Row],[Month for Plan]]," ",TableAopCalendar[[#This Row],[Plan]])</f>
        <v>DECEMBER 28 PLANNED</v>
      </c>
    </row>
    <row r="2453" spans="1:11" x14ac:dyDescent="0.25">
      <c r="A2453" s="33">
        <f t="shared" si="129"/>
        <v>2</v>
      </c>
      <c r="B2453" s="34">
        <v>47103</v>
      </c>
      <c r="C2453" s="7" t="s">
        <v>270</v>
      </c>
      <c r="D2453" s="35">
        <v>28</v>
      </c>
      <c r="E2453" s="33">
        <f>DAY(TableAopCalendar[[#This Row],[Date]])</f>
        <v>16</v>
      </c>
      <c r="F245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53" s="33" t="str">
        <f t="shared" si="130"/>
        <v>Week 3</v>
      </c>
      <c r="H2453" s="33" t="str">
        <f t="shared" si="131"/>
        <v>December 28 Week 3</v>
      </c>
      <c r="I2453" s="33" t="str">
        <f>CONCATENATE(UPPER(TableAopCalendar[[#This Row],[Month]])," ",TableAopCalendar[[#This Row],[Year]])</f>
        <v>DECEMBER 28</v>
      </c>
      <c r="J2453" s="8" t="s">
        <v>274</v>
      </c>
      <c r="K2453" s="33" t="str">
        <f>CONCATENATE(TableAopCalendar[[#This Row],[Month for Plan]]," ",TableAopCalendar[[#This Row],[Plan]])</f>
        <v>DECEMBER 28 PLANNED</v>
      </c>
    </row>
    <row r="2454" spans="1:11" x14ac:dyDescent="0.25">
      <c r="A2454" s="33">
        <f t="shared" si="129"/>
        <v>3</v>
      </c>
      <c r="B2454" s="34">
        <v>47104</v>
      </c>
      <c r="C2454" s="7" t="s">
        <v>270</v>
      </c>
      <c r="D2454" s="35">
        <v>28</v>
      </c>
      <c r="E2454" s="33">
        <f>DAY(TableAopCalendar[[#This Row],[Date]])</f>
        <v>17</v>
      </c>
      <c r="F245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54" s="33" t="str">
        <f t="shared" si="130"/>
        <v>Week 3</v>
      </c>
      <c r="H2454" s="33" t="str">
        <f t="shared" si="131"/>
        <v>December 28 Week 3</v>
      </c>
      <c r="I2454" s="33" t="str">
        <f>CONCATENATE(UPPER(TableAopCalendar[[#This Row],[Month]])," ",TableAopCalendar[[#This Row],[Year]])</f>
        <v>DECEMBER 28</v>
      </c>
      <c r="J2454" s="8" t="s">
        <v>274</v>
      </c>
      <c r="K2454" s="33" t="str">
        <f>CONCATENATE(TableAopCalendar[[#This Row],[Month for Plan]]," ",TableAopCalendar[[#This Row],[Plan]])</f>
        <v>DECEMBER 28 PLANNED</v>
      </c>
    </row>
    <row r="2455" spans="1:11" x14ac:dyDescent="0.25">
      <c r="A2455" s="33">
        <f t="shared" si="129"/>
        <v>4</v>
      </c>
      <c r="B2455" s="34">
        <v>47105</v>
      </c>
      <c r="C2455" s="7" t="s">
        <v>270</v>
      </c>
      <c r="D2455" s="35">
        <v>28</v>
      </c>
      <c r="E2455" s="33">
        <f>DAY(TableAopCalendar[[#This Row],[Date]])</f>
        <v>18</v>
      </c>
      <c r="F245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55" s="33" t="str">
        <f t="shared" si="130"/>
        <v>Week 3</v>
      </c>
      <c r="H2455" s="33" t="str">
        <f t="shared" si="131"/>
        <v>December 28 Week 3</v>
      </c>
      <c r="I2455" s="33" t="str">
        <f>CONCATENATE(UPPER(TableAopCalendar[[#This Row],[Month]])," ",TableAopCalendar[[#This Row],[Year]])</f>
        <v>DECEMBER 28</v>
      </c>
      <c r="J2455" s="8" t="s">
        <v>274</v>
      </c>
      <c r="K2455" s="33" t="str">
        <f>CONCATENATE(TableAopCalendar[[#This Row],[Month for Plan]]," ",TableAopCalendar[[#This Row],[Plan]])</f>
        <v>DECEMBER 28 PLANNED</v>
      </c>
    </row>
    <row r="2456" spans="1:11" x14ac:dyDescent="0.25">
      <c r="A2456" s="33">
        <f t="shared" si="129"/>
        <v>5</v>
      </c>
      <c r="B2456" s="34">
        <v>47106</v>
      </c>
      <c r="C2456" s="7" t="s">
        <v>270</v>
      </c>
      <c r="D2456" s="35">
        <v>28</v>
      </c>
      <c r="E2456" s="33">
        <f>DAY(TableAopCalendar[[#This Row],[Date]])</f>
        <v>19</v>
      </c>
      <c r="F245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56" s="33" t="str">
        <f t="shared" si="130"/>
        <v>Week 3</v>
      </c>
      <c r="H2456" s="33" t="str">
        <f t="shared" si="131"/>
        <v>December 28 Week 3</v>
      </c>
      <c r="I2456" s="33" t="str">
        <f>CONCATENATE(UPPER(TableAopCalendar[[#This Row],[Month]])," ",TableAopCalendar[[#This Row],[Year]])</f>
        <v>DECEMBER 28</v>
      </c>
      <c r="J2456" s="8" t="s">
        <v>274</v>
      </c>
      <c r="K2456" s="33" t="str">
        <f>CONCATENATE(TableAopCalendar[[#This Row],[Month for Plan]]," ",TableAopCalendar[[#This Row],[Plan]])</f>
        <v>DECEMBER 28 PLANNED</v>
      </c>
    </row>
    <row r="2457" spans="1:11" x14ac:dyDescent="0.25">
      <c r="A2457" s="33">
        <f t="shared" si="129"/>
        <v>6</v>
      </c>
      <c r="B2457" s="34">
        <v>47107</v>
      </c>
      <c r="C2457" s="7" t="s">
        <v>270</v>
      </c>
      <c r="D2457" s="35">
        <v>28</v>
      </c>
      <c r="E2457" s="33">
        <f>DAY(TableAopCalendar[[#This Row],[Date]])</f>
        <v>20</v>
      </c>
      <c r="F245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57" s="33" t="str">
        <f t="shared" si="130"/>
        <v>Week 3</v>
      </c>
      <c r="H2457" s="33" t="str">
        <f t="shared" si="131"/>
        <v>December 28 Week 3</v>
      </c>
      <c r="I2457" s="33" t="str">
        <f>CONCATENATE(UPPER(TableAopCalendar[[#This Row],[Month]])," ",TableAopCalendar[[#This Row],[Year]])</f>
        <v>DECEMBER 28</v>
      </c>
      <c r="J2457" s="8" t="s">
        <v>274</v>
      </c>
      <c r="K2457" s="33" t="str">
        <f>CONCATENATE(TableAopCalendar[[#This Row],[Month for Plan]]," ",TableAopCalendar[[#This Row],[Plan]])</f>
        <v>DECEMBER 28 PLANNED</v>
      </c>
    </row>
    <row r="2458" spans="1:11" x14ac:dyDescent="0.25">
      <c r="A2458" s="33">
        <f t="shared" si="129"/>
        <v>7</v>
      </c>
      <c r="B2458" s="34">
        <v>47108</v>
      </c>
      <c r="C2458" s="7" t="s">
        <v>270</v>
      </c>
      <c r="D2458" s="35">
        <v>28</v>
      </c>
      <c r="E2458" s="33">
        <f>DAY(TableAopCalendar[[#This Row],[Date]])</f>
        <v>21</v>
      </c>
      <c r="F245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58" s="33" t="str">
        <f t="shared" si="130"/>
        <v>Week 3</v>
      </c>
      <c r="H2458" s="33" t="str">
        <f t="shared" si="131"/>
        <v>December 28 Week 3</v>
      </c>
      <c r="I2458" s="33" t="str">
        <f>CONCATENATE(UPPER(TableAopCalendar[[#This Row],[Month]])," ",TableAopCalendar[[#This Row],[Year]])</f>
        <v>DECEMBER 28</v>
      </c>
      <c r="J2458" s="8" t="s">
        <v>274</v>
      </c>
      <c r="K2458" s="33" t="str">
        <f>CONCATENATE(TableAopCalendar[[#This Row],[Month for Plan]]," ",TableAopCalendar[[#This Row],[Plan]])</f>
        <v>DECEMBER 28 PLANNED</v>
      </c>
    </row>
    <row r="2459" spans="1:11" x14ac:dyDescent="0.25">
      <c r="A2459" s="33">
        <f t="shared" si="129"/>
        <v>1</v>
      </c>
      <c r="B2459" s="34">
        <v>47109</v>
      </c>
      <c r="C2459" s="7" t="s">
        <v>270</v>
      </c>
      <c r="D2459" s="35">
        <v>28</v>
      </c>
      <c r="E2459" s="33">
        <f>DAY(TableAopCalendar[[#This Row],[Date]])</f>
        <v>22</v>
      </c>
      <c r="F245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59" s="33" t="str">
        <f t="shared" si="130"/>
        <v>Week 4</v>
      </c>
      <c r="H2459" s="33" t="str">
        <f t="shared" si="131"/>
        <v>December 28 Week 4</v>
      </c>
      <c r="I2459" s="33" t="str">
        <f>CONCATENATE(UPPER(TableAopCalendar[[#This Row],[Month]])," ",TableAopCalendar[[#This Row],[Year]])</f>
        <v>DECEMBER 28</v>
      </c>
      <c r="J2459" s="8" t="s">
        <v>274</v>
      </c>
      <c r="K2459" s="33" t="str">
        <f>CONCATENATE(TableAopCalendar[[#This Row],[Month for Plan]]," ",TableAopCalendar[[#This Row],[Plan]])</f>
        <v>DECEMBER 28 PLANNED</v>
      </c>
    </row>
    <row r="2460" spans="1:11" x14ac:dyDescent="0.25">
      <c r="A2460" s="33">
        <f t="shared" si="129"/>
        <v>2</v>
      </c>
      <c r="B2460" s="34">
        <v>47110</v>
      </c>
      <c r="C2460" s="7" t="s">
        <v>270</v>
      </c>
      <c r="D2460" s="35">
        <v>28</v>
      </c>
      <c r="E2460" s="33">
        <f>DAY(TableAopCalendar[[#This Row],[Date]])</f>
        <v>23</v>
      </c>
      <c r="F246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60" s="33" t="str">
        <f t="shared" si="130"/>
        <v>Week 4</v>
      </c>
      <c r="H2460" s="33" t="str">
        <f t="shared" si="131"/>
        <v>December 28 Week 4</v>
      </c>
      <c r="I2460" s="33" t="str">
        <f>CONCATENATE(UPPER(TableAopCalendar[[#This Row],[Month]])," ",TableAopCalendar[[#This Row],[Year]])</f>
        <v>DECEMBER 28</v>
      </c>
      <c r="J2460" s="8" t="s">
        <v>274</v>
      </c>
      <c r="K2460" s="33" t="str">
        <f>CONCATENATE(TableAopCalendar[[#This Row],[Month for Plan]]," ",TableAopCalendar[[#This Row],[Plan]])</f>
        <v>DECEMBER 28 PLANNED</v>
      </c>
    </row>
    <row r="2461" spans="1:11" x14ac:dyDescent="0.25">
      <c r="A2461" s="33">
        <f t="shared" si="129"/>
        <v>3</v>
      </c>
      <c r="B2461" s="34">
        <v>47111</v>
      </c>
      <c r="C2461" s="7" t="s">
        <v>270</v>
      </c>
      <c r="D2461" s="35">
        <v>28</v>
      </c>
      <c r="E2461" s="33">
        <f>DAY(TableAopCalendar[[#This Row],[Date]])</f>
        <v>24</v>
      </c>
      <c r="F246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61" s="33" t="str">
        <f t="shared" si="130"/>
        <v>Week 4</v>
      </c>
      <c r="H2461" s="33" t="str">
        <f t="shared" si="131"/>
        <v>December 28 Week 4</v>
      </c>
      <c r="I2461" s="33" t="str">
        <f>CONCATENATE(UPPER(TableAopCalendar[[#This Row],[Month]])," ",TableAopCalendar[[#This Row],[Year]])</f>
        <v>DECEMBER 28</v>
      </c>
      <c r="J2461" s="8" t="s">
        <v>274</v>
      </c>
      <c r="K2461" s="33" t="str">
        <f>CONCATENATE(TableAopCalendar[[#This Row],[Month for Plan]]," ",TableAopCalendar[[#This Row],[Plan]])</f>
        <v>DECEMBER 28 PLANNED</v>
      </c>
    </row>
    <row r="2462" spans="1:11" x14ac:dyDescent="0.25">
      <c r="A2462" s="33">
        <f t="shared" si="129"/>
        <v>4</v>
      </c>
      <c r="B2462" s="34">
        <v>47112</v>
      </c>
      <c r="C2462" s="7" t="s">
        <v>270</v>
      </c>
      <c r="D2462" s="35">
        <v>28</v>
      </c>
      <c r="E2462" s="33">
        <f>DAY(TableAopCalendar[[#This Row],[Date]])</f>
        <v>25</v>
      </c>
      <c r="F246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62" s="33" t="str">
        <f t="shared" si="130"/>
        <v>Week 4</v>
      </c>
      <c r="H2462" s="33" t="str">
        <f t="shared" si="131"/>
        <v>December 28 Week 4</v>
      </c>
      <c r="I2462" s="33" t="str">
        <f>CONCATENATE(UPPER(TableAopCalendar[[#This Row],[Month]])," ",TableAopCalendar[[#This Row],[Year]])</f>
        <v>DECEMBER 28</v>
      </c>
      <c r="J2462" s="8" t="s">
        <v>274</v>
      </c>
      <c r="K2462" s="33" t="str">
        <f>CONCATENATE(TableAopCalendar[[#This Row],[Month for Plan]]," ",TableAopCalendar[[#This Row],[Plan]])</f>
        <v>DECEMBER 28 PLANNED</v>
      </c>
    </row>
    <row r="2463" spans="1:11" x14ac:dyDescent="0.25">
      <c r="A2463" s="33">
        <f t="shared" si="129"/>
        <v>5</v>
      </c>
      <c r="B2463" s="34">
        <v>47113</v>
      </c>
      <c r="C2463" s="7" t="s">
        <v>270</v>
      </c>
      <c r="D2463" s="35">
        <v>28</v>
      </c>
      <c r="E2463" s="33">
        <f>DAY(TableAopCalendar[[#This Row],[Date]])</f>
        <v>26</v>
      </c>
      <c r="F246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63" s="33" t="str">
        <f t="shared" si="130"/>
        <v>Week 4</v>
      </c>
      <c r="H2463" s="33" t="str">
        <f t="shared" si="131"/>
        <v>December 28 Week 4</v>
      </c>
      <c r="I2463" s="33" t="str">
        <f>CONCATENATE(UPPER(TableAopCalendar[[#This Row],[Month]])," ",TableAopCalendar[[#This Row],[Year]])</f>
        <v>DECEMBER 28</v>
      </c>
      <c r="J2463" s="8" t="s">
        <v>274</v>
      </c>
      <c r="K2463" s="33" t="str">
        <f>CONCATENATE(TableAopCalendar[[#This Row],[Month for Plan]]," ",TableAopCalendar[[#This Row],[Plan]])</f>
        <v>DECEMBER 28 PLANNED</v>
      </c>
    </row>
    <row r="2464" spans="1:11" x14ac:dyDescent="0.25">
      <c r="A2464" s="33">
        <f t="shared" si="129"/>
        <v>6</v>
      </c>
      <c r="B2464" s="34">
        <v>47114</v>
      </c>
      <c r="C2464" s="7" t="s">
        <v>270</v>
      </c>
      <c r="D2464" s="35">
        <v>28</v>
      </c>
      <c r="E2464" s="33">
        <f>DAY(TableAopCalendar[[#This Row],[Date]])</f>
        <v>27</v>
      </c>
      <c r="F246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64" s="33" t="str">
        <f t="shared" si="130"/>
        <v>Week 4</v>
      </c>
      <c r="H2464" s="33" t="str">
        <f t="shared" si="131"/>
        <v>December 28 Week 4</v>
      </c>
      <c r="I2464" s="33" t="str">
        <f>CONCATENATE(UPPER(TableAopCalendar[[#This Row],[Month]])," ",TableAopCalendar[[#This Row],[Year]])</f>
        <v>DECEMBER 28</v>
      </c>
      <c r="J2464" s="8" t="s">
        <v>274</v>
      </c>
      <c r="K2464" s="33" t="str">
        <f>CONCATENATE(TableAopCalendar[[#This Row],[Month for Plan]]," ",TableAopCalendar[[#This Row],[Plan]])</f>
        <v>DECEMBER 28 PLANNED</v>
      </c>
    </row>
    <row r="2465" spans="1:11" x14ac:dyDescent="0.25">
      <c r="A2465" s="33">
        <f t="shared" si="129"/>
        <v>7</v>
      </c>
      <c r="B2465" s="34">
        <v>47115</v>
      </c>
      <c r="C2465" s="7" t="s">
        <v>270</v>
      </c>
      <c r="D2465" s="35">
        <v>28</v>
      </c>
      <c r="E2465" s="33">
        <f>DAY(TableAopCalendar[[#This Row],[Date]])</f>
        <v>28</v>
      </c>
      <c r="F246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65" s="33" t="str">
        <f t="shared" si="130"/>
        <v>Week 4</v>
      </c>
      <c r="H2465" s="33" t="str">
        <f t="shared" si="131"/>
        <v>December 28 Week 4</v>
      </c>
      <c r="I2465" s="33" t="str">
        <f>CONCATENATE(UPPER(TableAopCalendar[[#This Row],[Month]])," ",TableAopCalendar[[#This Row],[Year]])</f>
        <v>DECEMBER 28</v>
      </c>
      <c r="J2465" s="8" t="s">
        <v>274</v>
      </c>
      <c r="K2465" s="33" t="str">
        <f>CONCATENATE(TableAopCalendar[[#This Row],[Month for Plan]]," ",TableAopCalendar[[#This Row],[Plan]])</f>
        <v>DECEMBER 28 PLANNED</v>
      </c>
    </row>
    <row r="2466" spans="1:11" x14ac:dyDescent="0.25">
      <c r="A2466" s="33">
        <f t="shared" si="129"/>
        <v>1</v>
      </c>
      <c r="B2466" s="34">
        <v>47116</v>
      </c>
      <c r="C2466" s="7" t="s">
        <v>270</v>
      </c>
      <c r="D2466" s="35">
        <v>28</v>
      </c>
      <c r="E2466" s="33">
        <f>DAY(TableAopCalendar[[#This Row],[Date]])</f>
        <v>29</v>
      </c>
      <c r="F2466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66" s="33" t="str">
        <f t="shared" si="130"/>
        <v>Week 5</v>
      </c>
      <c r="H2466" s="33" t="str">
        <f t="shared" si="131"/>
        <v>December 28 Week 5</v>
      </c>
      <c r="I2466" s="33" t="str">
        <f>CONCATENATE(UPPER(TableAopCalendar[[#This Row],[Month]])," ",TableAopCalendar[[#This Row],[Year]])</f>
        <v>DECEMBER 28</v>
      </c>
      <c r="J2466" s="8" t="s">
        <v>274</v>
      </c>
      <c r="K2466" s="33" t="str">
        <f>CONCATENATE(TableAopCalendar[[#This Row],[Month for Plan]]," ",TableAopCalendar[[#This Row],[Plan]])</f>
        <v>DECEMBER 28 PLANNED</v>
      </c>
    </row>
    <row r="2467" spans="1:11" x14ac:dyDescent="0.25">
      <c r="A2467" s="33">
        <f t="shared" si="129"/>
        <v>2</v>
      </c>
      <c r="B2467" s="34">
        <v>47117</v>
      </c>
      <c r="C2467" s="7" t="s">
        <v>270</v>
      </c>
      <c r="D2467" s="35">
        <v>28</v>
      </c>
      <c r="E2467" s="33">
        <f>DAY(TableAopCalendar[[#This Row],[Date]])</f>
        <v>30</v>
      </c>
      <c r="F246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67" s="33" t="str">
        <f t="shared" si="130"/>
        <v>Week 5</v>
      </c>
      <c r="H2467" s="33" t="str">
        <f t="shared" si="131"/>
        <v>December 28 Week 5</v>
      </c>
      <c r="I2467" s="33" t="str">
        <f>CONCATENATE(UPPER(TableAopCalendar[[#This Row],[Month]])," ",TableAopCalendar[[#This Row],[Year]])</f>
        <v>DECEMBER 28</v>
      </c>
      <c r="J2467" s="8" t="s">
        <v>274</v>
      </c>
      <c r="K2467" s="33" t="str">
        <f>CONCATENATE(TableAopCalendar[[#This Row],[Month for Plan]]," ",TableAopCalendar[[#This Row],[Plan]])</f>
        <v>DECEMBER 28 PLANNED</v>
      </c>
    </row>
    <row r="2468" spans="1:11" x14ac:dyDescent="0.25">
      <c r="A2468" s="33">
        <f t="shared" ref="A2468:A2531" si="132">IF(G2468=G2467,A2467+1,1)</f>
        <v>3</v>
      </c>
      <c r="B2468" s="34">
        <v>47118</v>
      </c>
      <c r="C2468" s="7" t="s">
        <v>270</v>
      </c>
      <c r="D2468" s="35">
        <v>28</v>
      </c>
      <c r="E2468" s="33">
        <f>DAY(TableAopCalendar[[#This Row],[Date]])</f>
        <v>31</v>
      </c>
      <c r="F246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68" s="33" t="str">
        <f t="shared" ref="G2468:G2531" si="133">"Week"&amp;" "&amp;F2468</f>
        <v>Week 5</v>
      </c>
      <c r="H2468" s="33" t="str">
        <f t="shared" ref="H2468:H2531" si="134">CONCATENATE(C2468," ",D2468," ",G2468)</f>
        <v>December 28 Week 5</v>
      </c>
      <c r="I2468" s="33" t="str">
        <f>CONCATENATE(UPPER(TableAopCalendar[[#This Row],[Month]])," ",TableAopCalendar[[#This Row],[Year]])</f>
        <v>DECEMBER 28</v>
      </c>
      <c r="J2468" s="8" t="s">
        <v>274</v>
      </c>
      <c r="K2468" s="33" t="str">
        <f>CONCATENATE(TableAopCalendar[[#This Row],[Month for Plan]]," ",TableAopCalendar[[#This Row],[Plan]])</f>
        <v>DECEMBER 28 PLANNED</v>
      </c>
    </row>
    <row r="2469" spans="1:11" x14ac:dyDescent="0.25">
      <c r="A2469" s="33">
        <f t="shared" si="132"/>
        <v>1</v>
      </c>
      <c r="B2469" s="34">
        <v>47119</v>
      </c>
      <c r="C2469" s="7" t="s">
        <v>271</v>
      </c>
      <c r="D2469" s="35">
        <v>29</v>
      </c>
      <c r="E2469" s="33">
        <f>DAY(TableAopCalendar[[#This Row],[Date]])</f>
        <v>1</v>
      </c>
      <c r="F246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69" s="33" t="str">
        <f t="shared" si="133"/>
        <v>Week 1</v>
      </c>
      <c r="H2469" s="33" t="str">
        <f t="shared" si="134"/>
        <v>January 29 Week 1</v>
      </c>
      <c r="I2469" s="33" t="str">
        <f>CONCATENATE(UPPER(TableAopCalendar[[#This Row],[Month]])," ",TableAopCalendar[[#This Row],[Year]])</f>
        <v>JANUARY 29</v>
      </c>
      <c r="J2469" s="8" t="s">
        <v>274</v>
      </c>
      <c r="K2469" s="33" t="str">
        <f>CONCATENATE(TableAopCalendar[[#This Row],[Month for Plan]]," ",TableAopCalendar[[#This Row],[Plan]])</f>
        <v>JANUARY 29 PLANNED</v>
      </c>
    </row>
    <row r="2470" spans="1:11" x14ac:dyDescent="0.25">
      <c r="A2470" s="33">
        <f t="shared" si="132"/>
        <v>2</v>
      </c>
      <c r="B2470" s="34">
        <v>47120</v>
      </c>
      <c r="C2470" s="7" t="s">
        <v>271</v>
      </c>
      <c r="D2470" s="35">
        <v>29</v>
      </c>
      <c r="E2470" s="33">
        <f>DAY(TableAopCalendar[[#This Row],[Date]])</f>
        <v>2</v>
      </c>
      <c r="F247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70" s="33" t="str">
        <f t="shared" si="133"/>
        <v>Week 1</v>
      </c>
      <c r="H2470" s="33" t="str">
        <f t="shared" si="134"/>
        <v>January 29 Week 1</v>
      </c>
      <c r="I2470" s="33" t="str">
        <f>CONCATENATE(UPPER(TableAopCalendar[[#This Row],[Month]])," ",TableAopCalendar[[#This Row],[Year]])</f>
        <v>JANUARY 29</v>
      </c>
      <c r="J2470" s="8" t="s">
        <v>274</v>
      </c>
      <c r="K2470" s="33" t="str">
        <f>CONCATENATE(TableAopCalendar[[#This Row],[Month for Plan]]," ",TableAopCalendar[[#This Row],[Plan]])</f>
        <v>JANUARY 29 PLANNED</v>
      </c>
    </row>
    <row r="2471" spans="1:11" x14ac:dyDescent="0.25">
      <c r="A2471" s="33">
        <f t="shared" si="132"/>
        <v>3</v>
      </c>
      <c r="B2471" s="34">
        <v>47121</v>
      </c>
      <c r="C2471" s="7" t="s">
        <v>271</v>
      </c>
      <c r="D2471" s="35">
        <v>29</v>
      </c>
      <c r="E2471" s="33">
        <f>DAY(TableAopCalendar[[#This Row],[Date]])</f>
        <v>3</v>
      </c>
      <c r="F247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71" s="33" t="str">
        <f t="shared" si="133"/>
        <v>Week 1</v>
      </c>
      <c r="H2471" s="33" t="str">
        <f t="shared" si="134"/>
        <v>January 29 Week 1</v>
      </c>
      <c r="I2471" s="33" t="str">
        <f>CONCATENATE(UPPER(TableAopCalendar[[#This Row],[Month]])," ",TableAopCalendar[[#This Row],[Year]])</f>
        <v>JANUARY 29</v>
      </c>
      <c r="J2471" s="8" t="s">
        <v>274</v>
      </c>
      <c r="K2471" s="33" t="str">
        <f>CONCATENATE(TableAopCalendar[[#This Row],[Month for Plan]]," ",TableAopCalendar[[#This Row],[Plan]])</f>
        <v>JANUARY 29 PLANNED</v>
      </c>
    </row>
    <row r="2472" spans="1:11" x14ac:dyDescent="0.25">
      <c r="A2472" s="33">
        <f t="shared" si="132"/>
        <v>4</v>
      </c>
      <c r="B2472" s="34">
        <v>47122</v>
      </c>
      <c r="C2472" s="7" t="s">
        <v>271</v>
      </c>
      <c r="D2472" s="35">
        <v>29</v>
      </c>
      <c r="E2472" s="33">
        <f>DAY(TableAopCalendar[[#This Row],[Date]])</f>
        <v>4</v>
      </c>
      <c r="F247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72" s="33" t="str">
        <f t="shared" si="133"/>
        <v>Week 1</v>
      </c>
      <c r="H2472" s="33" t="str">
        <f t="shared" si="134"/>
        <v>January 29 Week 1</v>
      </c>
      <c r="I2472" s="33" t="str">
        <f>CONCATENATE(UPPER(TableAopCalendar[[#This Row],[Month]])," ",TableAopCalendar[[#This Row],[Year]])</f>
        <v>JANUARY 29</v>
      </c>
      <c r="J2472" s="8" t="s">
        <v>274</v>
      </c>
      <c r="K2472" s="33" t="str">
        <f>CONCATENATE(TableAopCalendar[[#This Row],[Month for Plan]]," ",TableAopCalendar[[#This Row],[Plan]])</f>
        <v>JANUARY 29 PLANNED</v>
      </c>
    </row>
    <row r="2473" spans="1:11" x14ac:dyDescent="0.25">
      <c r="A2473" s="33">
        <f t="shared" si="132"/>
        <v>5</v>
      </c>
      <c r="B2473" s="34">
        <v>47123</v>
      </c>
      <c r="C2473" s="7" t="s">
        <v>271</v>
      </c>
      <c r="D2473" s="35">
        <v>29</v>
      </c>
      <c r="E2473" s="33">
        <f>DAY(TableAopCalendar[[#This Row],[Date]])</f>
        <v>5</v>
      </c>
      <c r="F247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73" s="33" t="str">
        <f t="shared" si="133"/>
        <v>Week 1</v>
      </c>
      <c r="H2473" s="33" t="str">
        <f t="shared" si="134"/>
        <v>January 29 Week 1</v>
      </c>
      <c r="I2473" s="33" t="str">
        <f>CONCATENATE(UPPER(TableAopCalendar[[#This Row],[Month]])," ",TableAopCalendar[[#This Row],[Year]])</f>
        <v>JANUARY 29</v>
      </c>
      <c r="J2473" s="8" t="s">
        <v>274</v>
      </c>
      <c r="K2473" s="33" t="str">
        <f>CONCATENATE(TableAopCalendar[[#This Row],[Month for Plan]]," ",TableAopCalendar[[#This Row],[Plan]])</f>
        <v>JANUARY 29 PLANNED</v>
      </c>
    </row>
    <row r="2474" spans="1:11" x14ac:dyDescent="0.25">
      <c r="A2474" s="33">
        <f t="shared" si="132"/>
        <v>6</v>
      </c>
      <c r="B2474" s="34">
        <v>47124</v>
      </c>
      <c r="C2474" s="7" t="s">
        <v>271</v>
      </c>
      <c r="D2474" s="35">
        <v>29</v>
      </c>
      <c r="E2474" s="33">
        <f>DAY(TableAopCalendar[[#This Row],[Date]])</f>
        <v>6</v>
      </c>
      <c r="F247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74" s="33" t="str">
        <f t="shared" si="133"/>
        <v>Week 1</v>
      </c>
      <c r="H2474" s="33" t="str">
        <f t="shared" si="134"/>
        <v>January 29 Week 1</v>
      </c>
      <c r="I2474" s="33" t="str">
        <f>CONCATENATE(UPPER(TableAopCalendar[[#This Row],[Month]])," ",TableAopCalendar[[#This Row],[Year]])</f>
        <v>JANUARY 29</v>
      </c>
      <c r="J2474" s="8" t="s">
        <v>274</v>
      </c>
      <c r="K2474" s="33" t="str">
        <f>CONCATENATE(TableAopCalendar[[#This Row],[Month for Plan]]," ",TableAopCalendar[[#This Row],[Plan]])</f>
        <v>JANUARY 29 PLANNED</v>
      </c>
    </row>
    <row r="2475" spans="1:11" x14ac:dyDescent="0.25">
      <c r="A2475" s="33">
        <f t="shared" si="132"/>
        <v>7</v>
      </c>
      <c r="B2475" s="34">
        <v>47125</v>
      </c>
      <c r="C2475" s="7" t="s">
        <v>271</v>
      </c>
      <c r="D2475" s="35">
        <v>29</v>
      </c>
      <c r="E2475" s="33">
        <f>DAY(TableAopCalendar[[#This Row],[Date]])</f>
        <v>7</v>
      </c>
      <c r="F247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475" s="33" t="str">
        <f t="shared" si="133"/>
        <v>Week 1</v>
      </c>
      <c r="H2475" s="33" t="str">
        <f t="shared" si="134"/>
        <v>January 29 Week 1</v>
      </c>
      <c r="I2475" s="33" t="str">
        <f>CONCATENATE(UPPER(TableAopCalendar[[#This Row],[Month]])," ",TableAopCalendar[[#This Row],[Year]])</f>
        <v>JANUARY 29</v>
      </c>
      <c r="J2475" s="8" t="s">
        <v>274</v>
      </c>
      <c r="K2475" s="33" t="str">
        <f>CONCATENATE(TableAopCalendar[[#This Row],[Month for Plan]]," ",TableAopCalendar[[#This Row],[Plan]])</f>
        <v>JANUARY 29 PLANNED</v>
      </c>
    </row>
    <row r="2476" spans="1:11" x14ac:dyDescent="0.25">
      <c r="A2476" s="33">
        <f t="shared" si="132"/>
        <v>1</v>
      </c>
      <c r="B2476" s="34">
        <v>47126</v>
      </c>
      <c r="C2476" s="7" t="s">
        <v>271</v>
      </c>
      <c r="D2476" s="35">
        <v>29</v>
      </c>
      <c r="E2476" s="33">
        <f>DAY(TableAopCalendar[[#This Row],[Date]])</f>
        <v>8</v>
      </c>
      <c r="F247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76" s="33" t="str">
        <f t="shared" si="133"/>
        <v>Week 2</v>
      </c>
      <c r="H2476" s="33" t="str">
        <f t="shared" si="134"/>
        <v>January 29 Week 2</v>
      </c>
      <c r="I2476" s="33" t="str">
        <f>CONCATENATE(UPPER(TableAopCalendar[[#This Row],[Month]])," ",TableAopCalendar[[#This Row],[Year]])</f>
        <v>JANUARY 29</v>
      </c>
      <c r="J2476" s="8" t="s">
        <v>274</v>
      </c>
      <c r="K2476" s="33" t="str">
        <f>CONCATENATE(TableAopCalendar[[#This Row],[Month for Plan]]," ",TableAopCalendar[[#This Row],[Plan]])</f>
        <v>JANUARY 29 PLANNED</v>
      </c>
    </row>
    <row r="2477" spans="1:11" x14ac:dyDescent="0.25">
      <c r="A2477" s="33">
        <f t="shared" si="132"/>
        <v>2</v>
      </c>
      <c r="B2477" s="34">
        <v>47127</v>
      </c>
      <c r="C2477" s="7" t="s">
        <v>271</v>
      </c>
      <c r="D2477" s="35">
        <v>29</v>
      </c>
      <c r="E2477" s="33">
        <f>DAY(TableAopCalendar[[#This Row],[Date]])</f>
        <v>9</v>
      </c>
      <c r="F247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77" s="33" t="str">
        <f t="shared" si="133"/>
        <v>Week 2</v>
      </c>
      <c r="H2477" s="33" t="str">
        <f t="shared" si="134"/>
        <v>January 29 Week 2</v>
      </c>
      <c r="I2477" s="33" t="str">
        <f>CONCATENATE(UPPER(TableAopCalendar[[#This Row],[Month]])," ",TableAopCalendar[[#This Row],[Year]])</f>
        <v>JANUARY 29</v>
      </c>
      <c r="J2477" s="8" t="s">
        <v>274</v>
      </c>
      <c r="K2477" s="33" t="str">
        <f>CONCATENATE(TableAopCalendar[[#This Row],[Month for Plan]]," ",TableAopCalendar[[#This Row],[Plan]])</f>
        <v>JANUARY 29 PLANNED</v>
      </c>
    </row>
    <row r="2478" spans="1:11" x14ac:dyDescent="0.25">
      <c r="A2478" s="33">
        <f t="shared" si="132"/>
        <v>3</v>
      </c>
      <c r="B2478" s="34">
        <v>47128</v>
      </c>
      <c r="C2478" s="7" t="s">
        <v>271</v>
      </c>
      <c r="D2478" s="35">
        <v>29</v>
      </c>
      <c r="E2478" s="33">
        <f>DAY(TableAopCalendar[[#This Row],[Date]])</f>
        <v>10</v>
      </c>
      <c r="F247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78" s="33" t="str">
        <f t="shared" si="133"/>
        <v>Week 2</v>
      </c>
      <c r="H2478" s="33" t="str">
        <f t="shared" si="134"/>
        <v>January 29 Week 2</v>
      </c>
      <c r="I2478" s="33" t="str">
        <f>CONCATENATE(UPPER(TableAopCalendar[[#This Row],[Month]])," ",TableAopCalendar[[#This Row],[Year]])</f>
        <v>JANUARY 29</v>
      </c>
      <c r="J2478" s="8" t="s">
        <v>274</v>
      </c>
      <c r="K2478" s="33" t="str">
        <f>CONCATENATE(TableAopCalendar[[#This Row],[Month for Plan]]," ",TableAopCalendar[[#This Row],[Plan]])</f>
        <v>JANUARY 29 PLANNED</v>
      </c>
    </row>
    <row r="2479" spans="1:11" x14ac:dyDescent="0.25">
      <c r="A2479" s="33">
        <f t="shared" si="132"/>
        <v>4</v>
      </c>
      <c r="B2479" s="34">
        <v>47129</v>
      </c>
      <c r="C2479" s="7" t="s">
        <v>271</v>
      </c>
      <c r="D2479" s="35">
        <v>29</v>
      </c>
      <c r="E2479" s="33">
        <f>DAY(TableAopCalendar[[#This Row],[Date]])</f>
        <v>11</v>
      </c>
      <c r="F247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79" s="33" t="str">
        <f t="shared" si="133"/>
        <v>Week 2</v>
      </c>
      <c r="H2479" s="33" t="str">
        <f t="shared" si="134"/>
        <v>January 29 Week 2</v>
      </c>
      <c r="I2479" s="33" t="str">
        <f>CONCATENATE(UPPER(TableAopCalendar[[#This Row],[Month]])," ",TableAopCalendar[[#This Row],[Year]])</f>
        <v>JANUARY 29</v>
      </c>
      <c r="J2479" s="8" t="s">
        <v>274</v>
      </c>
      <c r="K2479" s="33" t="str">
        <f>CONCATENATE(TableAopCalendar[[#This Row],[Month for Plan]]," ",TableAopCalendar[[#This Row],[Plan]])</f>
        <v>JANUARY 29 PLANNED</v>
      </c>
    </row>
    <row r="2480" spans="1:11" x14ac:dyDescent="0.25">
      <c r="A2480" s="33">
        <f t="shared" si="132"/>
        <v>5</v>
      </c>
      <c r="B2480" s="34">
        <v>47130</v>
      </c>
      <c r="C2480" s="7" t="s">
        <v>271</v>
      </c>
      <c r="D2480" s="35">
        <v>29</v>
      </c>
      <c r="E2480" s="33">
        <f>DAY(TableAopCalendar[[#This Row],[Date]])</f>
        <v>12</v>
      </c>
      <c r="F248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80" s="33" t="str">
        <f t="shared" si="133"/>
        <v>Week 2</v>
      </c>
      <c r="H2480" s="33" t="str">
        <f t="shared" si="134"/>
        <v>January 29 Week 2</v>
      </c>
      <c r="I2480" s="33" t="str">
        <f>CONCATENATE(UPPER(TableAopCalendar[[#This Row],[Month]])," ",TableAopCalendar[[#This Row],[Year]])</f>
        <v>JANUARY 29</v>
      </c>
      <c r="J2480" s="8" t="s">
        <v>274</v>
      </c>
      <c r="K2480" s="33" t="str">
        <f>CONCATENATE(TableAopCalendar[[#This Row],[Month for Plan]]," ",TableAopCalendar[[#This Row],[Plan]])</f>
        <v>JANUARY 29 PLANNED</v>
      </c>
    </row>
    <row r="2481" spans="1:11" x14ac:dyDescent="0.25">
      <c r="A2481" s="33">
        <f t="shared" si="132"/>
        <v>6</v>
      </c>
      <c r="B2481" s="34">
        <v>47131</v>
      </c>
      <c r="C2481" s="7" t="s">
        <v>271</v>
      </c>
      <c r="D2481" s="35">
        <v>29</v>
      </c>
      <c r="E2481" s="33">
        <f>DAY(TableAopCalendar[[#This Row],[Date]])</f>
        <v>13</v>
      </c>
      <c r="F248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81" s="33" t="str">
        <f t="shared" si="133"/>
        <v>Week 2</v>
      </c>
      <c r="H2481" s="33" t="str">
        <f t="shared" si="134"/>
        <v>January 29 Week 2</v>
      </c>
      <c r="I2481" s="33" t="str">
        <f>CONCATENATE(UPPER(TableAopCalendar[[#This Row],[Month]])," ",TableAopCalendar[[#This Row],[Year]])</f>
        <v>JANUARY 29</v>
      </c>
      <c r="J2481" s="8" t="s">
        <v>274</v>
      </c>
      <c r="K2481" s="33" t="str">
        <f>CONCATENATE(TableAopCalendar[[#This Row],[Month for Plan]]," ",TableAopCalendar[[#This Row],[Plan]])</f>
        <v>JANUARY 29 PLANNED</v>
      </c>
    </row>
    <row r="2482" spans="1:11" x14ac:dyDescent="0.25">
      <c r="A2482" s="33">
        <f t="shared" si="132"/>
        <v>7</v>
      </c>
      <c r="B2482" s="34">
        <v>47132</v>
      </c>
      <c r="C2482" s="7" t="s">
        <v>271</v>
      </c>
      <c r="D2482" s="35">
        <v>29</v>
      </c>
      <c r="E2482" s="33">
        <f>DAY(TableAopCalendar[[#This Row],[Date]])</f>
        <v>14</v>
      </c>
      <c r="F248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482" s="33" t="str">
        <f t="shared" si="133"/>
        <v>Week 2</v>
      </c>
      <c r="H2482" s="33" t="str">
        <f t="shared" si="134"/>
        <v>January 29 Week 2</v>
      </c>
      <c r="I2482" s="33" t="str">
        <f>CONCATENATE(UPPER(TableAopCalendar[[#This Row],[Month]])," ",TableAopCalendar[[#This Row],[Year]])</f>
        <v>JANUARY 29</v>
      </c>
      <c r="J2482" s="8" t="s">
        <v>274</v>
      </c>
      <c r="K2482" s="33" t="str">
        <f>CONCATENATE(TableAopCalendar[[#This Row],[Month for Plan]]," ",TableAopCalendar[[#This Row],[Plan]])</f>
        <v>JANUARY 29 PLANNED</v>
      </c>
    </row>
    <row r="2483" spans="1:11" x14ac:dyDescent="0.25">
      <c r="A2483" s="33">
        <f t="shared" si="132"/>
        <v>1</v>
      </c>
      <c r="B2483" s="34">
        <v>47133</v>
      </c>
      <c r="C2483" s="7" t="s">
        <v>271</v>
      </c>
      <c r="D2483" s="35">
        <v>29</v>
      </c>
      <c r="E2483" s="33">
        <f>DAY(TableAopCalendar[[#This Row],[Date]])</f>
        <v>15</v>
      </c>
      <c r="F248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83" s="33" t="str">
        <f t="shared" si="133"/>
        <v>Week 3</v>
      </c>
      <c r="H2483" s="33" t="str">
        <f t="shared" si="134"/>
        <v>January 29 Week 3</v>
      </c>
      <c r="I2483" s="33" t="str">
        <f>CONCATENATE(UPPER(TableAopCalendar[[#This Row],[Month]])," ",TableAopCalendar[[#This Row],[Year]])</f>
        <v>JANUARY 29</v>
      </c>
      <c r="J2483" s="8" t="s">
        <v>274</v>
      </c>
      <c r="K2483" s="33" t="str">
        <f>CONCATENATE(TableAopCalendar[[#This Row],[Month for Plan]]," ",TableAopCalendar[[#This Row],[Plan]])</f>
        <v>JANUARY 29 PLANNED</v>
      </c>
    </row>
    <row r="2484" spans="1:11" x14ac:dyDescent="0.25">
      <c r="A2484" s="33">
        <f t="shared" si="132"/>
        <v>2</v>
      </c>
      <c r="B2484" s="34">
        <v>47134</v>
      </c>
      <c r="C2484" s="7" t="s">
        <v>271</v>
      </c>
      <c r="D2484" s="35">
        <v>29</v>
      </c>
      <c r="E2484" s="33">
        <f>DAY(TableAopCalendar[[#This Row],[Date]])</f>
        <v>16</v>
      </c>
      <c r="F248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84" s="33" t="str">
        <f t="shared" si="133"/>
        <v>Week 3</v>
      </c>
      <c r="H2484" s="33" t="str">
        <f t="shared" si="134"/>
        <v>January 29 Week 3</v>
      </c>
      <c r="I2484" s="33" t="str">
        <f>CONCATENATE(UPPER(TableAopCalendar[[#This Row],[Month]])," ",TableAopCalendar[[#This Row],[Year]])</f>
        <v>JANUARY 29</v>
      </c>
      <c r="J2484" s="8" t="s">
        <v>274</v>
      </c>
      <c r="K2484" s="33" t="str">
        <f>CONCATENATE(TableAopCalendar[[#This Row],[Month for Plan]]," ",TableAopCalendar[[#This Row],[Plan]])</f>
        <v>JANUARY 29 PLANNED</v>
      </c>
    </row>
    <row r="2485" spans="1:11" x14ac:dyDescent="0.25">
      <c r="A2485" s="33">
        <f t="shared" si="132"/>
        <v>3</v>
      </c>
      <c r="B2485" s="34">
        <v>47135</v>
      </c>
      <c r="C2485" s="7" t="s">
        <v>271</v>
      </c>
      <c r="D2485" s="35">
        <v>29</v>
      </c>
      <c r="E2485" s="33">
        <f>DAY(TableAopCalendar[[#This Row],[Date]])</f>
        <v>17</v>
      </c>
      <c r="F248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85" s="33" t="str">
        <f t="shared" si="133"/>
        <v>Week 3</v>
      </c>
      <c r="H2485" s="33" t="str">
        <f t="shared" si="134"/>
        <v>January 29 Week 3</v>
      </c>
      <c r="I2485" s="33" t="str">
        <f>CONCATENATE(UPPER(TableAopCalendar[[#This Row],[Month]])," ",TableAopCalendar[[#This Row],[Year]])</f>
        <v>JANUARY 29</v>
      </c>
      <c r="J2485" s="8" t="s">
        <v>274</v>
      </c>
      <c r="K2485" s="33" t="str">
        <f>CONCATENATE(TableAopCalendar[[#This Row],[Month for Plan]]," ",TableAopCalendar[[#This Row],[Plan]])</f>
        <v>JANUARY 29 PLANNED</v>
      </c>
    </row>
    <row r="2486" spans="1:11" x14ac:dyDescent="0.25">
      <c r="A2486" s="33">
        <f t="shared" si="132"/>
        <v>4</v>
      </c>
      <c r="B2486" s="34">
        <v>47136</v>
      </c>
      <c r="C2486" s="7" t="s">
        <v>271</v>
      </c>
      <c r="D2486" s="35">
        <v>29</v>
      </c>
      <c r="E2486" s="33">
        <f>DAY(TableAopCalendar[[#This Row],[Date]])</f>
        <v>18</v>
      </c>
      <c r="F248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86" s="33" t="str">
        <f t="shared" si="133"/>
        <v>Week 3</v>
      </c>
      <c r="H2486" s="33" t="str">
        <f t="shared" si="134"/>
        <v>January 29 Week 3</v>
      </c>
      <c r="I2486" s="33" t="str">
        <f>CONCATENATE(UPPER(TableAopCalendar[[#This Row],[Month]])," ",TableAopCalendar[[#This Row],[Year]])</f>
        <v>JANUARY 29</v>
      </c>
      <c r="J2486" s="8" t="s">
        <v>274</v>
      </c>
      <c r="K2486" s="33" t="str">
        <f>CONCATENATE(TableAopCalendar[[#This Row],[Month for Plan]]," ",TableAopCalendar[[#This Row],[Plan]])</f>
        <v>JANUARY 29 PLANNED</v>
      </c>
    </row>
    <row r="2487" spans="1:11" x14ac:dyDescent="0.25">
      <c r="A2487" s="33">
        <f t="shared" si="132"/>
        <v>5</v>
      </c>
      <c r="B2487" s="34">
        <v>47137</v>
      </c>
      <c r="C2487" s="7" t="s">
        <v>271</v>
      </c>
      <c r="D2487" s="35">
        <v>29</v>
      </c>
      <c r="E2487" s="33">
        <f>DAY(TableAopCalendar[[#This Row],[Date]])</f>
        <v>19</v>
      </c>
      <c r="F248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87" s="33" t="str">
        <f t="shared" si="133"/>
        <v>Week 3</v>
      </c>
      <c r="H2487" s="33" t="str">
        <f t="shared" si="134"/>
        <v>January 29 Week 3</v>
      </c>
      <c r="I2487" s="33" t="str">
        <f>CONCATENATE(UPPER(TableAopCalendar[[#This Row],[Month]])," ",TableAopCalendar[[#This Row],[Year]])</f>
        <v>JANUARY 29</v>
      </c>
      <c r="J2487" s="8" t="s">
        <v>274</v>
      </c>
      <c r="K2487" s="33" t="str">
        <f>CONCATENATE(TableAopCalendar[[#This Row],[Month for Plan]]," ",TableAopCalendar[[#This Row],[Plan]])</f>
        <v>JANUARY 29 PLANNED</v>
      </c>
    </row>
    <row r="2488" spans="1:11" x14ac:dyDescent="0.25">
      <c r="A2488" s="33">
        <f t="shared" si="132"/>
        <v>6</v>
      </c>
      <c r="B2488" s="34">
        <v>47138</v>
      </c>
      <c r="C2488" s="7" t="s">
        <v>271</v>
      </c>
      <c r="D2488" s="35">
        <v>29</v>
      </c>
      <c r="E2488" s="33">
        <f>DAY(TableAopCalendar[[#This Row],[Date]])</f>
        <v>20</v>
      </c>
      <c r="F248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88" s="33" t="str">
        <f t="shared" si="133"/>
        <v>Week 3</v>
      </c>
      <c r="H2488" s="33" t="str">
        <f t="shared" si="134"/>
        <v>January 29 Week 3</v>
      </c>
      <c r="I2488" s="33" t="str">
        <f>CONCATENATE(UPPER(TableAopCalendar[[#This Row],[Month]])," ",TableAopCalendar[[#This Row],[Year]])</f>
        <v>JANUARY 29</v>
      </c>
      <c r="J2488" s="8" t="s">
        <v>274</v>
      </c>
      <c r="K2488" s="33" t="str">
        <f>CONCATENATE(TableAopCalendar[[#This Row],[Month for Plan]]," ",TableAopCalendar[[#This Row],[Plan]])</f>
        <v>JANUARY 29 PLANNED</v>
      </c>
    </row>
    <row r="2489" spans="1:11" x14ac:dyDescent="0.25">
      <c r="A2489" s="33">
        <f t="shared" si="132"/>
        <v>7</v>
      </c>
      <c r="B2489" s="34">
        <v>47139</v>
      </c>
      <c r="C2489" s="7" t="s">
        <v>271</v>
      </c>
      <c r="D2489" s="35">
        <v>29</v>
      </c>
      <c r="E2489" s="33">
        <f>DAY(TableAopCalendar[[#This Row],[Date]])</f>
        <v>21</v>
      </c>
      <c r="F248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489" s="33" t="str">
        <f t="shared" si="133"/>
        <v>Week 3</v>
      </c>
      <c r="H2489" s="33" t="str">
        <f t="shared" si="134"/>
        <v>January 29 Week 3</v>
      </c>
      <c r="I2489" s="33" t="str">
        <f>CONCATENATE(UPPER(TableAopCalendar[[#This Row],[Month]])," ",TableAopCalendar[[#This Row],[Year]])</f>
        <v>JANUARY 29</v>
      </c>
      <c r="J2489" s="8" t="s">
        <v>274</v>
      </c>
      <c r="K2489" s="33" t="str">
        <f>CONCATENATE(TableAopCalendar[[#This Row],[Month for Plan]]," ",TableAopCalendar[[#This Row],[Plan]])</f>
        <v>JANUARY 29 PLANNED</v>
      </c>
    </row>
    <row r="2490" spans="1:11" x14ac:dyDescent="0.25">
      <c r="A2490" s="33">
        <f t="shared" si="132"/>
        <v>1</v>
      </c>
      <c r="B2490" s="34">
        <v>47140</v>
      </c>
      <c r="C2490" s="7" t="s">
        <v>271</v>
      </c>
      <c r="D2490" s="35">
        <v>29</v>
      </c>
      <c r="E2490" s="33">
        <f>DAY(TableAopCalendar[[#This Row],[Date]])</f>
        <v>22</v>
      </c>
      <c r="F249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90" s="33" t="str">
        <f t="shared" si="133"/>
        <v>Week 4</v>
      </c>
      <c r="H2490" s="33" t="str">
        <f t="shared" si="134"/>
        <v>January 29 Week 4</v>
      </c>
      <c r="I2490" s="33" t="str">
        <f>CONCATENATE(UPPER(TableAopCalendar[[#This Row],[Month]])," ",TableAopCalendar[[#This Row],[Year]])</f>
        <v>JANUARY 29</v>
      </c>
      <c r="J2490" s="8" t="s">
        <v>274</v>
      </c>
      <c r="K2490" s="33" t="str">
        <f>CONCATENATE(TableAopCalendar[[#This Row],[Month for Plan]]," ",TableAopCalendar[[#This Row],[Plan]])</f>
        <v>JANUARY 29 PLANNED</v>
      </c>
    </row>
    <row r="2491" spans="1:11" x14ac:dyDescent="0.25">
      <c r="A2491" s="33">
        <f t="shared" si="132"/>
        <v>2</v>
      </c>
      <c r="B2491" s="34">
        <v>47141</v>
      </c>
      <c r="C2491" s="7" t="s">
        <v>271</v>
      </c>
      <c r="D2491" s="35">
        <v>29</v>
      </c>
      <c r="E2491" s="33">
        <f>DAY(TableAopCalendar[[#This Row],[Date]])</f>
        <v>23</v>
      </c>
      <c r="F249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91" s="33" t="str">
        <f t="shared" si="133"/>
        <v>Week 4</v>
      </c>
      <c r="H2491" s="33" t="str">
        <f t="shared" si="134"/>
        <v>January 29 Week 4</v>
      </c>
      <c r="I2491" s="33" t="str">
        <f>CONCATENATE(UPPER(TableAopCalendar[[#This Row],[Month]])," ",TableAopCalendar[[#This Row],[Year]])</f>
        <v>JANUARY 29</v>
      </c>
      <c r="J2491" s="8" t="s">
        <v>274</v>
      </c>
      <c r="K2491" s="33" t="str">
        <f>CONCATENATE(TableAopCalendar[[#This Row],[Month for Plan]]," ",TableAopCalendar[[#This Row],[Plan]])</f>
        <v>JANUARY 29 PLANNED</v>
      </c>
    </row>
    <row r="2492" spans="1:11" x14ac:dyDescent="0.25">
      <c r="A2492" s="33">
        <f t="shared" si="132"/>
        <v>3</v>
      </c>
      <c r="B2492" s="34">
        <v>47142</v>
      </c>
      <c r="C2492" s="7" t="s">
        <v>271</v>
      </c>
      <c r="D2492" s="35">
        <v>29</v>
      </c>
      <c r="E2492" s="33">
        <f>DAY(TableAopCalendar[[#This Row],[Date]])</f>
        <v>24</v>
      </c>
      <c r="F249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92" s="33" t="str">
        <f t="shared" si="133"/>
        <v>Week 4</v>
      </c>
      <c r="H2492" s="33" t="str">
        <f t="shared" si="134"/>
        <v>January 29 Week 4</v>
      </c>
      <c r="I2492" s="33" t="str">
        <f>CONCATENATE(UPPER(TableAopCalendar[[#This Row],[Month]])," ",TableAopCalendar[[#This Row],[Year]])</f>
        <v>JANUARY 29</v>
      </c>
      <c r="J2492" s="8" t="s">
        <v>274</v>
      </c>
      <c r="K2492" s="33" t="str">
        <f>CONCATENATE(TableAopCalendar[[#This Row],[Month for Plan]]," ",TableAopCalendar[[#This Row],[Plan]])</f>
        <v>JANUARY 29 PLANNED</v>
      </c>
    </row>
    <row r="2493" spans="1:11" x14ac:dyDescent="0.25">
      <c r="A2493" s="33">
        <f t="shared" si="132"/>
        <v>4</v>
      </c>
      <c r="B2493" s="34">
        <v>47143</v>
      </c>
      <c r="C2493" s="7" t="s">
        <v>271</v>
      </c>
      <c r="D2493" s="35">
        <v>29</v>
      </c>
      <c r="E2493" s="33">
        <f>DAY(TableAopCalendar[[#This Row],[Date]])</f>
        <v>25</v>
      </c>
      <c r="F249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93" s="33" t="str">
        <f t="shared" si="133"/>
        <v>Week 4</v>
      </c>
      <c r="H2493" s="33" t="str">
        <f t="shared" si="134"/>
        <v>January 29 Week 4</v>
      </c>
      <c r="I2493" s="33" t="str">
        <f>CONCATENATE(UPPER(TableAopCalendar[[#This Row],[Month]])," ",TableAopCalendar[[#This Row],[Year]])</f>
        <v>JANUARY 29</v>
      </c>
      <c r="J2493" s="8" t="s">
        <v>274</v>
      </c>
      <c r="K2493" s="33" t="str">
        <f>CONCATENATE(TableAopCalendar[[#This Row],[Month for Plan]]," ",TableAopCalendar[[#This Row],[Plan]])</f>
        <v>JANUARY 29 PLANNED</v>
      </c>
    </row>
    <row r="2494" spans="1:11" x14ac:dyDescent="0.25">
      <c r="A2494" s="33">
        <f t="shared" si="132"/>
        <v>5</v>
      </c>
      <c r="B2494" s="34">
        <v>47144</v>
      </c>
      <c r="C2494" s="7" t="s">
        <v>271</v>
      </c>
      <c r="D2494" s="35">
        <v>29</v>
      </c>
      <c r="E2494" s="33">
        <f>DAY(TableAopCalendar[[#This Row],[Date]])</f>
        <v>26</v>
      </c>
      <c r="F249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94" s="33" t="str">
        <f t="shared" si="133"/>
        <v>Week 4</v>
      </c>
      <c r="H2494" s="33" t="str">
        <f t="shared" si="134"/>
        <v>January 29 Week 4</v>
      </c>
      <c r="I2494" s="33" t="str">
        <f>CONCATENATE(UPPER(TableAopCalendar[[#This Row],[Month]])," ",TableAopCalendar[[#This Row],[Year]])</f>
        <v>JANUARY 29</v>
      </c>
      <c r="J2494" s="8" t="s">
        <v>274</v>
      </c>
      <c r="K2494" s="33" t="str">
        <f>CONCATENATE(TableAopCalendar[[#This Row],[Month for Plan]]," ",TableAopCalendar[[#This Row],[Plan]])</f>
        <v>JANUARY 29 PLANNED</v>
      </c>
    </row>
    <row r="2495" spans="1:11" x14ac:dyDescent="0.25">
      <c r="A2495" s="33">
        <f t="shared" si="132"/>
        <v>6</v>
      </c>
      <c r="B2495" s="34">
        <v>47145</v>
      </c>
      <c r="C2495" s="7" t="s">
        <v>271</v>
      </c>
      <c r="D2495" s="35">
        <v>29</v>
      </c>
      <c r="E2495" s="33">
        <f>DAY(TableAopCalendar[[#This Row],[Date]])</f>
        <v>27</v>
      </c>
      <c r="F249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95" s="33" t="str">
        <f t="shared" si="133"/>
        <v>Week 4</v>
      </c>
      <c r="H2495" s="33" t="str">
        <f t="shared" si="134"/>
        <v>January 29 Week 4</v>
      </c>
      <c r="I2495" s="33" t="str">
        <f>CONCATENATE(UPPER(TableAopCalendar[[#This Row],[Month]])," ",TableAopCalendar[[#This Row],[Year]])</f>
        <v>JANUARY 29</v>
      </c>
      <c r="J2495" s="8" t="s">
        <v>274</v>
      </c>
      <c r="K2495" s="33" t="str">
        <f>CONCATENATE(TableAopCalendar[[#This Row],[Month for Plan]]," ",TableAopCalendar[[#This Row],[Plan]])</f>
        <v>JANUARY 29 PLANNED</v>
      </c>
    </row>
    <row r="2496" spans="1:11" x14ac:dyDescent="0.25">
      <c r="A2496" s="33">
        <f t="shared" si="132"/>
        <v>7</v>
      </c>
      <c r="B2496" s="34">
        <v>47146</v>
      </c>
      <c r="C2496" s="7" t="s">
        <v>271</v>
      </c>
      <c r="D2496" s="35">
        <v>29</v>
      </c>
      <c r="E2496" s="33">
        <f>DAY(TableAopCalendar[[#This Row],[Date]])</f>
        <v>28</v>
      </c>
      <c r="F249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496" s="33" t="str">
        <f t="shared" si="133"/>
        <v>Week 4</v>
      </c>
      <c r="H2496" s="33" t="str">
        <f t="shared" si="134"/>
        <v>January 29 Week 4</v>
      </c>
      <c r="I2496" s="33" t="str">
        <f>CONCATENATE(UPPER(TableAopCalendar[[#This Row],[Month]])," ",TableAopCalendar[[#This Row],[Year]])</f>
        <v>JANUARY 29</v>
      </c>
      <c r="J2496" s="8" t="s">
        <v>274</v>
      </c>
      <c r="K2496" s="33" t="str">
        <f>CONCATENATE(TableAopCalendar[[#This Row],[Month for Plan]]," ",TableAopCalendar[[#This Row],[Plan]])</f>
        <v>JANUARY 29 PLANNED</v>
      </c>
    </row>
    <row r="2497" spans="1:11" x14ac:dyDescent="0.25">
      <c r="A2497" s="33">
        <f t="shared" si="132"/>
        <v>1</v>
      </c>
      <c r="B2497" s="34">
        <v>47147</v>
      </c>
      <c r="C2497" s="7" t="s">
        <v>271</v>
      </c>
      <c r="D2497" s="35">
        <v>29</v>
      </c>
      <c r="E2497" s="33">
        <f>DAY(TableAopCalendar[[#This Row],[Date]])</f>
        <v>29</v>
      </c>
      <c r="F249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97" s="33" t="str">
        <f t="shared" si="133"/>
        <v>Week 5</v>
      </c>
      <c r="H2497" s="33" t="str">
        <f t="shared" si="134"/>
        <v>January 29 Week 5</v>
      </c>
      <c r="I2497" s="33" t="str">
        <f>CONCATENATE(UPPER(TableAopCalendar[[#This Row],[Month]])," ",TableAopCalendar[[#This Row],[Year]])</f>
        <v>JANUARY 29</v>
      </c>
      <c r="J2497" s="8" t="s">
        <v>274</v>
      </c>
      <c r="K2497" s="33" t="str">
        <f>CONCATENATE(TableAopCalendar[[#This Row],[Month for Plan]]," ",TableAopCalendar[[#This Row],[Plan]])</f>
        <v>JANUARY 29 PLANNED</v>
      </c>
    </row>
    <row r="2498" spans="1:11" x14ac:dyDescent="0.25">
      <c r="A2498" s="33">
        <f t="shared" si="132"/>
        <v>2</v>
      </c>
      <c r="B2498" s="34">
        <v>47148</v>
      </c>
      <c r="C2498" s="7" t="s">
        <v>271</v>
      </c>
      <c r="D2498" s="35">
        <v>29</v>
      </c>
      <c r="E2498" s="33">
        <f>DAY(TableAopCalendar[[#This Row],[Date]])</f>
        <v>30</v>
      </c>
      <c r="F249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98" s="33" t="str">
        <f t="shared" si="133"/>
        <v>Week 5</v>
      </c>
      <c r="H2498" s="33" t="str">
        <f t="shared" si="134"/>
        <v>January 29 Week 5</v>
      </c>
      <c r="I2498" s="33" t="str">
        <f>CONCATENATE(UPPER(TableAopCalendar[[#This Row],[Month]])," ",TableAopCalendar[[#This Row],[Year]])</f>
        <v>JANUARY 29</v>
      </c>
      <c r="J2498" s="8" t="s">
        <v>274</v>
      </c>
      <c r="K2498" s="33" t="str">
        <f>CONCATENATE(TableAopCalendar[[#This Row],[Month for Plan]]," ",TableAopCalendar[[#This Row],[Plan]])</f>
        <v>JANUARY 29 PLANNED</v>
      </c>
    </row>
    <row r="2499" spans="1:11" x14ac:dyDescent="0.25">
      <c r="A2499" s="33">
        <f t="shared" si="132"/>
        <v>3</v>
      </c>
      <c r="B2499" s="34">
        <v>47149</v>
      </c>
      <c r="C2499" s="7" t="s">
        <v>271</v>
      </c>
      <c r="D2499" s="35">
        <v>29</v>
      </c>
      <c r="E2499" s="33">
        <f>DAY(TableAopCalendar[[#This Row],[Date]])</f>
        <v>31</v>
      </c>
      <c r="F2499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499" s="33" t="str">
        <f t="shared" si="133"/>
        <v>Week 5</v>
      </c>
      <c r="H2499" s="33" t="str">
        <f t="shared" si="134"/>
        <v>January 29 Week 5</v>
      </c>
      <c r="I2499" s="33" t="str">
        <f>CONCATENATE(UPPER(TableAopCalendar[[#This Row],[Month]])," ",TableAopCalendar[[#This Row],[Year]])</f>
        <v>JANUARY 29</v>
      </c>
      <c r="J2499" s="8" t="s">
        <v>274</v>
      </c>
      <c r="K2499" s="33" t="str">
        <f>CONCATENATE(TableAopCalendar[[#This Row],[Month for Plan]]," ",TableAopCalendar[[#This Row],[Plan]])</f>
        <v>JANUARY 29 PLANNED</v>
      </c>
    </row>
    <row r="2500" spans="1:11" x14ac:dyDescent="0.25">
      <c r="A2500" s="33">
        <f t="shared" si="132"/>
        <v>1</v>
      </c>
      <c r="B2500" s="34">
        <v>47150</v>
      </c>
      <c r="C2500" s="7" t="s">
        <v>272</v>
      </c>
      <c r="D2500" s="35">
        <v>29</v>
      </c>
      <c r="E2500" s="33">
        <f>DAY(TableAopCalendar[[#This Row],[Date]])</f>
        <v>1</v>
      </c>
      <c r="F250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0" s="33" t="str">
        <f t="shared" si="133"/>
        <v>Week 1</v>
      </c>
      <c r="H2500" s="33" t="str">
        <f t="shared" si="134"/>
        <v>February 29 Week 1</v>
      </c>
      <c r="I2500" s="33" t="str">
        <f>CONCATENATE(UPPER(TableAopCalendar[[#This Row],[Month]])," ",TableAopCalendar[[#This Row],[Year]])</f>
        <v>FEBRUARY 29</v>
      </c>
      <c r="J2500" s="8" t="s">
        <v>274</v>
      </c>
      <c r="K2500" s="33" t="str">
        <f>CONCATENATE(TableAopCalendar[[#This Row],[Month for Plan]]," ",TableAopCalendar[[#This Row],[Plan]])</f>
        <v>FEBRUARY 29 PLANNED</v>
      </c>
    </row>
    <row r="2501" spans="1:11" x14ac:dyDescent="0.25">
      <c r="A2501" s="33">
        <f t="shared" si="132"/>
        <v>2</v>
      </c>
      <c r="B2501" s="34">
        <v>47151</v>
      </c>
      <c r="C2501" s="7" t="s">
        <v>272</v>
      </c>
      <c r="D2501" s="35">
        <v>29</v>
      </c>
      <c r="E2501" s="33">
        <f>DAY(TableAopCalendar[[#This Row],[Date]])</f>
        <v>2</v>
      </c>
      <c r="F250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1" s="33" t="str">
        <f t="shared" si="133"/>
        <v>Week 1</v>
      </c>
      <c r="H2501" s="33" t="str">
        <f t="shared" si="134"/>
        <v>February 29 Week 1</v>
      </c>
      <c r="I2501" s="33" t="str">
        <f>CONCATENATE(UPPER(TableAopCalendar[[#This Row],[Month]])," ",TableAopCalendar[[#This Row],[Year]])</f>
        <v>FEBRUARY 29</v>
      </c>
      <c r="J2501" s="8" t="s">
        <v>274</v>
      </c>
      <c r="K2501" s="33" t="str">
        <f>CONCATENATE(TableAopCalendar[[#This Row],[Month for Plan]]," ",TableAopCalendar[[#This Row],[Plan]])</f>
        <v>FEBRUARY 29 PLANNED</v>
      </c>
    </row>
    <row r="2502" spans="1:11" x14ac:dyDescent="0.25">
      <c r="A2502" s="33">
        <f t="shared" si="132"/>
        <v>3</v>
      </c>
      <c r="B2502" s="34">
        <v>47152</v>
      </c>
      <c r="C2502" s="7" t="s">
        <v>272</v>
      </c>
      <c r="D2502" s="35">
        <v>29</v>
      </c>
      <c r="E2502" s="33">
        <f>DAY(TableAopCalendar[[#This Row],[Date]])</f>
        <v>3</v>
      </c>
      <c r="F250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2" s="33" t="str">
        <f t="shared" si="133"/>
        <v>Week 1</v>
      </c>
      <c r="H2502" s="33" t="str">
        <f t="shared" si="134"/>
        <v>February 29 Week 1</v>
      </c>
      <c r="I2502" s="33" t="str">
        <f>CONCATENATE(UPPER(TableAopCalendar[[#This Row],[Month]])," ",TableAopCalendar[[#This Row],[Year]])</f>
        <v>FEBRUARY 29</v>
      </c>
      <c r="J2502" s="8" t="s">
        <v>274</v>
      </c>
      <c r="K2502" s="33" t="str">
        <f>CONCATENATE(TableAopCalendar[[#This Row],[Month for Plan]]," ",TableAopCalendar[[#This Row],[Plan]])</f>
        <v>FEBRUARY 29 PLANNED</v>
      </c>
    </row>
    <row r="2503" spans="1:11" x14ac:dyDescent="0.25">
      <c r="A2503" s="33">
        <f t="shared" si="132"/>
        <v>4</v>
      </c>
      <c r="B2503" s="34">
        <v>47153</v>
      </c>
      <c r="C2503" s="7" t="s">
        <v>272</v>
      </c>
      <c r="D2503" s="35">
        <v>29</v>
      </c>
      <c r="E2503" s="33">
        <f>DAY(TableAopCalendar[[#This Row],[Date]])</f>
        <v>4</v>
      </c>
      <c r="F250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3" s="33" t="str">
        <f t="shared" si="133"/>
        <v>Week 1</v>
      </c>
      <c r="H2503" s="33" t="str">
        <f t="shared" si="134"/>
        <v>February 29 Week 1</v>
      </c>
      <c r="I2503" s="33" t="str">
        <f>CONCATENATE(UPPER(TableAopCalendar[[#This Row],[Month]])," ",TableAopCalendar[[#This Row],[Year]])</f>
        <v>FEBRUARY 29</v>
      </c>
      <c r="J2503" s="8" t="s">
        <v>274</v>
      </c>
      <c r="K2503" s="33" t="str">
        <f>CONCATENATE(TableAopCalendar[[#This Row],[Month for Plan]]," ",TableAopCalendar[[#This Row],[Plan]])</f>
        <v>FEBRUARY 29 PLANNED</v>
      </c>
    </row>
    <row r="2504" spans="1:11" x14ac:dyDescent="0.25">
      <c r="A2504" s="33">
        <f t="shared" si="132"/>
        <v>5</v>
      </c>
      <c r="B2504" s="34">
        <v>47154</v>
      </c>
      <c r="C2504" s="7" t="s">
        <v>272</v>
      </c>
      <c r="D2504" s="35">
        <v>29</v>
      </c>
      <c r="E2504" s="33">
        <f>DAY(TableAopCalendar[[#This Row],[Date]])</f>
        <v>5</v>
      </c>
      <c r="F250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4" s="33" t="str">
        <f t="shared" si="133"/>
        <v>Week 1</v>
      </c>
      <c r="H2504" s="33" t="str">
        <f t="shared" si="134"/>
        <v>February 29 Week 1</v>
      </c>
      <c r="I2504" s="33" t="str">
        <f>CONCATENATE(UPPER(TableAopCalendar[[#This Row],[Month]])," ",TableAopCalendar[[#This Row],[Year]])</f>
        <v>FEBRUARY 29</v>
      </c>
      <c r="J2504" s="8" t="s">
        <v>274</v>
      </c>
      <c r="K2504" s="33" t="str">
        <f>CONCATENATE(TableAopCalendar[[#This Row],[Month for Plan]]," ",TableAopCalendar[[#This Row],[Plan]])</f>
        <v>FEBRUARY 29 PLANNED</v>
      </c>
    </row>
    <row r="2505" spans="1:11" x14ac:dyDescent="0.25">
      <c r="A2505" s="33">
        <f t="shared" si="132"/>
        <v>6</v>
      </c>
      <c r="B2505" s="34">
        <v>47155</v>
      </c>
      <c r="C2505" s="7" t="s">
        <v>272</v>
      </c>
      <c r="D2505" s="35">
        <v>29</v>
      </c>
      <c r="E2505" s="33">
        <f>DAY(TableAopCalendar[[#This Row],[Date]])</f>
        <v>6</v>
      </c>
      <c r="F250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5" s="33" t="str">
        <f t="shared" si="133"/>
        <v>Week 1</v>
      </c>
      <c r="H2505" s="33" t="str">
        <f t="shared" si="134"/>
        <v>February 29 Week 1</v>
      </c>
      <c r="I2505" s="33" t="str">
        <f>CONCATENATE(UPPER(TableAopCalendar[[#This Row],[Month]])," ",TableAopCalendar[[#This Row],[Year]])</f>
        <v>FEBRUARY 29</v>
      </c>
      <c r="J2505" s="8" t="s">
        <v>274</v>
      </c>
      <c r="K2505" s="33" t="str">
        <f>CONCATENATE(TableAopCalendar[[#This Row],[Month for Plan]]," ",TableAopCalendar[[#This Row],[Plan]])</f>
        <v>FEBRUARY 29 PLANNED</v>
      </c>
    </row>
    <row r="2506" spans="1:11" x14ac:dyDescent="0.25">
      <c r="A2506" s="33">
        <f t="shared" si="132"/>
        <v>7</v>
      </c>
      <c r="B2506" s="34">
        <v>47156</v>
      </c>
      <c r="C2506" s="7" t="s">
        <v>272</v>
      </c>
      <c r="D2506" s="35">
        <v>29</v>
      </c>
      <c r="E2506" s="33">
        <f>DAY(TableAopCalendar[[#This Row],[Date]])</f>
        <v>7</v>
      </c>
      <c r="F250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06" s="33" t="str">
        <f t="shared" si="133"/>
        <v>Week 1</v>
      </c>
      <c r="H2506" s="33" t="str">
        <f t="shared" si="134"/>
        <v>February 29 Week 1</v>
      </c>
      <c r="I2506" s="33" t="str">
        <f>CONCATENATE(UPPER(TableAopCalendar[[#This Row],[Month]])," ",TableAopCalendar[[#This Row],[Year]])</f>
        <v>FEBRUARY 29</v>
      </c>
      <c r="J2506" s="8" t="s">
        <v>274</v>
      </c>
      <c r="K2506" s="33" t="str">
        <f>CONCATENATE(TableAopCalendar[[#This Row],[Month for Plan]]," ",TableAopCalendar[[#This Row],[Plan]])</f>
        <v>FEBRUARY 29 PLANNED</v>
      </c>
    </row>
    <row r="2507" spans="1:11" x14ac:dyDescent="0.25">
      <c r="A2507" s="33">
        <f t="shared" si="132"/>
        <v>1</v>
      </c>
      <c r="B2507" s="34">
        <v>47157</v>
      </c>
      <c r="C2507" s="7" t="s">
        <v>272</v>
      </c>
      <c r="D2507" s="35">
        <v>29</v>
      </c>
      <c r="E2507" s="33">
        <f>DAY(TableAopCalendar[[#This Row],[Date]])</f>
        <v>8</v>
      </c>
      <c r="F250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07" s="33" t="str">
        <f t="shared" si="133"/>
        <v>Week 2</v>
      </c>
      <c r="H2507" s="33" t="str">
        <f t="shared" si="134"/>
        <v>February 29 Week 2</v>
      </c>
      <c r="I2507" s="33" t="str">
        <f>CONCATENATE(UPPER(TableAopCalendar[[#This Row],[Month]])," ",TableAopCalendar[[#This Row],[Year]])</f>
        <v>FEBRUARY 29</v>
      </c>
      <c r="J2507" s="8" t="s">
        <v>274</v>
      </c>
      <c r="K2507" s="33" t="str">
        <f>CONCATENATE(TableAopCalendar[[#This Row],[Month for Plan]]," ",TableAopCalendar[[#This Row],[Plan]])</f>
        <v>FEBRUARY 29 PLANNED</v>
      </c>
    </row>
    <row r="2508" spans="1:11" x14ac:dyDescent="0.25">
      <c r="A2508" s="33">
        <f t="shared" si="132"/>
        <v>2</v>
      </c>
      <c r="B2508" s="34">
        <v>47158</v>
      </c>
      <c r="C2508" s="7" t="s">
        <v>272</v>
      </c>
      <c r="D2508" s="35">
        <v>29</v>
      </c>
      <c r="E2508" s="33">
        <f>DAY(TableAopCalendar[[#This Row],[Date]])</f>
        <v>9</v>
      </c>
      <c r="F250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08" s="33" t="str">
        <f t="shared" si="133"/>
        <v>Week 2</v>
      </c>
      <c r="H2508" s="33" t="str">
        <f t="shared" si="134"/>
        <v>February 29 Week 2</v>
      </c>
      <c r="I2508" s="33" t="str">
        <f>CONCATENATE(UPPER(TableAopCalendar[[#This Row],[Month]])," ",TableAopCalendar[[#This Row],[Year]])</f>
        <v>FEBRUARY 29</v>
      </c>
      <c r="J2508" s="8" t="s">
        <v>274</v>
      </c>
      <c r="K2508" s="33" t="str">
        <f>CONCATENATE(TableAopCalendar[[#This Row],[Month for Plan]]," ",TableAopCalendar[[#This Row],[Plan]])</f>
        <v>FEBRUARY 29 PLANNED</v>
      </c>
    </row>
    <row r="2509" spans="1:11" x14ac:dyDescent="0.25">
      <c r="A2509" s="33">
        <f t="shared" si="132"/>
        <v>3</v>
      </c>
      <c r="B2509" s="34">
        <v>47159</v>
      </c>
      <c r="C2509" s="7" t="s">
        <v>272</v>
      </c>
      <c r="D2509" s="35">
        <v>29</v>
      </c>
      <c r="E2509" s="33">
        <f>DAY(TableAopCalendar[[#This Row],[Date]])</f>
        <v>10</v>
      </c>
      <c r="F250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09" s="33" t="str">
        <f t="shared" si="133"/>
        <v>Week 2</v>
      </c>
      <c r="H2509" s="33" t="str">
        <f t="shared" si="134"/>
        <v>February 29 Week 2</v>
      </c>
      <c r="I2509" s="33" t="str">
        <f>CONCATENATE(UPPER(TableAopCalendar[[#This Row],[Month]])," ",TableAopCalendar[[#This Row],[Year]])</f>
        <v>FEBRUARY 29</v>
      </c>
      <c r="J2509" s="8" t="s">
        <v>274</v>
      </c>
      <c r="K2509" s="33" t="str">
        <f>CONCATENATE(TableAopCalendar[[#This Row],[Month for Plan]]," ",TableAopCalendar[[#This Row],[Plan]])</f>
        <v>FEBRUARY 29 PLANNED</v>
      </c>
    </row>
    <row r="2510" spans="1:11" x14ac:dyDescent="0.25">
      <c r="A2510" s="33">
        <f t="shared" si="132"/>
        <v>4</v>
      </c>
      <c r="B2510" s="34">
        <v>47160</v>
      </c>
      <c r="C2510" s="7" t="s">
        <v>272</v>
      </c>
      <c r="D2510" s="35">
        <v>29</v>
      </c>
      <c r="E2510" s="33">
        <f>DAY(TableAopCalendar[[#This Row],[Date]])</f>
        <v>11</v>
      </c>
      <c r="F251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10" s="33" t="str">
        <f t="shared" si="133"/>
        <v>Week 2</v>
      </c>
      <c r="H2510" s="33" t="str">
        <f t="shared" si="134"/>
        <v>February 29 Week 2</v>
      </c>
      <c r="I2510" s="33" t="str">
        <f>CONCATENATE(UPPER(TableAopCalendar[[#This Row],[Month]])," ",TableAopCalendar[[#This Row],[Year]])</f>
        <v>FEBRUARY 29</v>
      </c>
      <c r="J2510" s="8" t="s">
        <v>274</v>
      </c>
      <c r="K2510" s="33" t="str">
        <f>CONCATENATE(TableAopCalendar[[#This Row],[Month for Plan]]," ",TableAopCalendar[[#This Row],[Plan]])</f>
        <v>FEBRUARY 29 PLANNED</v>
      </c>
    </row>
    <row r="2511" spans="1:11" x14ac:dyDescent="0.25">
      <c r="A2511" s="33">
        <f t="shared" si="132"/>
        <v>5</v>
      </c>
      <c r="B2511" s="34">
        <v>47161</v>
      </c>
      <c r="C2511" s="7" t="s">
        <v>272</v>
      </c>
      <c r="D2511" s="35">
        <v>29</v>
      </c>
      <c r="E2511" s="33">
        <f>DAY(TableAopCalendar[[#This Row],[Date]])</f>
        <v>12</v>
      </c>
      <c r="F251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11" s="33" t="str">
        <f t="shared" si="133"/>
        <v>Week 2</v>
      </c>
      <c r="H2511" s="33" t="str">
        <f t="shared" si="134"/>
        <v>February 29 Week 2</v>
      </c>
      <c r="I2511" s="33" t="str">
        <f>CONCATENATE(UPPER(TableAopCalendar[[#This Row],[Month]])," ",TableAopCalendar[[#This Row],[Year]])</f>
        <v>FEBRUARY 29</v>
      </c>
      <c r="J2511" s="8" t="s">
        <v>274</v>
      </c>
      <c r="K2511" s="33" t="str">
        <f>CONCATENATE(TableAopCalendar[[#This Row],[Month for Plan]]," ",TableAopCalendar[[#This Row],[Plan]])</f>
        <v>FEBRUARY 29 PLANNED</v>
      </c>
    </row>
    <row r="2512" spans="1:11" x14ac:dyDescent="0.25">
      <c r="A2512" s="33">
        <f t="shared" si="132"/>
        <v>6</v>
      </c>
      <c r="B2512" s="34">
        <v>47162</v>
      </c>
      <c r="C2512" s="7" t="s">
        <v>272</v>
      </c>
      <c r="D2512" s="35">
        <v>29</v>
      </c>
      <c r="E2512" s="33">
        <f>DAY(TableAopCalendar[[#This Row],[Date]])</f>
        <v>13</v>
      </c>
      <c r="F251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12" s="33" t="str">
        <f t="shared" si="133"/>
        <v>Week 2</v>
      </c>
      <c r="H2512" s="33" t="str">
        <f t="shared" si="134"/>
        <v>February 29 Week 2</v>
      </c>
      <c r="I2512" s="33" t="str">
        <f>CONCATENATE(UPPER(TableAopCalendar[[#This Row],[Month]])," ",TableAopCalendar[[#This Row],[Year]])</f>
        <v>FEBRUARY 29</v>
      </c>
      <c r="J2512" s="8" t="s">
        <v>274</v>
      </c>
      <c r="K2512" s="33" t="str">
        <f>CONCATENATE(TableAopCalendar[[#This Row],[Month for Plan]]," ",TableAopCalendar[[#This Row],[Plan]])</f>
        <v>FEBRUARY 29 PLANNED</v>
      </c>
    </row>
    <row r="2513" spans="1:11" x14ac:dyDescent="0.25">
      <c r="A2513" s="33">
        <f t="shared" si="132"/>
        <v>7</v>
      </c>
      <c r="B2513" s="34">
        <v>47163</v>
      </c>
      <c r="C2513" s="7" t="s">
        <v>272</v>
      </c>
      <c r="D2513" s="35">
        <v>29</v>
      </c>
      <c r="E2513" s="33">
        <f>DAY(TableAopCalendar[[#This Row],[Date]])</f>
        <v>14</v>
      </c>
      <c r="F251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13" s="33" t="str">
        <f t="shared" si="133"/>
        <v>Week 2</v>
      </c>
      <c r="H2513" s="33" t="str">
        <f t="shared" si="134"/>
        <v>February 29 Week 2</v>
      </c>
      <c r="I2513" s="33" t="str">
        <f>CONCATENATE(UPPER(TableAopCalendar[[#This Row],[Month]])," ",TableAopCalendar[[#This Row],[Year]])</f>
        <v>FEBRUARY 29</v>
      </c>
      <c r="J2513" s="8" t="s">
        <v>274</v>
      </c>
      <c r="K2513" s="33" t="str">
        <f>CONCATENATE(TableAopCalendar[[#This Row],[Month for Plan]]," ",TableAopCalendar[[#This Row],[Plan]])</f>
        <v>FEBRUARY 29 PLANNED</v>
      </c>
    </row>
    <row r="2514" spans="1:11" x14ac:dyDescent="0.25">
      <c r="A2514" s="33">
        <f t="shared" si="132"/>
        <v>1</v>
      </c>
      <c r="B2514" s="34">
        <v>47164</v>
      </c>
      <c r="C2514" s="7" t="s">
        <v>272</v>
      </c>
      <c r="D2514" s="35">
        <v>29</v>
      </c>
      <c r="E2514" s="33">
        <f>DAY(TableAopCalendar[[#This Row],[Date]])</f>
        <v>15</v>
      </c>
      <c r="F251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14" s="33" t="str">
        <f t="shared" si="133"/>
        <v>Week 3</v>
      </c>
      <c r="H2514" s="33" t="str">
        <f t="shared" si="134"/>
        <v>February 29 Week 3</v>
      </c>
      <c r="I2514" s="33" t="str">
        <f>CONCATENATE(UPPER(TableAopCalendar[[#This Row],[Month]])," ",TableAopCalendar[[#This Row],[Year]])</f>
        <v>FEBRUARY 29</v>
      </c>
      <c r="J2514" s="8" t="s">
        <v>274</v>
      </c>
      <c r="K2514" s="33" t="str">
        <f>CONCATENATE(TableAopCalendar[[#This Row],[Month for Plan]]," ",TableAopCalendar[[#This Row],[Plan]])</f>
        <v>FEBRUARY 29 PLANNED</v>
      </c>
    </row>
    <row r="2515" spans="1:11" x14ac:dyDescent="0.25">
      <c r="A2515" s="33">
        <f t="shared" si="132"/>
        <v>2</v>
      </c>
      <c r="B2515" s="34">
        <v>47165</v>
      </c>
      <c r="C2515" s="7" t="s">
        <v>272</v>
      </c>
      <c r="D2515" s="35">
        <v>29</v>
      </c>
      <c r="E2515" s="33">
        <f>DAY(TableAopCalendar[[#This Row],[Date]])</f>
        <v>16</v>
      </c>
      <c r="F251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15" s="33" t="str">
        <f t="shared" si="133"/>
        <v>Week 3</v>
      </c>
      <c r="H2515" s="33" t="str">
        <f t="shared" si="134"/>
        <v>February 29 Week 3</v>
      </c>
      <c r="I2515" s="33" t="str">
        <f>CONCATENATE(UPPER(TableAopCalendar[[#This Row],[Month]])," ",TableAopCalendar[[#This Row],[Year]])</f>
        <v>FEBRUARY 29</v>
      </c>
      <c r="J2515" s="8" t="s">
        <v>274</v>
      </c>
      <c r="K2515" s="33" t="str">
        <f>CONCATENATE(TableAopCalendar[[#This Row],[Month for Plan]]," ",TableAopCalendar[[#This Row],[Plan]])</f>
        <v>FEBRUARY 29 PLANNED</v>
      </c>
    </row>
    <row r="2516" spans="1:11" x14ac:dyDescent="0.25">
      <c r="A2516" s="33">
        <f t="shared" si="132"/>
        <v>3</v>
      </c>
      <c r="B2516" s="34">
        <v>47166</v>
      </c>
      <c r="C2516" s="7" t="s">
        <v>272</v>
      </c>
      <c r="D2516" s="35">
        <v>29</v>
      </c>
      <c r="E2516" s="33">
        <f>DAY(TableAopCalendar[[#This Row],[Date]])</f>
        <v>17</v>
      </c>
      <c r="F251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16" s="33" t="str">
        <f t="shared" si="133"/>
        <v>Week 3</v>
      </c>
      <c r="H2516" s="33" t="str">
        <f t="shared" si="134"/>
        <v>February 29 Week 3</v>
      </c>
      <c r="I2516" s="33" t="str">
        <f>CONCATENATE(UPPER(TableAopCalendar[[#This Row],[Month]])," ",TableAopCalendar[[#This Row],[Year]])</f>
        <v>FEBRUARY 29</v>
      </c>
      <c r="J2516" s="8" t="s">
        <v>274</v>
      </c>
      <c r="K2516" s="33" t="str">
        <f>CONCATENATE(TableAopCalendar[[#This Row],[Month for Plan]]," ",TableAopCalendar[[#This Row],[Plan]])</f>
        <v>FEBRUARY 29 PLANNED</v>
      </c>
    </row>
    <row r="2517" spans="1:11" x14ac:dyDescent="0.25">
      <c r="A2517" s="33">
        <f t="shared" si="132"/>
        <v>4</v>
      </c>
      <c r="B2517" s="34">
        <v>47167</v>
      </c>
      <c r="C2517" s="7" t="s">
        <v>272</v>
      </c>
      <c r="D2517" s="35">
        <v>29</v>
      </c>
      <c r="E2517" s="33">
        <f>DAY(TableAopCalendar[[#This Row],[Date]])</f>
        <v>18</v>
      </c>
      <c r="F251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17" s="33" t="str">
        <f t="shared" si="133"/>
        <v>Week 3</v>
      </c>
      <c r="H2517" s="33" t="str">
        <f t="shared" si="134"/>
        <v>February 29 Week 3</v>
      </c>
      <c r="I2517" s="33" t="str">
        <f>CONCATENATE(UPPER(TableAopCalendar[[#This Row],[Month]])," ",TableAopCalendar[[#This Row],[Year]])</f>
        <v>FEBRUARY 29</v>
      </c>
      <c r="J2517" s="8" t="s">
        <v>274</v>
      </c>
      <c r="K2517" s="33" t="str">
        <f>CONCATENATE(TableAopCalendar[[#This Row],[Month for Plan]]," ",TableAopCalendar[[#This Row],[Plan]])</f>
        <v>FEBRUARY 29 PLANNED</v>
      </c>
    </row>
    <row r="2518" spans="1:11" x14ac:dyDescent="0.25">
      <c r="A2518" s="33">
        <f t="shared" si="132"/>
        <v>5</v>
      </c>
      <c r="B2518" s="34">
        <v>47168</v>
      </c>
      <c r="C2518" s="7" t="s">
        <v>272</v>
      </c>
      <c r="D2518" s="35">
        <v>29</v>
      </c>
      <c r="E2518" s="33">
        <f>DAY(TableAopCalendar[[#This Row],[Date]])</f>
        <v>19</v>
      </c>
      <c r="F251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18" s="33" t="str">
        <f t="shared" si="133"/>
        <v>Week 3</v>
      </c>
      <c r="H2518" s="33" t="str">
        <f t="shared" si="134"/>
        <v>February 29 Week 3</v>
      </c>
      <c r="I2518" s="33" t="str">
        <f>CONCATENATE(UPPER(TableAopCalendar[[#This Row],[Month]])," ",TableAopCalendar[[#This Row],[Year]])</f>
        <v>FEBRUARY 29</v>
      </c>
      <c r="J2518" s="8" t="s">
        <v>274</v>
      </c>
      <c r="K2518" s="33" t="str">
        <f>CONCATENATE(TableAopCalendar[[#This Row],[Month for Plan]]," ",TableAopCalendar[[#This Row],[Plan]])</f>
        <v>FEBRUARY 29 PLANNED</v>
      </c>
    </row>
    <row r="2519" spans="1:11" x14ac:dyDescent="0.25">
      <c r="A2519" s="33">
        <f t="shared" si="132"/>
        <v>6</v>
      </c>
      <c r="B2519" s="34">
        <v>47169</v>
      </c>
      <c r="C2519" s="7" t="s">
        <v>272</v>
      </c>
      <c r="D2519" s="35">
        <v>29</v>
      </c>
      <c r="E2519" s="33">
        <f>DAY(TableAopCalendar[[#This Row],[Date]])</f>
        <v>20</v>
      </c>
      <c r="F251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19" s="33" t="str">
        <f t="shared" si="133"/>
        <v>Week 3</v>
      </c>
      <c r="H2519" s="33" t="str">
        <f t="shared" si="134"/>
        <v>February 29 Week 3</v>
      </c>
      <c r="I2519" s="33" t="str">
        <f>CONCATENATE(UPPER(TableAopCalendar[[#This Row],[Month]])," ",TableAopCalendar[[#This Row],[Year]])</f>
        <v>FEBRUARY 29</v>
      </c>
      <c r="J2519" s="8" t="s">
        <v>274</v>
      </c>
      <c r="K2519" s="33" t="str">
        <f>CONCATENATE(TableAopCalendar[[#This Row],[Month for Plan]]," ",TableAopCalendar[[#This Row],[Plan]])</f>
        <v>FEBRUARY 29 PLANNED</v>
      </c>
    </row>
    <row r="2520" spans="1:11" x14ac:dyDescent="0.25">
      <c r="A2520" s="33">
        <f t="shared" si="132"/>
        <v>7</v>
      </c>
      <c r="B2520" s="34">
        <v>47170</v>
      </c>
      <c r="C2520" s="7" t="s">
        <v>272</v>
      </c>
      <c r="D2520" s="35">
        <v>29</v>
      </c>
      <c r="E2520" s="33">
        <f>DAY(TableAopCalendar[[#This Row],[Date]])</f>
        <v>21</v>
      </c>
      <c r="F252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20" s="33" t="str">
        <f t="shared" si="133"/>
        <v>Week 3</v>
      </c>
      <c r="H2520" s="33" t="str">
        <f t="shared" si="134"/>
        <v>February 29 Week 3</v>
      </c>
      <c r="I2520" s="33" t="str">
        <f>CONCATENATE(UPPER(TableAopCalendar[[#This Row],[Month]])," ",TableAopCalendar[[#This Row],[Year]])</f>
        <v>FEBRUARY 29</v>
      </c>
      <c r="J2520" s="8" t="s">
        <v>274</v>
      </c>
      <c r="K2520" s="33" t="str">
        <f>CONCATENATE(TableAopCalendar[[#This Row],[Month for Plan]]," ",TableAopCalendar[[#This Row],[Plan]])</f>
        <v>FEBRUARY 29 PLANNED</v>
      </c>
    </row>
    <row r="2521" spans="1:11" x14ac:dyDescent="0.25">
      <c r="A2521" s="33">
        <f t="shared" si="132"/>
        <v>1</v>
      </c>
      <c r="B2521" s="34">
        <v>47171</v>
      </c>
      <c r="C2521" s="7" t="s">
        <v>272</v>
      </c>
      <c r="D2521" s="35">
        <v>29</v>
      </c>
      <c r="E2521" s="33">
        <f>DAY(TableAopCalendar[[#This Row],[Date]])</f>
        <v>22</v>
      </c>
      <c r="F252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21" s="33" t="str">
        <f t="shared" si="133"/>
        <v>Week 4</v>
      </c>
      <c r="H2521" s="33" t="str">
        <f t="shared" si="134"/>
        <v>February 29 Week 4</v>
      </c>
      <c r="I2521" s="33" t="str">
        <f>CONCATENATE(UPPER(TableAopCalendar[[#This Row],[Month]])," ",TableAopCalendar[[#This Row],[Year]])</f>
        <v>FEBRUARY 29</v>
      </c>
      <c r="J2521" s="8" t="s">
        <v>274</v>
      </c>
      <c r="K2521" s="33" t="str">
        <f>CONCATENATE(TableAopCalendar[[#This Row],[Month for Plan]]," ",TableAopCalendar[[#This Row],[Plan]])</f>
        <v>FEBRUARY 29 PLANNED</v>
      </c>
    </row>
    <row r="2522" spans="1:11" x14ac:dyDescent="0.25">
      <c r="A2522" s="33">
        <f t="shared" si="132"/>
        <v>2</v>
      </c>
      <c r="B2522" s="34">
        <v>47172</v>
      </c>
      <c r="C2522" s="7" t="s">
        <v>272</v>
      </c>
      <c r="D2522" s="35">
        <v>29</v>
      </c>
      <c r="E2522" s="33">
        <f>DAY(TableAopCalendar[[#This Row],[Date]])</f>
        <v>23</v>
      </c>
      <c r="F252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22" s="33" t="str">
        <f t="shared" si="133"/>
        <v>Week 4</v>
      </c>
      <c r="H2522" s="33" t="str">
        <f t="shared" si="134"/>
        <v>February 29 Week 4</v>
      </c>
      <c r="I2522" s="33" t="str">
        <f>CONCATENATE(UPPER(TableAopCalendar[[#This Row],[Month]])," ",TableAopCalendar[[#This Row],[Year]])</f>
        <v>FEBRUARY 29</v>
      </c>
      <c r="J2522" s="8" t="s">
        <v>274</v>
      </c>
      <c r="K2522" s="33" t="str">
        <f>CONCATENATE(TableAopCalendar[[#This Row],[Month for Plan]]," ",TableAopCalendar[[#This Row],[Plan]])</f>
        <v>FEBRUARY 29 PLANNED</v>
      </c>
    </row>
    <row r="2523" spans="1:11" x14ac:dyDescent="0.25">
      <c r="A2523" s="33">
        <f t="shared" si="132"/>
        <v>3</v>
      </c>
      <c r="B2523" s="34">
        <v>47173</v>
      </c>
      <c r="C2523" s="7" t="s">
        <v>272</v>
      </c>
      <c r="D2523" s="35">
        <v>29</v>
      </c>
      <c r="E2523" s="33">
        <f>DAY(TableAopCalendar[[#This Row],[Date]])</f>
        <v>24</v>
      </c>
      <c r="F252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23" s="33" t="str">
        <f t="shared" si="133"/>
        <v>Week 4</v>
      </c>
      <c r="H2523" s="33" t="str">
        <f t="shared" si="134"/>
        <v>February 29 Week 4</v>
      </c>
      <c r="I2523" s="33" t="str">
        <f>CONCATENATE(UPPER(TableAopCalendar[[#This Row],[Month]])," ",TableAopCalendar[[#This Row],[Year]])</f>
        <v>FEBRUARY 29</v>
      </c>
      <c r="J2523" s="8" t="s">
        <v>274</v>
      </c>
      <c r="K2523" s="33" t="str">
        <f>CONCATENATE(TableAopCalendar[[#This Row],[Month for Plan]]," ",TableAopCalendar[[#This Row],[Plan]])</f>
        <v>FEBRUARY 29 PLANNED</v>
      </c>
    </row>
    <row r="2524" spans="1:11" x14ac:dyDescent="0.25">
      <c r="A2524" s="33">
        <f t="shared" si="132"/>
        <v>4</v>
      </c>
      <c r="B2524" s="34">
        <v>47174</v>
      </c>
      <c r="C2524" s="7" t="s">
        <v>272</v>
      </c>
      <c r="D2524" s="35">
        <v>29</v>
      </c>
      <c r="E2524" s="33">
        <f>DAY(TableAopCalendar[[#This Row],[Date]])</f>
        <v>25</v>
      </c>
      <c r="F252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24" s="33" t="str">
        <f t="shared" si="133"/>
        <v>Week 4</v>
      </c>
      <c r="H2524" s="33" t="str">
        <f t="shared" si="134"/>
        <v>February 29 Week 4</v>
      </c>
      <c r="I2524" s="33" t="str">
        <f>CONCATENATE(UPPER(TableAopCalendar[[#This Row],[Month]])," ",TableAopCalendar[[#This Row],[Year]])</f>
        <v>FEBRUARY 29</v>
      </c>
      <c r="J2524" s="8" t="s">
        <v>274</v>
      </c>
      <c r="K2524" s="33" t="str">
        <f>CONCATENATE(TableAopCalendar[[#This Row],[Month for Plan]]," ",TableAopCalendar[[#This Row],[Plan]])</f>
        <v>FEBRUARY 29 PLANNED</v>
      </c>
    </row>
    <row r="2525" spans="1:11" x14ac:dyDescent="0.25">
      <c r="A2525" s="33">
        <f t="shared" si="132"/>
        <v>5</v>
      </c>
      <c r="B2525" s="34">
        <v>47175</v>
      </c>
      <c r="C2525" s="7" t="s">
        <v>272</v>
      </c>
      <c r="D2525" s="35">
        <v>29</v>
      </c>
      <c r="E2525" s="33">
        <f>DAY(TableAopCalendar[[#This Row],[Date]])</f>
        <v>26</v>
      </c>
      <c r="F252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25" s="33" t="str">
        <f t="shared" si="133"/>
        <v>Week 4</v>
      </c>
      <c r="H2525" s="33" t="str">
        <f t="shared" si="134"/>
        <v>February 29 Week 4</v>
      </c>
      <c r="I2525" s="33" t="str">
        <f>CONCATENATE(UPPER(TableAopCalendar[[#This Row],[Month]])," ",TableAopCalendar[[#This Row],[Year]])</f>
        <v>FEBRUARY 29</v>
      </c>
      <c r="J2525" s="8" t="s">
        <v>274</v>
      </c>
      <c r="K2525" s="33" t="str">
        <f>CONCATENATE(TableAopCalendar[[#This Row],[Month for Plan]]," ",TableAopCalendar[[#This Row],[Plan]])</f>
        <v>FEBRUARY 29 PLANNED</v>
      </c>
    </row>
    <row r="2526" spans="1:11" x14ac:dyDescent="0.25">
      <c r="A2526" s="33">
        <f t="shared" si="132"/>
        <v>6</v>
      </c>
      <c r="B2526" s="34">
        <v>47176</v>
      </c>
      <c r="C2526" s="7" t="s">
        <v>272</v>
      </c>
      <c r="D2526" s="35">
        <v>29</v>
      </c>
      <c r="E2526" s="33">
        <f>DAY(TableAopCalendar[[#This Row],[Date]])</f>
        <v>27</v>
      </c>
      <c r="F252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26" s="33" t="str">
        <f t="shared" si="133"/>
        <v>Week 4</v>
      </c>
      <c r="H2526" s="33" t="str">
        <f t="shared" si="134"/>
        <v>February 29 Week 4</v>
      </c>
      <c r="I2526" s="33" t="str">
        <f>CONCATENATE(UPPER(TableAopCalendar[[#This Row],[Month]])," ",TableAopCalendar[[#This Row],[Year]])</f>
        <v>FEBRUARY 29</v>
      </c>
      <c r="J2526" s="8" t="s">
        <v>274</v>
      </c>
      <c r="K2526" s="33" t="str">
        <f>CONCATENATE(TableAopCalendar[[#This Row],[Month for Plan]]," ",TableAopCalendar[[#This Row],[Plan]])</f>
        <v>FEBRUARY 29 PLANNED</v>
      </c>
    </row>
    <row r="2527" spans="1:11" x14ac:dyDescent="0.25">
      <c r="A2527" s="33">
        <f t="shared" si="132"/>
        <v>7</v>
      </c>
      <c r="B2527" s="34">
        <v>47177</v>
      </c>
      <c r="C2527" s="7" t="s">
        <v>272</v>
      </c>
      <c r="D2527" s="35">
        <v>29</v>
      </c>
      <c r="E2527" s="33">
        <f>DAY(TableAopCalendar[[#This Row],[Date]])</f>
        <v>28</v>
      </c>
      <c r="F252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27" s="33" t="str">
        <f t="shared" si="133"/>
        <v>Week 4</v>
      </c>
      <c r="H2527" s="33" t="str">
        <f t="shared" si="134"/>
        <v>February 29 Week 4</v>
      </c>
      <c r="I2527" s="33" t="str">
        <f>CONCATENATE(UPPER(TableAopCalendar[[#This Row],[Month]])," ",TableAopCalendar[[#This Row],[Year]])</f>
        <v>FEBRUARY 29</v>
      </c>
      <c r="J2527" s="8" t="s">
        <v>274</v>
      </c>
      <c r="K2527" s="33" t="str">
        <f>CONCATENATE(TableAopCalendar[[#This Row],[Month for Plan]]," ",TableAopCalendar[[#This Row],[Plan]])</f>
        <v>FEBRUARY 29 PLANNED</v>
      </c>
    </row>
    <row r="2528" spans="1:11" x14ac:dyDescent="0.25">
      <c r="A2528" s="33">
        <f t="shared" si="132"/>
        <v>1</v>
      </c>
      <c r="B2528" s="34">
        <v>47178</v>
      </c>
      <c r="C2528" s="7" t="s">
        <v>273</v>
      </c>
      <c r="D2528" s="35">
        <v>29</v>
      </c>
      <c r="E2528" s="33">
        <f>DAY(TableAopCalendar[[#This Row],[Date]])</f>
        <v>1</v>
      </c>
      <c r="F252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28" s="33" t="str">
        <f t="shared" si="133"/>
        <v>Week 1</v>
      </c>
      <c r="H2528" s="33" t="str">
        <f t="shared" si="134"/>
        <v>March 29 Week 1</v>
      </c>
      <c r="I2528" s="33" t="str">
        <f>CONCATENATE(UPPER(TableAopCalendar[[#This Row],[Month]])," ",TableAopCalendar[[#This Row],[Year]])</f>
        <v>MARCH 29</v>
      </c>
      <c r="J2528" s="8" t="s">
        <v>274</v>
      </c>
      <c r="K2528" s="33" t="str">
        <f>CONCATENATE(TableAopCalendar[[#This Row],[Month for Plan]]," ",TableAopCalendar[[#This Row],[Plan]])</f>
        <v>MARCH 29 PLANNED</v>
      </c>
    </row>
    <row r="2529" spans="1:11" x14ac:dyDescent="0.25">
      <c r="A2529" s="33">
        <f t="shared" si="132"/>
        <v>2</v>
      </c>
      <c r="B2529" s="34">
        <v>47179</v>
      </c>
      <c r="C2529" s="7" t="s">
        <v>273</v>
      </c>
      <c r="D2529" s="35">
        <v>29</v>
      </c>
      <c r="E2529" s="33">
        <f>DAY(TableAopCalendar[[#This Row],[Date]])</f>
        <v>2</v>
      </c>
      <c r="F252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29" s="33" t="str">
        <f t="shared" si="133"/>
        <v>Week 1</v>
      </c>
      <c r="H2529" s="33" t="str">
        <f t="shared" si="134"/>
        <v>March 29 Week 1</v>
      </c>
      <c r="I2529" s="33" t="str">
        <f>CONCATENATE(UPPER(TableAopCalendar[[#This Row],[Month]])," ",TableAopCalendar[[#This Row],[Year]])</f>
        <v>MARCH 29</v>
      </c>
      <c r="J2529" s="8" t="s">
        <v>274</v>
      </c>
      <c r="K2529" s="33" t="str">
        <f>CONCATENATE(TableAopCalendar[[#This Row],[Month for Plan]]," ",TableAopCalendar[[#This Row],[Plan]])</f>
        <v>MARCH 29 PLANNED</v>
      </c>
    </row>
    <row r="2530" spans="1:11" x14ac:dyDescent="0.25">
      <c r="A2530" s="33">
        <f t="shared" si="132"/>
        <v>3</v>
      </c>
      <c r="B2530" s="34">
        <v>47180</v>
      </c>
      <c r="C2530" s="7" t="s">
        <v>273</v>
      </c>
      <c r="D2530" s="35">
        <v>29</v>
      </c>
      <c r="E2530" s="33">
        <f>DAY(TableAopCalendar[[#This Row],[Date]])</f>
        <v>3</v>
      </c>
      <c r="F253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30" s="33" t="str">
        <f t="shared" si="133"/>
        <v>Week 1</v>
      </c>
      <c r="H2530" s="33" t="str">
        <f t="shared" si="134"/>
        <v>March 29 Week 1</v>
      </c>
      <c r="I2530" s="33" t="str">
        <f>CONCATENATE(UPPER(TableAopCalendar[[#This Row],[Month]])," ",TableAopCalendar[[#This Row],[Year]])</f>
        <v>MARCH 29</v>
      </c>
      <c r="J2530" s="8" t="s">
        <v>274</v>
      </c>
      <c r="K2530" s="33" t="str">
        <f>CONCATENATE(TableAopCalendar[[#This Row],[Month for Plan]]," ",TableAopCalendar[[#This Row],[Plan]])</f>
        <v>MARCH 29 PLANNED</v>
      </c>
    </row>
    <row r="2531" spans="1:11" x14ac:dyDescent="0.25">
      <c r="A2531" s="33">
        <f t="shared" si="132"/>
        <v>4</v>
      </c>
      <c r="B2531" s="34">
        <v>47181</v>
      </c>
      <c r="C2531" s="7" t="s">
        <v>273</v>
      </c>
      <c r="D2531" s="35">
        <v>29</v>
      </c>
      <c r="E2531" s="33">
        <f>DAY(TableAopCalendar[[#This Row],[Date]])</f>
        <v>4</v>
      </c>
      <c r="F253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31" s="33" t="str">
        <f t="shared" si="133"/>
        <v>Week 1</v>
      </c>
      <c r="H2531" s="33" t="str">
        <f t="shared" si="134"/>
        <v>March 29 Week 1</v>
      </c>
      <c r="I2531" s="33" t="str">
        <f>CONCATENATE(UPPER(TableAopCalendar[[#This Row],[Month]])," ",TableAopCalendar[[#This Row],[Year]])</f>
        <v>MARCH 29</v>
      </c>
      <c r="J2531" s="8" t="s">
        <v>274</v>
      </c>
      <c r="K2531" s="33" t="str">
        <f>CONCATENATE(TableAopCalendar[[#This Row],[Month for Plan]]," ",TableAopCalendar[[#This Row],[Plan]])</f>
        <v>MARCH 29 PLANNED</v>
      </c>
    </row>
    <row r="2532" spans="1:11" x14ac:dyDescent="0.25">
      <c r="A2532" s="33">
        <f t="shared" ref="A2532:A2595" si="135">IF(G2532=G2531,A2531+1,1)</f>
        <v>5</v>
      </c>
      <c r="B2532" s="34">
        <v>47182</v>
      </c>
      <c r="C2532" s="7" t="s">
        <v>273</v>
      </c>
      <c r="D2532" s="35">
        <v>29</v>
      </c>
      <c r="E2532" s="33">
        <f>DAY(TableAopCalendar[[#This Row],[Date]])</f>
        <v>5</v>
      </c>
      <c r="F253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32" s="33" t="str">
        <f t="shared" ref="G2532:G2595" si="136">"Week"&amp;" "&amp;F2532</f>
        <v>Week 1</v>
      </c>
      <c r="H2532" s="33" t="str">
        <f t="shared" ref="H2532:H2595" si="137">CONCATENATE(C2532," ",D2532," ",G2532)</f>
        <v>March 29 Week 1</v>
      </c>
      <c r="I2532" s="33" t="str">
        <f>CONCATENATE(UPPER(TableAopCalendar[[#This Row],[Month]])," ",TableAopCalendar[[#This Row],[Year]])</f>
        <v>MARCH 29</v>
      </c>
      <c r="J2532" s="8" t="s">
        <v>274</v>
      </c>
      <c r="K2532" s="33" t="str">
        <f>CONCATENATE(TableAopCalendar[[#This Row],[Month for Plan]]," ",TableAopCalendar[[#This Row],[Plan]])</f>
        <v>MARCH 29 PLANNED</v>
      </c>
    </row>
    <row r="2533" spans="1:11" x14ac:dyDescent="0.25">
      <c r="A2533" s="33">
        <f t="shared" si="135"/>
        <v>6</v>
      </c>
      <c r="B2533" s="34">
        <v>47183</v>
      </c>
      <c r="C2533" s="7" t="s">
        <v>273</v>
      </c>
      <c r="D2533" s="35">
        <v>29</v>
      </c>
      <c r="E2533" s="33">
        <f>DAY(TableAopCalendar[[#This Row],[Date]])</f>
        <v>6</v>
      </c>
      <c r="F253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33" s="33" t="str">
        <f t="shared" si="136"/>
        <v>Week 1</v>
      </c>
      <c r="H2533" s="33" t="str">
        <f t="shared" si="137"/>
        <v>March 29 Week 1</v>
      </c>
      <c r="I2533" s="33" t="str">
        <f>CONCATENATE(UPPER(TableAopCalendar[[#This Row],[Month]])," ",TableAopCalendar[[#This Row],[Year]])</f>
        <v>MARCH 29</v>
      </c>
      <c r="J2533" s="8" t="s">
        <v>274</v>
      </c>
      <c r="K2533" s="33" t="str">
        <f>CONCATENATE(TableAopCalendar[[#This Row],[Month for Plan]]," ",TableAopCalendar[[#This Row],[Plan]])</f>
        <v>MARCH 29 PLANNED</v>
      </c>
    </row>
    <row r="2534" spans="1:11" x14ac:dyDescent="0.25">
      <c r="A2534" s="33">
        <f t="shared" si="135"/>
        <v>7</v>
      </c>
      <c r="B2534" s="34">
        <v>47184</v>
      </c>
      <c r="C2534" s="7" t="s">
        <v>273</v>
      </c>
      <c r="D2534" s="35">
        <v>29</v>
      </c>
      <c r="E2534" s="33">
        <f>DAY(TableAopCalendar[[#This Row],[Date]])</f>
        <v>7</v>
      </c>
      <c r="F253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34" s="33" t="str">
        <f t="shared" si="136"/>
        <v>Week 1</v>
      </c>
      <c r="H2534" s="33" t="str">
        <f t="shared" si="137"/>
        <v>March 29 Week 1</v>
      </c>
      <c r="I2534" s="33" t="str">
        <f>CONCATENATE(UPPER(TableAopCalendar[[#This Row],[Month]])," ",TableAopCalendar[[#This Row],[Year]])</f>
        <v>MARCH 29</v>
      </c>
      <c r="J2534" s="8" t="s">
        <v>274</v>
      </c>
      <c r="K2534" s="33" t="str">
        <f>CONCATENATE(TableAopCalendar[[#This Row],[Month for Plan]]," ",TableAopCalendar[[#This Row],[Plan]])</f>
        <v>MARCH 29 PLANNED</v>
      </c>
    </row>
    <row r="2535" spans="1:11" x14ac:dyDescent="0.25">
      <c r="A2535" s="33">
        <f t="shared" si="135"/>
        <v>1</v>
      </c>
      <c r="B2535" s="34">
        <v>47185</v>
      </c>
      <c r="C2535" s="7" t="s">
        <v>273</v>
      </c>
      <c r="D2535" s="35">
        <v>29</v>
      </c>
      <c r="E2535" s="33">
        <f>DAY(TableAopCalendar[[#This Row],[Date]])</f>
        <v>8</v>
      </c>
      <c r="F253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35" s="33" t="str">
        <f t="shared" si="136"/>
        <v>Week 2</v>
      </c>
      <c r="H2535" s="33" t="str">
        <f t="shared" si="137"/>
        <v>March 29 Week 2</v>
      </c>
      <c r="I2535" s="33" t="str">
        <f>CONCATENATE(UPPER(TableAopCalendar[[#This Row],[Month]])," ",TableAopCalendar[[#This Row],[Year]])</f>
        <v>MARCH 29</v>
      </c>
      <c r="J2535" s="8" t="s">
        <v>274</v>
      </c>
      <c r="K2535" s="33" t="str">
        <f>CONCATENATE(TableAopCalendar[[#This Row],[Month for Plan]]," ",TableAopCalendar[[#This Row],[Plan]])</f>
        <v>MARCH 29 PLANNED</v>
      </c>
    </row>
    <row r="2536" spans="1:11" x14ac:dyDescent="0.25">
      <c r="A2536" s="33">
        <f t="shared" si="135"/>
        <v>2</v>
      </c>
      <c r="B2536" s="34">
        <v>47186</v>
      </c>
      <c r="C2536" s="7" t="s">
        <v>273</v>
      </c>
      <c r="D2536" s="35">
        <v>29</v>
      </c>
      <c r="E2536" s="33">
        <f>DAY(TableAopCalendar[[#This Row],[Date]])</f>
        <v>9</v>
      </c>
      <c r="F253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36" s="33" t="str">
        <f t="shared" si="136"/>
        <v>Week 2</v>
      </c>
      <c r="H2536" s="33" t="str">
        <f t="shared" si="137"/>
        <v>March 29 Week 2</v>
      </c>
      <c r="I2536" s="33" t="str">
        <f>CONCATENATE(UPPER(TableAopCalendar[[#This Row],[Month]])," ",TableAopCalendar[[#This Row],[Year]])</f>
        <v>MARCH 29</v>
      </c>
      <c r="J2536" s="8" t="s">
        <v>274</v>
      </c>
      <c r="K2536" s="33" t="str">
        <f>CONCATENATE(TableAopCalendar[[#This Row],[Month for Plan]]," ",TableAopCalendar[[#This Row],[Plan]])</f>
        <v>MARCH 29 PLANNED</v>
      </c>
    </row>
    <row r="2537" spans="1:11" x14ac:dyDescent="0.25">
      <c r="A2537" s="33">
        <f t="shared" si="135"/>
        <v>3</v>
      </c>
      <c r="B2537" s="34">
        <v>47187</v>
      </c>
      <c r="C2537" s="7" t="s">
        <v>273</v>
      </c>
      <c r="D2537" s="35">
        <v>29</v>
      </c>
      <c r="E2537" s="33">
        <f>DAY(TableAopCalendar[[#This Row],[Date]])</f>
        <v>10</v>
      </c>
      <c r="F253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37" s="33" t="str">
        <f t="shared" si="136"/>
        <v>Week 2</v>
      </c>
      <c r="H2537" s="33" t="str">
        <f t="shared" si="137"/>
        <v>March 29 Week 2</v>
      </c>
      <c r="I2537" s="33" t="str">
        <f>CONCATENATE(UPPER(TableAopCalendar[[#This Row],[Month]])," ",TableAopCalendar[[#This Row],[Year]])</f>
        <v>MARCH 29</v>
      </c>
      <c r="J2537" s="8" t="s">
        <v>274</v>
      </c>
      <c r="K2537" s="33" t="str">
        <f>CONCATENATE(TableAopCalendar[[#This Row],[Month for Plan]]," ",TableAopCalendar[[#This Row],[Plan]])</f>
        <v>MARCH 29 PLANNED</v>
      </c>
    </row>
    <row r="2538" spans="1:11" x14ac:dyDescent="0.25">
      <c r="A2538" s="33">
        <f t="shared" si="135"/>
        <v>4</v>
      </c>
      <c r="B2538" s="34">
        <v>47188</v>
      </c>
      <c r="C2538" s="7" t="s">
        <v>273</v>
      </c>
      <c r="D2538" s="35">
        <v>29</v>
      </c>
      <c r="E2538" s="33">
        <f>DAY(TableAopCalendar[[#This Row],[Date]])</f>
        <v>11</v>
      </c>
      <c r="F253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38" s="33" t="str">
        <f t="shared" si="136"/>
        <v>Week 2</v>
      </c>
      <c r="H2538" s="33" t="str">
        <f t="shared" si="137"/>
        <v>March 29 Week 2</v>
      </c>
      <c r="I2538" s="33" t="str">
        <f>CONCATENATE(UPPER(TableAopCalendar[[#This Row],[Month]])," ",TableAopCalendar[[#This Row],[Year]])</f>
        <v>MARCH 29</v>
      </c>
      <c r="J2538" s="8" t="s">
        <v>274</v>
      </c>
      <c r="K2538" s="33" t="str">
        <f>CONCATENATE(TableAopCalendar[[#This Row],[Month for Plan]]," ",TableAopCalendar[[#This Row],[Plan]])</f>
        <v>MARCH 29 PLANNED</v>
      </c>
    </row>
    <row r="2539" spans="1:11" x14ac:dyDescent="0.25">
      <c r="A2539" s="33">
        <f t="shared" si="135"/>
        <v>5</v>
      </c>
      <c r="B2539" s="34">
        <v>47189</v>
      </c>
      <c r="C2539" s="7" t="s">
        <v>273</v>
      </c>
      <c r="D2539" s="35">
        <v>29</v>
      </c>
      <c r="E2539" s="33">
        <f>DAY(TableAopCalendar[[#This Row],[Date]])</f>
        <v>12</v>
      </c>
      <c r="F253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39" s="33" t="str">
        <f t="shared" si="136"/>
        <v>Week 2</v>
      </c>
      <c r="H2539" s="33" t="str">
        <f t="shared" si="137"/>
        <v>March 29 Week 2</v>
      </c>
      <c r="I2539" s="33" t="str">
        <f>CONCATENATE(UPPER(TableAopCalendar[[#This Row],[Month]])," ",TableAopCalendar[[#This Row],[Year]])</f>
        <v>MARCH 29</v>
      </c>
      <c r="J2539" s="8" t="s">
        <v>274</v>
      </c>
      <c r="K2539" s="33" t="str">
        <f>CONCATENATE(TableAopCalendar[[#This Row],[Month for Plan]]," ",TableAopCalendar[[#This Row],[Plan]])</f>
        <v>MARCH 29 PLANNED</v>
      </c>
    </row>
    <row r="2540" spans="1:11" x14ac:dyDescent="0.25">
      <c r="A2540" s="33">
        <f t="shared" si="135"/>
        <v>6</v>
      </c>
      <c r="B2540" s="34">
        <v>47190</v>
      </c>
      <c r="C2540" s="7" t="s">
        <v>273</v>
      </c>
      <c r="D2540" s="35">
        <v>29</v>
      </c>
      <c r="E2540" s="33">
        <f>DAY(TableAopCalendar[[#This Row],[Date]])</f>
        <v>13</v>
      </c>
      <c r="F254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40" s="33" t="str">
        <f t="shared" si="136"/>
        <v>Week 2</v>
      </c>
      <c r="H2540" s="33" t="str">
        <f t="shared" si="137"/>
        <v>March 29 Week 2</v>
      </c>
      <c r="I2540" s="33" t="str">
        <f>CONCATENATE(UPPER(TableAopCalendar[[#This Row],[Month]])," ",TableAopCalendar[[#This Row],[Year]])</f>
        <v>MARCH 29</v>
      </c>
      <c r="J2540" s="8" t="s">
        <v>274</v>
      </c>
      <c r="K2540" s="33" t="str">
        <f>CONCATENATE(TableAopCalendar[[#This Row],[Month for Plan]]," ",TableAopCalendar[[#This Row],[Plan]])</f>
        <v>MARCH 29 PLANNED</v>
      </c>
    </row>
    <row r="2541" spans="1:11" x14ac:dyDescent="0.25">
      <c r="A2541" s="33">
        <f t="shared" si="135"/>
        <v>7</v>
      </c>
      <c r="B2541" s="34">
        <v>47191</v>
      </c>
      <c r="C2541" s="7" t="s">
        <v>273</v>
      </c>
      <c r="D2541" s="35">
        <v>29</v>
      </c>
      <c r="E2541" s="33">
        <f>DAY(TableAopCalendar[[#This Row],[Date]])</f>
        <v>14</v>
      </c>
      <c r="F254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41" s="33" t="str">
        <f t="shared" si="136"/>
        <v>Week 2</v>
      </c>
      <c r="H2541" s="33" t="str">
        <f t="shared" si="137"/>
        <v>March 29 Week 2</v>
      </c>
      <c r="I2541" s="33" t="str">
        <f>CONCATENATE(UPPER(TableAopCalendar[[#This Row],[Month]])," ",TableAopCalendar[[#This Row],[Year]])</f>
        <v>MARCH 29</v>
      </c>
      <c r="J2541" s="8" t="s">
        <v>274</v>
      </c>
      <c r="K2541" s="33" t="str">
        <f>CONCATENATE(TableAopCalendar[[#This Row],[Month for Plan]]," ",TableAopCalendar[[#This Row],[Plan]])</f>
        <v>MARCH 29 PLANNED</v>
      </c>
    </row>
    <row r="2542" spans="1:11" x14ac:dyDescent="0.25">
      <c r="A2542" s="33">
        <f t="shared" si="135"/>
        <v>1</v>
      </c>
      <c r="B2542" s="34">
        <v>47192</v>
      </c>
      <c r="C2542" s="7" t="s">
        <v>273</v>
      </c>
      <c r="D2542" s="35">
        <v>29</v>
      </c>
      <c r="E2542" s="33">
        <f>DAY(TableAopCalendar[[#This Row],[Date]])</f>
        <v>15</v>
      </c>
      <c r="F254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42" s="33" t="str">
        <f t="shared" si="136"/>
        <v>Week 3</v>
      </c>
      <c r="H2542" s="33" t="str">
        <f t="shared" si="137"/>
        <v>March 29 Week 3</v>
      </c>
      <c r="I2542" s="33" t="str">
        <f>CONCATENATE(UPPER(TableAopCalendar[[#This Row],[Month]])," ",TableAopCalendar[[#This Row],[Year]])</f>
        <v>MARCH 29</v>
      </c>
      <c r="J2542" s="8" t="s">
        <v>274</v>
      </c>
      <c r="K2542" s="33" t="str">
        <f>CONCATENATE(TableAopCalendar[[#This Row],[Month for Plan]]," ",TableAopCalendar[[#This Row],[Plan]])</f>
        <v>MARCH 29 PLANNED</v>
      </c>
    </row>
    <row r="2543" spans="1:11" x14ac:dyDescent="0.25">
      <c r="A2543" s="33">
        <f t="shared" si="135"/>
        <v>2</v>
      </c>
      <c r="B2543" s="34">
        <v>47193</v>
      </c>
      <c r="C2543" s="7" t="s">
        <v>273</v>
      </c>
      <c r="D2543" s="35">
        <v>29</v>
      </c>
      <c r="E2543" s="33">
        <f>DAY(TableAopCalendar[[#This Row],[Date]])</f>
        <v>16</v>
      </c>
      <c r="F254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43" s="33" t="str">
        <f t="shared" si="136"/>
        <v>Week 3</v>
      </c>
      <c r="H2543" s="33" t="str">
        <f t="shared" si="137"/>
        <v>March 29 Week 3</v>
      </c>
      <c r="I2543" s="33" t="str">
        <f>CONCATENATE(UPPER(TableAopCalendar[[#This Row],[Month]])," ",TableAopCalendar[[#This Row],[Year]])</f>
        <v>MARCH 29</v>
      </c>
      <c r="J2543" s="8" t="s">
        <v>274</v>
      </c>
      <c r="K2543" s="33" t="str">
        <f>CONCATENATE(TableAopCalendar[[#This Row],[Month for Plan]]," ",TableAopCalendar[[#This Row],[Plan]])</f>
        <v>MARCH 29 PLANNED</v>
      </c>
    </row>
    <row r="2544" spans="1:11" x14ac:dyDescent="0.25">
      <c r="A2544" s="33">
        <f t="shared" si="135"/>
        <v>3</v>
      </c>
      <c r="B2544" s="34">
        <v>47194</v>
      </c>
      <c r="C2544" s="7" t="s">
        <v>273</v>
      </c>
      <c r="D2544" s="35">
        <v>29</v>
      </c>
      <c r="E2544" s="33">
        <f>DAY(TableAopCalendar[[#This Row],[Date]])</f>
        <v>17</v>
      </c>
      <c r="F254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44" s="33" t="str">
        <f t="shared" si="136"/>
        <v>Week 3</v>
      </c>
      <c r="H2544" s="33" t="str">
        <f t="shared" si="137"/>
        <v>March 29 Week 3</v>
      </c>
      <c r="I2544" s="33" t="str">
        <f>CONCATENATE(UPPER(TableAopCalendar[[#This Row],[Month]])," ",TableAopCalendar[[#This Row],[Year]])</f>
        <v>MARCH 29</v>
      </c>
      <c r="J2544" s="8" t="s">
        <v>274</v>
      </c>
      <c r="K2544" s="33" t="str">
        <f>CONCATENATE(TableAopCalendar[[#This Row],[Month for Plan]]," ",TableAopCalendar[[#This Row],[Plan]])</f>
        <v>MARCH 29 PLANNED</v>
      </c>
    </row>
    <row r="2545" spans="1:11" x14ac:dyDescent="0.25">
      <c r="A2545" s="33">
        <f t="shared" si="135"/>
        <v>4</v>
      </c>
      <c r="B2545" s="34">
        <v>47195</v>
      </c>
      <c r="C2545" s="7" t="s">
        <v>273</v>
      </c>
      <c r="D2545" s="35">
        <v>29</v>
      </c>
      <c r="E2545" s="33">
        <f>DAY(TableAopCalendar[[#This Row],[Date]])</f>
        <v>18</v>
      </c>
      <c r="F254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45" s="33" t="str">
        <f t="shared" si="136"/>
        <v>Week 3</v>
      </c>
      <c r="H2545" s="33" t="str">
        <f t="shared" si="137"/>
        <v>March 29 Week 3</v>
      </c>
      <c r="I2545" s="33" t="str">
        <f>CONCATENATE(UPPER(TableAopCalendar[[#This Row],[Month]])," ",TableAopCalendar[[#This Row],[Year]])</f>
        <v>MARCH 29</v>
      </c>
      <c r="J2545" s="8" t="s">
        <v>274</v>
      </c>
      <c r="K2545" s="33" t="str">
        <f>CONCATENATE(TableAopCalendar[[#This Row],[Month for Plan]]," ",TableAopCalendar[[#This Row],[Plan]])</f>
        <v>MARCH 29 PLANNED</v>
      </c>
    </row>
    <row r="2546" spans="1:11" x14ac:dyDescent="0.25">
      <c r="A2546" s="33">
        <f t="shared" si="135"/>
        <v>5</v>
      </c>
      <c r="B2546" s="34">
        <v>47196</v>
      </c>
      <c r="C2546" s="7" t="s">
        <v>273</v>
      </c>
      <c r="D2546" s="35">
        <v>29</v>
      </c>
      <c r="E2546" s="33">
        <f>DAY(TableAopCalendar[[#This Row],[Date]])</f>
        <v>19</v>
      </c>
      <c r="F254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46" s="33" t="str">
        <f t="shared" si="136"/>
        <v>Week 3</v>
      </c>
      <c r="H2546" s="33" t="str">
        <f t="shared" si="137"/>
        <v>March 29 Week 3</v>
      </c>
      <c r="I2546" s="33" t="str">
        <f>CONCATENATE(UPPER(TableAopCalendar[[#This Row],[Month]])," ",TableAopCalendar[[#This Row],[Year]])</f>
        <v>MARCH 29</v>
      </c>
      <c r="J2546" s="8" t="s">
        <v>274</v>
      </c>
      <c r="K2546" s="33" t="str">
        <f>CONCATENATE(TableAopCalendar[[#This Row],[Month for Plan]]," ",TableAopCalendar[[#This Row],[Plan]])</f>
        <v>MARCH 29 PLANNED</v>
      </c>
    </row>
    <row r="2547" spans="1:11" x14ac:dyDescent="0.25">
      <c r="A2547" s="33">
        <f t="shared" si="135"/>
        <v>6</v>
      </c>
      <c r="B2547" s="34">
        <v>47197</v>
      </c>
      <c r="C2547" s="7" t="s">
        <v>273</v>
      </c>
      <c r="D2547" s="35">
        <v>29</v>
      </c>
      <c r="E2547" s="33">
        <f>DAY(TableAopCalendar[[#This Row],[Date]])</f>
        <v>20</v>
      </c>
      <c r="F254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47" s="33" t="str">
        <f t="shared" si="136"/>
        <v>Week 3</v>
      </c>
      <c r="H2547" s="33" t="str">
        <f t="shared" si="137"/>
        <v>March 29 Week 3</v>
      </c>
      <c r="I2547" s="33" t="str">
        <f>CONCATENATE(UPPER(TableAopCalendar[[#This Row],[Month]])," ",TableAopCalendar[[#This Row],[Year]])</f>
        <v>MARCH 29</v>
      </c>
      <c r="J2547" s="8" t="s">
        <v>274</v>
      </c>
      <c r="K2547" s="33" t="str">
        <f>CONCATENATE(TableAopCalendar[[#This Row],[Month for Plan]]," ",TableAopCalendar[[#This Row],[Plan]])</f>
        <v>MARCH 29 PLANNED</v>
      </c>
    </row>
    <row r="2548" spans="1:11" x14ac:dyDescent="0.25">
      <c r="A2548" s="33">
        <f t="shared" si="135"/>
        <v>7</v>
      </c>
      <c r="B2548" s="34">
        <v>47198</v>
      </c>
      <c r="C2548" s="7" t="s">
        <v>273</v>
      </c>
      <c r="D2548" s="35">
        <v>29</v>
      </c>
      <c r="E2548" s="33">
        <f>DAY(TableAopCalendar[[#This Row],[Date]])</f>
        <v>21</v>
      </c>
      <c r="F254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48" s="33" t="str">
        <f t="shared" si="136"/>
        <v>Week 3</v>
      </c>
      <c r="H2548" s="33" t="str">
        <f t="shared" si="137"/>
        <v>March 29 Week 3</v>
      </c>
      <c r="I2548" s="33" t="str">
        <f>CONCATENATE(UPPER(TableAopCalendar[[#This Row],[Month]])," ",TableAopCalendar[[#This Row],[Year]])</f>
        <v>MARCH 29</v>
      </c>
      <c r="J2548" s="8" t="s">
        <v>274</v>
      </c>
      <c r="K2548" s="33" t="str">
        <f>CONCATENATE(TableAopCalendar[[#This Row],[Month for Plan]]," ",TableAopCalendar[[#This Row],[Plan]])</f>
        <v>MARCH 29 PLANNED</v>
      </c>
    </row>
    <row r="2549" spans="1:11" x14ac:dyDescent="0.25">
      <c r="A2549" s="33">
        <f t="shared" si="135"/>
        <v>1</v>
      </c>
      <c r="B2549" s="34">
        <v>47199</v>
      </c>
      <c r="C2549" s="7" t="s">
        <v>273</v>
      </c>
      <c r="D2549" s="35">
        <v>29</v>
      </c>
      <c r="E2549" s="33">
        <f>DAY(TableAopCalendar[[#This Row],[Date]])</f>
        <v>22</v>
      </c>
      <c r="F254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49" s="33" t="str">
        <f t="shared" si="136"/>
        <v>Week 4</v>
      </c>
      <c r="H2549" s="33" t="str">
        <f t="shared" si="137"/>
        <v>March 29 Week 4</v>
      </c>
      <c r="I2549" s="33" t="str">
        <f>CONCATENATE(UPPER(TableAopCalendar[[#This Row],[Month]])," ",TableAopCalendar[[#This Row],[Year]])</f>
        <v>MARCH 29</v>
      </c>
      <c r="J2549" s="8" t="s">
        <v>274</v>
      </c>
      <c r="K2549" s="33" t="str">
        <f>CONCATENATE(TableAopCalendar[[#This Row],[Month for Plan]]," ",TableAopCalendar[[#This Row],[Plan]])</f>
        <v>MARCH 29 PLANNED</v>
      </c>
    </row>
    <row r="2550" spans="1:11" x14ac:dyDescent="0.25">
      <c r="A2550" s="33">
        <f t="shared" si="135"/>
        <v>2</v>
      </c>
      <c r="B2550" s="34">
        <v>47200</v>
      </c>
      <c r="C2550" s="7" t="s">
        <v>273</v>
      </c>
      <c r="D2550" s="35">
        <v>29</v>
      </c>
      <c r="E2550" s="33">
        <f>DAY(TableAopCalendar[[#This Row],[Date]])</f>
        <v>23</v>
      </c>
      <c r="F255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50" s="33" t="str">
        <f t="shared" si="136"/>
        <v>Week 4</v>
      </c>
      <c r="H2550" s="33" t="str">
        <f t="shared" si="137"/>
        <v>March 29 Week 4</v>
      </c>
      <c r="I2550" s="33" t="str">
        <f>CONCATENATE(UPPER(TableAopCalendar[[#This Row],[Month]])," ",TableAopCalendar[[#This Row],[Year]])</f>
        <v>MARCH 29</v>
      </c>
      <c r="J2550" s="8" t="s">
        <v>274</v>
      </c>
      <c r="K2550" s="33" t="str">
        <f>CONCATENATE(TableAopCalendar[[#This Row],[Month for Plan]]," ",TableAopCalendar[[#This Row],[Plan]])</f>
        <v>MARCH 29 PLANNED</v>
      </c>
    </row>
    <row r="2551" spans="1:11" x14ac:dyDescent="0.25">
      <c r="A2551" s="33">
        <f t="shared" si="135"/>
        <v>3</v>
      </c>
      <c r="B2551" s="34">
        <v>47201</v>
      </c>
      <c r="C2551" s="7" t="s">
        <v>273</v>
      </c>
      <c r="D2551" s="35">
        <v>29</v>
      </c>
      <c r="E2551" s="33">
        <f>DAY(TableAopCalendar[[#This Row],[Date]])</f>
        <v>24</v>
      </c>
      <c r="F255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51" s="33" t="str">
        <f t="shared" si="136"/>
        <v>Week 4</v>
      </c>
      <c r="H2551" s="33" t="str">
        <f t="shared" si="137"/>
        <v>March 29 Week 4</v>
      </c>
      <c r="I2551" s="33" t="str">
        <f>CONCATENATE(UPPER(TableAopCalendar[[#This Row],[Month]])," ",TableAopCalendar[[#This Row],[Year]])</f>
        <v>MARCH 29</v>
      </c>
      <c r="J2551" s="8" t="s">
        <v>274</v>
      </c>
      <c r="K2551" s="33" t="str">
        <f>CONCATENATE(TableAopCalendar[[#This Row],[Month for Plan]]," ",TableAopCalendar[[#This Row],[Plan]])</f>
        <v>MARCH 29 PLANNED</v>
      </c>
    </row>
    <row r="2552" spans="1:11" x14ac:dyDescent="0.25">
      <c r="A2552" s="33">
        <f t="shared" si="135"/>
        <v>4</v>
      </c>
      <c r="B2552" s="34">
        <v>47202</v>
      </c>
      <c r="C2552" s="7" t="s">
        <v>273</v>
      </c>
      <c r="D2552" s="35">
        <v>29</v>
      </c>
      <c r="E2552" s="33">
        <f>DAY(TableAopCalendar[[#This Row],[Date]])</f>
        <v>25</v>
      </c>
      <c r="F255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52" s="33" t="str">
        <f t="shared" si="136"/>
        <v>Week 4</v>
      </c>
      <c r="H2552" s="33" t="str">
        <f t="shared" si="137"/>
        <v>March 29 Week 4</v>
      </c>
      <c r="I2552" s="33" t="str">
        <f>CONCATENATE(UPPER(TableAopCalendar[[#This Row],[Month]])," ",TableAopCalendar[[#This Row],[Year]])</f>
        <v>MARCH 29</v>
      </c>
      <c r="J2552" s="8" t="s">
        <v>274</v>
      </c>
      <c r="K2552" s="33" t="str">
        <f>CONCATENATE(TableAopCalendar[[#This Row],[Month for Plan]]," ",TableAopCalendar[[#This Row],[Plan]])</f>
        <v>MARCH 29 PLANNED</v>
      </c>
    </row>
    <row r="2553" spans="1:11" x14ac:dyDescent="0.25">
      <c r="A2553" s="33">
        <f t="shared" si="135"/>
        <v>5</v>
      </c>
      <c r="B2553" s="34">
        <v>47203</v>
      </c>
      <c r="C2553" s="7" t="s">
        <v>273</v>
      </c>
      <c r="D2553" s="35">
        <v>29</v>
      </c>
      <c r="E2553" s="33">
        <f>DAY(TableAopCalendar[[#This Row],[Date]])</f>
        <v>26</v>
      </c>
      <c r="F255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53" s="33" t="str">
        <f t="shared" si="136"/>
        <v>Week 4</v>
      </c>
      <c r="H2553" s="33" t="str">
        <f t="shared" si="137"/>
        <v>March 29 Week 4</v>
      </c>
      <c r="I2553" s="33" t="str">
        <f>CONCATENATE(UPPER(TableAopCalendar[[#This Row],[Month]])," ",TableAopCalendar[[#This Row],[Year]])</f>
        <v>MARCH 29</v>
      </c>
      <c r="J2553" s="8" t="s">
        <v>274</v>
      </c>
      <c r="K2553" s="33" t="str">
        <f>CONCATENATE(TableAopCalendar[[#This Row],[Month for Plan]]," ",TableAopCalendar[[#This Row],[Plan]])</f>
        <v>MARCH 29 PLANNED</v>
      </c>
    </row>
    <row r="2554" spans="1:11" x14ac:dyDescent="0.25">
      <c r="A2554" s="33">
        <f t="shared" si="135"/>
        <v>6</v>
      </c>
      <c r="B2554" s="34">
        <v>47204</v>
      </c>
      <c r="C2554" s="7" t="s">
        <v>273</v>
      </c>
      <c r="D2554" s="35">
        <v>29</v>
      </c>
      <c r="E2554" s="33">
        <f>DAY(TableAopCalendar[[#This Row],[Date]])</f>
        <v>27</v>
      </c>
      <c r="F255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54" s="33" t="str">
        <f t="shared" si="136"/>
        <v>Week 4</v>
      </c>
      <c r="H2554" s="33" t="str">
        <f t="shared" si="137"/>
        <v>March 29 Week 4</v>
      </c>
      <c r="I2554" s="33" t="str">
        <f>CONCATENATE(UPPER(TableAopCalendar[[#This Row],[Month]])," ",TableAopCalendar[[#This Row],[Year]])</f>
        <v>MARCH 29</v>
      </c>
      <c r="J2554" s="8" t="s">
        <v>274</v>
      </c>
      <c r="K2554" s="33" t="str">
        <f>CONCATENATE(TableAopCalendar[[#This Row],[Month for Plan]]," ",TableAopCalendar[[#This Row],[Plan]])</f>
        <v>MARCH 29 PLANNED</v>
      </c>
    </row>
    <row r="2555" spans="1:11" x14ac:dyDescent="0.25">
      <c r="A2555" s="33">
        <f t="shared" si="135"/>
        <v>7</v>
      </c>
      <c r="B2555" s="34">
        <v>47205</v>
      </c>
      <c r="C2555" s="7" t="s">
        <v>273</v>
      </c>
      <c r="D2555" s="35">
        <v>29</v>
      </c>
      <c r="E2555" s="33">
        <f>DAY(TableAopCalendar[[#This Row],[Date]])</f>
        <v>28</v>
      </c>
      <c r="F255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55" s="33" t="str">
        <f t="shared" si="136"/>
        <v>Week 4</v>
      </c>
      <c r="H2555" s="33" t="str">
        <f t="shared" si="137"/>
        <v>March 29 Week 4</v>
      </c>
      <c r="I2555" s="33" t="str">
        <f>CONCATENATE(UPPER(TableAopCalendar[[#This Row],[Month]])," ",TableAopCalendar[[#This Row],[Year]])</f>
        <v>MARCH 29</v>
      </c>
      <c r="J2555" s="8" t="s">
        <v>274</v>
      </c>
      <c r="K2555" s="33" t="str">
        <f>CONCATENATE(TableAopCalendar[[#This Row],[Month for Plan]]," ",TableAopCalendar[[#This Row],[Plan]])</f>
        <v>MARCH 29 PLANNED</v>
      </c>
    </row>
    <row r="2556" spans="1:11" x14ac:dyDescent="0.25">
      <c r="A2556" s="33">
        <f t="shared" si="135"/>
        <v>1</v>
      </c>
      <c r="B2556" s="34">
        <v>47206</v>
      </c>
      <c r="C2556" s="7" t="s">
        <v>273</v>
      </c>
      <c r="D2556" s="35">
        <v>29</v>
      </c>
      <c r="E2556" s="33">
        <f>DAY(TableAopCalendar[[#This Row],[Date]])</f>
        <v>29</v>
      </c>
      <c r="F2556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556" s="33" t="str">
        <f t="shared" si="136"/>
        <v>Week 5</v>
      </c>
      <c r="H2556" s="33" t="str">
        <f t="shared" si="137"/>
        <v>March 29 Week 5</v>
      </c>
      <c r="I2556" s="33" t="str">
        <f>CONCATENATE(UPPER(TableAopCalendar[[#This Row],[Month]])," ",TableAopCalendar[[#This Row],[Year]])</f>
        <v>MARCH 29</v>
      </c>
      <c r="J2556" s="8" t="s">
        <v>274</v>
      </c>
      <c r="K2556" s="33" t="str">
        <f>CONCATENATE(TableAopCalendar[[#This Row],[Month for Plan]]," ",TableAopCalendar[[#This Row],[Plan]])</f>
        <v>MARCH 29 PLANNED</v>
      </c>
    </row>
    <row r="2557" spans="1:11" x14ac:dyDescent="0.25">
      <c r="A2557" s="33">
        <f t="shared" si="135"/>
        <v>2</v>
      </c>
      <c r="B2557" s="34">
        <v>47207</v>
      </c>
      <c r="C2557" s="7" t="s">
        <v>273</v>
      </c>
      <c r="D2557" s="35">
        <v>29</v>
      </c>
      <c r="E2557" s="33">
        <f>DAY(TableAopCalendar[[#This Row],[Date]])</f>
        <v>30</v>
      </c>
      <c r="F255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557" s="33" t="str">
        <f t="shared" si="136"/>
        <v>Week 5</v>
      </c>
      <c r="H2557" s="33" t="str">
        <f t="shared" si="137"/>
        <v>March 29 Week 5</v>
      </c>
      <c r="I2557" s="33" t="str">
        <f>CONCATENATE(UPPER(TableAopCalendar[[#This Row],[Month]])," ",TableAopCalendar[[#This Row],[Year]])</f>
        <v>MARCH 29</v>
      </c>
      <c r="J2557" s="8" t="s">
        <v>274</v>
      </c>
      <c r="K2557" s="33" t="str">
        <f>CONCATENATE(TableAopCalendar[[#This Row],[Month for Plan]]," ",TableAopCalendar[[#This Row],[Plan]])</f>
        <v>MARCH 29 PLANNED</v>
      </c>
    </row>
    <row r="2558" spans="1:11" x14ac:dyDescent="0.25">
      <c r="A2558" s="33">
        <f t="shared" si="135"/>
        <v>3</v>
      </c>
      <c r="B2558" s="34">
        <v>47208</v>
      </c>
      <c r="C2558" s="7" t="s">
        <v>273</v>
      </c>
      <c r="D2558" s="35">
        <v>29</v>
      </c>
      <c r="E2558" s="33">
        <f>DAY(TableAopCalendar[[#This Row],[Date]])</f>
        <v>31</v>
      </c>
      <c r="F255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558" s="33" t="str">
        <f t="shared" si="136"/>
        <v>Week 5</v>
      </c>
      <c r="H2558" s="33" t="str">
        <f t="shared" si="137"/>
        <v>March 29 Week 5</v>
      </c>
      <c r="I2558" s="33" t="str">
        <f>CONCATENATE(UPPER(TableAopCalendar[[#This Row],[Month]])," ",TableAopCalendar[[#This Row],[Year]])</f>
        <v>MARCH 29</v>
      </c>
      <c r="J2558" s="8" t="s">
        <v>274</v>
      </c>
      <c r="K2558" s="33" t="str">
        <f>CONCATENATE(TableAopCalendar[[#This Row],[Month for Plan]]," ",TableAopCalendar[[#This Row],[Plan]])</f>
        <v>MARCH 29 PLANNED</v>
      </c>
    </row>
    <row r="2559" spans="1:11" x14ac:dyDescent="0.25">
      <c r="A2559" s="33">
        <f t="shared" si="135"/>
        <v>1</v>
      </c>
      <c r="B2559" s="34">
        <v>47209</v>
      </c>
      <c r="C2559" s="7" t="s">
        <v>264</v>
      </c>
      <c r="D2559" s="35">
        <v>29</v>
      </c>
      <c r="E2559" s="33">
        <f>DAY(TableAopCalendar[[#This Row],[Date]])</f>
        <v>1</v>
      </c>
      <c r="F255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59" s="33" t="str">
        <f t="shared" si="136"/>
        <v>Week 1</v>
      </c>
      <c r="H2559" s="33" t="str">
        <f t="shared" si="137"/>
        <v>April 29 Week 1</v>
      </c>
      <c r="I2559" s="33" t="str">
        <f>CONCATENATE(UPPER(TableAopCalendar[[#This Row],[Month]])," ",TableAopCalendar[[#This Row],[Year]])</f>
        <v>APRIL 29</v>
      </c>
      <c r="J2559" s="8" t="s">
        <v>274</v>
      </c>
      <c r="K2559" s="33" t="str">
        <f>CONCATENATE(TableAopCalendar[[#This Row],[Month for Plan]]," ",TableAopCalendar[[#This Row],[Plan]])</f>
        <v>APRIL 29 PLANNED</v>
      </c>
    </row>
    <row r="2560" spans="1:11" x14ac:dyDescent="0.25">
      <c r="A2560" s="33">
        <f t="shared" si="135"/>
        <v>2</v>
      </c>
      <c r="B2560" s="34">
        <v>47210</v>
      </c>
      <c r="C2560" s="7" t="s">
        <v>264</v>
      </c>
      <c r="D2560" s="35">
        <v>29</v>
      </c>
      <c r="E2560" s="33">
        <f>DAY(TableAopCalendar[[#This Row],[Date]])</f>
        <v>2</v>
      </c>
      <c r="F256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60" s="33" t="str">
        <f t="shared" si="136"/>
        <v>Week 1</v>
      </c>
      <c r="H2560" s="33" t="str">
        <f t="shared" si="137"/>
        <v>April 29 Week 1</v>
      </c>
      <c r="I2560" s="33" t="str">
        <f>CONCATENATE(UPPER(TableAopCalendar[[#This Row],[Month]])," ",TableAopCalendar[[#This Row],[Year]])</f>
        <v>APRIL 29</v>
      </c>
      <c r="J2560" s="8" t="s">
        <v>274</v>
      </c>
      <c r="K2560" s="33" t="str">
        <f>CONCATENATE(TableAopCalendar[[#This Row],[Month for Plan]]," ",TableAopCalendar[[#This Row],[Plan]])</f>
        <v>APRIL 29 PLANNED</v>
      </c>
    </row>
    <row r="2561" spans="1:11" x14ac:dyDescent="0.25">
      <c r="A2561" s="33">
        <f t="shared" si="135"/>
        <v>3</v>
      </c>
      <c r="B2561" s="34">
        <v>47211</v>
      </c>
      <c r="C2561" s="7" t="s">
        <v>264</v>
      </c>
      <c r="D2561" s="35">
        <v>29</v>
      </c>
      <c r="E2561" s="33">
        <f>DAY(TableAopCalendar[[#This Row],[Date]])</f>
        <v>3</v>
      </c>
      <c r="F256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61" s="33" t="str">
        <f t="shared" si="136"/>
        <v>Week 1</v>
      </c>
      <c r="H2561" s="33" t="str">
        <f t="shared" si="137"/>
        <v>April 29 Week 1</v>
      </c>
      <c r="I2561" s="33" t="str">
        <f>CONCATENATE(UPPER(TableAopCalendar[[#This Row],[Month]])," ",TableAopCalendar[[#This Row],[Year]])</f>
        <v>APRIL 29</v>
      </c>
      <c r="J2561" s="8" t="s">
        <v>274</v>
      </c>
      <c r="K2561" s="33" t="str">
        <f>CONCATENATE(TableAopCalendar[[#This Row],[Month for Plan]]," ",TableAopCalendar[[#This Row],[Plan]])</f>
        <v>APRIL 29 PLANNED</v>
      </c>
    </row>
    <row r="2562" spans="1:11" x14ac:dyDescent="0.25">
      <c r="A2562" s="33">
        <f t="shared" si="135"/>
        <v>4</v>
      </c>
      <c r="B2562" s="34">
        <v>47212</v>
      </c>
      <c r="C2562" s="7" t="s">
        <v>264</v>
      </c>
      <c r="D2562" s="35">
        <v>29</v>
      </c>
      <c r="E2562" s="33">
        <f>DAY(TableAopCalendar[[#This Row],[Date]])</f>
        <v>4</v>
      </c>
      <c r="F256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62" s="33" t="str">
        <f t="shared" si="136"/>
        <v>Week 1</v>
      </c>
      <c r="H2562" s="33" t="str">
        <f t="shared" si="137"/>
        <v>April 29 Week 1</v>
      </c>
      <c r="I2562" s="33" t="str">
        <f>CONCATENATE(UPPER(TableAopCalendar[[#This Row],[Month]])," ",TableAopCalendar[[#This Row],[Year]])</f>
        <v>APRIL 29</v>
      </c>
      <c r="J2562" s="8" t="s">
        <v>274</v>
      </c>
      <c r="K2562" s="33" t="str">
        <f>CONCATENATE(TableAopCalendar[[#This Row],[Month for Plan]]," ",TableAopCalendar[[#This Row],[Plan]])</f>
        <v>APRIL 29 PLANNED</v>
      </c>
    </row>
    <row r="2563" spans="1:11" x14ac:dyDescent="0.25">
      <c r="A2563" s="33">
        <f t="shared" si="135"/>
        <v>5</v>
      </c>
      <c r="B2563" s="34">
        <v>47213</v>
      </c>
      <c r="C2563" s="7" t="s">
        <v>264</v>
      </c>
      <c r="D2563" s="35">
        <v>29</v>
      </c>
      <c r="E2563" s="33">
        <f>DAY(TableAopCalendar[[#This Row],[Date]])</f>
        <v>5</v>
      </c>
      <c r="F256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63" s="33" t="str">
        <f t="shared" si="136"/>
        <v>Week 1</v>
      </c>
      <c r="H2563" s="33" t="str">
        <f t="shared" si="137"/>
        <v>April 29 Week 1</v>
      </c>
      <c r="I2563" s="33" t="str">
        <f>CONCATENATE(UPPER(TableAopCalendar[[#This Row],[Month]])," ",TableAopCalendar[[#This Row],[Year]])</f>
        <v>APRIL 29</v>
      </c>
      <c r="J2563" s="8" t="s">
        <v>274</v>
      </c>
      <c r="K2563" s="33" t="str">
        <f>CONCATENATE(TableAopCalendar[[#This Row],[Month for Plan]]," ",TableAopCalendar[[#This Row],[Plan]])</f>
        <v>APRIL 29 PLANNED</v>
      </c>
    </row>
    <row r="2564" spans="1:11" x14ac:dyDescent="0.25">
      <c r="A2564" s="33">
        <f t="shared" si="135"/>
        <v>6</v>
      </c>
      <c r="B2564" s="34">
        <v>47214</v>
      </c>
      <c r="C2564" s="7" t="s">
        <v>264</v>
      </c>
      <c r="D2564" s="35">
        <v>29</v>
      </c>
      <c r="E2564" s="33">
        <f>DAY(TableAopCalendar[[#This Row],[Date]])</f>
        <v>6</v>
      </c>
      <c r="F256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64" s="33" t="str">
        <f t="shared" si="136"/>
        <v>Week 1</v>
      </c>
      <c r="H2564" s="33" t="str">
        <f t="shared" si="137"/>
        <v>April 29 Week 1</v>
      </c>
      <c r="I2564" s="33" t="str">
        <f>CONCATENATE(UPPER(TableAopCalendar[[#This Row],[Month]])," ",TableAopCalendar[[#This Row],[Year]])</f>
        <v>APRIL 29</v>
      </c>
      <c r="J2564" s="8" t="s">
        <v>274</v>
      </c>
      <c r="K2564" s="33" t="str">
        <f>CONCATENATE(TableAopCalendar[[#This Row],[Month for Plan]]," ",TableAopCalendar[[#This Row],[Plan]])</f>
        <v>APRIL 29 PLANNED</v>
      </c>
    </row>
    <row r="2565" spans="1:11" x14ac:dyDescent="0.25">
      <c r="A2565" s="33">
        <f t="shared" si="135"/>
        <v>7</v>
      </c>
      <c r="B2565" s="34">
        <v>47215</v>
      </c>
      <c r="C2565" s="7" t="s">
        <v>264</v>
      </c>
      <c r="D2565" s="35">
        <v>29</v>
      </c>
      <c r="E2565" s="33">
        <f>DAY(TableAopCalendar[[#This Row],[Date]])</f>
        <v>7</v>
      </c>
      <c r="F256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65" s="33" t="str">
        <f t="shared" si="136"/>
        <v>Week 1</v>
      </c>
      <c r="H2565" s="33" t="str">
        <f t="shared" si="137"/>
        <v>April 29 Week 1</v>
      </c>
      <c r="I2565" s="33" t="str">
        <f>CONCATENATE(UPPER(TableAopCalendar[[#This Row],[Month]])," ",TableAopCalendar[[#This Row],[Year]])</f>
        <v>APRIL 29</v>
      </c>
      <c r="J2565" s="8" t="s">
        <v>274</v>
      </c>
      <c r="K2565" s="33" t="str">
        <f>CONCATENATE(TableAopCalendar[[#This Row],[Month for Plan]]," ",TableAopCalendar[[#This Row],[Plan]])</f>
        <v>APRIL 29 PLANNED</v>
      </c>
    </row>
    <row r="2566" spans="1:11" x14ac:dyDescent="0.25">
      <c r="A2566" s="33">
        <f t="shared" si="135"/>
        <v>1</v>
      </c>
      <c r="B2566" s="34">
        <v>47216</v>
      </c>
      <c r="C2566" s="7" t="s">
        <v>264</v>
      </c>
      <c r="D2566" s="35">
        <v>29</v>
      </c>
      <c r="E2566" s="33">
        <f>DAY(TableAopCalendar[[#This Row],[Date]])</f>
        <v>8</v>
      </c>
      <c r="F256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66" s="33" t="str">
        <f t="shared" si="136"/>
        <v>Week 2</v>
      </c>
      <c r="H2566" s="33" t="str">
        <f t="shared" si="137"/>
        <v>April 29 Week 2</v>
      </c>
      <c r="I2566" s="33" t="str">
        <f>CONCATENATE(UPPER(TableAopCalendar[[#This Row],[Month]])," ",TableAopCalendar[[#This Row],[Year]])</f>
        <v>APRIL 29</v>
      </c>
      <c r="J2566" s="8" t="s">
        <v>274</v>
      </c>
      <c r="K2566" s="33" t="str">
        <f>CONCATENATE(TableAopCalendar[[#This Row],[Month for Plan]]," ",TableAopCalendar[[#This Row],[Plan]])</f>
        <v>APRIL 29 PLANNED</v>
      </c>
    </row>
    <row r="2567" spans="1:11" x14ac:dyDescent="0.25">
      <c r="A2567" s="33">
        <f t="shared" si="135"/>
        <v>2</v>
      </c>
      <c r="B2567" s="34">
        <v>47217</v>
      </c>
      <c r="C2567" s="7" t="s">
        <v>264</v>
      </c>
      <c r="D2567" s="35">
        <v>29</v>
      </c>
      <c r="E2567" s="33">
        <f>DAY(TableAopCalendar[[#This Row],[Date]])</f>
        <v>9</v>
      </c>
      <c r="F256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67" s="33" t="str">
        <f t="shared" si="136"/>
        <v>Week 2</v>
      </c>
      <c r="H2567" s="33" t="str">
        <f t="shared" si="137"/>
        <v>April 29 Week 2</v>
      </c>
      <c r="I2567" s="33" t="str">
        <f>CONCATENATE(UPPER(TableAopCalendar[[#This Row],[Month]])," ",TableAopCalendar[[#This Row],[Year]])</f>
        <v>APRIL 29</v>
      </c>
      <c r="J2567" s="8" t="s">
        <v>274</v>
      </c>
      <c r="K2567" s="33" t="str">
        <f>CONCATENATE(TableAopCalendar[[#This Row],[Month for Plan]]," ",TableAopCalendar[[#This Row],[Plan]])</f>
        <v>APRIL 29 PLANNED</v>
      </c>
    </row>
    <row r="2568" spans="1:11" x14ac:dyDescent="0.25">
      <c r="A2568" s="33">
        <f t="shared" si="135"/>
        <v>3</v>
      </c>
      <c r="B2568" s="34">
        <v>47218</v>
      </c>
      <c r="C2568" s="7" t="s">
        <v>264</v>
      </c>
      <c r="D2568" s="35">
        <v>29</v>
      </c>
      <c r="E2568" s="33">
        <f>DAY(TableAopCalendar[[#This Row],[Date]])</f>
        <v>10</v>
      </c>
      <c r="F256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68" s="33" t="str">
        <f t="shared" si="136"/>
        <v>Week 2</v>
      </c>
      <c r="H2568" s="33" t="str">
        <f t="shared" si="137"/>
        <v>April 29 Week 2</v>
      </c>
      <c r="I2568" s="33" t="str">
        <f>CONCATENATE(UPPER(TableAopCalendar[[#This Row],[Month]])," ",TableAopCalendar[[#This Row],[Year]])</f>
        <v>APRIL 29</v>
      </c>
      <c r="J2568" s="8" t="s">
        <v>274</v>
      </c>
      <c r="K2568" s="33" t="str">
        <f>CONCATENATE(TableAopCalendar[[#This Row],[Month for Plan]]," ",TableAopCalendar[[#This Row],[Plan]])</f>
        <v>APRIL 29 PLANNED</v>
      </c>
    </row>
    <row r="2569" spans="1:11" x14ac:dyDescent="0.25">
      <c r="A2569" s="33">
        <f t="shared" si="135"/>
        <v>4</v>
      </c>
      <c r="B2569" s="34">
        <v>47219</v>
      </c>
      <c r="C2569" s="7" t="s">
        <v>264</v>
      </c>
      <c r="D2569" s="35">
        <v>29</v>
      </c>
      <c r="E2569" s="33">
        <f>DAY(TableAopCalendar[[#This Row],[Date]])</f>
        <v>11</v>
      </c>
      <c r="F256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69" s="33" t="str">
        <f t="shared" si="136"/>
        <v>Week 2</v>
      </c>
      <c r="H2569" s="33" t="str">
        <f t="shared" si="137"/>
        <v>April 29 Week 2</v>
      </c>
      <c r="I2569" s="33" t="str">
        <f>CONCATENATE(UPPER(TableAopCalendar[[#This Row],[Month]])," ",TableAopCalendar[[#This Row],[Year]])</f>
        <v>APRIL 29</v>
      </c>
      <c r="J2569" s="8" t="s">
        <v>274</v>
      </c>
      <c r="K2569" s="33" t="str">
        <f>CONCATENATE(TableAopCalendar[[#This Row],[Month for Plan]]," ",TableAopCalendar[[#This Row],[Plan]])</f>
        <v>APRIL 29 PLANNED</v>
      </c>
    </row>
    <row r="2570" spans="1:11" x14ac:dyDescent="0.25">
      <c r="A2570" s="33">
        <f t="shared" si="135"/>
        <v>5</v>
      </c>
      <c r="B2570" s="34">
        <v>47220</v>
      </c>
      <c r="C2570" s="7" t="s">
        <v>264</v>
      </c>
      <c r="D2570" s="35">
        <v>29</v>
      </c>
      <c r="E2570" s="33">
        <f>DAY(TableAopCalendar[[#This Row],[Date]])</f>
        <v>12</v>
      </c>
      <c r="F257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70" s="33" t="str">
        <f t="shared" si="136"/>
        <v>Week 2</v>
      </c>
      <c r="H2570" s="33" t="str">
        <f t="shared" si="137"/>
        <v>April 29 Week 2</v>
      </c>
      <c r="I2570" s="33" t="str">
        <f>CONCATENATE(UPPER(TableAopCalendar[[#This Row],[Month]])," ",TableAopCalendar[[#This Row],[Year]])</f>
        <v>APRIL 29</v>
      </c>
      <c r="J2570" s="8" t="s">
        <v>274</v>
      </c>
      <c r="K2570" s="33" t="str">
        <f>CONCATENATE(TableAopCalendar[[#This Row],[Month for Plan]]," ",TableAopCalendar[[#This Row],[Plan]])</f>
        <v>APRIL 29 PLANNED</v>
      </c>
    </row>
    <row r="2571" spans="1:11" x14ac:dyDescent="0.25">
      <c r="A2571" s="33">
        <f t="shared" si="135"/>
        <v>6</v>
      </c>
      <c r="B2571" s="34">
        <v>47221</v>
      </c>
      <c r="C2571" s="7" t="s">
        <v>264</v>
      </c>
      <c r="D2571" s="35">
        <v>29</v>
      </c>
      <c r="E2571" s="33">
        <f>DAY(TableAopCalendar[[#This Row],[Date]])</f>
        <v>13</v>
      </c>
      <c r="F257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71" s="33" t="str">
        <f t="shared" si="136"/>
        <v>Week 2</v>
      </c>
      <c r="H2571" s="33" t="str">
        <f t="shared" si="137"/>
        <v>April 29 Week 2</v>
      </c>
      <c r="I2571" s="33" t="str">
        <f>CONCATENATE(UPPER(TableAopCalendar[[#This Row],[Month]])," ",TableAopCalendar[[#This Row],[Year]])</f>
        <v>APRIL 29</v>
      </c>
      <c r="J2571" s="8" t="s">
        <v>274</v>
      </c>
      <c r="K2571" s="33" t="str">
        <f>CONCATENATE(TableAopCalendar[[#This Row],[Month for Plan]]," ",TableAopCalendar[[#This Row],[Plan]])</f>
        <v>APRIL 29 PLANNED</v>
      </c>
    </row>
    <row r="2572" spans="1:11" x14ac:dyDescent="0.25">
      <c r="A2572" s="33">
        <f t="shared" si="135"/>
        <v>7</v>
      </c>
      <c r="B2572" s="34">
        <v>47222</v>
      </c>
      <c r="C2572" s="7" t="s">
        <v>264</v>
      </c>
      <c r="D2572" s="35">
        <v>29</v>
      </c>
      <c r="E2572" s="33">
        <f>DAY(TableAopCalendar[[#This Row],[Date]])</f>
        <v>14</v>
      </c>
      <c r="F257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72" s="33" t="str">
        <f t="shared" si="136"/>
        <v>Week 2</v>
      </c>
      <c r="H2572" s="33" t="str">
        <f t="shared" si="137"/>
        <v>April 29 Week 2</v>
      </c>
      <c r="I2572" s="33" t="str">
        <f>CONCATENATE(UPPER(TableAopCalendar[[#This Row],[Month]])," ",TableAopCalendar[[#This Row],[Year]])</f>
        <v>APRIL 29</v>
      </c>
      <c r="J2572" s="8" t="s">
        <v>274</v>
      </c>
      <c r="K2572" s="33" t="str">
        <f>CONCATENATE(TableAopCalendar[[#This Row],[Month for Plan]]," ",TableAopCalendar[[#This Row],[Plan]])</f>
        <v>APRIL 29 PLANNED</v>
      </c>
    </row>
    <row r="2573" spans="1:11" x14ac:dyDescent="0.25">
      <c r="A2573" s="33">
        <f t="shared" si="135"/>
        <v>1</v>
      </c>
      <c r="B2573" s="34">
        <v>47223</v>
      </c>
      <c r="C2573" s="7" t="s">
        <v>264</v>
      </c>
      <c r="D2573" s="35">
        <v>29</v>
      </c>
      <c r="E2573" s="33">
        <f>DAY(TableAopCalendar[[#This Row],[Date]])</f>
        <v>15</v>
      </c>
      <c r="F257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73" s="33" t="str">
        <f t="shared" si="136"/>
        <v>Week 3</v>
      </c>
      <c r="H2573" s="33" t="str">
        <f t="shared" si="137"/>
        <v>April 29 Week 3</v>
      </c>
      <c r="I2573" s="33" t="str">
        <f>CONCATENATE(UPPER(TableAopCalendar[[#This Row],[Month]])," ",TableAopCalendar[[#This Row],[Year]])</f>
        <v>APRIL 29</v>
      </c>
      <c r="J2573" s="8" t="s">
        <v>274</v>
      </c>
      <c r="K2573" s="33" t="str">
        <f>CONCATENATE(TableAopCalendar[[#This Row],[Month for Plan]]," ",TableAopCalendar[[#This Row],[Plan]])</f>
        <v>APRIL 29 PLANNED</v>
      </c>
    </row>
    <row r="2574" spans="1:11" x14ac:dyDescent="0.25">
      <c r="A2574" s="33">
        <f t="shared" si="135"/>
        <v>2</v>
      </c>
      <c r="B2574" s="34">
        <v>47224</v>
      </c>
      <c r="C2574" s="7" t="s">
        <v>264</v>
      </c>
      <c r="D2574" s="35">
        <v>29</v>
      </c>
      <c r="E2574" s="33">
        <f>DAY(TableAopCalendar[[#This Row],[Date]])</f>
        <v>16</v>
      </c>
      <c r="F257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74" s="33" t="str">
        <f t="shared" si="136"/>
        <v>Week 3</v>
      </c>
      <c r="H2574" s="33" t="str">
        <f t="shared" si="137"/>
        <v>April 29 Week 3</v>
      </c>
      <c r="I2574" s="33" t="str">
        <f>CONCATENATE(UPPER(TableAopCalendar[[#This Row],[Month]])," ",TableAopCalendar[[#This Row],[Year]])</f>
        <v>APRIL 29</v>
      </c>
      <c r="J2574" s="8" t="s">
        <v>274</v>
      </c>
      <c r="K2574" s="33" t="str">
        <f>CONCATENATE(TableAopCalendar[[#This Row],[Month for Plan]]," ",TableAopCalendar[[#This Row],[Plan]])</f>
        <v>APRIL 29 PLANNED</v>
      </c>
    </row>
    <row r="2575" spans="1:11" x14ac:dyDescent="0.25">
      <c r="A2575" s="33">
        <f t="shared" si="135"/>
        <v>3</v>
      </c>
      <c r="B2575" s="34">
        <v>47225</v>
      </c>
      <c r="C2575" s="7" t="s">
        <v>264</v>
      </c>
      <c r="D2575" s="35">
        <v>29</v>
      </c>
      <c r="E2575" s="33">
        <f>DAY(TableAopCalendar[[#This Row],[Date]])</f>
        <v>17</v>
      </c>
      <c r="F257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75" s="33" t="str">
        <f t="shared" si="136"/>
        <v>Week 3</v>
      </c>
      <c r="H2575" s="33" t="str">
        <f t="shared" si="137"/>
        <v>April 29 Week 3</v>
      </c>
      <c r="I2575" s="33" t="str">
        <f>CONCATENATE(UPPER(TableAopCalendar[[#This Row],[Month]])," ",TableAopCalendar[[#This Row],[Year]])</f>
        <v>APRIL 29</v>
      </c>
      <c r="J2575" s="8" t="s">
        <v>274</v>
      </c>
      <c r="K2575" s="33" t="str">
        <f>CONCATENATE(TableAopCalendar[[#This Row],[Month for Plan]]," ",TableAopCalendar[[#This Row],[Plan]])</f>
        <v>APRIL 29 PLANNED</v>
      </c>
    </row>
    <row r="2576" spans="1:11" x14ac:dyDescent="0.25">
      <c r="A2576" s="33">
        <f t="shared" si="135"/>
        <v>4</v>
      </c>
      <c r="B2576" s="34">
        <v>47226</v>
      </c>
      <c r="C2576" s="7" t="s">
        <v>264</v>
      </c>
      <c r="D2576" s="35">
        <v>29</v>
      </c>
      <c r="E2576" s="33">
        <f>DAY(TableAopCalendar[[#This Row],[Date]])</f>
        <v>18</v>
      </c>
      <c r="F257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76" s="33" t="str">
        <f t="shared" si="136"/>
        <v>Week 3</v>
      </c>
      <c r="H2576" s="33" t="str">
        <f t="shared" si="137"/>
        <v>April 29 Week 3</v>
      </c>
      <c r="I2576" s="33" t="str">
        <f>CONCATENATE(UPPER(TableAopCalendar[[#This Row],[Month]])," ",TableAopCalendar[[#This Row],[Year]])</f>
        <v>APRIL 29</v>
      </c>
      <c r="J2576" s="8" t="s">
        <v>274</v>
      </c>
      <c r="K2576" s="33" t="str">
        <f>CONCATENATE(TableAopCalendar[[#This Row],[Month for Plan]]," ",TableAopCalendar[[#This Row],[Plan]])</f>
        <v>APRIL 29 PLANNED</v>
      </c>
    </row>
    <row r="2577" spans="1:11" x14ac:dyDescent="0.25">
      <c r="A2577" s="33">
        <f t="shared" si="135"/>
        <v>5</v>
      </c>
      <c r="B2577" s="34">
        <v>47227</v>
      </c>
      <c r="C2577" s="7" t="s">
        <v>264</v>
      </c>
      <c r="D2577" s="35">
        <v>29</v>
      </c>
      <c r="E2577" s="33">
        <f>DAY(TableAopCalendar[[#This Row],[Date]])</f>
        <v>19</v>
      </c>
      <c r="F257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77" s="33" t="str">
        <f t="shared" si="136"/>
        <v>Week 3</v>
      </c>
      <c r="H2577" s="33" t="str">
        <f t="shared" si="137"/>
        <v>April 29 Week 3</v>
      </c>
      <c r="I2577" s="33" t="str">
        <f>CONCATENATE(UPPER(TableAopCalendar[[#This Row],[Month]])," ",TableAopCalendar[[#This Row],[Year]])</f>
        <v>APRIL 29</v>
      </c>
      <c r="J2577" s="8" t="s">
        <v>274</v>
      </c>
      <c r="K2577" s="33" t="str">
        <f>CONCATENATE(TableAopCalendar[[#This Row],[Month for Plan]]," ",TableAopCalendar[[#This Row],[Plan]])</f>
        <v>APRIL 29 PLANNED</v>
      </c>
    </row>
    <row r="2578" spans="1:11" x14ac:dyDescent="0.25">
      <c r="A2578" s="33">
        <f t="shared" si="135"/>
        <v>6</v>
      </c>
      <c r="B2578" s="34">
        <v>47228</v>
      </c>
      <c r="C2578" s="7" t="s">
        <v>264</v>
      </c>
      <c r="D2578" s="35">
        <v>29</v>
      </c>
      <c r="E2578" s="33">
        <f>DAY(TableAopCalendar[[#This Row],[Date]])</f>
        <v>20</v>
      </c>
      <c r="F257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78" s="33" t="str">
        <f t="shared" si="136"/>
        <v>Week 3</v>
      </c>
      <c r="H2578" s="33" t="str">
        <f t="shared" si="137"/>
        <v>April 29 Week 3</v>
      </c>
      <c r="I2578" s="33" t="str">
        <f>CONCATENATE(UPPER(TableAopCalendar[[#This Row],[Month]])," ",TableAopCalendar[[#This Row],[Year]])</f>
        <v>APRIL 29</v>
      </c>
      <c r="J2578" s="8" t="s">
        <v>274</v>
      </c>
      <c r="K2578" s="33" t="str">
        <f>CONCATENATE(TableAopCalendar[[#This Row],[Month for Plan]]," ",TableAopCalendar[[#This Row],[Plan]])</f>
        <v>APRIL 29 PLANNED</v>
      </c>
    </row>
    <row r="2579" spans="1:11" x14ac:dyDescent="0.25">
      <c r="A2579" s="33">
        <f t="shared" si="135"/>
        <v>7</v>
      </c>
      <c r="B2579" s="34">
        <v>47229</v>
      </c>
      <c r="C2579" s="7" t="s">
        <v>264</v>
      </c>
      <c r="D2579" s="35">
        <v>29</v>
      </c>
      <c r="E2579" s="33">
        <f>DAY(TableAopCalendar[[#This Row],[Date]])</f>
        <v>21</v>
      </c>
      <c r="F257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579" s="33" t="str">
        <f t="shared" si="136"/>
        <v>Week 3</v>
      </c>
      <c r="H2579" s="33" t="str">
        <f t="shared" si="137"/>
        <v>April 29 Week 3</v>
      </c>
      <c r="I2579" s="33" t="str">
        <f>CONCATENATE(UPPER(TableAopCalendar[[#This Row],[Month]])," ",TableAopCalendar[[#This Row],[Year]])</f>
        <v>APRIL 29</v>
      </c>
      <c r="J2579" s="8" t="s">
        <v>274</v>
      </c>
      <c r="K2579" s="33" t="str">
        <f>CONCATENATE(TableAopCalendar[[#This Row],[Month for Plan]]," ",TableAopCalendar[[#This Row],[Plan]])</f>
        <v>APRIL 29 PLANNED</v>
      </c>
    </row>
    <row r="2580" spans="1:11" x14ac:dyDescent="0.25">
      <c r="A2580" s="33">
        <f t="shared" si="135"/>
        <v>1</v>
      </c>
      <c r="B2580" s="34">
        <v>47230</v>
      </c>
      <c r="C2580" s="7" t="s">
        <v>264</v>
      </c>
      <c r="D2580" s="35">
        <v>29</v>
      </c>
      <c r="E2580" s="33">
        <f>DAY(TableAopCalendar[[#This Row],[Date]])</f>
        <v>22</v>
      </c>
      <c r="F258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80" s="33" t="str">
        <f t="shared" si="136"/>
        <v>Week 4</v>
      </c>
      <c r="H2580" s="33" t="str">
        <f t="shared" si="137"/>
        <v>April 29 Week 4</v>
      </c>
      <c r="I2580" s="33" t="str">
        <f>CONCATENATE(UPPER(TableAopCalendar[[#This Row],[Month]])," ",TableAopCalendar[[#This Row],[Year]])</f>
        <v>APRIL 29</v>
      </c>
      <c r="J2580" s="8" t="s">
        <v>274</v>
      </c>
      <c r="K2580" s="33" t="str">
        <f>CONCATENATE(TableAopCalendar[[#This Row],[Month for Plan]]," ",TableAopCalendar[[#This Row],[Plan]])</f>
        <v>APRIL 29 PLANNED</v>
      </c>
    </row>
    <row r="2581" spans="1:11" x14ac:dyDescent="0.25">
      <c r="A2581" s="33">
        <f t="shared" si="135"/>
        <v>2</v>
      </c>
      <c r="B2581" s="34">
        <v>47231</v>
      </c>
      <c r="C2581" s="7" t="s">
        <v>264</v>
      </c>
      <c r="D2581" s="35">
        <v>29</v>
      </c>
      <c r="E2581" s="33">
        <f>DAY(TableAopCalendar[[#This Row],[Date]])</f>
        <v>23</v>
      </c>
      <c r="F258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81" s="33" t="str">
        <f t="shared" si="136"/>
        <v>Week 4</v>
      </c>
      <c r="H2581" s="33" t="str">
        <f t="shared" si="137"/>
        <v>April 29 Week 4</v>
      </c>
      <c r="I2581" s="33" t="str">
        <f>CONCATENATE(UPPER(TableAopCalendar[[#This Row],[Month]])," ",TableAopCalendar[[#This Row],[Year]])</f>
        <v>APRIL 29</v>
      </c>
      <c r="J2581" s="8" t="s">
        <v>274</v>
      </c>
      <c r="K2581" s="33" t="str">
        <f>CONCATENATE(TableAopCalendar[[#This Row],[Month for Plan]]," ",TableAopCalendar[[#This Row],[Plan]])</f>
        <v>APRIL 29 PLANNED</v>
      </c>
    </row>
    <row r="2582" spans="1:11" x14ac:dyDescent="0.25">
      <c r="A2582" s="33">
        <f t="shared" si="135"/>
        <v>3</v>
      </c>
      <c r="B2582" s="34">
        <v>47232</v>
      </c>
      <c r="C2582" s="7" t="s">
        <v>264</v>
      </c>
      <c r="D2582" s="35">
        <v>29</v>
      </c>
      <c r="E2582" s="33">
        <f>DAY(TableAopCalendar[[#This Row],[Date]])</f>
        <v>24</v>
      </c>
      <c r="F258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82" s="33" t="str">
        <f t="shared" si="136"/>
        <v>Week 4</v>
      </c>
      <c r="H2582" s="33" t="str">
        <f t="shared" si="137"/>
        <v>April 29 Week 4</v>
      </c>
      <c r="I2582" s="33" t="str">
        <f>CONCATENATE(UPPER(TableAopCalendar[[#This Row],[Month]])," ",TableAopCalendar[[#This Row],[Year]])</f>
        <v>APRIL 29</v>
      </c>
      <c r="J2582" s="8" t="s">
        <v>274</v>
      </c>
      <c r="K2582" s="33" t="str">
        <f>CONCATENATE(TableAopCalendar[[#This Row],[Month for Plan]]," ",TableAopCalendar[[#This Row],[Plan]])</f>
        <v>APRIL 29 PLANNED</v>
      </c>
    </row>
    <row r="2583" spans="1:11" x14ac:dyDescent="0.25">
      <c r="A2583" s="33">
        <f t="shared" si="135"/>
        <v>4</v>
      </c>
      <c r="B2583" s="34">
        <v>47233</v>
      </c>
      <c r="C2583" s="7" t="s">
        <v>264</v>
      </c>
      <c r="D2583" s="35">
        <v>29</v>
      </c>
      <c r="E2583" s="33">
        <f>DAY(TableAopCalendar[[#This Row],[Date]])</f>
        <v>25</v>
      </c>
      <c r="F258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83" s="33" t="str">
        <f t="shared" si="136"/>
        <v>Week 4</v>
      </c>
      <c r="H2583" s="33" t="str">
        <f t="shared" si="137"/>
        <v>April 29 Week 4</v>
      </c>
      <c r="I2583" s="33" t="str">
        <f>CONCATENATE(UPPER(TableAopCalendar[[#This Row],[Month]])," ",TableAopCalendar[[#This Row],[Year]])</f>
        <v>APRIL 29</v>
      </c>
      <c r="J2583" s="8" t="s">
        <v>274</v>
      </c>
      <c r="K2583" s="33" t="str">
        <f>CONCATENATE(TableAopCalendar[[#This Row],[Month for Plan]]," ",TableAopCalendar[[#This Row],[Plan]])</f>
        <v>APRIL 29 PLANNED</v>
      </c>
    </row>
    <row r="2584" spans="1:11" x14ac:dyDescent="0.25">
      <c r="A2584" s="33">
        <f t="shared" si="135"/>
        <v>5</v>
      </c>
      <c r="B2584" s="34">
        <v>47234</v>
      </c>
      <c r="C2584" s="7" t="s">
        <v>264</v>
      </c>
      <c r="D2584" s="35">
        <v>29</v>
      </c>
      <c r="E2584" s="33">
        <f>DAY(TableAopCalendar[[#This Row],[Date]])</f>
        <v>26</v>
      </c>
      <c r="F258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84" s="33" t="str">
        <f t="shared" si="136"/>
        <v>Week 4</v>
      </c>
      <c r="H2584" s="33" t="str">
        <f t="shared" si="137"/>
        <v>April 29 Week 4</v>
      </c>
      <c r="I2584" s="33" t="str">
        <f>CONCATENATE(UPPER(TableAopCalendar[[#This Row],[Month]])," ",TableAopCalendar[[#This Row],[Year]])</f>
        <v>APRIL 29</v>
      </c>
      <c r="J2584" s="8" t="s">
        <v>274</v>
      </c>
      <c r="K2584" s="33" t="str">
        <f>CONCATENATE(TableAopCalendar[[#This Row],[Month for Plan]]," ",TableAopCalendar[[#This Row],[Plan]])</f>
        <v>APRIL 29 PLANNED</v>
      </c>
    </row>
    <row r="2585" spans="1:11" x14ac:dyDescent="0.25">
      <c r="A2585" s="33">
        <f t="shared" si="135"/>
        <v>6</v>
      </c>
      <c r="B2585" s="34">
        <v>47235</v>
      </c>
      <c r="C2585" s="7" t="s">
        <v>264</v>
      </c>
      <c r="D2585" s="35">
        <v>29</v>
      </c>
      <c r="E2585" s="33">
        <f>DAY(TableAopCalendar[[#This Row],[Date]])</f>
        <v>27</v>
      </c>
      <c r="F258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85" s="33" t="str">
        <f t="shared" si="136"/>
        <v>Week 4</v>
      </c>
      <c r="H2585" s="33" t="str">
        <f t="shared" si="137"/>
        <v>April 29 Week 4</v>
      </c>
      <c r="I2585" s="33" t="str">
        <f>CONCATENATE(UPPER(TableAopCalendar[[#This Row],[Month]])," ",TableAopCalendar[[#This Row],[Year]])</f>
        <v>APRIL 29</v>
      </c>
      <c r="J2585" s="8" t="s">
        <v>274</v>
      </c>
      <c r="K2585" s="33" t="str">
        <f>CONCATENATE(TableAopCalendar[[#This Row],[Month for Plan]]," ",TableAopCalendar[[#This Row],[Plan]])</f>
        <v>APRIL 29 PLANNED</v>
      </c>
    </row>
    <row r="2586" spans="1:11" x14ac:dyDescent="0.25">
      <c r="A2586" s="33">
        <f t="shared" si="135"/>
        <v>7</v>
      </c>
      <c r="B2586" s="34">
        <v>47236</v>
      </c>
      <c r="C2586" s="7" t="s">
        <v>264</v>
      </c>
      <c r="D2586" s="35">
        <v>29</v>
      </c>
      <c r="E2586" s="33">
        <f>DAY(TableAopCalendar[[#This Row],[Date]])</f>
        <v>28</v>
      </c>
      <c r="F258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586" s="33" t="str">
        <f t="shared" si="136"/>
        <v>Week 4</v>
      </c>
      <c r="H2586" s="33" t="str">
        <f t="shared" si="137"/>
        <v>April 29 Week 4</v>
      </c>
      <c r="I2586" s="33" t="str">
        <f>CONCATENATE(UPPER(TableAopCalendar[[#This Row],[Month]])," ",TableAopCalendar[[#This Row],[Year]])</f>
        <v>APRIL 29</v>
      </c>
      <c r="J2586" s="8" t="s">
        <v>274</v>
      </c>
      <c r="K2586" s="33" t="str">
        <f>CONCATENATE(TableAopCalendar[[#This Row],[Month for Plan]]," ",TableAopCalendar[[#This Row],[Plan]])</f>
        <v>APRIL 29 PLANNED</v>
      </c>
    </row>
    <row r="2587" spans="1:11" x14ac:dyDescent="0.25">
      <c r="A2587" s="33">
        <f t="shared" si="135"/>
        <v>1</v>
      </c>
      <c r="B2587" s="34">
        <v>47237</v>
      </c>
      <c r="C2587" s="7" t="s">
        <v>264</v>
      </c>
      <c r="D2587" s="35">
        <v>29</v>
      </c>
      <c r="E2587" s="33">
        <f>DAY(TableAopCalendar[[#This Row],[Date]])</f>
        <v>29</v>
      </c>
      <c r="F258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587" s="33" t="str">
        <f t="shared" si="136"/>
        <v>Week 5</v>
      </c>
      <c r="H2587" s="33" t="str">
        <f t="shared" si="137"/>
        <v>April 29 Week 5</v>
      </c>
      <c r="I2587" s="33" t="str">
        <f>CONCATENATE(UPPER(TableAopCalendar[[#This Row],[Month]])," ",TableAopCalendar[[#This Row],[Year]])</f>
        <v>APRIL 29</v>
      </c>
      <c r="J2587" s="8" t="s">
        <v>274</v>
      </c>
      <c r="K2587" s="33" t="str">
        <f>CONCATENATE(TableAopCalendar[[#This Row],[Month for Plan]]," ",TableAopCalendar[[#This Row],[Plan]])</f>
        <v>APRIL 29 PLANNED</v>
      </c>
    </row>
    <row r="2588" spans="1:11" x14ac:dyDescent="0.25">
      <c r="A2588" s="33">
        <f t="shared" si="135"/>
        <v>2</v>
      </c>
      <c r="B2588" s="34">
        <v>47238</v>
      </c>
      <c r="C2588" s="7" t="s">
        <v>264</v>
      </c>
      <c r="D2588" s="35">
        <v>29</v>
      </c>
      <c r="E2588" s="33">
        <f>DAY(TableAopCalendar[[#This Row],[Date]])</f>
        <v>30</v>
      </c>
      <c r="F258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588" s="33" t="str">
        <f t="shared" si="136"/>
        <v>Week 5</v>
      </c>
      <c r="H2588" s="33" t="str">
        <f t="shared" si="137"/>
        <v>April 29 Week 5</v>
      </c>
      <c r="I2588" s="33" t="str">
        <f>CONCATENATE(UPPER(TableAopCalendar[[#This Row],[Month]])," ",TableAopCalendar[[#This Row],[Year]])</f>
        <v>APRIL 29</v>
      </c>
      <c r="J2588" s="8" t="s">
        <v>274</v>
      </c>
      <c r="K2588" s="33" t="str">
        <f>CONCATENATE(TableAopCalendar[[#This Row],[Month for Plan]]," ",TableAopCalendar[[#This Row],[Plan]])</f>
        <v>APRIL 29 PLANNED</v>
      </c>
    </row>
    <row r="2589" spans="1:11" x14ac:dyDescent="0.25">
      <c r="A2589" s="33">
        <f t="shared" si="135"/>
        <v>1</v>
      </c>
      <c r="B2589" s="34">
        <v>47239</v>
      </c>
      <c r="C2589" s="7" t="s">
        <v>265</v>
      </c>
      <c r="D2589" s="35">
        <v>29</v>
      </c>
      <c r="E2589" s="33">
        <f>DAY(TableAopCalendar[[#This Row],[Date]])</f>
        <v>1</v>
      </c>
      <c r="F258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89" s="33" t="str">
        <f t="shared" si="136"/>
        <v>Week 1</v>
      </c>
      <c r="H2589" s="33" t="str">
        <f t="shared" si="137"/>
        <v>May 29 Week 1</v>
      </c>
      <c r="I2589" s="33" t="str">
        <f>CONCATENATE(UPPER(TableAopCalendar[[#This Row],[Month]])," ",TableAopCalendar[[#This Row],[Year]])</f>
        <v>MAY 29</v>
      </c>
      <c r="J2589" s="8" t="s">
        <v>274</v>
      </c>
      <c r="K2589" s="33" t="str">
        <f>CONCATENATE(TableAopCalendar[[#This Row],[Month for Plan]]," ",TableAopCalendar[[#This Row],[Plan]])</f>
        <v>MAY 29 PLANNED</v>
      </c>
    </row>
    <row r="2590" spans="1:11" x14ac:dyDescent="0.25">
      <c r="A2590" s="33">
        <f t="shared" si="135"/>
        <v>2</v>
      </c>
      <c r="B2590" s="34">
        <v>47240</v>
      </c>
      <c r="C2590" s="7" t="s">
        <v>265</v>
      </c>
      <c r="D2590" s="35">
        <v>29</v>
      </c>
      <c r="E2590" s="33">
        <f>DAY(TableAopCalendar[[#This Row],[Date]])</f>
        <v>2</v>
      </c>
      <c r="F259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90" s="33" t="str">
        <f t="shared" si="136"/>
        <v>Week 1</v>
      </c>
      <c r="H2590" s="33" t="str">
        <f t="shared" si="137"/>
        <v>May 29 Week 1</v>
      </c>
      <c r="I2590" s="33" t="str">
        <f>CONCATENATE(UPPER(TableAopCalendar[[#This Row],[Month]])," ",TableAopCalendar[[#This Row],[Year]])</f>
        <v>MAY 29</v>
      </c>
      <c r="J2590" s="8" t="s">
        <v>274</v>
      </c>
      <c r="K2590" s="33" t="str">
        <f>CONCATENATE(TableAopCalendar[[#This Row],[Month for Plan]]," ",TableAopCalendar[[#This Row],[Plan]])</f>
        <v>MAY 29 PLANNED</v>
      </c>
    </row>
    <row r="2591" spans="1:11" x14ac:dyDescent="0.25">
      <c r="A2591" s="33">
        <f t="shared" si="135"/>
        <v>3</v>
      </c>
      <c r="B2591" s="34">
        <v>47241</v>
      </c>
      <c r="C2591" s="7" t="s">
        <v>265</v>
      </c>
      <c r="D2591" s="35">
        <v>29</v>
      </c>
      <c r="E2591" s="33">
        <f>DAY(TableAopCalendar[[#This Row],[Date]])</f>
        <v>3</v>
      </c>
      <c r="F259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91" s="33" t="str">
        <f t="shared" si="136"/>
        <v>Week 1</v>
      </c>
      <c r="H2591" s="33" t="str">
        <f t="shared" si="137"/>
        <v>May 29 Week 1</v>
      </c>
      <c r="I2591" s="33" t="str">
        <f>CONCATENATE(UPPER(TableAopCalendar[[#This Row],[Month]])," ",TableAopCalendar[[#This Row],[Year]])</f>
        <v>MAY 29</v>
      </c>
      <c r="J2591" s="8" t="s">
        <v>274</v>
      </c>
      <c r="K2591" s="33" t="str">
        <f>CONCATENATE(TableAopCalendar[[#This Row],[Month for Plan]]," ",TableAopCalendar[[#This Row],[Plan]])</f>
        <v>MAY 29 PLANNED</v>
      </c>
    </row>
    <row r="2592" spans="1:11" x14ac:dyDescent="0.25">
      <c r="A2592" s="33">
        <f t="shared" si="135"/>
        <v>4</v>
      </c>
      <c r="B2592" s="34">
        <v>47242</v>
      </c>
      <c r="C2592" s="7" t="s">
        <v>265</v>
      </c>
      <c r="D2592" s="35">
        <v>29</v>
      </c>
      <c r="E2592" s="33">
        <f>DAY(TableAopCalendar[[#This Row],[Date]])</f>
        <v>4</v>
      </c>
      <c r="F259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92" s="33" t="str">
        <f t="shared" si="136"/>
        <v>Week 1</v>
      </c>
      <c r="H2592" s="33" t="str">
        <f t="shared" si="137"/>
        <v>May 29 Week 1</v>
      </c>
      <c r="I2592" s="33" t="str">
        <f>CONCATENATE(UPPER(TableAopCalendar[[#This Row],[Month]])," ",TableAopCalendar[[#This Row],[Year]])</f>
        <v>MAY 29</v>
      </c>
      <c r="J2592" s="8" t="s">
        <v>274</v>
      </c>
      <c r="K2592" s="33" t="str">
        <f>CONCATENATE(TableAopCalendar[[#This Row],[Month for Plan]]," ",TableAopCalendar[[#This Row],[Plan]])</f>
        <v>MAY 29 PLANNED</v>
      </c>
    </row>
    <row r="2593" spans="1:11" x14ac:dyDescent="0.25">
      <c r="A2593" s="33">
        <f t="shared" si="135"/>
        <v>5</v>
      </c>
      <c r="B2593" s="34">
        <v>47243</v>
      </c>
      <c r="C2593" s="7" t="s">
        <v>265</v>
      </c>
      <c r="D2593" s="35">
        <v>29</v>
      </c>
      <c r="E2593" s="33">
        <f>DAY(TableAopCalendar[[#This Row],[Date]])</f>
        <v>5</v>
      </c>
      <c r="F259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93" s="33" t="str">
        <f t="shared" si="136"/>
        <v>Week 1</v>
      </c>
      <c r="H2593" s="33" t="str">
        <f t="shared" si="137"/>
        <v>May 29 Week 1</v>
      </c>
      <c r="I2593" s="33" t="str">
        <f>CONCATENATE(UPPER(TableAopCalendar[[#This Row],[Month]])," ",TableAopCalendar[[#This Row],[Year]])</f>
        <v>MAY 29</v>
      </c>
      <c r="J2593" s="8" t="s">
        <v>274</v>
      </c>
      <c r="K2593" s="33" t="str">
        <f>CONCATENATE(TableAopCalendar[[#This Row],[Month for Plan]]," ",TableAopCalendar[[#This Row],[Plan]])</f>
        <v>MAY 29 PLANNED</v>
      </c>
    </row>
    <row r="2594" spans="1:11" x14ac:dyDescent="0.25">
      <c r="A2594" s="33">
        <f t="shared" si="135"/>
        <v>6</v>
      </c>
      <c r="B2594" s="34">
        <v>47244</v>
      </c>
      <c r="C2594" s="7" t="s">
        <v>265</v>
      </c>
      <c r="D2594" s="35">
        <v>29</v>
      </c>
      <c r="E2594" s="33">
        <f>DAY(TableAopCalendar[[#This Row],[Date]])</f>
        <v>6</v>
      </c>
      <c r="F259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94" s="33" t="str">
        <f t="shared" si="136"/>
        <v>Week 1</v>
      </c>
      <c r="H2594" s="33" t="str">
        <f t="shared" si="137"/>
        <v>May 29 Week 1</v>
      </c>
      <c r="I2594" s="33" t="str">
        <f>CONCATENATE(UPPER(TableAopCalendar[[#This Row],[Month]])," ",TableAopCalendar[[#This Row],[Year]])</f>
        <v>MAY 29</v>
      </c>
      <c r="J2594" s="8" t="s">
        <v>274</v>
      </c>
      <c r="K2594" s="33" t="str">
        <f>CONCATENATE(TableAopCalendar[[#This Row],[Month for Plan]]," ",TableAopCalendar[[#This Row],[Plan]])</f>
        <v>MAY 29 PLANNED</v>
      </c>
    </row>
    <row r="2595" spans="1:11" x14ac:dyDescent="0.25">
      <c r="A2595" s="33">
        <f t="shared" si="135"/>
        <v>7</v>
      </c>
      <c r="B2595" s="34">
        <v>47245</v>
      </c>
      <c r="C2595" s="7" t="s">
        <v>265</v>
      </c>
      <c r="D2595" s="35">
        <v>29</v>
      </c>
      <c r="E2595" s="33">
        <f>DAY(TableAopCalendar[[#This Row],[Date]])</f>
        <v>7</v>
      </c>
      <c r="F259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595" s="33" t="str">
        <f t="shared" si="136"/>
        <v>Week 1</v>
      </c>
      <c r="H2595" s="33" t="str">
        <f t="shared" si="137"/>
        <v>May 29 Week 1</v>
      </c>
      <c r="I2595" s="33" t="str">
        <f>CONCATENATE(UPPER(TableAopCalendar[[#This Row],[Month]])," ",TableAopCalendar[[#This Row],[Year]])</f>
        <v>MAY 29</v>
      </c>
      <c r="J2595" s="8" t="s">
        <v>274</v>
      </c>
      <c r="K2595" s="33" t="str">
        <f>CONCATENATE(TableAopCalendar[[#This Row],[Month for Plan]]," ",TableAopCalendar[[#This Row],[Plan]])</f>
        <v>MAY 29 PLANNED</v>
      </c>
    </row>
    <row r="2596" spans="1:11" x14ac:dyDescent="0.25">
      <c r="A2596" s="33">
        <f t="shared" ref="A2596:A2659" si="138">IF(G2596=G2595,A2595+1,1)</f>
        <v>1</v>
      </c>
      <c r="B2596" s="34">
        <v>47246</v>
      </c>
      <c r="C2596" s="7" t="s">
        <v>265</v>
      </c>
      <c r="D2596" s="35">
        <v>29</v>
      </c>
      <c r="E2596" s="33">
        <f>DAY(TableAopCalendar[[#This Row],[Date]])</f>
        <v>8</v>
      </c>
      <c r="F259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96" s="33" t="str">
        <f t="shared" ref="G2596:G2659" si="139">"Week"&amp;" "&amp;F2596</f>
        <v>Week 2</v>
      </c>
      <c r="H2596" s="33" t="str">
        <f t="shared" ref="H2596:H2659" si="140">CONCATENATE(C2596," ",D2596," ",G2596)</f>
        <v>May 29 Week 2</v>
      </c>
      <c r="I2596" s="33" t="str">
        <f>CONCATENATE(UPPER(TableAopCalendar[[#This Row],[Month]])," ",TableAopCalendar[[#This Row],[Year]])</f>
        <v>MAY 29</v>
      </c>
      <c r="J2596" s="8" t="s">
        <v>274</v>
      </c>
      <c r="K2596" s="33" t="str">
        <f>CONCATENATE(TableAopCalendar[[#This Row],[Month for Plan]]," ",TableAopCalendar[[#This Row],[Plan]])</f>
        <v>MAY 29 PLANNED</v>
      </c>
    </row>
    <row r="2597" spans="1:11" x14ac:dyDescent="0.25">
      <c r="A2597" s="33">
        <f t="shared" si="138"/>
        <v>2</v>
      </c>
      <c r="B2597" s="34">
        <v>47247</v>
      </c>
      <c r="C2597" s="7" t="s">
        <v>265</v>
      </c>
      <c r="D2597" s="35">
        <v>29</v>
      </c>
      <c r="E2597" s="33">
        <f>DAY(TableAopCalendar[[#This Row],[Date]])</f>
        <v>9</v>
      </c>
      <c r="F259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97" s="33" t="str">
        <f t="shared" si="139"/>
        <v>Week 2</v>
      </c>
      <c r="H2597" s="33" t="str">
        <f t="shared" si="140"/>
        <v>May 29 Week 2</v>
      </c>
      <c r="I2597" s="33" t="str">
        <f>CONCATENATE(UPPER(TableAopCalendar[[#This Row],[Month]])," ",TableAopCalendar[[#This Row],[Year]])</f>
        <v>MAY 29</v>
      </c>
      <c r="J2597" s="8" t="s">
        <v>274</v>
      </c>
      <c r="K2597" s="33" t="str">
        <f>CONCATENATE(TableAopCalendar[[#This Row],[Month for Plan]]," ",TableAopCalendar[[#This Row],[Plan]])</f>
        <v>MAY 29 PLANNED</v>
      </c>
    </row>
    <row r="2598" spans="1:11" x14ac:dyDescent="0.25">
      <c r="A2598" s="33">
        <f t="shared" si="138"/>
        <v>3</v>
      </c>
      <c r="B2598" s="34">
        <v>47248</v>
      </c>
      <c r="C2598" s="7" t="s">
        <v>265</v>
      </c>
      <c r="D2598" s="35">
        <v>29</v>
      </c>
      <c r="E2598" s="33">
        <f>DAY(TableAopCalendar[[#This Row],[Date]])</f>
        <v>10</v>
      </c>
      <c r="F259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98" s="33" t="str">
        <f t="shared" si="139"/>
        <v>Week 2</v>
      </c>
      <c r="H2598" s="33" t="str">
        <f t="shared" si="140"/>
        <v>May 29 Week 2</v>
      </c>
      <c r="I2598" s="33" t="str">
        <f>CONCATENATE(UPPER(TableAopCalendar[[#This Row],[Month]])," ",TableAopCalendar[[#This Row],[Year]])</f>
        <v>MAY 29</v>
      </c>
      <c r="J2598" s="8" t="s">
        <v>274</v>
      </c>
      <c r="K2598" s="33" t="str">
        <f>CONCATENATE(TableAopCalendar[[#This Row],[Month for Plan]]," ",TableAopCalendar[[#This Row],[Plan]])</f>
        <v>MAY 29 PLANNED</v>
      </c>
    </row>
    <row r="2599" spans="1:11" x14ac:dyDescent="0.25">
      <c r="A2599" s="33">
        <f t="shared" si="138"/>
        <v>4</v>
      </c>
      <c r="B2599" s="34">
        <v>47249</v>
      </c>
      <c r="C2599" s="7" t="s">
        <v>265</v>
      </c>
      <c r="D2599" s="35">
        <v>29</v>
      </c>
      <c r="E2599" s="33">
        <f>DAY(TableAopCalendar[[#This Row],[Date]])</f>
        <v>11</v>
      </c>
      <c r="F259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599" s="33" t="str">
        <f t="shared" si="139"/>
        <v>Week 2</v>
      </c>
      <c r="H2599" s="33" t="str">
        <f t="shared" si="140"/>
        <v>May 29 Week 2</v>
      </c>
      <c r="I2599" s="33" t="str">
        <f>CONCATENATE(UPPER(TableAopCalendar[[#This Row],[Month]])," ",TableAopCalendar[[#This Row],[Year]])</f>
        <v>MAY 29</v>
      </c>
      <c r="J2599" s="8" t="s">
        <v>274</v>
      </c>
      <c r="K2599" s="33" t="str">
        <f>CONCATENATE(TableAopCalendar[[#This Row],[Month for Plan]]," ",TableAopCalendar[[#This Row],[Plan]])</f>
        <v>MAY 29 PLANNED</v>
      </c>
    </row>
    <row r="2600" spans="1:11" x14ac:dyDescent="0.25">
      <c r="A2600" s="33">
        <f t="shared" si="138"/>
        <v>5</v>
      </c>
      <c r="B2600" s="34">
        <v>47250</v>
      </c>
      <c r="C2600" s="7" t="s">
        <v>265</v>
      </c>
      <c r="D2600" s="35">
        <v>29</v>
      </c>
      <c r="E2600" s="33">
        <f>DAY(TableAopCalendar[[#This Row],[Date]])</f>
        <v>12</v>
      </c>
      <c r="F260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00" s="33" t="str">
        <f t="shared" si="139"/>
        <v>Week 2</v>
      </c>
      <c r="H2600" s="33" t="str">
        <f t="shared" si="140"/>
        <v>May 29 Week 2</v>
      </c>
      <c r="I2600" s="33" t="str">
        <f>CONCATENATE(UPPER(TableAopCalendar[[#This Row],[Month]])," ",TableAopCalendar[[#This Row],[Year]])</f>
        <v>MAY 29</v>
      </c>
      <c r="J2600" s="8" t="s">
        <v>274</v>
      </c>
      <c r="K2600" s="33" t="str">
        <f>CONCATENATE(TableAopCalendar[[#This Row],[Month for Plan]]," ",TableAopCalendar[[#This Row],[Plan]])</f>
        <v>MAY 29 PLANNED</v>
      </c>
    </row>
    <row r="2601" spans="1:11" x14ac:dyDescent="0.25">
      <c r="A2601" s="33">
        <f t="shared" si="138"/>
        <v>6</v>
      </c>
      <c r="B2601" s="34">
        <v>47251</v>
      </c>
      <c r="C2601" s="7" t="s">
        <v>265</v>
      </c>
      <c r="D2601" s="35">
        <v>29</v>
      </c>
      <c r="E2601" s="33">
        <f>DAY(TableAopCalendar[[#This Row],[Date]])</f>
        <v>13</v>
      </c>
      <c r="F260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01" s="33" t="str">
        <f t="shared" si="139"/>
        <v>Week 2</v>
      </c>
      <c r="H2601" s="33" t="str">
        <f t="shared" si="140"/>
        <v>May 29 Week 2</v>
      </c>
      <c r="I2601" s="33" t="str">
        <f>CONCATENATE(UPPER(TableAopCalendar[[#This Row],[Month]])," ",TableAopCalendar[[#This Row],[Year]])</f>
        <v>MAY 29</v>
      </c>
      <c r="J2601" s="8" t="s">
        <v>274</v>
      </c>
      <c r="K2601" s="33" t="str">
        <f>CONCATENATE(TableAopCalendar[[#This Row],[Month for Plan]]," ",TableAopCalendar[[#This Row],[Plan]])</f>
        <v>MAY 29 PLANNED</v>
      </c>
    </row>
    <row r="2602" spans="1:11" x14ac:dyDescent="0.25">
      <c r="A2602" s="33">
        <f t="shared" si="138"/>
        <v>7</v>
      </c>
      <c r="B2602" s="34">
        <v>47252</v>
      </c>
      <c r="C2602" s="7" t="s">
        <v>265</v>
      </c>
      <c r="D2602" s="35">
        <v>29</v>
      </c>
      <c r="E2602" s="33">
        <f>DAY(TableAopCalendar[[#This Row],[Date]])</f>
        <v>14</v>
      </c>
      <c r="F260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02" s="33" t="str">
        <f t="shared" si="139"/>
        <v>Week 2</v>
      </c>
      <c r="H2602" s="33" t="str">
        <f t="shared" si="140"/>
        <v>May 29 Week 2</v>
      </c>
      <c r="I2602" s="33" t="str">
        <f>CONCATENATE(UPPER(TableAopCalendar[[#This Row],[Month]])," ",TableAopCalendar[[#This Row],[Year]])</f>
        <v>MAY 29</v>
      </c>
      <c r="J2602" s="8" t="s">
        <v>274</v>
      </c>
      <c r="K2602" s="33" t="str">
        <f>CONCATENATE(TableAopCalendar[[#This Row],[Month for Plan]]," ",TableAopCalendar[[#This Row],[Plan]])</f>
        <v>MAY 29 PLANNED</v>
      </c>
    </row>
    <row r="2603" spans="1:11" x14ac:dyDescent="0.25">
      <c r="A2603" s="33">
        <f t="shared" si="138"/>
        <v>1</v>
      </c>
      <c r="B2603" s="34">
        <v>47253</v>
      </c>
      <c r="C2603" s="7" t="s">
        <v>265</v>
      </c>
      <c r="D2603" s="35">
        <v>29</v>
      </c>
      <c r="E2603" s="33">
        <f>DAY(TableAopCalendar[[#This Row],[Date]])</f>
        <v>15</v>
      </c>
      <c r="F260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3" s="33" t="str">
        <f t="shared" si="139"/>
        <v>Week 3</v>
      </c>
      <c r="H2603" s="33" t="str">
        <f t="shared" si="140"/>
        <v>May 29 Week 3</v>
      </c>
      <c r="I2603" s="33" t="str">
        <f>CONCATENATE(UPPER(TableAopCalendar[[#This Row],[Month]])," ",TableAopCalendar[[#This Row],[Year]])</f>
        <v>MAY 29</v>
      </c>
      <c r="J2603" s="8" t="s">
        <v>274</v>
      </c>
      <c r="K2603" s="33" t="str">
        <f>CONCATENATE(TableAopCalendar[[#This Row],[Month for Plan]]," ",TableAopCalendar[[#This Row],[Plan]])</f>
        <v>MAY 29 PLANNED</v>
      </c>
    </row>
    <row r="2604" spans="1:11" x14ac:dyDescent="0.25">
      <c r="A2604" s="33">
        <f t="shared" si="138"/>
        <v>2</v>
      </c>
      <c r="B2604" s="34">
        <v>47254</v>
      </c>
      <c r="C2604" s="7" t="s">
        <v>265</v>
      </c>
      <c r="D2604" s="35">
        <v>29</v>
      </c>
      <c r="E2604" s="33">
        <f>DAY(TableAopCalendar[[#This Row],[Date]])</f>
        <v>16</v>
      </c>
      <c r="F260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4" s="33" t="str">
        <f t="shared" si="139"/>
        <v>Week 3</v>
      </c>
      <c r="H2604" s="33" t="str">
        <f t="shared" si="140"/>
        <v>May 29 Week 3</v>
      </c>
      <c r="I2604" s="33" t="str">
        <f>CONCATENATE(UPPER(TableAopCalendar[[#This Row],[Month]])," ",TableAopCalendar[[#This Row],[Year]])</f>
        <v>MAY 29</v>
      </c>
      <c r="J2604" s="8" t="s">
        <v>274</v>
      </c>
      <c r="K2604" s="33" t="str">
        <f>CONCATENATE(TableAopCalendar[[#This Row],[Month for Plan]]," ",TableAopCalendar[[#This Row],[Plan]])</f>
        <v>MAY 29 PLANNED</v>
      </c>
    </row>
    <row r="2605" spans="1:11" x14ac:dyDescent="0.25">
      <c r="A2605" s="33">
        <f t="shared" si="138"/>
        <v>3</v>
      </c>
      <c r="B2605" s="34">
        <v>47255</v>
      </c>
      <c r="C2605" s="7" t="s">
        <v>265</v>
      </c>
      <c r="D2605" s="35">
        <v>29</v>
      </c>
      <c r="E2605" s="33">
        <f>DAY(TableAopCalendar[[#This Row],[Date]])</f>
        <v>17</v>
      </c>
      <c r="F260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5" s="33" t="str">
        <f t="shared" si="139"/>
        <v>Week 3</v>
      </c>
      <c r="H2605" s="33" t="str">
        <f t="shared" si="140"/>
        <v>May 29 Week 3</v>
      </c>
      <c r="I2605" s="33" t="str">
        <f>CONCATENATE(UPPER(TableAopCalendar[[#This Row],[Month]])," ",TableAopCalendar[[#This Row],[Year]])</f>
        <v>MAY 29</v>
      </c>
      <c r="J2605" s="8" t="s">
        <v>274</v>
      </c>
      <c r="K2605" s="33" t="str">
        <f>CONCATENATE(TableAopCalendar[[#This Row],[Month for Plan]]," ",TableAopCalendar[[#This Row],[Plan]])</f>
        <v>MAY 29 PLANNED</v>
      </c>
    </row>
    <row r="2606" spans="1:11" x14ac:dyDescent="0.25">
      <c r="A2606" s="33">
        <f t="shared" si="138"/>
        <v>4</v>
      </c>
      <c r="B2606" s="34">
        <v>47256</v>
      </c>
      <c r="C2606" s="7" t="s">
        <v>265</v>
      </c>
      <c r="D2606" s="35">
        <v>29</v>
      </c>
      <c r="E2606" s="33">
        <f>DAY(TableAopCalendar[[#This Row],[Date]])</f>
        <v>18</v>
      </c>
      <c r="F260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6" s="33" t="str">
        <f t="shared" si="139"/>
        <v>Week 3</v>
      </c>
      <c r="H2606" s="33" t="str">
        <f t="shared" si="140"/>
        <v>May 29 Week 3</v>
      </c>
      <c r="I2606" s="33" t="str">
        <f>CONCATENATE(UPPER(TableAopCalendar[[#This Row],[Month]])," ",TableAopCalendar[[#This Row],[Year]])</f>
        <v>MAY 29</v>
      </c>
      <c r="J2606" s="8" t="s">
        <v>274</v>
      </c>
      <c r="K2606" s="33" t="str">
        <f>CONCATENATE(TableAopCalendar[[#This Row],[Month for Plan]]," ",TableAopCalendar[[#This Row],[Plan]])</f>
        <v>MAY 29 PLANNED</v>
      </c>
    </row>
    <row r="2607" spans="1:11" x14ac:dyDescent="0.25">
      <c r="A2607" s="33">
        <f t="shared" si="138"/>
        <v>5</v>
      </c>
      <c r="B2607" s="34">
        <v>47257</v>
      </c>
      <c r="C2607" s="7" t="s">
        <v>265</v>
      </c>
      <c r="D2607" s="35">
        <v>29</v>
      </c>
      <c r="E2607" s="33">
        <f>DAY(TableAopCalendar[[#This Row],[Date]])</f>
        <v>19</v>
      </c>
      <c r="F260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7" s="33" t="str">
        <f t="shared" si="139"/>
        <v>Week 3</v>
      </c>
      <c r="H2607" s="33" t="str">
        <f t="shared" si="140"/>
        <v>May 29 Week 3</v>
      </c>
      <c r="I2607" s="33" t="str">
        <f>CONCATENATE(UPPER(TableAopCalendar[[#This Row],[Month]])," ",TableAopCalendar[[#This Row],[Year]])</f>
        <v>MAY 29</v>
      </c>
      <c r="J2607" s="8" t="s">
        <v>274</v>
      </c>
      <c r="K2607" s="33" t="str">
        <f>CONCATENATE(TableAopCalendar[[#This Row],[Month for Plan]]," ",TableAopCalendar[[#This Row],[Plan]])</f>
        <v>MAY 29 PLANNED</v>
      </c>
    </row>
    <row r="2608" spans="1:11" x14ac:dyDescent="0.25">
      <c r="A2608" s="33">
        <f t="shared" si="138"/>
        <v>6</v>
      </c>
      <c r="B2608" s="34">
        <v>47258</v>
      </c>
      <c r="C2608" s="7" t="s">
        <v>265</v>
      </c>
      <c r="D2608" s="35">
        <v>29</v>
      </c>
      <c r="E2608" s="33">
        <f>DAY(TableAopCalendar[[#This Row],[Date]])</f>
        <v>20</v>
      </c>
      <c r="F260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8" s="33" t="str">
        <f t="shared" si="139"/>
        <v>Week 3</v>
      </c>
      <c r="H2608" s="33" t="str">
        <f t="shared" si="140"/>
        <v>May 29 Week 3</v>
      </c>
      <c r="I2608" s="33" t="str">
        <f>CONCATENATE(UPPER(TableAopCalendar[[#This Row],[Month]])," ",TableAopCalendar[[#This Row],[Year]])</f>
        <v>MAY 29</v>
      </c>
      <c r="J2608" s="8" t="s">
        <v>274</v>
      </c>
      <c r="K2608" s="33" t="str">
        <f>CONCATENATE(TableAopCalendar[[#This Row],[Month for Plan]]," ",TableAopCalendar[[#This Row],[Plan]])</f>
        <v>MAY 29 PLANNED</v>
      </c>
    </row>
    <row r="2609" spans="1:11" x14ac:dyDescent="0.25">
      <c r="A2609" s="33">
        <f t="shared" si="138"/>
        <v>7</v>
      </c>
      <c r="B2609" s="34">
        <v>47259</v>
      </c>
      <c r="C2609" s="7" t="s">
        <v>265</v>
      </c>
      <c r="D2609" s="35">
        <v>29</v>
      </c>
      <c r="E2609" s="33">
        <f>DAY(TableAopCalendar[[#This Row],[Date]])</f>
        <v>21</v>
      </c>
      <c r="F260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09" s="33" t="str">
        <f t="shared" si="139"/>
        <v>Week 3</v>
      </c>
      <c r="H2609" s="33" t="str">
        <f t="shared" si="140"/>
        <v>May 29 Week 3</v>
      </c>
      <c r="I2609" s="33" t="str">
        <f>CONCATENATE(UPPER(TableAopCalendar[[#This Row],[Month]])," ",TableAopCalendar[[#This Row],[Year]])</f>
        <v>MAY 29</v>
      </c>
      <c r="J2609" s="8" t="s">
        <v>274</v>
      </c>
      <c r="K2609" s="33" t="str">
        <f>CONCATENATE(TableAopCalendar[[#This Row],[Month for Plan]]," ",TableAopCalendar[[#This Row],[Plan]])</f>
        <v>MAY 29 PLANNED</v>
      </c>
    </row>
    <row r="2610" spans="1:11" x14ac:dyDescent="0.25">
      <c r="A2610" s="33">
        <f t="shared" si="138"/>
        <v>1</v>
      </c>
      <c r="B2610" s="34">
        <v>47260</v>
      </c>
      <c r="C2610" s="7" t="s">
        <v>265</v>
      </c>
      <c r="D2610" s="35">
        <v>29</v>
      </c>
      <c r="E2610" s="33">
        <f>DAY(TableAopCalendar[[#This Row],[Date]])</f>
        <v>22</v>
      </c>
      <c r="F261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10" s="33" t="str">
        <f t="shared" si="139"/>
        <v>Week 4</v>
      </c>
      <c r="H2610" s="33" t="str">
        <f t="shared" si="140"/>
        <v>May 29 Week 4</v>
      </c>
      <c r="I2610" s="33" t="str">
        <f>CONCATENATE(UPPER(TableAopCalendar[[#This Row],[Month]])," ",TableAopCalendar[[#This Row],[Year]])</f>
        <v>MAY 29</v>
      </c>
      <c r="J2610" s="8" t="s">
        <v>274</v>
      </c>
      <c r="K2610" s="33" t="str">
        <f>CONCATENATE(TableAopCalendar[[#This Row],[Month for Plan]]," ",TableAopCalendar[[#This Row],[Plan]])</f>
        <v>MAY 29 PLANNED</v>
      </c>
    </row>
    <row r="2611" spans="1:11" x14ac:dyDescent="0.25">
      <c r="A2611" s="33">
        <f t="shared" si="138"/>
        <v>2</v>
      </c>
      <c r="B2611" s="34">
        <v>47261</v>
      </c>
      <c r="C2611" s="7" t="s">
        <v>265</v>
      </c>
      <c r="D2611" s="35">
        <v>29</v>
      </c>
      <c r="E2611" s="33">
        <f>DAY(TableAopCalendar[[#This Row],[Date]])</f>
        <v>23</v>
      </c>
      <c r="F261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11" s="33" t="str">
        <f t="shared" si="139"/>
        <v>Week 4</v>
      </c>
      <c r="H2611" s="33" t="str">
        <f t="shared" si="140"/>
        <v>May 29 Week 4</v>
      </c>
      <c r="I2611" s="33" t="str">
        <f>CONCATENATE(UPPER(TableAopCalendar[[#This Row],[Month]])," ",TableAopCalendar[[#This Row],[Year]])</f>
        <v>MAY 29</v>
      </c>
      <c r="J2611" s="8" t="s">
        <v>274</v>
      </c>
      <c r="K2611" s="33" t="str">
        <f>CONCATENATE(TableAopCalendar[[#This Row],[Month for Plan]]," ",TableAopCalendar[[#This Row],[Plan]])</f>
        <v>MAY 29 PLANNED</v>
      </c>
    </row>
    <row r="2612" spans="1:11" x14ac:dyDescent="0.25">
      <c r="A2612" s="33">
        <f t="shared" si="138"/>
        <v>3</v>
      </c>
      <c r="B2612" s="34">
        <v>47262</v>
      </c>
      <c r="C2612" s="7" t="s">
        <v>265</v>
      </c>
      <c r="D2612" s="35">
        <v>29</v>
      </c>
      <c r="E2612" s="33">
        <f>DAY(TableAopCalendar[[#This Row],[Date]])</f>
        <v>24</v>
      </c>
      <c r="F261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12" s="33" t="str">
        <f t="shared" si="139"/>
        <v>Week 4</v>
      </c>
      <c r="H2612" s="33" t="str">
        <f t="shared" si="140"/>
        <v>May 29 Week 4</v>
      </c>
      <c r="I2612" s="33" t="str">
        <f>CONCATENATE(UPPER(TableAopCalendar[[#This Row],[Month]])," ",TableAopCalendar[[#This Row],[Year]])</f>
        <v>MAY 29</v>
      </c>
      <c r="J2612" s="8" t="s">
        <v>274</v>
      </c>
      <c r="K2612" s="33" t="str">
        <f>CONCATENATE(TableAopCalendar[[#This Row],[Month for Plan]]," ",TableAopCalendar[[#This Row],[Plan]])</f>
        <v>MAY 29 PLANNED</v>
      </c>
    </row>
    <row r="2613" spans="1:11" x14ac:dyDescent="0.25">
      <c r="A2613" s="33">
        <f t="shared" si="138"/>
        <v>4</v>
      </c>
      <c r="B2613" s="34">
        <v>47263</v>
      </c>
      <c r="C2613" s="7" t="s">
        <v>265</v>
      </c>
      <c r="D2613" s="35">
        <v>29</v>
      </c>
      <c r="E2613" s="33">
        <f>DAY(TableAopCalendar[[#This Row],[Date]])</f>
        <v>25</v>
      </c>
      <c r="F261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13" s="33" t="str">
        <f t="shared" si="139"/>
        <v>Week 4</v>
      </c>
      <c r="H2613" s="33" t="str">
        <f t="shared" si="140"/>
        <v>May 29 Week 4</v>
      </c>
      <c r="I2613" s="33" t="str">
        <f>CONCATENATE(UPPER(TableAopCalendar[[#This Row],[Month]])," ",TableAopCalendar[[#This Row],[Year]])</f>
        <v>MAY 29</v>
      </c>
      <c r="J2613" s="8" t="s">
        <v>274</v>
      </c>
      <c r="K2613" s="33" t="str">
        <f>CONCATENATE(TableAopCalendar[[#This Row],[Month for Plan]]," ",TableAopCalendar[[#This Row],[Plan]])</f>
        <v>MAY 29 PLANNED</v>
      </c>
    </row>
    <row r="2614" spans="1:11" x14ac:dyDescent="0.25">
      <c r="A2614" s="33">
        <f t="shared" si="138"/>
        <v>5</v>
      </c>
      <c r="B2614" s="34">
        <v>47264</v>
      </c>
      <c r="C2614" s="7" t="s">
        <v>265</v>
      </c>
      <c r="D2614" s="35">
        <v>29</v>
      </c>
      <c r="E2614" s="33">
        <f>DAY(TableAopCalendar[[#This Row],[Date]])</f>
        <v>26</v>
      </c>
      <c r="F261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14" s="33" t="str">
        <f t="shared" si="139"/>
        <v>Week 4</v>
      </c>
      <c r="H2614" s="33" t="str">
        <f t="shared" si="140"/>
        <v>May 29 Week 4</v>
      </c>
      <c r="I2614" s="33" t="str">
        <f>CONCATENATE(UPPER(TableAopCalendar[[#This Row],[Month]])," ",TableAopCalendar[[#This Row],[Year]])</f>
        <v>MAY 29</v>
      </c>
      <c r="J2614" s="8" t="s">
        <v>274</v>
      </c>
      <c r="K2614" s="33" t="str">
        <f>CONCATENATE(TableAopCalendar[[#This Row],[Month for Plan]]," ",TableAopCalendar[[#This Row],[Plan]])</f>
        <v>MAY 29 PLANNED</v>
      </c>
    </row>
    <row r="2615" spans="1:11" x14ac:dyDescent="0.25">
      <c r="A2615" s="33">
        <f t="shared" si="138"/>
        <v>6</v>
      </c>
      <c r="B2615" s="34">
        <v>47265</v>
      </c>
      <c r="C2615" s="7" t="s">
        <v>265</v>
      </c>
      <c r="D2615" s="35">
        <v>29</v>
      </c>
      <c r="E2615" s="33">
        <f>DAY(TableAopCalendar[[#This Row],[Date]])</f>
        <v>27</v>
      </c>
      <c r="F261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15" s="33" t="str">
        <f t="shared" si="139"/>
        <v>Week 4</v>
      </c>
      <c r="H2615" s="33" t="str">
        <f t="shared" si="140"/>
        <v>May 29 Week 4</v>
      </c>
      <c r="I2615" s="33" t="str">
        <f>CONCATENATE(UPPER(TableAopCalendar[[#This Row],[Month]])," ",TableAopCalendar[[#This Row],[Year]])</f>
        <v>MAY 29</v>
      </c>
      <c r="J2615" s="8" t="s">
        <v>274</v>
      </c>
      <c r="K2615" s="33" t="str">
        <f>CONCATENATE(TableAopCalendar[[#This Row],[Month for Plan]]," ",TableAopCalendar[[#This Row],[Plan]])</f>
        <v>MAY 29 PLANNED</v>
      </c>
    </row>
    <row r="2616" spans="1:11" x14ac:dyDescent="0.25">
      <c r="A2616" s="33">
        <f t="shared" si="138"/>
        <v>7</v>
      </c>
      <c r="B2616" s="34">
        <v>47266</v>
      </c>
      <c r="C2616" s="7" t="s">
        <v>265</v>
      </c>
      <c r="D2616" s="35">
        <v>29</v>
      </c>
      <c r="E2616" s="33">
        <f>DAY(TableAopCalendar[[#This Row],[Date]])</f>
        <v>28</v>
      </c>
      <c r="F261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16" s="33" t="str">
        <f t="shared" si="139"/>
        <v>Week 4</v>
      </c>
      <c r="H2616" s="33" t="str">
        <f t="shared" si="140"/>
        <v>May 29 Week 4</v>
      </c>
      <c r="I2616" s="33" t="str">
        <f>CONCATENATE(UPPER(TableAopCalendar[[#This Row],[Month]])," ",TableAopCalendar[[#This Row],[Year]])</f>
        <v>MAY 29</v>
      </c>
      <c r="J2616" s="8" t="s">
        <v>274</v>
      </c>
      <c r="K2616" s="33" t="str">
        <f>CONCATENATE(TableAopCalendar[[#This Row],[Month for Plan]]," ",TableAopCalendar[[#This Row],[Plan]])</f>
        <v>MAY 29 PLANNED</v>
      </c>
    </row>
    <row r="2617" spans="1:11" x14ac:dyDescent="0.25">
      <c r="A2617" s="33">
        <f t="shared" si="138"/>
        <v>1</v>
      </c>
      <c r="B2617" s="34">
        <v>47267</v>
      </c>
      <c r="C2617" s="7" t="s">
        <v>265</v>
      </c>
      <c r="D2617" s="35">
        <v>29</v>
      </c>
      <c r="E2617" s="33">
        <f>DAY(TableAopCalendar[[#This Row],[Date]])</f>
        <v>29</v>
      </c>
      <c r="F2617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17" s="33" t="str">
        <f t="shared" si="139"/>
        <v>Week 5</v>
      </c>
      <c r="H2617" s="33" t="str">
        <f t="shared" si="140"/>
        <v>May 29 Week 5</v>
      </c>
      <c r="I2617" s="33" t="str">
        <f>CONCATENATE(UPPER(TableAopCalendar[[#This Row],[Month]])," ",TableAopCalendar[[#This Row],[Year]])</f>
        <v>MAY 29</v>
      </c>
      <c r="J2617" s="8" t="s">
        <v>274</v>
      </c>
      <c r="K2617" s="33" t="str">
        <f>CONCATENATE(TableAopCalendar[[#This Row],[Month for Plan]]," ",TableAopCalendar[[#This Row],[Plan]])</f>
        <v>MAY 29 PLANNED</v>
      </c>
    </row>
    <row r="2618" spans="1:11" x14ac:dyDescent="0.25">
      <c r="A2618" s="33">
        <f t="shared" si="138"/>
        <v>2</v>
      </c>
      <c r="B2618" s="34">
        <v>47268</v>
      </c>
      <c r="C2618" s="7" t="s">
        <v>265</v>
      </c>
      <c r="D2618" s="35">
        <v>29</v>
      </c>
      <c r="E2618" s="33">
        <f>DAY(TableAopCalendar[[#This Row],[Date]])</f>
        <v>30</v>
      </c>
      <c r="F261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18" s="33" t="str">
        <f t="shared" si="139"/>
        <v>Week 5</v>
      </c>
      <c r="H2618" s="33" t="str">
        <f t="shared" si="140"/>
        <v>May 29 Week 5</v>
      </c>
      <c r="I2618" s="33" t="str">
        <f>CONCATENATE(UPPER(TableAopCalendar[[#This Row],[Month]])," ",TableAopCalendar[[#This Row],[Year]])</f>
        <v>MAY 29</v>
      </c>
      <c r="J2618" s="8" t="s">
        <v>274</v>
      </c>
      <c r="K2618" s="33" t="str">
        <f>CONCATENATE(TableAopCalendar[[#This Row],[Month for Plan]]," ",TableAopCalendar[[#This Row],[Plan]])</f>
        <v>MAY 29 PLANNED</v>
      </c>
    </row>
    <row r="2619" spans="1:11" x14ac:dyDescent="0.25">
      <c r="A2619" s="33">
        <f t="shared" si="138"/>
        <v>3</v>
      </c>
      <c r="B2619" s="34">
        <v>47269</v>
      </c>
      <c r="C2619" s="7" t="s">
        <v>265</v>
      </c>
      <c r="D2619" s="35">
        <v>29</v>
      </c>
      <c r="E2619" s="33">
        <f>DAY(TableAopCalendar[[#This Row],[Date]])</f>
        <v>31</v>
      </c>
      <c r="F2619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19" s="33" t="str">
        <f t="shared" si="139"/>
        <v>Week 5</v>
      </c>
      <c r="H2619" s="33" t="str">
        <f t="shared" si="140"/>
        <v>May 29 Week 5</v>
      </c>
      <c r="I2619" s="33" t="str">
        <f>CONCATENATE(UPPER(TableAopCalendar[[#This Row],[Month]])," ",TableAopCalendar[[#This Row],[Year]])</f>
        <v>MAY 29</v>
      </c>
      <c r="J2619" s="8" t="s">
        <v>274</v>
      </c>
      <c r="K2619" s="33" t="str">
        <f>CONCATENATE(TableAopCalendar[[#This Row],[Month for Plan]]," ",TableAopCalendar[[#This Row],[Plan]])</f>
        <v>MAY 29 PLANNED</v>
      </c>
    </row>
    <row r="2620" spans="1:11" x14ac:dyDescent="0.25">
      <c r="A2620" s="33">
        <f t="shared" si="138"/>
        <v>1</v>
      </c>
      <c r="B2620" s="34">
        <v>47270</v>
      </c>
      <c r="C2620" s="7" t="s">
        <v>266</v>
      </c>
      <c r="D2620" s="35">
        <v>29</v>
      </c>
      <c r="E2620" s="33">
        <f>DAY(TableAopCalendar[[#This Row],[Date]])</f>
        <v>1</v>
      </c>
      <c r="F262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20" s="33" t="str">
        <f t="shared" si="139"/>
        <v>Week 1</v>
      </c>
      <c r="H2620" s="33" t="str">
        <f t="shared" si="140"/>
        <v>June 29 Week 1</v>
      </c>
      <c r="I2620" s="33" t="str">
        <f>CONCATENATE(UPPER(TableAopCalendar[[#This Row],[Month]])," ",TableAopCalendar[[#This Row],[Year]])</f>
        <v>JUNE 29</v>
      </c>
      <c r="J2620" s="8" t="s">
        <v>274</v>
      </c>
      <c r="K2620" s="33" t="str">
        <f>CONCATENATE(TableAopCalendar[[#This Row],[Month for Plan]]," ",TableAopCalendar[[#This Row],[Plan]])</f>
        <v>JUNE 29 PLANNED</v>
      </c>
    </row>
    <row r="2621" spans="1:11" x14ac:dyDescent="0.25">
      <c r="A2621" s="33">
        <f t="shared" si="138"/>
        <v>2</v>
      </c>
      <c r="B2621" s="34">
        <v>47271</v>
      </c>
      <c r="C2621" s="7" t="s">
        <v>266</v>
      </c>
      <c r="D2621" s="35">
        <v>29</v>
      </c>
      <c r="E2621" s="33">
        <f>DAY(TableAopCalendar[[#This Row],[Date]])</f>
        <v>2</v>
      </c>
      <c r="F262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21" s="33" t="str">
        <f t="shared" si="139"/>
        <v>Week 1</v>
      </c>
      <c r="H2621" s="33" t="str">
        <f t="shared" si="140"/>
        <v>June 29 Week 1</v>
      </c>
      <c r="I2621" s="33" t="str">
        <f>CONCATENATE(UPPER(TableAopCalendar[[#This Row],[Month]])," ",TableAopCalendar[[#This Row],[Year]])</f>
        <v>JUNE 29</v>
      </c>
      <c r="J2621" s="8" t="s">
        <v>274</v>
      </c>
      <c r="K2621" s="33" t="str">
        <f>CONCATENATE(TableAopCalendar[[#This Row],[Month for Plan]]," ",TableAopCalendar[[#This Row],[Plan]])</f>
        <v>JUNE 29 PLANNED</v>
      </c>
    </row>
    <row r="2622" spans="1:11" x14ac:dyDescent="0.25">
      <c r="A2622" s="33">
        <f t="shared" si="138"/>
        <v>3</v>
      </c>
      <c r="B2622" s="34">
        <v>47272</v>
      </c>
      <c r="C2622" s="7" t="s">
        <v>266</v>
      </c>
      <c r="D2622" s="35">
        <v>29</v>
      </c>
      <c r="E2622" s="33">
        <f>DAY(TableAopCalendar[[#This Row],[Date]])</f>
        <v>3</v>
      </c>
      <c r="F262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22" s="33" t="str">
        <f t="shared" si="139"/>
        <v>Week 1</v>
      </c>
      <c r="H2622" s="33" t="str">
        <f t="shared" si="140"/>
        <v>June 29 Week 1</v>
      </c>
      <c r="I2622" s="33" t="str">
        <f>CONCATENATE(UPPER(TableAopCalendar[[#This Row],[Month]])," ",TableAopCalendar[[#This Row],[Year]])</f>
        <v>JUNE 29</v>
      </c>
      <c r="J2622" s="8" t="s">
        <v>274</v>
      </c>
      <c r="K2622" s="33" t="str">
        <f>CONCATENATE(TableAopCalendar[[#This Row],[Month for Plan]]," ",TableAopCalendar[[#This Row],[Plan]])</f>
        <v>JUNE 29 PLANNED</v>
      </c>
    </row>
    <row r="2623" spans="1:11" x14ac:dyDescent="0.25">
      <c r="A2623" s="33">
        <f t="shared" si="138"/>
        <v>4</v>
      </c>
      <c r="B2623" s="34">
        <v>47273</v>
      </c>
      <c r="C2623" s="7" t="s">
        <v>266</v>
      </c>
      <c r="D2623" s="35">
        <v>29</v>
      </c>
      <c r="E2623" s="33">
        <f>DAY(TableAopCalendar[[#This Row],[Date]])</f>
        <v>4</v>
      </c>
      <c r="F262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23" s="33" t="str">
        <f t="shared" si="139"/>
        <v>Week 1</v>
      </c>
      <c r="H2623" s="33" t="str">
        <f t="shared" si="140"/>
        <v>June 29 Week 1</v>
      </c>
      <c r="I2623" s="33" t="str">
        <f>CONCATENATE(UPPER(TableAopCalendar[[#This Row],[Month]])," ",TableAopCalendar[[#This Row],[Year]])</f>
        <v>JUNE 29</v>
      </c>
      <c r="J2623" s="8" t="s">
        <v>274</v>
      </c>
      <c r="K2623" s="33" t="str">
        <f>CONCATENATE(TableAopCalendar[[#This Row],[Month for Plan]]," ",TableAopCalendar[[#This Row],[Plan]])</f>
        <v>JUNE 29 PLANNED</v>
      </c>
    </row>
    <row r="2624" spans="1:11" x14ac:dyDescent="0.25">
      <c r="A2624" s="33">
        <f t="shared" si="138"/>
        <v>5</v>
      </c>
      <c r="B2624" s="34">
        <v>47274</v>
      </c>
      <c r="C2624" s="7" t="s">
        <v>266</v>
      </c>
      <c r="D2624" s="35">
        <v>29</v>
      </c>
      <c r="E2624" s="33">
        <f>DAY(TableAopCalendar[[#This Row],[Date]])</f>
        <v>5</v>
      </c>
      <c r="F262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24" s="33" t="str">
        <f t="shared" si="139"/>
        <v>Week 1</v>
      </c>
      <c r="H2624" s="33" t="str">
        <f t="shared" si="140"/>
        <v>June 29 Week 1</v>
      </c>
      <c r="I2624" s="33" t="str">
        <f>CONCATENATE(UPPER(TableAopCalendar[[#This Row],[Month]])," ",TableAopCalendar[[#This Row],[Year]])</f>
        <v>JUNE 29</v>
      </c>
      <c r="J2624" s="8" t="s">
        <v>274</v>
      </c>
      <c r="K2624" s="33" t="str">
        <f>CONCATENATE(TableAopCalendar[[#This Row],[Month for Plan]]," ",TableAopCalendar[[#This Row],[Plan]])</f>
        <v>JUNE 29 PLANNED</v>
      </c>
    </row>
    <row r="2625" spans="1:11" x14ac:dyDescent="0.25">
      <c r="A2625" s="33">
        <f t="shared" si="138"/>
        <v>6</v>
      </c>
      <c r="B2625" s="34">
        <v>47275</v>
      </c>
      <c r="C2625" s="7" t="s">
        <v>266</v>
      </c>
      <c r="D2625" s="35">
        <v>29</v>
      </c>
      <c r="E2625" s="33">
        <f>DAY(TableAopCalendar[[#This Row],[Date]])</f>
        <v>6</v>
      </c>
      <c r="F262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25" s="33" t="str">
        <f t="shared" si="139"/>
        <v>Week 1</v>
      </c>
      <c r="H2625" s="33" t="str">
        <f t="shared" si="140"/>
        <v>June 29 Week 1</v>
      </c>
      <c r="I2625" s="33" t="str">
        <f>CONCATENATE(UPPER(TableAopCalendar[[#This Row],[Month]])," ",TableAopCalendar[[#This Row],[Year]])</f>
        <v>JUNE 29</v>
      </c>
      <c r="J2625" s="8" t="s">
        <v>274</v>
      </c>
      <c r="K2625" s="33" t="str">
        <f>CONCATENATE(TableAopCalendar[[#This Row],[Month for Plan]]," ",TableAopCalendar[[#This Row],[Plan]])</f>
        <v>JUNE 29 PLANNED</v>
      </c>
    </row>
    <row r="2626" spans="1:11" x14ac:dyDescent="0.25">
      <c r="A2626" s="33">
        <f t="shared" si="138"/>
        <v>7</v>
      </c>
      <c r="B2626" s="34">
        <v>47276</v>
      </c>
      <c r="C2626" s="7" t="s">
        <v>266</v>
      </c>
      <c r="D2626" s="35">
        <v>29</v>
      </c>
      <c r="E2626" s="33">
        <f>DAY(TableAopCalendar[[#This Row],[Date]])</f>
        <v>7</v>
      </c>
      <c r="F262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26" s="33" t="str">
        <f t="shared" si="139"/>
        <v>Week 1</v>
      </c>
      <c r="H2626" s="33" t="str">
        <f t="shared" si="140"/>
        <v>June 29 Week 1</v>
      </c>
      <c r="I2626" s="33" t="str">
        <f>CONCATENATE(UPPER(TableAopCalendar[[#This Row],[Month]])," ",TableAopCalendar[[#This Row],[Year]])</f>
        <v>JUNE 29</v>
      </c>
      <c r="J2626" s="8" t="s">
        <v>274</v>
      </c>
      <c r="K2626" s="33" t="str">
        <f>CONCATENATE(TableAopCalendar[[#This Row],[Month for Plan]]," ",TableAopCalendar[[#This Row],[Plan]])</f>
        <v>JUNE 29 PLANNED</v>
      </c>
    </row>
    <row r="2627" spans="1:11" x14ac:dyDescent="0.25">
      <c r="A2627" s="33">
        <f t="shared" si="138"/>
        <v>1</v>
      </c>
      <c r="B2627" s="34">
        <v>47277</v>
      </c>
      <c r="C2627" s="7" t="s">
        <v>266</v>
      </c>
      <c r="D2627" s="35">
        <v>29</v>
      </c>
      <c r="E2627" s="33">
        <f>DAY(TableAopCalendar[[#This Row],[Date]])</f>
        <v>8</v>
      </c>
      <c r="F262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27" s="33" t="str">
        <f t="shared" si="139"/>
        <v>Week 2</v>
      </c>
      <c r="H2627" s="33" t="str">
        <f t="shared" si="140"/>
        <v>June 29 Week 2</v>
      </c>
      <c r="I2627" s="33" t="str">
        <f>CONCATENATE(UPPER(TableAopCalendar[[#This Row],[Month]])," ",TableAopCalendar[[#This Row],[Year]])</f>
        <v>JUNE 29</v>
      </c>
      <c r="J2627" s="8" t="s">
        <v>274</v>
      </c>
      <c r="K2627" s="33" t="str">
        <f>CONCATENATE(TableAopCalendar[[#This Row],[Month for Plan]]," ",TableAopCalendar[[#This Row],[Plan]])</f>
        <v>JUNE 29 PLANNED</v>
      </c>
    </row>
    <row r="2628" spans="1:11" x14ac:dyDescent="0.25">
      <c r="A2628" s="33">
        <f t="shared" si="138"/>
        <v>2</v>
      </c>
      <c r="B2628" s="34">
        <v>47278</v>
      </c>
      <c r="C2628" s="7" t="s">
        <v>266</v>
      </c>
      <c r="D2628" s="35">
        <v>29</v>
      </c>
      <c r="E2628" s="33">
        <f>DAY(TableAopCalendar[[#This Row],[Date]])</f>
        <v>9</v>
      </c>
      <c r="F262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28" s="33" t="str">
        <f t="shared" si="139"/>
        <v>Week 2</v>
      </c>
      <c r="H2628" s="33" t="str">
        <f t="shared" si="140"/>
        <v>June 29 Week 2</v>
      </c>
      <c r="I2628" s="33" t="str">
        <f>CONCATENATE(UPPER(TableAopCalendar[[#This Row],[Month]])," ",TableAopCalendar[[#This Row],[Year]])</f>
        <v>JUNE 29</v>
      </c>
      <c r="J2628" s="8" t="s">
        <v>274</v>
      </c>
      <c r="K2628" s="33" t="str">
        <f>CONCATENATE(TableAopCalendar[[#This Row],[Month for Plan]]," ",TableAopCalendar[[#This Row],[Plan]])</f>
        <v>JUNE 29 PLANNED</v>
      </c>
    </row>
    <row r="2629" spans="1:11" x14ac:dyDescent="0.25">
      <c r="A2629" s="33">
        <f t="shared" si="138"/>
        <v>3</v>
      </c>
      <c r="B2629" s="34">
        <v>47279</v>
      </c>
      <c r="C2629" s="7" t="s">
        <v>266</v>
      </c>
      <c r="D2629" s="35">
        <v>29</v>
      </c>
      <c r="E2629" s="33">
        <f>DAY(TableAopCalendar[[#This Row],[Date]])</f>
        <v>10</v>
      </c>
      <c r="F262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29" s="33" t="str">
        <f t="shared" si="139"/>
        <v>Week 2</v>
      </c>
      <c r="H2629" s="33" t="str">
        <f t="shared" si="140"/>
        <v>June 29 Week 2</v>
      </c>
      <c r="I2629" s="33" t="str">
        <f>CONCATENATE(UPPER(TableAopCalendar[[#This Row],[Month]])," ",TableAopCalendar[[#This Row],[Year]])</f>
        <v>JUNE 29</v>
      </c>
      <c r="J2629" s="8" t="s">
        <v>274</v>
      </c>
      <c r="K2629" s="33" t="str">
        <f>CONCATENATE(TableAopCalendar[[#This Row],[Month for Plan]]," ",TableAopCalendar[[#This Row],[Plan]])</f>
        <v>JUNE 29 PLANNED</v>
      </c>
    </row>
    <row r="2630" spans="1:11" x14ac:dyDescent="0.25">
      <c r="A2630" s="33">
        <f t="shared" si="138"/>
        <v>4</v>
      </c>
      <c r="B2630" s="34">
        <v>47280</v>
      </c>
      <c r="C2630" s="7" t="s">
        <v>266</v>
      </c>
      <c r="D2630" s="35">
        <v>29</v>
      </c>
      <c r="E2630" s="33">
        <f>DAY(TableAopCalendar[[#This Row],[Date]])</f>
        <v>11</v>
      </c>
      <c r="F263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30" s="33" t="str">
        <f t="shared" si="139"/>
        <v>Week 2</v>
      </c>
      <c r="H2630" s="33" t="str">
        <f t="shared" si="140"/>
        <v>June 29 Week 2</v>
      </c>
      <c r="I2630" s="33" t="str">
        <f>CONCATENATE(UPPER(TableAopCalendar[[#This Row],[Month]])," ",TableAopCalendar[[#This Row],[Year]])</f>
        <v>JUNE 29</v>
      </c>
      <c r="J2630" s="8" t="s">
        <v>274</v>
      </c>
      <c r="K2630" s="33" t="str">
        <f>CONCATENATE(TableAopCalendar[[#This Row],[Month for Plan]]," ",TableAopCalendar[[#This Row],[Plan]])</f>
        <v>JUNE 29 PLANNED</v>
      </c>
    </row>
    <row r="2631" spans="1:11" x14ac:dyDescent="0.25">
      <c r="A2631" s="33">
        <f t="shared" si="138"/>
        <v>5</v>
      </c>
      <c r="B2631" s="34">
        <v>47281</v>
      </c>
      <c r="C2631" s="7" t="s">
        <v>266</v>
      </c>
      <c r="D2631" s="35">
        <v>29</v>
      </c>
      <c r="E2631" s="33">
        <f>DAY(TableAopCalendar[[#This Row],[Date]])</f>
        <v>12</v>
      </c>
      <c r="F263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31" s="33" t="str">
        <f t="shared" si="139"/>
        <v>Week 2</v>
      </c>
      <c r="H2631" s="33" t="str">
        <f t="shared" si="140"/>
        <v>June 29 Week 2</v>
      </c>
      <c r="I2631" s="33" t="str">
        <f>CONCATENATE(UPPER(TableAopCalendar[[#This Row],[Month]])," ",TableAopCalendar[[#This Row],[Year]])</f>
        <v>JUNE 29</v>
      </c>
      <c r="J2631" s="8" t="s">
        <v>274</v>
      </c>
      <c r="K2631" s="33" t="str">
        <f>CONCATENATE(TableAopCalendar[[#This Row],[Month for Plan]]," ",TableAopCalendar[[#This Row],[Plan]])</f>
        <v>JUNE 29 PLANNED</v>
      </c>
    </row>
    <row r="2632" spans="1:11" x14ac:dyDescent="0.25">
      <c r="A2632" s="33">
        <f t="shared" si="138"/>
        <v>6</v>
      </c>
      <c r="B2632" s="34">
        <v>47282</v>
      </c>
      <c r="C2632" s="7" t="s">
        <v>266</v>
      </c>
      <c r="D2632" s="35">
        <v>29</v>
      </c>
      <c r="E2632" s="33">
        <f>DAY(TableAopCalendar[[#This Row],[Date]])</f>
        <v>13</v>
      </c>
      <c r="F263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32" s="33" t="str">
        <f t="shared" si="139"/>
        <v>Week 2</v>
      </c>
      <c r="H2632" s="33" t="str">
        <f t="shared" si="140"/>
        <v>June 29 Week 2</v>
      </c>
      <c r="I2632" s="33" t="str">
        <f>CONCATENATE(UPPER(TableAopCalendar[[#This Row],[Month]])," ",TableAopCalendar[[#This Row],[Year]])</f>
        <v>JUNE 29</v>
      </c>
      <c r="J2632" s="8" t="s">
        <v>274</v>
      </c>
      <c r="K2632" s="33" t="str">
        <f>CONCATENATE(TableAopCalendar[[#This Row],[Month for Plan]]," ",TableAopCalendar[[#This Row],[Plan]])</f>
        <v>JUNE 29 PLANNED</v>
      </c>
    </row>
    <row r="2633" spans="1:11" x14ac:dyDescent="0.25">
      <c r="A2633" s="33">
        <f t="shared" si="138"/>
        <v>7</v>
      </c>
      <c r="B2633" s="34">
        <v>47283</v>
      </c>
      <c r="C2633" s="7" t="s">
        <v>266</v>
      </c>
      <c r="D2633" s="35">
        <v>29</v>
      </c>
      <c r="E2633" s="33">
        <f>DAY(TableAopCalendar[[#This Row],[Date]])</f>
        <v>14</v>
      </c>
      <c r="F263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33" s="33" t="str">
        <f t="shared" si="139"/>
        <v>Week 2</v>
      </c>
      <c r="H2633" s="33" t="str">
        <f t="shared" si="140"/>
        <v>June 29 Week 2</v>
      </c>
      <c r="I2633" s="33" t="str">
        <f>CONCATENATE(UPPER(TableAopCalendar[[#This Row],[Month]])," ",TableAopCalendar[[#This Row],[Year]])</f>
        <v>JUNE 29</v>
      </c>
      <c r="J2633" s="8" t="s">
        <v>274</v>
      </c>
      <c r="K2633" s="33" t="str">
        <f>CONCATENATE(TableAopCalendar[[#This Row],[Month for Plan]]," ",TableAopCalendar[[#This Row],[Plan]])</f>
        <v>JUNE 29 PLANNED</v>
      </c>
    </row>
    <row r="2634" spans="1:11" x14ac:dyDescent="0.25">
      <c r="A2634" s="33">
        <f t="shared" si="138"/>
        <v>1</v>
      </c>
      <c r="B2634" s="34">
        <v>47284</v>
      </c>
      <c r="C2634" s="7" t="s">
        <v>266</v>
      </c>
      <c r="D2634" s="35">
        <v>29</v>
      </c>
      <c r="E2634" s="33">
        <f>DAY(TableAopCalendar[[#This Row],[Date]])</f>
        <v>15</v>
      </c>
      <c r="F263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34" s="33" t="str">
        <f t="shared" si="139"/>
        <v>Week 3</v>
      </c>
      <c r="H2634" s="33" t="str">
        <f t="shared" si="140"/>
        <v>June 29 Week 3</v>
      </c>
      <c r="I2634" s="33" t="str">
        <f>CONCATENATE(UPPER(TableAopCalendar[[#This Row],[Month]])," ",TableAopCalendar[[#This Row],[Year]])</f>
        <v>JUNE 29</v>
      </c>
      <c r="J2634" s="8" t="s">
        <v>274</v>
      </c>
      <c r="K2634" s="33" t="str">
        <f>CONCATENATE(TableAopCalendar[[#This Row],[Month for Plan]]," ",TableAopCalendar[[#This Row],[Plan]])</f>
        <v>JUNE 29 PLANNED</v>
      </c>
    </row>
    <row r="2635" spans="1:11" x14ac:dyDescent="0.25">
      <c r="A2635" s="33">
        <f t="shared" si="138"/>
        <v>2</v>
      </c>
      <c r="B2635" s="34">
        <v>47285</v>
      </c>
      <c r="C2635" s="7" t="s">
        <v>266</v>
      </c>
      <c r="D2635" s="35">
        <v>29</v>
      </c>
      <c r="E2635" s="33">
        <f>DAY(TableAopCalendar[[#This Row],[Date]])</f>
        <v>16</v>
      </c>
      <c r="F263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35" s="33" t="str">
        <f t="shared" si="139"/>
        <v>Week 3</v>
      </c>
      <c r="H2635" s="33" t="str">
        <f t="shared" si="140"/>
        <v>June 29 Week 3</v>
      </c>
      <c r="I2635" s="33" t="str">
        <f>CONCATENATE(UPPER(TableAopCalendar[[#This Row],[Month]])," ",TableAopCalendar[[#This Row],[Year]])</f>
        <v>JUNE 29</v>
      </c>
      <c r="J2635" s="8" t="s">
        <v>274</v>
      </c>
      <c r="K2635" s="33" t="str">
        <f>CONCATENATE(TableAopCalendar[[#This Row],[Month for Plan]]," ",TableAopCalendar[[#This Row],[Plan]])</f>
        <v>JUNE 29 PLANNED</v>
      </c>
    </row>
    <row r="2636" spans="1:11" x14ac:dyDescent="0.25">
      <c r="A2636" s="33">
        <f t="shared" si="138"/>
        <v>3</v>
      </c>
      <c r="B2636" s="34">
        <v>47286</v>
      </c>
      <c r="C2636" s="7" t="s">
        <v>266</v>
      </c>
      <c r="D2636" s="35">
        <v>29</v>
      </c>
      <c r="E2636" s="33">
        <f>DAY(TableAopCalendar[[#This Row],[Date]])</f>
        <v>17</v>
      </c>
      <c r="F263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36" s="33" t="str">
        <f t="shared" si="139"/>
        <v>Week 3</v>
      </c>
      <c r="H2636" s="33" t="str">
        <f t="shared" si="140"/>
        <v>June 29 Week 3</v>
      </c>
      <c r="I2636" s="33" t="str">
        <f>CONCATENATE(UPPER(TableAopCalendar[[#This Row],[Month]])," ",TableAopCalendar[[#This Row],[Year]])</f>
        <v>JUNE 29</v>
      </c>
      <c r="J2636" s="8" t="s">
        <v>274</v>
      </c>
      <c r="K2636" s="33" t="str">
        <f>CONCATENATE(TableAopCalendar[[#This Row],[Month for Plan]]," ",TableAopCalendar[[#This Row],[Plan]])</f>
        <v>JUNE 29 PLANNED</v>
      </c>
    </row>
    <row r="2637" spans="1:11" x14ac:dyDescent="0.25">
      <c r="A2637" s="33">
        <f t="shared" si="138"/>
        <v>4</v>
      </c>
      <c r="B2637" s="34">
        <v>47287</v>
      </c>
      <c r="C2637" s="7" t="s">
        <v>266</v>
      </c>
      <c r="D2637" s="35">
        <v>29</v>
      </c>
      <c r="E2637" s="33">
        <f>DAY(TableAopCalendar[[#This Row],[Date]])</f>
        <v>18</v>
      </c>
      <c r="F263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37" s="33" t="str">
        <f t="shared" si="139"/>
        <v>Week 3</v>
      </c>
      <c r="H2637" s="33" t="str">
        <f t="shared" si="140"/>
        <v>June 29 Week 3</v>
      </c>
      <c r="I2637" s="33" t="str">
        <f>CONCATENATE(UPPER(TableAopCalendar[[#This Row],[Month]])," ",TableAopCalendar[[#This Row],[Year]])</f>
        <v>JUNE 29</v>
      </c>
      <c r="J2637" s="8" t="s">
        <v>274</v>
      </c>
      <c r="K2637" s="33" t="str">
        <f>CONCATENATE(TableAopCalendar[[#This Row],[Month for Plan]]," ",TableAopCalendar[[#This Row],[Plan]])</f>
        <v>JUNE 29 PLANNED</v>
      </c>
    </row>
    <row r="2638" spans="1:11" x14ac:dyDescent="0.25">
      <c r="A2638" s="33">
        <f t="shared" si="138"/>
        <v>5</v>
      </c>
      <c r="B2638" s="34">
        <v>47288</v>
      </c>
      <c r="C2638" s="7" t="s">
        <v>266</v>
      </c>
      <c r="D2638" s="35">
        <v>29</v>
      </c>
      <c r="E2638" s="33">
        <f>DAY(TableAopCalendar[[#This Row],[Date]])</f>
        <v>19</v>
      </c>
      <c r="F263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38" s="33" t="str">
        <f t="shared" si="139"/>
        <v>Week 3</v>
      </c>
      <c r="H2638" s="33" t="str">
        <f t="shared" si="140"/>
        <v>June 29 Week 3</v>
      </c>
      <c r="I2638" s="33" t="str">
        <f>CONCATENATE(UPPER(TableAopCalendar[[#This Row],[Month]])," ",TableAopCalendar[[#This Row],[Year]])</f>
        <v>JUNE 29</v>
      </c>
      <c r="J2638" s="8" t="s">
        <v>274</v>
      </c>
      <c r="K2638" s="33" t="str">
        <f>CONCATENATE(TableAopCalendar[[#This Row],[Month for Plan]]," ",TableAopCalendar[[#This Row],[Plan]])</f>
        <v>JUNE 29 PLANNED</v>
      </c>
    </row>
    <row r="2639" spans="1:11" x14ac:dyDescent="0.25">
      <c r="A2639" s="33">
        <f t="shared" si="138"/>
        <v>6</v>
      </c>
      <c r="B2639" s="34">
        <v>47289</v>
      </c>
      <c r="C2639" s="7" t="s">
        <v>266</v>
      </c>
      <c r="D2639" s="35">
        <v>29</v>
      </c>
      <c r="E2639" s="33">
        <f>DAY(TableAopCalendar[[#This Row],[Date]])</f>
        <v>20</v>
      </c>
      <c r="F263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39" s="33" t="str">
        <f t="shared" si="139"/>
        <v>Week 3</v>
      </c>
      <c r="H2639" s="33" t="str">
        <f t="shared" si="140"/>
        <v>June 29 Week 3</v>
      </c>
      <c r="I2639" s="33" t="str">
        <f>CONCATENATE(UPPER(TableAopCalendar[[#This Row],[Month]])," ",TableAopCalendar[[#This Row],[Year]])</f>
        <v>JUNE 29</v>
      </c>
      <c r="J2639" s="8" t="s">
        <v>274</v>
      </c>
      <c r="K2639" s="33" t="str">
        <f>CONCATENATE(TableAopCalendar[[#This Row],[Month for Plan]]," ",TableAopCalendar[[#This Row],[Plan]])</f>
        <v>JUNE 29 PLANNED</v>
      </c>
    </row>
    <row r="2640" spans="1:11" x14ac:dyDescent="0.25">
      <c r="A2640" s="33">
        <f t="shared" si="138"/>
        <v>7</v>
      </c>
      <c r="B2640" s="34">
        <v>47290</v>
      </c>
      <c r="C2640" s="7" t="s">
        <v>266</v>
      </c>
      <c r="D2640" s="35">
        <v>29</v>
      </c>
      <c r="E2640" s="33">
        <f>DAY(TableAopCalendar[[#This Row],[Date]])</f>
        <v>21</v>
      </c>
      <c r="F264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40" s="33" t="str">
        <f t="shared" si="139"/>
        <v>Week 3</v>
      </c>
      <c r="H2640" s="33" t="str">
        <f t="shared" si="140"/>
        <v>June 29 Week 3</v>
      </c>
      <c r="I2640" s="33" t="str">
        <f>CONCATENATE(UPPER(TableAopCalendar[[#This Row],[Month]])," ",TableAopCalendar[[#This Row],[Year]])</f>
        <v>JUNE 29</v>
      </c>
      <c r="J2640" s="8" t="s">
        <v>274</v>
      </c>
      <c r="K2640" s="33" t="str">
        <f>CONCATENATE(TableAopCalendar[[#This Row],[Month for Plan]]," ",TableAopCalendar[[#This Row],[Plan]])</f>
        <v>JUNE 29 PLANNED</v>
      </c>
    </row>
    <row r="2641" spans="1:11" x14ac:dyDescent="0.25">
      <c r="A2641" s="33">
        <f t="shared" si="138"/>
        <v>1</v>
      </c>
      <c r="B2641" s="34">
        <v>47291</v>
      </c>
      <c r="C2641" s="7" t="s">
        <v>266</v>
      </c>
      <c r="D2641" s="35">
        <v>29</v>
      </c>
      <c r="E2641" s="33">
        <f>DAY(TableAopCalendar[[#This Row],[Date]])</f>
        <v>22</v>
      </c>
      <c r="F264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41" s="33" t="str">
        <f t="shared" si="139"/>
        <v>Week 4</v>
      </c>
      <c r="H2641" s="33" t="str">
        <f t="shared" si="140"/>
        <v>June 29 Week 4</v>
      </c>
      <c r="I2641" s="33" t="str">
        <f>CONCATENATE(UPPER(TableAopCalendar[[#This Row],[Month]])," ",TableAopCalendar[[#This Row],[Year]])</f>
        <v>JUNE 29</v>
      </c>
      <c r="J2641" s="8" t="s">
        <v>274</v>
      </c>
      <c r="K2641" s="33" t="str">
        <f>CONCATENATE(TableAopCalendar[[#This Row],[Month for Plan]]," ",TableAopCalendar[[#This Row],[Plan]])</f>
        <v>JUNE 29 PLANNED</v>
      </c>
    </row>
    <row r="2642" spans="1:11" x14ac:dyDescent="0.25">
      <c r="A2642" s="33">
        <f t="shared" si="138"/>
        <v>2</v>
      </c>
      <c r="B2642" s="34">
        <v>47292</v>
      </c>
      <c r="C2642" s="7" t="s">
        <v>266</v>
      </c>
      <c r="D2642" s="35">
        <v>29</v>
      </c>
      <c r="E2642" s="33">
        <f>DAY(TableAopCalendar[[#This Row],[Date]])</f>
        <v>23</v>
      </c>
      <c r="F264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42" s="33" t="str">
        <f t="shared" si="139"/>
        <v>Week 4</v>
      </c>
      <c r="H2642" s="33" t="str">
        <f t="shared" si="140"/>
        <v>June 29 Week 4</v>
      </c>
      <c r="I2642" s="33" t="str">
        <f>CONCATENATE(UPPER(TableAopCalendar[[#This Row],[Month]])," ",TableAopCalendar[[#This Row],[Year]])</f>
        <v>JUNE 29</v>
      </c>
      <c r="J2642" s="8" t="s">
        <v>274</v>
      </c>
      <c r="K2642" s="33" t="str">
        <f>CONCATENATE(TableAopCalendar[[#This Row],[Month for Plan]]," ",TableAopCalendar[[#This Row],[Plan]])</f>
        <v>JUNE 29 PLANNED</v>
      </c>
    </row>
    <row r="2643" spans="1:11" x14ac:dyDescent="0.25">
      <c r="A2643" s="33">
        <f t="shared" si="138"/>
        <v>3</v>
      </c>
      <c r="B2643" s="34">
        <v>47293</v>
      </c>
      <c r="C2643" s="7" t="s">
        <v>266</v>
      </c>
      <c r="D2643" s="35">
        <v>29</v>
      </c>
      <c r="E2643" s="33">
        <f>DAY(TableAopCalendar[[#This Row],[Date]])</f>
        <v>24</v>
      </c>
      <c r="F264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43" s="33" t="str">
        <f t="shared" si="139"/>
        <v>Week 4</v>
      </c>
      <c r="H2643" s="33" t="str">
        <f t="shared" si="140"/>
        <v>June 29 Week 4</v>
      </c>
      <c r="I2643" s="33" t="str">
        <f>CONCATENATE(UPPER(TableAopCalendar[[#This Row],[Month]])," ",TableAopCalendar[[#This Row],[Year]])</f>
        <v>JUNE 29</v>
      </c>
      <c r="J2643" s="8" t="s">
        <v>274</v>
      </c>
      <c r="K2643" s="33" t="str">
        <f>CONCATENATE(TableAopCalendar[[#This Row],[Month for Plan]]," ",TableAopCalendar[[#This Row],[Plan]])</f>
        <v>JUNE 29 PLANNED</v>
      </c>
    </row>
    <row r="2644" spans="1:11" x14ac:dyDescent="0.25">
      <c r="A2644" s="33">
        <f t="shared" si="138"/>
        <v>4</v>
      </c>
      <c r="B2644" s="34">
        <v>47294</v>
      </c>
      <c r="C2644" s="7" t="s">
        <v>266</v>
      </c>
      <c r="D2644" s="35">
        <v>29</v>
      </c>
      <c r="E2644" s="33">
        <f>DAY(TableAopCalendar[[#This Row],[Date]])</f>
        <v>25</v>
      </c>
      <c r="F264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44" s="33" t="str">
        <f t="shared" si="139"/>
        <v>Week 4</v>
      </c>
      <c r="H2644" s="33" t="str">
        <f t="shared" si="140"/>
        <v>June 29 Week 4</v>
      </c>
      <c r="I2644" s="33" t="str">
        <f>CONCATENATE(UPPER(TableAopCalendar[[#This Row],[Month]])," ",TableAopCalendar[[#This Row],[Year]])</f>
        <v>JUNE 29</v>
      </c>
      <c r="J2644" s="8" t="s">
        <v>274</v>
      </c>
      <c r="K2644" s="33" t="str">
        <f>CONCATENATE(TableAopCalendar[[#This Row],[Month for Plan]]," ",TableAopCalendar[[#This Row],[Plan]])</f>
        <v>JUNE 29 PLANNED</v>
      </c>
    </row>
    <row r="2645" spans="1:11" x14ac:dyDescent="0.25">
      <c r="A2645" s="33">
        <f t="shared" si="138"/>
        <v>5</v>
      </c>
      <c r="B2645" s="34">
        <v>47295</v>
      </c>
      <c r="C2645" s="7" t="s">
        <v>266</v>
      </c>
      <c r="D2645" s="35">
        <v>29</v>
      </c>
      <c r="E2645" s="33">
        <f>DAY(TableAopCalendar[[#This Row],[Date]])</f>
        <v>26</v>
      </c>
      <c r="F264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45" s="33" t="str">
        <f t="shared" si="139"/>
        <v>Week 4</v>
      </c>
      <c r="H2645" s="33" t="str">
        <f t="shared" si="140"/>
        <v>June 29 Week 4</v>
      </c>
      <c r="I2645" s="33" t="str">
        <f>CONCATENATE(UPPER(TableAopCalendar[[#This Row],[Month]])," ",TableAopCalendar[[#This Row],[Year]])</f>
        <v>JUNE 29</v>
      </c>
      <c r="J2645" s="8" t="s">
        <v>274</v>
      </c>
      <c r="K2645" s="33" t="str">
        <f>CONCATENATE(TableAopCalendar[[#This Row],[Month for Plan]]," ",TableAopCalendar[[#This Row],[Plan]])</f>
        <v>JUNE 29 PLANNED</v>
      </c>
    </row>
    <row r="2646" spans="1:11" x14ac:dyDescent="0.25">
      <c r="A2646" s="33">
        <f t="shared" si="138"/>
        <v>6</v>
      </c>
      <c r="B2646" s="34">
        <v>47296</v>
      </c>
      <c r="C2646" s="7" t="s">
        <v>266</v>
      </c>
      <c r="D2646" s="35">
        <v>29</v>
      </c>
      <c r="E2646" s="33">
        <f>DAY(TableAopCalendar[[#This Row],[Date]])</f>
        <v>27</v>
      </c>
      <c r="F264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46" s="33" t="str">
        <f t="shared" si="139"/>
        <v>Week 4</v>
      </c>
      <c r="H2646" s="33" t="str">
        <f t="shared" si="140"/>
        <v>June 29 Week 4</v>
      </c>
      <c r="I2646" s="33" t="str">
        <f>CONCATENATE(UPPER(TableAopCalendar[[#This Row],[Month]])," ",TableAopCalendar[[#This Row],[Year]])</f>
        <v>JUNE 29</v>
      </c>
      <c r="J2646" s="8" t="s">
        <v>274</v>
      </c>
      <c r="K2646" s="33" t="str">
        <f>CONCATENATE(TableAopCalendar[[#This Row],[Month for Plan]]," ",TableAopCalendar[[#This Row],[Plan]])</f>
        <v>JUNE 29 PLANNED</v>
      </c>
    </row>
    <row r="2647" spans="1:11" x14ac:dyDescent="0.25">
      <c r="A2647" s="33">
        <f t="shared" si="138"/>
        <v>7</v>
      </c>
      <c r="B2647" s="34">
        <v>47297</v>
      </c>
      <c r="C2647" s="7" t="s">
        <v>266</v>
      </c>
      <c r="D2647" s="35">
        <v>29</v>
      </c>
      <c r="E2647" s="33">
        <f>DAY(TableAopCalendar[[#This Row],[Date]])</f>
        <v>28</v>
      </c>
      <c r="F264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47" s="33" t="str">
        <f t="shared" si="139"/>
        <v>Week 4</v>
      </c>
      <c r="H2647" s="33" t="str">
        <f t="shared" si="140"/>
        <v>June 29 Week 4</v>
      </c>
      <c r="I2647" s="33" t="str">
        <f>CONCATENATE(UPPER(TableAopCalendar[[#This Row],[Month]])," ",TableAopCalendar[[#This Row],[Year]])</f>
        <v>JUNE 29</v>
      </c>
      <c r="J2647" s="8" t="s">
        <v>274</v>
      </c>
      <c r="K2647" s="33" t="str">
        <f>CONCATENATE(TableAopCalendar[[#This Row],[Month for Plan]]," ",TableAopCalendar[[#This Row],[Plan]])</f>
        <v>JUNE 29 PLANNED</v>
      </c>
    </row>
    <row r="2648" spans="1:11" x14ac:dyDescent="0.25">
      <c r="A2648" s="33">
        <f t="shared" si="138"/>
        <v>1</v>
      </c>
      <c r="B2648" s="34">
        <v>47298</v>
      </c>
      <c r="C2648" s="7" t="s">
        <v>266</v>
      </c>
      <c r="D2648" s="35">
        <v>29</v>
      </c>
      <c r="E2648" s="33">
        <f>DAY(TableAopCalendar[[#This Row],[Date]])</f>
        <v>29</v>
      </c>
      <c r="F264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48" s="33" t="str">
        <f t="shared" si="139"/>
        <v>Week 5</v>
      </c>
      <c r="H2648" s="33" t="str">
        <f t="shared" si="140"/>
        <v>June 29 Week 5</v>
      </c>
      <c r="I2648" s="33" t="str">
        <f>CONCATENATE(UPPER(TableAopCalendar[[#This Row],[Month]])," ",TableAopCalendar[[#This Row],[Year]])</f>
        <v>JUNE 29</v>
      </c>
      <c r="J2648" s="8" t="s">
        <v>274</v>
      </c>
      <c r="K2648" s="33" t="str">
        <f>CONCATENATE(TableAopCalendar[[#This Row],[Month for Plan]]," ",TableAopCalendar[[#This Row],[Plan]])</f>
        <v>JUNE 29 PLANNED</v>
      </c>
    </row>
    <row r="2649" spans="1:11" x14ac:dyDescent="0.25">
      <c r="A2649" s="33">
        <f t="shared" si="138"/>
        <v>2</v>
      </c>
      <c r="B2649" s="34">
        <v>47299</v>
      </c>
      <c r="C2649" s="7" t="s">
        <v>266</v>
      </c>
      <c r="D2649" s="35">
        <v>29</v>
      </c>
      <c r="E2649" s="33">
        <f>DAY(TableAopCalendar[[#This Row],[Date]])</f>
        <v>30</v>
      </c>
      <c r="F2649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49" s="33" t="str">
        <f t="shared" si="139"/>
        <v>Week 5</v>
      </c>
      <c r="H2649" s="33" t="str">
        <f t="shared" si="140"/>
        <v>June 29 Week 5</v>
      </c>
      <c r="I2649" s="33" t="str">
        <f>CONCATENATE(UPPER(TableAopCalendar[[#This Row],[Month]])," ",TableAopCalendar[[#This Row],[Year]])</f>
        <v>JUNE 29</v>
      </c>
      <c r="J2649" s="8" t="s">
        <v>274</v>
      </c>
      <c r="K2649" s="33" t="str">
        <f>CONCATENATE(TableAopCalendar[[#This Row],[Month for Plan]]," ",TableAopCalendar[[#This Row],[Plan]])</f>
        <v>JUNE 29 PLANNED</v>
      </c>
    </row>
    <row r="2650" spans="1:11" x14ac:dyDescent="0.25">
      <c r="A2650" s="33">
        <f t="shared" si="138"/>
        <v>1</v>
      </c>
      <c r="B2650" s="34">
        <v>47300</v>
      </c>
      <c r="C2650" s="7" t="s">
        <v>267</v>
      </c>
      <c r="D2650" s="35">
        <v>29</v>
      </c>
      <c r="E2650" s="33">
        <f>DAY(TableAopCalendar[[#This Row],[Date]])</f>
        <v>1</v>
      </c>
      <c r="F265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50" s="33" t="str">
        <f t="shared" si="139"/>
        <v>Week 1</v>
      </c>
      <c r="H2650" s="33" t="str">
        <f t="shared" si="140"/>
        <v>July 29 Week 1</v>
      </c>
      <c r="I2650" s="33" t="str">
        <f>CONCATENATE(UPPER(TableAopCalendar[[#This Row],[Month]])," ",TableAopCalendar[[#This Row],[Year]])</f>
        <v>JULY 29</v>
      </c>
      <c r="J2650" s="8" t="s">
        <v>274</v>
      </c>
      <c r="K2650" s="33" t="str">
        <f>CONCATENATE(TableAopCalendar[[#This Row],[Month for Plan]]," ",TableAopCalendar[[#This Row],[Plan]])</f>
        <v>JULY 29 PLANNED</v>
      </c>
    </row>
    <row r="2651" spans="1:11" x14ac:dyDescent="0.25">
      <c r="A2651" s="33">
        <f t="shared" si="138"/>
        <v>2</v>
      </c>
      <c r="B2651" s="34">
        <v>47301</v>
      </c>
      <c r="C2651" s="7" t="s">
        <v>267</v>
      </c>
      <c r="D2651" s="35">
        <v>29</v>
      </c>
      <c r="E2651" s="33">
        <f>DAY(TableAopCalendar[[#This Row],[Date]])</f>
        <v>2</v>
      </c>
      <c r="F265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51" s="33" t="str">
        <f t="shared" si="139"/>
        <v>Week 1</v>
      </c>
      <c r="H2651" s="33" t="str">
        <f t="shared" si="140"/>
        <v>July 29 Week 1</v>
      </c>
      <c r="I2651" s="33" t="str">
        <f>CONCATENATE(UPPER(TableAopCalendar[[#This Row],[Month]])," ",TableAopCalendar[[#This Row],[Year]])</f>
        <v>JULY 29</v>
      </c>
      <c r="J2651" s="8" t="s">
        <v>274</v>
      </c>
      <c r="K2651" s="33" t="str">
        <f>CONCATENATE(TableAopCalendar[[#This Row],[Month for Plan]]," ",TableAopCalendar[[#This Row],[Plan]])</f>
        <v>JULY 29 PLANNED</v>
      </c>
    </row>
    <row r="2652" spans="1:11" x14ac:dyDescent="0.25">
      <c r="A2652" s="33">
        <f t="shared" si="138"/>
        <v>3</v>
      </c>
      <c r="B2652" s="34">
        <v>47302</v>
      </c>
      <c r="C2652" s="7" t="s">
        <v>267</v>
      </c>
      <c r="D2652" s="35">
        <v>29</v>
      </c>
      <c r="E2652" s="33">
        <f>DAY(TableAopCalendar[[#This Row],[Date]])</f>
        <v>3</v>
      </c>
      <c r="F265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52" s="33" t="str">
        <f t="shared" si="139"/>
        <v>Week 1</v>
      </c>
      <c r="H2652" s="33" t="str">
        <f t="shared" si="140"/>
        <v>July 29 Week 1</v>
      </c>
      <c r="I2652" s="33" t="str">
        <f>CONCATENATE(UPPER(TableAopCalendar[[#This Row],[Month]])," ",TableAopCalendar[[#This Row],[Year]])</f>
        <v>JULY 29</v>
      </c>
      <c r="J2652" s="8" t="s">
        <v>274</v>
      </c>
      <c r="K2652" s="33" t="str">
        <f>CONCATENATE(TableAopCalendar[[#This Row],[Month for Plan]]," ",TableAopCalendar[[#This Row],[Plan]])</f>
        <v>JULY 29 PLANNED</v>
      </c>
    </row>
    <row r="2653" spans="1:11" x14ac:dyDescent="0.25">
      <c r="A2653" s="33">
        <f t="shared" si="138"/>
        <v>4</v>
      </c>
      <c r="B2653" s="34">
        <v>47303</v>
      </c>
      <c r="C2653" s="7" t="s">
        <v>267</v>
      </c>
      <c r="D2653" s="35">
        <v>29</v>
      </c>
      <c r="E2653" s="33">
        <f>DAY(TableAopCalendar[[#This Row],[Date]])</f>
        <v>4</v>
      </c>
      <c r="F265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53" s="33" t="str">
        <f t="shared" si="139"/>
        <v>Week 1</v>
      </c>
      <c r="H2653" s="33" t="str">
        <f t="shared" si="140"/>
        <v>July 29 Week 1</v>
      </c>
      <c r="I2653" s="33" t="str">
        <f>CONCATENATE(UPPER(TableAopCalendar[[#This Row],[Month]])," ",TableAopCalendar[[#This Row],[Year]])</f>
        <v>JULY 29</v>
      </c>
      <c r="J2653" s="8" t="s">
        <v>274</v>
      </c>
      <c r="K2653" s="33" t="str">
        <f>CONCATENATE(TableAopCalendar[[#This Row],[Month for Plan]]," ",TableAopCalendar[[#This Row],[Plan]])</f>
        <v>JULY 29 PLANNED</v>
      </c>
    </row>
    <row r="2654" spans="1:11" x14ac:dyDescent="0.25">
      <c r="A2654" s="33">
        <f t="shared" si="138"/>
        <v>5</v>
      </c>
      <c r="B2654" s="34">
        <v>47304</v>
      </c>
      <c r="C2654" s="7" t="s">
        <v>267</v>
      </c>
      <c r="D2654" s="35">
        <v>29</v>
      </c>
      <c r="E2654" s="33">
        <f>DAY(TableAopCalendar[[#This Row],[Date]])</f>
        <v>5</v>
      </c>
      <c r="F265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54" s="33" t="str">
        <f t="shared" si="139"/>
        <v>Week 1</v>
      </c>
      <c r="H2654" s="33" t="str">
        <f t="shared" si="140"/>
        <v>July 29 Week 1</v>
      </c>
      <c r="I2654" s="33" t="str">
        <f>CONCATENATE(UPPER(TableAopCalendar[[#This Row],[Month]])," ",TableAopCalendar[[#This Row],[Year]])</f>
        <v>JULY 29</v>
      </c>
      <c r="J2654" s="8" t="s">
        <v>274</v>
      </c>
      <c r="K2654" s="33" t="str">
        <f>CONCATENATE(TableAopCalendar[[#This Row],[Month for Plan]]," ",TableAopCalendar[[#This Row],[Plan]])</f>
        <v>JULY 29 PLANNED</v>
      </c>
    </row>
    <row r="2655" spans="1:11" x14ac:dyDescent="0.25">
      <c r="A2655" s="33">
        <f t="shared" si="138"/>
        <v>6</v>
      </c>
      <c r="B2655" s="34">
        <v>47305</v>
      </c>
      <c r="C2655" s="7" t="s">
        <v>267</v>
      </c>
      <c r="D2655" s="35">
        <v>29</v>
      </c>
      <c r="E2655" s="33">
        <f>DAY(TableAopCalendar[[#This Row],[Date]])</f>
        <v>6</v>
      </c>
      <c r="F265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55" s="33" t="str">
        <f t="shared" si="139"/>
        <v>Week 1</v>
      </c>
      <c r="H2655" s="33" t="str">
        <f t="shared" si="140"/>
        <v>July 29 Week 1</v>
      </c>
      <c r="I2655" s="33" t="str">
        <f>CONCATENATE(UPPER(TableAopCalendar[[#This Row],[Month]])," ",TableAopCalendar[[#This Row],[Year]])</f>
        <v>JULY 29</v>
      </c>
      <c r="J2655" s="8" t="s">
        <v>274</v>
      </c>
      <c r="K2655" s="33" t="str">
        <f>CONCATENATE(TableAopCalendar[[#This Row],[Month for Plan]]," ",TableAopCalendar[[#This Row],[Plan]])</f>
        <v>JULY 29 PLANNED</v>
      </c>
    </row>
    <row r="2656" spans="1:11" x14ac:dyDescent="0.25">
      <c r="A2656" s="33">
        <f t="shared" si="138"/>
        <v>7</v>
      </c>
      <c r="B2656" s="34">
        <v>47306</v>
      </c>
      <c r="C2656" s="7" t="s">
        <v>267</v>
      </c>
      <c r="D2656" s="35">
        <v>29</v>
      </c>
      <c r="E2656" s="33">
        <f>DAY(TableAopCalendar[[#This Row],[Date]])</f>
        <v>7</v>
      </c>
      <c r="F265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56" s="33" t="str">
        <f t="shared" si="139"/>
        <v>Week 1</v>
      </c>
      <c r="H2656" s="33" t="str">
        <f t="shared" si="140"/>
        <v>July 29 Week 1</v>
      </c>
      <c r="I2656" s="33" t="str">
        <f>CONCATENATE(UPPER(TableAopCalendar[[#This Row],[Month]])," ",TableAopCalendar[[#This Row],[Year]])</f>
        <v>JULY 29</v>
      </c>
      <c r="J2656" s="8" t="s">
        <v>274</v>
      </c>
      <c r="K2656" s="33" t="str">
        <f>CONCATENATE(TableAopCalendar[[#This Row],[Month for Plan]]," ",TableAopCalendar[[#This Row],[Plan]])</f>
        <v>JULY 29 PLANNED</v>
      </c>
    </row>
    <row r="2657" spans="1:11" x14ac:dyDescent="0.25">
      <c r="A2657" s="33">
        <f t="shared" si="138"/>
        <v>1</v>
      </c>
      <c r="B2657" s="34">
        <v>47307</v>
      </c>
      <c r="C2657" s="7" t="s">
        <v>267</v>
      </c>
      <c r="D2657" s="35">
        <v>29</v>
      </c>
      <c r="E2657" s="33">
        <f>DAY(TableAopCalendar[[#This Row],[Date]])</f>
        <v>8</v>
      </c>
      <c r="F265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57" s="33" t="str">
        <f t="shared" si="139"/>
        <v>Week 2</v>
      </c>
      <c r="H2657" s="33" t="str">
        <f t="shared" si="140"/>
        <v>July 29 Week 2</v>
      </c>
      <c r="I2657" s="33" t="str">
        <f>CONCATENATE(UPPER(TableAopCalendar[[#This Row],[Month]])," ",TableAopCalendar[[#This Row],[Year]])</f>
        <v>JULY 29</v>
      </c>
      <c r="J2657" s="8" t="s">
        <v>274</v>
      </c>
      <c r="K2657" s="33" t="str">
        <f>CONCATENATE(TableAopCalendar[[#This Row],[Month for Plan]]," ",TableAopCalendar[[#This Row],[Plan]])</f>
        <v>JULY 29 PLANNED</v>
      </c>
    </row>
    <row r="2658" spans="1:11" x14ac:dyDescent="0.25">
      <c r="A2658" s="33">
        <f t="shared" si="138"/>
        <v>2</v>
      </c>
      <c r="B2658" s="34">
        <v>47308</v>
      </c>
      <c r="C2658" s="7" t="s">
        <v>267</v>
      </c>
      <c r="D2658" s="35">
        <v>29</v>
      </c>
      <c r="E2658" s="33">
        <f>DAY(TableAopCalendar[[#This Row],[Date]])</f>
        <v>9</v>
      </c>
      <c r="F265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58" s="33" t="str">
        <f t="shared" si="139"/>
        <v>Week 2</v>
      </c>
      <c r="H2658" s="33" t="str">
        <f t="shared" si="140"/>
        <v>July 29 Week 2</v>
      </c>
      <c r="I2658" s="33" t="str">
        <f>CONCATENATE(UPPER(TableAopCalendar[[#This Row],[Month]])," ",TableAopCalendar[[#This Row],[Year]])</f>
        <v>JULY 29</v>
      </c>
      <c r="J2658" s="8" t="s">
        <v>274</v>
      </c>
      <c r="K2658" s="33" t="str">
        <f>CONCATENATE(TableAopCalendar[[#This Row],[Month for Plan]]," ",TableAopCalendar[[#This Row],[Plan]])</f>
        <v>JULY 29 PLANNED</v>
      </c>
    </row>
    <row r="2659" spans="1:11" x14ac:dyDescent="0.25">
      <c r="A2659" s="33">
        <f t="shared" si="138"/>
        <v>3</v>
      </c>
      <c r="B2659" s="34">
        <v>47309</v>
      </c>
      <c r="C2659" s="7" t="s">
        <v>267</v>
      </c>
      <c r="D2659" s="35">
        <v>29</v>
      </c>
      <c r="E2659" s="33">
        <f>DAY(TableAopCalendar[[#This Row],[Date]])</f>
        <v>10</v>
      </c>
      <c r="F265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59" s="33" t="str">
        <f t="shared" si="139"/>
        <v>Week 2</v>
      </c>
      <c r="H2659" s="33" t="str">
        <f t="shared" si="140"/>
        <v>July 29 Week 2</v>
      </c>
      <c r="I2659" s="33" t="str">
        <f>CONCATENATE(UPPER(TableAopCalendar[[#This Row],[Month]])," ",TableAopCalendar[[#This Row],[Year]])</f>
        <v>JULY 29</v>
      </c>
      <c r="J2659" s="8" t="s">
        <v>274</v>
      </c>
      <c r="K2659" s="33" t="str">
        <f>CONCATENATE(TableAopCalendar[[#This Row],[Month for Plan]]," ",TableAopCalendar[[#This Row],[Plan]])</f>
        <v>JULY 29 PLANNED</v>
      </c>
    </row>
    <row r="2660" spans="1:11" x14ac:dyDescent="0.25">
      <c r="A2660" s="33">
        <f t="shared" ref="A2660:A2723" si="141">IF(G2660=G2659,A2659+1,1)</f>
        <v>4</v>
      </c>
      <c r="B2660" s="34">
        <v>47310</v>
      </c>
      <c r="C2660" s="7" t="s">
        <v>267</v>
      </c>
      <c r="D2660" s="35">
        <v>29</v>
      </c>
      <c r="E2660" s="33">
        <f>DAY(TableAopCalendar[[#This Row],[Date]])</f>
        <v>11</v>
      </c>
      <c r="F266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60" s="33" t="str">
        <f t="shared" ref="G2660:G2723" si="142">"Week"&amp;" "&amp;F2660</f>
        <v>Week 2</v>
      </c>
      <c r="H2660" s="33" t="str">
        <f t="shared" ref="H2660:H2723" si="143">CONCATENATE(C2660," ",D2660," ",G2660)</f>
        <v>July 29 Week 2</v>
      </c>
      <c r="I2660" s="33" t="str">
        <f>CONCATENATE(UPPER(TableAopCalendar[[#This Row],[Month]])," ",TableAopCalendar[[#This Row],[Year]])</f>
        <v>JULY 29</v>
      </c>
      <c r="J2660" s="8" t="s">
        <v>274</v>
      </c>
      <c r="K2660" s="33" t="str">
        <f>CONCATENATE(TableAopCalendar[[#This Row],[Month for Plan]]," ",TableAopCalendar[[#This Row],[Plan]])</f>
        <v>JULY 29 PLANNED</v>
      </c>
    </row>
    <row r="2661" spans="1:11" x14ac:dyDescent="0.25">
      <c r="A2661" s="33">
        <f t="shared" si="141"/>
        <v>5</v>
      </c>
      <c r="B2661" s="34">
        <v>47311</v>
      </c>
      <c r="C2661" s="7" t="s">
        <v>267</v>
      </c>
      <c r="D2661" s="35">
        <v>29</v>
      </c>
      <c r="E2661" s="33">
        <f>DAY(TableAopCalendar[[#This Row],[Date]])</f>
        <v>12</v>
      </c>
      <c r="F266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61" s="33" t="str">
        <f t="shared" si="142"/>
        <v>Week 2</v>
      </c>
      <c r="H2661" s="33" t="str">
        <f t="shared" si="143"/>
        <v>July 29 Week 2</v>
      </c>
      <c r="I2661" s="33" t="str">
        <f>CONCATENATE(UPPER(TableAopCalendar[[#This Row],[Month]])," ",TableAopCalendar[[#This Row],[Year]])</f>
        <v>JULY 29</v>
      </c>
      <c r="J2661" s="8" t="s">
        <v>274</v>
      </c>
      <c r="K2661" s="33" t="str">
        <f>CONCATENATE(TableAopCalendar[[#This Row],[Month for Plan]]," ",TableAopCalendar[[#This Row],[Plan]])</f>
        <v>JULY 29 PLANNED</v>
      </c>
    </row>
    <row r="2662" spans="1:11" x14ac:dyDescent="0.25">
      <c r="A2662" s="33">
        <f t="shared" si="141"/>
        <v>6</v>
      </c>
      <c r="B2662" s="34">
        <v>47312</v>
      </c>
      <c r="C2662" s="7" t="s">
        <v>267</v>
      </c>
      <c r="D2662" s="35">
        <v>29</v>
      </c>
      <c r="E2662" s="33">
        <f>DAY(TableAopCalendar[[#This Row],[Date]])</f>
        <v>13</v>
      </c>
      <c r="F266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62" s="33" t="str">
        <f t="shared" si="142"/>
        <v>Week 2</v>
      </c>
      <c r="H2662" s="33" t="str">
        <f t="shared" si="143"/>
        <v>July 29 Week 2</v>
      </c>
      <c r="I2662" s="33" t="str">
        <f>CONCATENATE(UPPER(TableAopCalendar[[#This Row],[Month]])," ",TableAopCalendar[[#This Row],[Year]])</f>
        <v>JULY 29</v>
      </c>
      <c r="J2662" s="8" t="s">
        <v>274</v>
      </c>
      <c r="K2662" s="33" t="str">
        <f>CONCATENATE(TableAopCalendar[[#This Row],[Month for Plan]]," ",TableAopCalendar[[#This Row],[Plan]])</f>
        <v>JULY 29 PLANNED</v>
      </c>
    </row>
    <row r="2663" spans="1:11" x14ac:dyDescent="0.25">
      <c r="A2663" s="33">
        <f t="shared" si="141"/>
        <v>7</v>
      </c>
      <c r="B2663" s="34">
        <v>47313</v>
      </c>
      <c r="C2663" s="7" t="s">
        <v>267</v>
      </c>
      <c r="D2663" s="35">
        <v>29</v>
      </c>
      <c r="E2663" s="33">
        <f>DAY(TableAopCalendar[[#This Row],[Date]])</f>
        <v>14</v>
      </c>
      <c r="F266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63" s="33" t="str">
        <f t="shared" si="142"/>
        <v>Week 2</v>
      </c>
      <c r="H2663" s="33" t="str">
        <f t="shared" si="143"/>
        <v>July 29 Week 2</v>
      </c>
      <c r="I2663" s="33" t="str">
        <f>CONCATENATE(UPPER(TableAopCalendar[[#This Row],[Month]])," ",TableAopCalendar[[#This Row],[Year]])</f>
        <v>JULY 29</v>
      </c>
      <c r="J2663" s="8" t="s">
        <v>274</v>
      </c>
      <c r="K2663" s="33" t="str">
        <f>CONCATENATE(TableAopCalendar[[#This Row],[Month for Plan]]," ",TableAopCalendar[[#This Row],[Plan]])</f>
        <v>JULY 29 PLANNED</v>
      </c>
    </row>
    <row r="2664" spans="1:11" x14ac:dyDescent="0.25">
      <c r="A2664" s="33">
        <f t="shared" si="141"/>
        <v>1</v>
      </c>
      <c r="B2664" s="34">
        <v>47314</v>
      </c>
      <c r="C2664" s="7" t="s">
        <v>267</v>
      </c>
      <c r="D2664" s="35">
        <v>29</v>
      </c>
      <c r="E2664" s="33">
        <f>DAY(TableAopCalendar[[#This Row],[Date]])</f>
        <v>15</v>
      </c>
      <c r="F266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64" s="33" t="str">
        <f t="shared" si="142"/>
        <v>Week 3</v>
      </c>
      <c r="H2664" s="33" t="str">
        <f t="shared" si="143"/>
        <v>July 29 Week 3</v>
      </c>
      <c r="I2664" s="33" t="str">
        <f>CONCATENATE(UPPER(TableAopCalendar[[#This Row],[Month]])," ",TableAopCalendar[[#This Row],[Year]])</f>
        <v>JULY 29</v>
      </c>
      <c r="J2664" s="8" t="s">
        <v>274</v>
      </c>
      <c r="K2664" s="33" t="str">
        <f>CONCATENATE(TableAopCalendar[[#This Row],[Month for Plan]]," ",TableAopCalendar[[#This Row],[Plan]])</f>
        <v>JULY 29 PLANNED</v>
      </c>
    </row>
    <row r="2665" spans="1:11" x14ac:dyDescent="0.25">
      <c r="A2665" s="33">
        <f t="shared" si="141"/>
        <v>2</v>
      </c>
      <c r="B2665" s="34">
        <v>47315</v>
      </c>
      <c r="C2665" s="7" t="s">
        <v>267</v>
      </c>
      <c r="D2665" s="35">
        <v>29</v>
      </c>
      <c r="E2665" s="33">
        <f>DAY(TableAopCalendar[[#This Row],[Date]])</f>
        <v>16</v>
      </c>
      <c r="F266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65" s="33" t="str">
        <f t="shared" si="142"/>
        <v>Week 3</v>
      </c>
      <c r="H2665" s="33" t="str">
        <f t="shared" si="143"/>
        <v>July 29 Week 3</v>
      </c>
      <c r="I2665" s="33" t="str">
        <f>CONCATENATE(UPPER(TableAopCalendar[[#This Row],[Month]])," ",TableAopCalendar[[#This Row],[Year]])</f>
        <v>JULY 29</v>
      </c>
      <c r="J2665" s="8" t="s">
        <v>274</v>
      </c>
      <c r="K2665" s="33" t="str">
        <f>CONCATENATE(TableAopCalendar[[#This Row],[Month for Plan]]," ",TableAopCalendar[[#This Row],[Plan]])</f>
        <v>JULY 29 PLANNED</v>
      </c>
    </row>
    <row r="2666" spans="1:11" x14ac:dyDescent="0.25">
      <c r="A2666" s="33">
        <f t="shared" si="141"/>
        <v>3</v>
      </c>
      <c r="B2666" s="34">
        <v>47316</v>
      </c>
      <c r="C2666" s="7" t="s">
        <v>267</v>
      </c>
      <c r="D2666" s="35">
        <v>29</v>
      </c>
      <c r="E2666" s="33">
        <f>DAY(TableAopCalendar[[#This Row],[Date]])</f>
        <v>17</v>
      </c>
      <c r="F266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66" s="33" t="str">
        <f t="shared" si="142"/>
        <v>Week 3</v>
      </c>
      <c r="H2666" s="33" t="str">
        <f t="shared" si="143"/>
        <v>July 29 Week 3</v>
      </c>
      <c r="I2666" s="33" t="str">
        <f>CONCATENATE(UPPER(TableAopCalendar[[#This Row],[Month]])," ",TableAopCalendar[[#This Row],[Year]])</f>
        <v>JULY 29</v>
      </c>
      <c r="J2666" s="8" t="s">
        <v>274</v>
      </c>
      <c r="K2666" s="33" t="str">
        <f>CONCATENATE(TableAopCalendar[[#This Row],[Month for Plan]]," ",TableAopCalendar[[#This Row],[Plan]])</f>
        <v>JULY 29 PLANNED</v>
      </c>
    </row>
    <row r="2667" spans="1:11" x14ac:dyDescent="0.25">
      <c r="A2667" s="33">
        <f t="shared" si="141"/>
        <v>4</v>
      </c>
      <c r="B2667" s="34">
        <v>47317</v>
      </c>
      <c r="C2667" s="7" t="s">
        <v>267</v>
      </c>
      <c r="D2667" s="35">
        <v>29</v>
      </c>
      <c r="E2667" s="33">
        <f>DAY(TableAopCalendar[[#This Row],[Date]])</f>
        <v>18</v>
      </c>
      <c r="F266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67" s="33" t="str">
        <f t="shared" si="142"/>
        <v>Week 3</v>
      </c>
      <c r="H2667" s="33" t="str">
        <f t="shared" si="143"/>
        <v>July 29 Week 3</v>
      </c>
      <c r="I2667" s="33" t="str">
        <f>CONCATENATE(UPPER(TableAopCalendar[[#This Row],[Month]])," ",TableAopCalendar[[#This Row],[Year]])</f>
        <v>JULY 29</v>
      </c>
      <c r="J2667" s="8" t="s">
        <v>274</v>
      </c>
      <c r="K2667" s="33" t="str">
        <f>CONCATENATE(TableAopCalendar[[#This Row],[Month for Plan]]," ",TableAopCalendar[[#This Row],[Plan]])</f>
        <v>JULY 29 PLANNED</v>
      </c>
    </row>
    <row r="2668" spans="1:11" x14ac:dyDescent="0.25">
      <c r="A2668" s="33">
        <f t="shared" si="141"/>
        <v>5</v>
      </c>
      <c r="B2668" s="34">
        <v>47318</v>
      </c>
      <c r="C2668" s="7" t="s">
        <v>267</v>
      </c>
      <c r="D2668" s="35">
        <v>29</v>
      </c>
      <c r="E2668" s="33">
        <f>DAY(TableAopCalendar[[#This Row],[Date]])</f>
        <v>19</v>
      </c>
      <c r="F266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68" s="33" t="str">
        <f t="shared" si="142"/>
        <v>Week 3</v>
      </c>
      <c r="H2668" s="33" t="str">
        <f t="shared" si="143"/>
        <v>July 29 Week 3</v>
      </c>
      <c r="I2668" s="33" t="str">
        <f>CONCATENATE(UPPER(TableAopCalendar[[#This Row],[Month]])," ",TableAopCalendar[[#This Row],[Year]])</f>
        <v>JULY 29</v>
      </c>
      <c r="J2668" s="8" t="s">
        <v>274</v>
      </c>
      <c r="K2668" s="33" t="str">
        <f>CONCATENATE(TableAopCalendar[[#This Row],[Month for Plan]]," ",TableAopCalendar[[#This Row],[Plan]])</f>
        <v>JULY 29 PLANNED</v>
      </c>
    </row>
    <row r="2669" spans="1:11" x14ac:dyDescent="0.25">
      <c r="A2669" s="33">
        <f t="shared" si="141"/>
        <v>6</v>
      </c>
      <c r="B2669" s="34">
        <v>47319</v>
      </c>
      <c r="C2669" s="7" t="s">
        <v>267</v>
      </c>
      <c r="D2669" s="35">
        <v>29</v>
      </c>
      <c r="E2669" s="33">
        <f>DAY(TableAopCalendar[[#This Row],[Date]])</f>
        <v>20</v>
      </c>
      <c r="F266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69" s="33" t="str">
        <f t="shared" si="142"/>
        <v>Week 3</v>
      </c>
      <c r="H2669" s="33" t="str">
        <f t="shared" si="143"/>
        <v>July 29 Week 3</v>
      </c>
      <c r="I2669" s="33" t="str">
        <f>CONCATENATE(UPPER(TableAopCalendar[[#This Row],[Month]])," ",TableAopCalendar[[#This Row],[Year]])</f>
        <v>JULY 29</v>
      </c>
      <c r="J2669" s="8" t="s">
        <v>274</v>
      </c>
      <c r="K2669" s="33" t="str">
        <f>CONCATENATE(TableAopCalendar[[#This Row],[Month for Plan]]," ",TableAopCalendar[[#This Row],[Plan]])</f>
        <v>JULY 29 PLANNED</v>
      </c>
    </row>
    <row r="2670" spans="1:11" x14ac:dyDescent="0.25">
      <c r="A2670" s="33">
        <f t="shared" si="141"/>
        <v>7</v>
      </c>
      <c r="B2670" s="34">
        <v>47320</v>
      </c>
      <c r="C2670" s="7" t="s">
        <v>267</v>
      </c>
      <c r="D2670" s="35">
        <v>29</v>
      </c>
      <c r="E2670" s="33">
        <f>DAY(TableAopCalendar[[#This Row],[Date]])</f>
        <v>21</v>
      </c>
      <c r="F267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70" s="33" t="str">
        <f t="shared" si="142"/>
        <v>Week 3</v>
      </c>
      <c r="H2670" s="33" t="str">
        <f t="shared" si="143"/>
        <v>July 29 Week 3</v>
      </c>
      <c r="I2670" s="33" t="str">
        <f>CONCATENATE(UPPER(TableAopCalendar[[#This Row],[Month]])," ",TableAopCalendar[[#This Row],[Year]])</f>
        <v>JULY 29</v>
      </c>
      <c r="J2670" s="8" t="s">
        <v>274</v>
      </c>
      <c r="K2670" s="33" t="str">
        <f>CONCATENATE(TableAopCalendar[[#This Row],[Month for Plan]]," ",TableAopCalendar[[#This Row],[Plan]])</f>
        <v>JULY 29 PLANNED</v>
      </c>
    </row>
    <row r="2671" spans="1:11" x14ac:dyDescent="0.25">
      <c r="A2671" s="33">
        <f t="shared" si="141"/>
        <v>1</v>
      </c>
      <c r="B2671" s="34">
        <v>47321</v>
      </c>
      <c r="C2671" s="7" t="s">
        <v>267</v>
      </c>
      <c r="D2671" s="35">
        <v>29</v>
      </c>
      <c r="E2671" s="33">
        <f>DAY(TableAopCalendar[[#This Row],[Date]])</f>
        <v>22</v>
      </c>
      <c r="F267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1" s="33" t="str">
        <f t="shared" si="142"/>
        <v>Week 4</v>
      </c>
      <c r="H2671" s="33" t="str">
        <f t="shared" si="143"/>
        <v>July 29 Week 4</v>
      </c>
      <c r="I2671" s="33" t="str">
        <f>CONCATENATE(UPPER(TableAopCalendar[[#This Row],[Month]])," ",TableAopCalendar[[#This Row],[Year]])</f>
        <v>JULY 29</v>
      </c>
      <c r="J2671" s="8" t="s">
        <v>274</v>
      </c>
      <c r="K2671" s="33" t="str">
        <f>CONCATENATE(TableAopCalendar[[#This Row],[Month for Plan]]," ",TableAopCalendar[[#This Row],[Plan]])</f>
        <v>JULY 29 PLANNED</v>
      </c>
    </row>
    <row r="2672" spans="1:11" x14ac:dyDescent="0.25">
      <c r="A2672" s="33">
        <f t="shared" si="141"/>
        <v>2</v>
      </c>
      <c r="B2672" s="34">
        <v>47322</v>
      </c>
      <c r="C2672" s="7" t="s">
        <v>267</v>
      </c>
      <c r="D2672" s="35">
        <v>29</v>
      </c>
      <c r="E2672" s="33">
        <f>DAY(TableAopCalendar[[#This Row],[Date]])</f>
        <v>23</v>
      </c>
      <c r="F267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2" s="33" t="str">
        <f t="shared" si="142"/>
        <v>Week 4</v>
      </c>
      <c r="H2672" s="33" t="str">
        <f t="shared" si="143"/>
        <v>July 29 Week 4</v>
      </c>
      <c r="I2672" s="33" t="str">
        <f>CONCATENATE(UPPER(TableAopCalendar[[#This Row],[Month]])," ",TableAopCalendar[[#This Row],[Year]])</f>
        <v>JULY 29</v>
      </c>
      <c r="J2672" s="8" t="s">
        <v>274</v>
      </c>
      <c r="K2672" s="33" t="str">
        <f>CONCATENATE(TableAopCalendar[[#This Row],[Month for Plan]]," ",TableAopCalendar[[#This Row],[Plan]])</f>
        <v>JULY 29 PLANNED</v>
      </c>
    </row>
    <row r="2673" spans="1:11" x14ac:dyDescent="0.25">
      <c r="A2673" s="33">
        <f t="shared" si="141"/>
        <v>3</v>
      </c>
      <c r="B2673" s="34">
        <v>47323</v>
      </c>
      <c r="C2673" s="7" t="s">
        <v>267</v>
      </c>
      <c r="D2673" s="35">
        <v>29</v>
      </c>
      <c r="E2673" s="33">
        <f>DAY(TableAopCalendar[[#This Row],[Date]])</f>
        <v>24</v>
      </c>
      <c r="F267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3" s="33" t="str">
        <f t="shared" si="142"/>
        <v>Week 4</v>
      </c>
      <c r="H2673" s="33" t="str">
        <f t="shared" si="143"/>
        <v>July 29 Week 4</v>
      </c>
      <c r="I2673" s="33" t="str">
        <f>CONCATENATE(UPPER(TableAopCalendar[[#This Row],[Month]])," ",TableAopCalendar[[#This Row],[Year]])</f>
        <v>JULY 29</v>
      </c>
      <c r="J2673" s="8" t="s">
        <v>274</v>
      </c>
      <c r="K2673" s="33" t="str">
        <f>CONCATENATE(TableAopCalendar[[#This Row],[Month for Plan]]," ",TableAopCalendar[[#This Row],[Plan]])</f>
        <v>JULY 29 PLANNED</v>
      </c>
    </row>
    <row r="2674" spans="1:11" x14ac:dyDescent="0.25">
      <c r="A2674" s="33">
        <f t="shared" si="141"/>
        <v>4</v>
      </c>
      <c r="B2674" s="34">
        <v>47324</v>
      </c>
      <c r="C2674" s="7" t="s">
        <v>267</v>
      </c>
      <c r="D2674" s="35">
        <v>29</v>
      </c>
      <c r="E2674" s="33">
        <f>DAY(TableAopCalendar[[#This Row],[Date]])</f>
        <v>25</v>
      </c>
      <c r="F267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4" s="33" t="str">
        <f t="shared" si="142"/>
        <v>Week 4</v>
      </c>
      <c r="H2674" s="33" t="str">
        <f t="shared" si="143"/>
        <v>July 29 Week 4</v>
      </c>
      <c r="I2674" s="33" t="str">
        <f>CONCATENATE(UPPER(TableAopCalendar[[#This Row],[Month]])," ",TableAopCalendar[[#This Row],[Year]])</f>
        <v>JULY 29</v>
      </c>
      <c r="J2674" s="8" t="s">
        <v>274</v>
      </c>
      <c r="K2674" s="33" t="str">
        <f>CONCATENATE(TableAopCalendar[[#This Row],[Month for Plan]]," ",TableAopCalendar[[#This Row],[Plan]])</f>
        <v>JULY 29 PLANNED</v>
      </c>
    </row>
    <row r="2675" spans="1:11" x14ac:dyDescent="0.25">
      <c r="A2675" s="33">
        <f t="shared" si="141"/>
        <v>5</v>
      </c>
      <c r="B2675" s="34">
        <v>47325</v>
      </c>
      <c r="C2675" s="7" t="s">
        <v>267</v>
      </c>
      <c r="D2675" s="35">
        <v>29</v>
      </c>
      <c r="E2675" s="33">
        <f>DAY(TableAopCalendar[[#This Row],[Date]])</f>
        <v>26</v>
      </c>
      <c r="F267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5" s="33" t="str">
        <f t="shared" si="142"/>
        <v>Week 4</v>
      </c>
      <c r="H2675" s="33" t="str">
        <f t="shared" si="143"/>
        <v>July 29 Week 4</v>
      </c>
      <c r="I2675" s="33" t="str">
        <f>CONCATENATE(UPPER(TableAopCalendar[[#This Row],[Month]])," ",TableAopCalendar[[#This Row],[Year]])</f>
        <v>JULY 29</v>
      </c>
      <c r="J2675" s="8" t="s">
        <v>274</v>
      </c>
      <c r="K2675" s="33" t="str">
        <f>CONCATENATE(TableAopCalendar[[#This Row],[Month for Plan]]," ",TableAopCalendar[[#This Row],[Plan]])</f>
        <v>JULY 29 PLANNED</v>
      </c>
    </row>
    <row r="2676" spans="1:11" x14ac:dyDescent="0.25">
      <c r="A2676" s="33">
        <f t="shared" si="141"/>
        <v>6</v>
      </c>
      <c r="B2676" s="34">
        <v>47326</v>
      </c>
      <c r="C2676" s="7" t="s">
        <v>267</v>
      </c>
      <c r="D2676" s="35">
        <v>29</v>
      </c>
      <c r="E2676" s="33">
        <f>DAY(TableAopCalendar[[#This Row],[Date]])</f>
        <v>27</v>
      </c>
      <c r="F267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6" s="33" t="str">
        <f t="shared" si="142"/>
        <v>Week 4</v>
      </c>
      <c r="H2676" s="33" t="str">
        <f t="shared" si="143"/>
        <v>July 29 Week 4</v>
      </c>
      <c r="I2676" s="33" t="str">
        <f>CONCATENATE(UPPER(TableAopCalendar[[#This Row],[Month]])," ",TableAopCalendar[[#This Row],[Year]])</f>
        <v>JULY 29</v>
      </c>
      <c r="J2676" s="8" t="s">
        <v>274</v>
      </c>
      <c r="K2676" s="33" t="str">
        <f>CONCATENATE(TableAopCalendar[[#This Row],[Month for Plan]]," ",TableAopCalendar[[#This Row],[Plan]])</f>
        <v>JULY 29 PLANNED</v>
      </c>
    </row>
    <row r="2677" spans="1:11" x14ac:dyDescent="0.25">
      <c r="A2677" s="33">
        <f t="shared" si="141"/>
        <v>7</v>
      </c>
      <c r="B2677" s="34">
        <v>47327</v>
      </c>
      <c r="C2677" s="7" t="s">
        <v>267</v>
      </c>
      <c r="D2677" s="35">
        <v>29</v>
      </c>
      <c r="E2677" s="33">
        <f>DAY(TableAopCalendar[[#This Row],[Date]])</f>
        <v>28</v>
      </c>
      <c r="F267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677" s="33" t="str">
        <f t="shared" si="142"/>
        <v>Week 4</v>
      </c>
      <c r="H2677" s="33" t="str">
        <f t="shared" si="143"/>
        <v>July 29 Week 4</v>
      </c>
      <c r="I2677" s="33" t="str">
        <f>CONCATENATE(UPPER(TableAopCalendar[[#This Row],[Month]])," ",TableAopCalendar[[#This Row],[Year]])</f>
        <v>JULY 29</v>
      </c>
      <c r="J2677" s="8" t="s">
        <v>274</v>
      </c>
      <c r="K2677" s="33" t="str">
        <f>CONCATENATE(TableAopCalendar[[#This Row],[Month for Plan]]," ",TableAopCalendar[[#This Row],[Plan]])</f>
        <v>JULY 29 PLANNED</v>
      </c>
    </row>
    <row r="2678" spans="1:11" x14ac:dyDescent="0.25">
      <c r="A2678" s="33">
        <f t="shared" si="141"/>
        <v>1</v>
      </c>
      <c r="B2678" s="34">
        <v>47328</v>
      </c>
      <c r="C2678" s="7" t="s">
        <v>267</v>
      </c>
      <c r="D2678" s="35">
        <v>29</v>
      </c>
      <c r="E2678" s="33">
        <f>DAY(TableAopCalendar[[#This Row],[Date]])</f>
        <v>29</v>
      </c>
      <c r="F2678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78" s="33" t="str">
        <f t="shared" si="142"/>
        <v>Week 5</v>
      </c>
      <c r="H2678" s="33" t="str">
        <f t="shared" si="143"/>
        <v>July 29 Week 5</v>
      </c>
      <c r="I2678" s="33" t="str">
        <f>CONCATENATE(UPPER(TableAopCalendar[[#This Row],[Month]])," ",TableAopCalendar[[#This Row],[Year]])</f>
        <v>JULY 29</v>
      </c>
      <c r="J2678" s="8" t="s">
        <v>274</v>
      </c>
      <c r="K2678" s="33" t="str">
        <f>CONCATENATE(TableAopCalendar[[#This Row],[Month for Plan]]," ",TableAopCalendar[[#This Row],[Plan]])</f>
        <v>JULY 29 PLANNED</v>
      </c>
    </row>
    <row r="2679" spans="1:11" x14ac:dyDescent="0.25">
      <c r="A2679" s="33">
        <f t="shared" si="141"/>
        <v>2</v>
      </c>
      <c r="B2679" s="34">
        <v>47329</v>
      </c>
      <c r="C2679" s="7" t="s">
        <v>267</v>
      </c>
      <c r="D2679" s="35">
        <v>29</v>
      </c>
      <c r="E2679" s="33">
        <f>DAY(TableAopCalendar[[#This Row],[Date]])</f>
        <v>30</v>
      </c>
      <c r="F2679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79" s="33" t="str">
        <f t="shared" si="142"/>
        <v>Week 5</v>
      </c>
      <c r="H2679" s="33" t="str">
        <f t="shared" si="143"/>
        <v>July 29 Week 5</v>
      </c>
      <c r="I2679" s="33" t="str">
        <f>CONCATENATE(UPPER(TableAopCalendar[[#This Row],[Month]])," ",TableAopCalendar[[#This Row],[Year]])</f>
        <v>JULY 29</v>
      </c>
      <c r="J2679" s="8" t="s">
        <v>274</v>
      </c>
      <c r="K2679" s="33" t="str">
        <f>CONCATENATE(TableAopCalendar[[#This Row],[Month for Plan]]," ",TableAopCalendar[[#This Row],[Plan]])</f>
        <v>JULY 29 PLANNED</v>
      </c>
    </row>
    <row r="2680" spans="1:11" x14ac:dyDescent="0.25">
      <c r="A2680" s="33">
        <f t="shared" si="141"/>
        <v>3</v>
      </c>
      <c r="B2680" s="34">
        <v>47330</v>
      </c>
      <c r="C2680" s="7" t="s">
        <v>267</v>
      </c>
      <c r="D2680" s="35">
        <v>29</v>
      </c>
      <c r="E2680" s="33">
        <f>DAY(TableAopCalendar[[#This Row],[Date]])</f>
        <v>31</v>
      </c>
      <c r="F2680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680" s="33" t="str">
        <f t="shared" si="142"/>
        <v>Week 5</v>
      </c>
      <c r="H2680" s="33" t="str">
        <f t="shared" si="143"/>
        <v>July 29 Week 5</v>
      </c>
      <c r="I2680" s="33" t="str">
        <f>CONCATENATE(UPPER(TableAopCalendar[[#This Row],[Month]])," ",TableAopCalendar[[#This Row],[Year]])</f>
        <v>JULY 29</v>
      </c>
      <c r="J2680" s="8" t="s">
        <v>274</v>
      </c>
      <c r="K2680" s="33" t="str">
        <f>CONCATENATE(TableAopCalendar[[#This Row],[Month for Plan]]," ",TableAopCalendar[[#This Row],[Plan]])</f>
        <v>JULY 29 PLANNED</v>
      </c>
    </row>
    <row r="2681" spans="1:11" x14ac:dyDescent="0.25">
      <c r="A2681" s="33">
        <f t="shared" si="141"/>
        <v>1</v>
      </c>
      <c r="B2681" s="34">
        <v>47331</v>
      </c>
      <c r="C2681" s="7" t="s">
        <v>268</v>
      </c>
      <c r="D2681" s="35">
        <v>29</v>
      </c>
      <c r="E2681" s="33">
        <f>DAY(TableAopCalendar[[#This Row],[Date]])</f>
        <v>1</v>
      </c>
      <c r="F268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81" s="33" t="str">
        <f t="shared" si="142"/>
        <v>Week 1</v>
      </c>
      <c r="H2681" s="33" t="str">
        <f t="shared" si="143"/>
        <v>August 29 Week 1</v>
      </c>
      <c r="I2681" s="33" t="str">
        <f>CONCATENATE(UPPER(TableAopCalendar[[#This Row],[Month]])," ",TableAopCalendar[[#This Row],[Year]])</f>
        <v>AUGUST 29</v>
      </c>
      <c r="J2681" s="8" t="s">
        <v>274</v>
      </c>
      <c r="K2681" s="33" t="str">
        <f>CONCATENATE(TableAopCalendar[[#This Row],[Month for Plan]]," ",TableAopCalendar[[#This Row],[Plan]])</f>
        <v>AUGUST 29 PLANNED</v>
      </c>
    </row>
    <row r="2682" spans="1:11" x14ac:dyDescent="0.25">
      <c r="A2682" s="33">
        <f t="shared" si="141"/>
        <v>2</v>
      </c>
      <c r="B2682" s="34">
        <v>47332</v>
      </c>
      <c r="C2682" s="7" t="s">
        <v>268</v>
      </c>
      <c r="D2682" s="35">
        <v>29</v>
      </c>
      <c r="E2682" s="33">
        <f>DAY(TableAopCalendar[[#This Row],[Date]])</f>
        <v>2</v>
      </c>
      <c r="F268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82" s="33" t="str">
        <f t="shared" si="142"/>
        <v>Week 1</v>
      </c>
      <c r="H2682" s="33" t="str">
        <f t="shared" si="143"/>
        <v>August 29 Week 1</v>
      </c>
      <c r="I2682" s="33" t="str">
        <f>CONCATENATE(UPPER(TableAopCalendar[[#This Row],[Month]])," ",TableAopCalendar[[#This Row],[Year]])</f>
        <v>AUGUST 29</v>
      </c>
      <c r="J2682" s="8" t="s">
        <v>274</v>
      </c>
      <c r="K2682" s="33" t="str">
        <f>CONCATENATE(TableAopCalendar[[#This Row],[Month for Plan]]," ",TableAopCalendar[[#This Row],[Plan]])</f>
        <v>AUGUST 29 PLANNED</v>
      </c>
    </row>
    <row r="2683" spans="1:11" x14ac:dyDescent="0.25">
      <c r="A2683" s="33">
        <f t="shared" si="141"/>
        <v>3</v>
      </c>
      <c r="B2683" s="34">
        <v>47333</v>
      </c>
      <c r="C2683" s="7" t="s">
        <v>268</v>
      </c>
      <c r="D2683" s="35">
        <v>29</v>
      </c>
      <c r="E2683" s="33">
        <f>DAY(TableAopCalendar[[#This Row],[Date]])</f>
        <v>3</v>
      </c>
      <c r="F268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83" s="33" t="str">
        <f t="shared" si="142"/>
        <v>Week 1</v>
      </c>
      <c r="H2683" s="33" t="str">
        <f t="shared" si="143"/>
        <v>August 29 Week 1</v>
      </c>
      <c r="I2683" s="33" t="str">
        <f>CONCATENATE(UPPER(TableAopCalendar[[#This Row],[Month]])," ",TableAopCalendar[[#This Row],[Year]])</f>
        <v>AUGUST 29</v>
      </c>
      <c r="J2683" s="8" t="s">
        <v>274</v>
      </c>
      <c r="K2683" s="33" t="str">
        <f>CONCATENATE(TableAopCalendar[[#This Row],[Month for Plan]]," ",TableAopCalendar[[#This Row],[Plan]])</f>
        <v>AUGUST 29 PLANNED</v>
      </c>
    </row>
    <row r="2684" spans="1:11" x14ac:dyDescent="0.25">
      <c r="A2684" s="33">
        <f t="shared" si="141"/>
        <v>4</v>
      </c>
      <c r="B2684" s="34">
        <v>47334</v>
      </c>
      <c r="C2684" s="7" t="s">
        <v>268</v>
      </c>
      <c r="D2684" s="35">
        <v>29</v>
      </c>
      <c r="E2684" s="33">
        <f>DAY(TableAopCalendar[[#This Row],[Date]])</f>
        <v>4</v>
      </c>
      <c r="F268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84" s="33" t="str">
        <f t="shared" si="142"/>
        <v>Week 1</v>
      </c>
      <c r="H2684" s="33" t="str">
        <f t="shared" si="143"/>
        <v>August 29 Week 1</v>
      </c>
      <c r="I2684" s="33" t="str">
        <f>CONCATENATE(UPPER(TableAopCalendar[[#This Row],[Month]])," ",TableAopCalendar[[#This Row],[Year]])</f>
        <v>AUGUST 29</v>
      </c>
      <c r="J2684" s="8" t="s">
        <v>274</v>
      </c>
      <c r="K2684" s="33" t="str">
        <f>CONCATENATE(TableAopCalendar[[#This Row],[Month for Plan]]," ",TableAopCalendar[[#This Row],[Plan]])</f>
        <v>AUGUST 29 PLANNED</v>
      </c>
    </row>
    <row r="2685" spans="1:11" x14ac:dyDescent="0.25">
      <c r="A2685" s="33">
        <f t="shared" si="141"/>
        <v>5</v>
      </c>
      <c r="B2685" s="34">
        <v>47335</v>
      </c>
      <c r="C2685" s="7" t="s">
        <v>268</v>
      </c>
      <c r="D2685" s="35">
        <v>29</v>
      </c>
      <c r="E2685" s="33">
        <f>DAY(TableAopCalendar[[#This Row],[Date]])</f>
        <v>5</v>
      </c>
      <c r="F268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85" s="33" t="str">
        <f t="shared" si="142"/>
        <v>Week 1</v>
      </c>
      <c r="H2685" s="33" t="str">
        <f t="shared" si="143"/>
        <v>August 29 Week 1</v>
      </c>
      <c r="I2685" s="33" t="str">
        <f>CONCATENATE(UPPER(TableAopCalendar[[#This Row],[Month]])," ",TableAopCalendar[[#This Row],[Year]])</f>
        <v>AUGUST 29</v>
      </c>
      <c r="J2685" s="8" t="s">
        <v>274</v>
      </c>
      <c r="K2685" s="33" t="str">
        <f>CONCATENATE(TableAopCalendar[[#This Row],[Month for Plan]]," ",TableAopCalendar[[#This Row],[Plan]])</f>
        <v>AUGUST 29 PLANNED</v>
      </c>
    </row>
    <row r="2686" spans="1:11" x14ac:dyDescent="0.25">
      <c r="A2686" s="33">
        <f t="shared" si="141"/>
        <v>6</v>
      </c>
      <c r="B2686" s="34">
        <v>47336</v>
      </c>
      <c r="C2686" s="7" t="s">
        <v>268</v>
      </c>
      <c r="D2686" s="35">
        <v>29</v>
      </c>
      <c r="E2686" s="33">
        <f>DAY(TableAopCalendar[[#This Row],[Date]])</f>
        <v>6</v>
      </c>
      <c r="F268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86" s="33" t="str">
        <f t="shared" si="142"/>
        <v>Week 1</v>
      </c>
      <c r="H2686" s="33" t="str">
        <f t="shared" si="143"/>
        <v>August 29 Week 1</v>
      </c>
      <c r="I2686" s="33" t="str">
        <f>CONCATENATE(UPPER(TableAopCalendar[[#This Row],[Month]])," ",TableAopCalendar[[#This Row],[Year]])</f>
        <v>AUGUST 29</v>
      </c>
      <c r="J2686" s="8" t="s">
        <v>274</v>
      </c>
      <c r="K2686" s="33" t="str">
        <f>CONCATENATE(TableAopCalendar[[#This Row],[Month for Plan]]," ",TableAopCalendar[[#This Row],[Plan]])</f>
        <v>AUGUST 29 PLANNED</v>
      </c>
    </row>
    <row r="2687" spans="1:11" x14ac:dyDescent="0.25">
      <c r="A2687" s="33">
        <f t="shared" si="141"/>
        <v>7</v>
      </c>
      <c r="B2687" s="34">
        <v>47337</v>
      </c>
      <c r="C2687" s="7" t="s">
        <v>268</v>
      </c>
      <c r="D2687" s="35">
        <v>29</v>
      </c>
      <c r="E2687" s="33">
        <f>DAY(TableAopCalendar[[#This Row],[Date]])</f>
        <v>7</v>
      </c>
      <c r="F268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687" s="33" t="str">
        <f t="shared" si="142"/>
        <v>Week 1</v>
      </c>
      <c r="H2687" s="33" t="str">
        <f t="shared" si="143"/>
        <v>August 29 Week 1</v>
      </c>
      <c r="I2687" s="33" t="str">
        <f>CONCATENATE(UPPER(TableAopCalendar[[#This Row],[Month]])," ",TableAopCalendar[[#This Row],[Year]])</f>
        <v>AUGUST 29</v>
      </c>
      <c r="J2687" s="8" t="s">
        <v>274</v>
      </c>
      <c r="K2687" s="33" t="str">
        <f>CONCATENATE(TableAopCalendar[[#This Row],[Month for Plan]]," ",TableAopCalendar[[#This Row],[Plan]])</f>
        <v>AUGUST 29 PLANNED</v>
      </c>
    </row>
    <row r="2688" spans="1:11" x14ac:dyDescent="0.25">
      <c r="A2688" s="33">
        <f t="shared" si="141"/>
        <v>1</v>
      </c>
      <c r="B2688" s="34">
        <v>47338</v>
      </c>
      <c r="C2688" s="7" t="s">
        <v>268</v>
      </c>
      <c r="D2688" s="35">
        <v>29</v>
      </c>
      <c r="E2688" s="33">
        <f>DAY(TableAopCalendar[[#This Row],[Date]])</f>
        <v>8</v>
      </c>
      <c r="F268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88" s="33" t="str">
        <f t="shared" si="142"/>
        <v>Week 2</v>
      </c>
      <c r="H2688" s="33" t="str">
        <f t="shared" si="143"/>
        <v>August 29 Week 2</v>
      </c>
      <c r="I2688" s="33" t="str">
        <f>CONCATENATE(UPPER(TableAopCalendar[[#This Row],[Month]])," ",TableAopCalendar[[#This Row],[Year]])</f>
        <v>AUGUST 29</v>
      </c>
      <c r="J2688" s="8" t="s">
        <v>274</v>
      </c>
      <c r="K2688" s="33" t="str">
        <f>CONCATENATE(TableAopCalendar[[#This Row],[Month for Plan]]," ",TableAopCalendar[[#This Row],[Plan]])</f>
        <v>AUGUST 29 PLANNED</v>
      </c>
    </row>
    <row r="2689" spans="1:11" x14ac:dyDescent="0.25">
      <c r="A2689" s="33">
        <f t="shared" si="141"/>
        <v>2</v>
      </c>
      <c r="B2689" s="34">
        <v>47339</v>
      </c>
      <c r="C2689" s="7" t="s">
        <v>268</v>
      </c>
      <c r="D2689" s="35">
        <v>29</v>
      </c>
      <c r="E2689" s="33">
        <f>DAY(TableAopCalendar[[#This Row],[Date]])</f>
        <v>9</v>
      </c>
      <c r="F268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89" s="33" t="str">
        <f t="shared" si="142"/>
        <v>Week 2</v>
      </c>
      <c r="H2689" s="33" t="str">
        <f t="shared" si="143"/>
        <v>August 29 Week 2</v>
      </c>
      <c r="I2689" s="33" t="str">
        <f>CONCATENATE(UPPER(TableAopCalendar[[#This Row],[Month]])," ",TableAopCalendar[[#This Row],[Year]])</f>
        <v>AUGUST 29</v>
      </c>
      <c r="J2689" s="8" t="s">
        <v>274</v>
      </c>
      <c r="K2689" s="33" t="str">
        <f>CONCATENATE(TableAopCalendar[[#This Row],[Month for Plan]]," ",TableAopCalendar[[#This Row],[Plan]])</f>
        <v>AUGUST 29 PLANNED</v>
      </c>
    </row>
    <row r="2690" spans="1:11" x14ac:dyDescent="0.25">
      <c r="A2690" s="33">
        <f t="shared" si="141"/>
        <v>3</v>
      </c>
      <c r="B2690" s="34">
        <v>47340</v>
      </c>
      <c r="C2690" s="7" t="s">
        <v>268</v>
      </c>
      <c r="D2690" s="35">
        <v>29</v>
      </c>
      <c r="E2690" s="33">
        <f>DAY(TableAopCalendar[[#This Row],[Date]])</f>
        <v>10</v>
      </c>
      <c r="F269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90" s="33" t="str">
        <f t="shared" si="142"/>
        <v>Week 2</v>
      </c>
      <c r="H2690" s="33" t="str">
        <f t="shared" si="143"/>
        <v>August 29 Week 2</v>
      </c>
      <c r="I2690" s="33" t="str">
        <f>CONCATENATE(UPPER(TableAopCalendar[[#This Row],[Month]])," ",TableAopCalendar[[#This Row],[Year]])</f>
        <v>AUGUST 29</v>
      </c>
      <c r="J2690" s="8" t="s">
        <v>274</v>
      </c>
      <c r="K2690" s="33" t="str">
        <f>CONCATENATE(TableAopCalendar[[#This Row],[Month for Plan]]," ",TableAopCalendar[[#This Row],[Plan]])</f>
        <v>AUGUST 29 PLANNED</v>
      </c>
    </row>
    <row r="2691" spans="1:11" x14ac:dyDescent="0.25">
      <c r="A2691" s="33">
        <f t="shared" si="141"/>
        <v>4</v>
      </c>
      <c r="B2691" s="34">
        <v>47341</v>
      </c>
      <c r="C2691" s="7" t="s">
        <v>268</v>
      </c>
      <c r="D2691" s="35">
        <v>29</v>
      </c>
      <c r="E2691" s="33">
        <f>DAY(TableAopCalendar[[#This Row],[Date]])</f>
        <v>11</v>
      </c>
      <c r="F269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91" s="33" t="str">
        <f t="shared" si="142"/>
        <v>Week 2</v>
      </c>
      <c r="H2691" s="33" t="str">
        <f t="shared" si="143"/>
        <v>August 29 Week 2</v>
      </c>
      <c r="I2691" s="33" t="str">
        <f>CONCATENATE(UPPER(TableAopCalendar[[#This Row],[Month]])," ",TableAopCalendar[[#This Row],[Year]])</f>
        <v>AUGUST 29</v>
      </c>
      <c r="J2691" s="8" t="s">
        <v>274</v>
      </c>
      <c r="K2691" s="33" t="str">
        <f>CONCATENATE(TableAopCalendar[[#This Row],[Month for Plan]]," ",TableAopCalendar[[#This Row],[Plan]])</f>
        <v>AUGUST 29 PLANNED</v>
      </c>
    </row>
    <row r="2692" spans="1:11" x14ac:dyDescent="0.25">
      <c r="A2692" s="33">
        <f t="shared" si="141"/>
        <v>5</v>
      </c>
      <c r="B2692" s="34">
        <v>47342</v>
      </c>
      <c r="C2692" s="7" t="s">
        <v>268</v>
      </c>
      <c r="D2692" s="35">
        <v>29</v>
      </c>
      <c r="E2692" s="33">
        <f>DAY(TableAopCalendar[[#This Row],[Date]])</f>
        <v>12</v>
      </c>
      <c r="F269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92" s="33" t="str">
        <f t="shared" si="142"/>
        <v>Week 2</v>
      </c>
      <c r="H2692" s="33" t="str">
        <f t="shared" si="143"/>
        <v>August 29 Week 2</v>
      </c>
      <c r="I2692" s="33" t="str">
        <f>CONCATENATE(UPPER(TableAopCalendar[[#This Row],[Month]])," ",TableAopCalendar[[#This Row],[Year]])</f>
        <v>AUGUST 29</v>
      </c>
      <c r="J2692" s="8" t="s">
        <v>274</v>
      </c>
      <c r="K2692" s="33" t="str">
        <f>CONCATENATE(TableAopCalendar[[#This Row],[Month for Plan]]," ",TableAopCalendar[[#This Row],[Plan]])</f>
        <v>AUGUST 29 PLANNED</v>
      </c>
    </row>
    <row r="2693" spans="1:11" x14ac:dyDescent="0.25">
      <c r="A2693" s="33">
        <f t="shared" si="141"/>
        <v>6</v>
      </c>
      <c r="B2693" s="34">
        <v>47343</v>
      </c>
      <c r="C2693" s="7" t="s">
        <v>268</v>
      </c>
      <c r="D2693" s="35">
        <v>29</v>
      </c>
      <c r="E2693" s="33">
        <f>DAY(TableAopCalendar[[#This Row],[Date]])</f>
        <v>13</v>
      </c>
      <c r="F269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93" s="33" t="str">
        <f t="shared" si="142"/>
        <v>Week 2</v>
      </c>
      <c r="H2693" s="33" t="str">
        <f t="shared" si="143"/>
        <v>August 29 Week 2</v>
      </c>
      <c r="I2693" s="33" t="str">
        <f>CONCATENATE(UPPER(TableAopCalendar[[#This Row],[Month]])," ",TableAopCalendar[[#This Row],[Year]])</f>
        <v>AUGUST 29</v>
      </c>
      <c r="J2693" s="8" t="s">
        <v>274</v>
      </c>
      <c r="K2693" s="33" t="str">
        <f>CONCATENATE(TableAopCalendar[[#This Row],[Month for Plan]]," ",TableAopCalendar[[#This Row],[Plan]])</f>
        <v>AUGUST 29 PLANNED</v>
      </c>
    </row>
    <row r="2694" spans="1:11" x14ac:dyDescent="0.25">
      <c r="A2694" s="33">
        <f t="shared" si="141"/>
        <v>7</v>
      </c>
      <c r="B2694" s="34">
        <v>47344</v>
      </c>
      <c r="C2694" s="7" t="s">
        <v>268</v>
      </c>
      <c r="D2694" s="35">
        <v>29</v>
      </c>
      <c r="E2694" s="33">
        <f>DAY(TableAopCalendar[[#This Row],[Date]])</f>
        <v>14</v>
      </c>
      <c r="F269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694" s="33" t="str">
        <f t="shared" si="142"/>
        <v>Week 2</v>
      </c>
      <c r="H2694" s="33" t="str">
        <f t="shared" si="143"/>
        <v>August 29 Week 2</v>
      </c>
      <c r="I2694" s="33" t="str">
        <f>CONCATENATE(UPPER(TableAopCalendar[[#This Row],[Month]])," ",TableAopCalendar[[#This Row],[Year]])</f>
        <v>AUGUST 29</v>
      </c>
      <c r="J2694" s="8" t="s">
        <v>274</v>
      </c>
      <c r="K2694" s="33" t="str">
        <f>CONCATENATE(TableAopCalendar[[#This Row],[Month for Plan]]," ",TableAopCalendar[[#This Row],[Plan]])</f>
        <v>AUGUST 29 PLANNED</v>
      </c>
    </row>
    <row r="2695" spans="1:11" x14ac:dyDescent="0.25">
      <c r="A2695" s="33">
        <f t="shared" si="141"/>
        <v>1</v>
      </c>
      <c r="B2695" s="34">
        <v>47345</v>
      </c>
      <c r="C2695" s="7" t="s">
        <v>268</v>
      </c>
      <c r="D2695" s="35">
        <v>29</v>
      </c>
      <c r="E2695" s="33">
        <f>DAY(TableAopCalendar[[#This Row],[Date]])</f>
        <v>15</v>
      </c>
      <c r="F269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95" s="33" t="str">
        <f t="shared" si="142"/>
        <v>Week 3</v>
      </c>
      <c r="H2695" s="33" t="str">
        <f t="shared" si="143"/>
        <v>August 29 Week 3</v>
      </c>
      <c r="I2695" s="33" t="str">
        <f>CONCATENATE(UPPER(TableAopCalendar[[#This Row],[Month]])," ",TableAopCalendar[[#This Row],[Year]])</f>
        <v>AUGUST 29</v>
      </c>
      <c r="J2695" s="8" t="s">
        <v>274</v>
      </c>
      <c r="K2695" s="33" t="str">
        <f>CONCATENATE(TableAopCalendar[[#This Row],[Month for Plan]]," ",TableAopCalendar[[#This Row],[Plan]])</f>
        <v>AUGUST 29 PLANNED</v>
      </c>
    </row>
    <row r="2696" spans="1:11" x14ac:dyDescent="0.25">
      <c r="A2696" s="33">
        <f t="shared" si="141"/>
        <v>2</v>
      </c>
      <c r="B2696" s="34">
        <v>47346</v>
      </c>
      <c r="C2696" s="7" t="s">
        <v>268</v>
      </c>
      <c r="D2696" s="35">
        <v>29</v>
      </c>
      <c r="E2696" s="33">
        <f>DAY(TableAopCalendar[[#This Row],[Date]])</f>
        <v>16</v>
      </c>
      <c r="F269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96" s="33" t="str">
        <f t="shared" si="142"/>
        <v>Week 3</v>
      </c>
      <c r="H2696" s="33" t="str">
        <f t="shared" si="143"/>
        <v>August 29 Week 3</v>
      </c>
      <c r="I2696" s="33" t="str">
        <f>CONCATENATE(UPPER(TableAopCalendar[[#This Row],[Month]])," ",TableAopCalendar[[#This Row],[Year]])</f>
        <v>AUGUST 29</v>
      </c>
      <c r="J2696" s="8" t="s">
        <v>274</v>
      </c>
      <c r="K2696" s="33" t="str">
        <f>CONCATENATE(TableAopCalendar[[#This Row],[Month for Plan]]," ",TableAopCalendar[[#This Row],[Plan]])</f>
        <v>AUGUST 29 PLANNED</v>
      </c>
    </row>
    <row r="2697" spans="1:11" x14ac:dyDescent="0.25">
      <c r="A2697" s="33">
        <f t="shared" si="141"/>
        <v>3</v>
      </c>
      <c r="B2697" s="34">
        <v>47347</v>
      </c>
      <c r="C2697" s="7" t="s">
        <v>268</v>
      </c>
      <c r="D2697" s="35">
        <v>29</v>
      </c>
      <c r="E2697" s="33">
        <f>DAY(TableAopCalendar[[#This Row],[Date]])</f>
        <v>17</v>
      </c>
      <c r="F269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97" s="33" t="str">
        <f t="shared" si="142"/>
        <v>Week 3</v>
      </c>
      <c r="H2697" s="33" t="str">
        <f t="shared" si="143"/>
        <v>August 29 Week 3</v>
      </c>
      <c r="I2697" s="33" t="str">
        <f>CONCATENATE(UPPER(TableAopCalendar[[#This Row],[Month]])," ",TableAopCalendar[[#This Row],[Year]])</f>
        <v>AUGUST 29</v>
      </c>
      <c r="J2697" s="8" t="s">
        <v>274</v>
      </c>
      <c r="K2697" s="33" t="str">
        <f>CONCATENATE(TableAopCalendar[[#This Row],[Month for Plan]]," ",TableAopCalendar[[#This Row],[Plan]])</f>
        <v>AUGUST 29 PLANNED</v>
      </c>
    </row>
    <row r="2698" spans="1:11" x14ac:dyDescent="0.25">
      <c r="A2698" s="33">
        <f t="shared" si="141"/>
        <v>4</v>
      </c>
      <c r="B2698" s="34">
        <v>47348</v>
      </c>
      <c r="C2698" s="7" t="s">
        <v>268</v>
      </c>
      <c r="D2698" s="35">
        <v>29</v>
      </c>
      <c r="E2698" s="33">
        <f>DAY(TableAopCalendar[[#This Row],[Date]])</f>
        <v>18</v>
      </c>
      <c r="F269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98" s="33" t="str">
        <f t="shared" si="142"/>
        <v>Week 3</v>
      </c>
      <c r="H2698" s="33" t="str">
        <f t="shared" si="143"/>
        <v>August 29 Week 3</v>
      </c>
      <c r="I2698" s="33" t="str">
        <f>CONCATENATE(UPPER(TableAopCalendar[[#This Row],[Month]])," ",TableAopCalendar[[#This Row],[Year]])</f>
        <v>AUGUST 29</v>
      </c>
      <c r="J2698" s="8" t="s">
        <v>274</v>
      </c>
      <c r="K2698" s="33" t="str">
        <f>CONCATENATE(TableAopCalendar[[#This Row],[Month for Plan]]," ",TableAopCalendar[[#This Row],[Plan]])</f>
        <v>AUGUST 29 PLANNED</v>
      </c>
    </row>
    <row r="2699" spans="1:11" x14ac:dyDescent="0.25">
      <c r="A2699" s="33">
        <f t="shared" si="141"/>
        <v>5</v>
      </c>
      <c r="B2699" s="34">
        <v>47349</v>
      </c>
      <c r="C2699" s="7" t="s">
        <v>268</v>
      </c>
      <c r="D2699" s="35">
        <v>29</v>
      </c>
      <c r="E2699" s="33">
        <f>DAY(TableAopCalendar[[#This Row],[Date]])</f>
        <v>19</v>
      </c>
      <c r="F269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699" s="33" t="str">
        <f t="shared" si="142"/>
        <v>Week 3</v>
      </c>
      <c r="H2699" s="33" t="str">
        <f t="shared" si="143"/>
        <v>August 29 Week 3</v>
      </c>
      <c r="I2699" s="33" t="str">
        <f>CONCATENATE(UPPER(TableAopCalendar[[#This Row],[Month]])," ",TableAopCalendar[[#This Row],[Year]])</f>
        <v>AUGUST 29</v>
      </c>
      <c r="J2699" s="8" t="s">
        <v>274</v>
      </c>
      <c r="K2699" s="33" t="str">
        <f>CONCATENATE(TableAopCalendar[[#This Row],[Month for Plan]]," ",TableAopCalendar[[#This Row],[Plan]])</f>
        <v>AUGUST 29 PLANNED</v>
      </c>
    </row>
    <row r="2700" spans="1:11" x14ac:dyDescent="0.25">
      <c r="A2700" s="33">
        <f t="shared" si="141"/>
        <v>6</v>
      </c>
      <c r="B2700" s="34">
        <v>47350</v>
      </c>
      <c r="C2700" s="7" t="s">
        <v>268</v>
      </c>
      <c r="D2700" s="35">
        <v>29</v>
      </c>
      <c r="E2700" s="33">
        <f>DAY(TableAopCalendar[[#This Row],[Date]])</f>
        <v>20</v>
      </c>
      <c r="F270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00" s="33" t="str">
        <f t="shared" si="142"/>
        <v>Week 3</v>
      </c>
      <c r="H2700" s="33" t="str">
        <f t="shared" si="143"/>
        <v>August 29 Week 3</v>
      </c>
      <c r="I2700" s="33" t="str">
        <f>CONCATENATE(UPPER(TableAopCalendar[[#This Row],[Month]])," ",TableAopCalendar[[#This Row],[Year]])</f>
        <v>AUGUST 29</v>
      </c>
      <c r="J2700" s="8" t="s">
        <v>274</v>
      </c>
      <c r="K2700" s="33" t="str">
        <f>CONCATENATE(TableAopCalendar[[#This Row],[Month for Plan]]," ",TableAopCalendar[[#This Row],[Plan]])</f>
        <v>AUGUST 29 PLANNED</v>
      </c>
    </row>
    <row r="2701" spans="1:11" x14ac:dyDescent="0.25">
      <c r="A2701" s="33">
        <f t="shared" si="141"/>
        <v>7</v>
      </c>
      <c r="B2701" s="34">
        <v>47351</v>
      </c>
      <c r="C2701" s="7" t="s">
        <v>268</v>
      </c>
      <c r="D2701" s="35">
        <v>29</v>
      </c>
      <c r="E2701" s="33">
        <f>DAY(TableAopCalendar[[#This Row],[Date]])</f>
        <v>21</v>
      </c>
      <c r="F270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01" s="33" t="str">
        <f t="shared" si="142"/>
        <v>Week 3</v>
      </c>
      <c r="H2701" s="33" t="str">
        <f t="shared" si="143"/>
        <v>August 29 Week 3</v>
      </c>
      <c r="I2701" s="33" t="str">
        <f>CONCATENATE(UPPER(TableAopCalendar[[#This Row],[Month]])," ",TableAopCalendar[[#This Row],[Year]])</f>
        <v>AUGUST 29</v>
      </c>
      <c r="J2701" s="8" t="s">
        <v>274</v>
      </c>
      <c r="K2701" s="33" t="str">
        <f>CONCATENATE(TableAopCalendar[[#This Row],[Month for Plan]]," ",TableAopCalendar[[#This Row],[Plan]])</f>
        <v>AUGUST 29 PLANNED</v>
      </c>
    </row>
    <row r="2702" spans="1:11" x14ac:dyDescent="0.25">
      <c r="A2702" s="33">
        <f t="shared" si="141"/>
        <v>1</v>
      </c>
      <c r="B2702" s="34">
        <v>47352</v>
      </c>
      <c r="C2702" s="7" t="s">
        <v>268</v>
      </c>
      <c r="D2702" s="35">
        <v>29</v>
      </c>
      <c r="E2702" s="33">
        <f>DAY(TableAopCalendar[[#This Row],[Date]])</f>
        <v>22</v>
      </c>
      <c r="F270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2" s="33" t="str">
        <f t="shared" si="142"/>
        <v>Week 4</v>
      </c>
      <c r="H2702" s="33" t="str">
        <f t="shared" si="143"/>
        <v>August 29 Week 4</v>
      </c>
      <c r="I2702" s="33" t="str">
        <f>CONCATENATE(UPPER(TableAopCalendar[[#This Row],[Month]])," ",TableAopCalendar[[#This Row],[Year]])</f>
        <v>AUGUST 29</v>
      </c>
      <c r="J2702" s="8" t="s">
        <v>274</v>
      </c>
      <c r="K2702" s="33" t="str">
        <f>CONCATENATE(TableAopCalendar[[#This Row],[Month for Plan]]," ",TableAopCalendar[[#This Row],[Plan]])</f>
        <v>AUGUST 29 PLANNED</v>
      </c>
    </row>
    <row r="2703" spans="1:11" x14ac:dyDescent="0.25">
      <c r="A2703" s="33">
        <f t="shared" si="141"/>
        <v>2</v>
      </c>
      <c r="B2703" s="34">
        <v>47353</v>
      </c>
      <c r="C2703" s="7" t="s">
        <v>268</v>
      </c>
      <c r="D2703" s="35">
        <v>29</v>
      </c>
      <c r="E2703" s="33">
        <f>DAY(TableAopCalendar[[#This Row],[Date]])</f>
        <v>23</v>
      </c>
      <c r="F270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3" s="33" t="str">
        <f t="shared" si="142"/>
        <v>Week 4</v>
      </c>
      <c r="H2703" s="33" t="str">
        <f t="shared" si="143"/>
        <v>August 29 Week 4</v>
      </c>
      <c r="I2703" s="33" t="str">
        <f>CONCATENATE(UPPER(TableAopCalendar[[#This Row],[Month]])," ",TableAopCalendar[[#This Row],[Year]])</f>
        <v>AUGUST 29</v>
      </c>
      <c r="J2703" s="8" t="s">
        <v>274</v>
      </c>
      <c r="K2703" s="33" t="str">
        <f>CONCATENATE(TableAopCalendar[[#This Row],[Month for Plan]]," ",TableAopCalendar[[#This Row],[Plan]])</f>
        <v>AUGUST 29 PLANNED</v>
      </c>
    </row>
    <row r="2704" spans="1:11" x14ac:dyDescent="0.25">
      <c r="A2704" s="33">
        <f t="shared" si="141"/>
        <v>3</v>
      </c>
      <c r="B2704" s="34">
        <v>47354</v>
      </c>
      <c r="C2704" s="7" t="s">
        <v>268</v>
      </c>
      <c r="D2704" s="35">
        <v>29</v>
      </c>
      <c r="E2704" s="33">
        <f>DAY(TableAopCalendar[[#This Row],[Date]])</f>
        <v>24</v>
      </c>
      <c r="F270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4" s="33" t="str">
        <f t="shared" si="142"/>
        <v>Week 4</v>
      </c>
      <c r="H2704" s="33" t="str">
        <f t="shared" si="143"/>
        <v>August 29 Week 4</v>
      </c>
      <c r="I2704" s="33" t="str">
        <f>CONCATENATE(UPPER(TableAopCalendar[[#This Row],[Month]])," ",TableAopCalendar[[#This Row],[Year]])</f>
        <v>AUGUST 29</v>
      </c>
      <c r="J2704" s="8" t="s">
        <v>274</v>
      </c>
      <c r="K2704" s="33" t="str">
        <f>CONCATENATE(TableAopCalendar[[#This Row],[Month for Plan]]," ",TableAopCalendar[[#This Row],[Plan]])</f>
        <v>AUGUST 29 PLANNED</v>
      </c>
    </row>
    <row r="2705" spans="1:11" x14ac:dyDescent="0.25">
      <c r="A2705" s="33">
        <f t="shared" si="141"/>
        <v>4</v>
      </c>
      <c r="B2705" s="34">
        <v>47355</v>
      </c>
      <c r="C2705" s="7" t="s">
        <v>268</v>
      </c>
      <c r="D2705" s="35">
        <v>29</v>
      </c>
      <c r="E2705" s="33">
        <f>DAY(TableAopCalendar[[#This Row],[Date]])</f>
        <v>25</v>
      </c>
      <c r="F270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5" s="33" t="str">
        <f t="shared" si="142"/>
        <v>Week 4</v>
      </c>
      <c r="H2705" s="33" t="str">
        <f t="shared" si="143"/>
        <v>August 29 Week 4</v>
      </c>
      <c r="I2705" s="33" t="str">
        <f>CONCATENATE(UPPER(TableAopCalendar[[#This Row],[Month]])," ",TableAopCalendar[[#This Row],[Year]])</f>
        <v>AUGUST 29</v>
      </c>
      <c r="J2705" s="8" t="s">
        <v>274</v>
      </c>
      <c r="K2705" s="33" t="str">
        <f>CONCATENATE(TableAopCalendar[[#This Row],[Month for Plan]]," ",TableAopCalendar[[#This Row],[Plan]])</f>
        <v>AUGUST 29 PLANNED</v>
      </c>
    </row>
    <row r="2706" spans="1:11" x14ac:dyDescent="0.25">
      <c r="A2706" s="33">
        <f t="shared" si="141"/>
        <v>5</v>
      </c>
      <c r="B2706" s="34">
        <v>47356</v>
      </c>
      <c r="C2706" s="7" t="s">
        <v>268</v>
      </c>
      <c r="D2706" s="35">
        <v>29</v>
      </c>
      <c r="E2706" s="33">
        <f>DAY(TableAopCalendar[[#This Row],[Date]])</f>
        <v>26</v>
      </c>
      <c r="F270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6" s="33" t="str">
        <f t="shared" si="142"/>
        <v>Week 4</v>
      </c>
      <c r="H2706" s="33" t="str">
        <f t="shared" si="143"/>
        <v>August 29 Week 4</v>
      </c>
      <c r="I2706" s="33" t="str">
        <f>CONCATENATE(UPPER(TableAopCalendar[[#This Row],[Month]])," ",TableAopCalendar[[#This Row],[Year]])</f>
        <v>AUGUST 29</v>
      </c>
      <c r="J2706" s="8" t="s">
        <v>274</v>
      </c>
      <c r="K2706" s="33" t="str">
        <f>CONCATENATE(TableAopCalendar[[#This Row],[Month for Plan]]," ",TableAopCalendar[[#This Row],[Plan]])</f>
        <v>AUGUST 29 PLANNED</v>
      </c>
    </row>
    <row r="2707" spans="1:11" x14ac:dyDescent="0.25">
      <c r="A2707" s="33">
        <f t="shared" si="141"/>
        <v>6</v>
      </c>
      <c r="B2707" s="34">
        <v>47357</v>
      </c>
      <c r="C2707" s="7" t="s">
        <v>268</v>
      </c>
      <c r="D2707" s="35">
        <v>29</v>
      </c>
      <c r="E2707" s="33">
        <f>DAY(TableAopCalendar[[#This Row],[Date]])</f>
        <v>27</v>
      </c>
      <c r="F270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7" s="33" t="str">
        <f t="shared" si="142"/>
        <v>Week 4</v>
      </c>
      <c r="H2707" s="33" t="str">
        <f t="shared" si="143"/>
        <v>August 29 Week 4</v>
      </c>
      <c r="I2707" s="33" t="str">
        <f>CONCATENATE(UPPER(TableAopCalendar[[#This Row],[Month]])," ",TableAopCalendar[[#This Row],[Year]])</f>
        <v>AUGUST 29</v>
      </c>
      <c r="J2707" s="8" t="s">
        <v>274</v>
      </c>
      <c r="K2707" s="33" t="str">
        <f>CONCATENATE(TableAopCalendar[[#This Row],[Month for Plan]]," ",TableAopCalendar[[#This Row],[Plan]])</f>
        <v>AUGUST 29 PLANNED</v>
      </c>
    </row>
    <row r="2708" spans="1:11" x14ac:dyDescent="0.25">
      <c r="A2708" s="33">
        <f t="shared" si="141"/>
        <v>7</v>
      </c>
      <c r="B2708" s="34">
        <v>47358</v>
      </c>
      <c r="C2708" s="7" t="s">
        <v>268</v>
      </c>
      <c r="D2708" s="35">
        <v>29</v>
      </c>
      <c r="E2708" s="33">
        <f>DAY(TableAopCalendar[[#This Row],[Date]])</f>
        <v>28</v>
      </c>
      <c r="F270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08" s="33" t="str">
        <f t="shared" si="142"/>
        <v>Week 4</v>
      </c>
      <c r="H2708" s="33" t="str">
        <f t="shared" si="143"/>
        <v>August 29 Week 4</v>
      </c>
      <c r="I2708" s="33" t="str">
        <f>CONCATENATE(UPPER(TableAopCalendar[[#This Row],[Month]])," ",TableAopCalendar[[#This Row],[Year]])</f>
        <v>AUGUST 29</v>
      </c>
      <c r="J2708" s="8" t="s">
        <v>274</v>
      </c>
      <c r="K2708" s="33" t="str">
        <f>CONCATENATE(TableAopCalendar[[#This Row],[Month for Plan]]," ",TableAopCalendar[[#This Row],[Plan]])</f>
        <v>AUGUST 29 PLANNED</v>
      </c>
    </row>
    <row r="2709" spans="1:11" x14ac:dyDescent="0.25">
      <c r="A2709" s="33">
        <f t="shared" si="141"/>
        <v>1</v>
      </c>
      <c r="B2709" s="34">
        <v>47359</v>
      </c>
      <c r="C2709" s="7" t="s">
        <v>268</v>
      </c>
      <c r="D2709" s="35">
        <v>29</v>
      </c>
      <c r="E2709" s="33">
        <f>DAY(TableAopCalendar[[#This Row],[Date]])</f>
        <v>29</v>
      </c>
      <c r="F2709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09" s="33" t="str">
        <f t="shared" si="142"/>
        <v>Week 5</v>
      </c>
      <c r="H2709" s="33" t="str">
        <f t="shared" si="143"/>
        <v>August 29 Week 5</v>
      </c>
      <c r="I2709" s="33" t="str">
        <f>CONCATENATE(UPPER(TableAopCalendar[[#This Row],[Month]])," ",TableAopCalendar[[#This Row],[Year]])</f>
        <v>AUGUST 29</v>
      </c>
      <c r="J2709" s="8" t="s">
        <v>274</v>
      </c>
      <c r="K2709" s="33" t="str">
        <f>CONCATENATE(TableAopCalendar[[#This Row],[Month for Plan]]," ",TableAopCalendar[[#This Row],[Plan]])</f>
        <v>AUGUST 29 PLANNED</v>
      </c>
    </row>
    <row r="2710" spans="1:11" x14ac:dyDescent="0.25">
      <c r="A2710" s="33">
        <f t="shared" si="141"/>
        <v>2</v>
      </c>
      <c r="B2710" s="34">
        <v>47360</v>
      </c>
      <c r="C2710" s="7" t="s">
        <v>268</v>
      </c>
      <c r="D2710" s="35">
        <v>29</v>
      </c>
      <c r="E2710" s="33">
        <f>DAY(TableAopCalendar[[#This Row],[Date]])</f>
        <v>30</v>
      </c>
      <c r="F2710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10" s="33" t="str">
        <f t="shared" si="142"/>
        <v>Week 5</v>
      </c>
      <c r="H2710" s="33" t="str">
        <f t="shared" si="143"/>
        <v>August 29 Week 5</v>
      </c>
      <c r="I2710" s="33" t="str">
        <f>CONCATENATE(UPPER(TableAopCalendar[[#This Row],[Month]])," ",TableAopCalendar[[#This Row],[Year]])</f>
        <v>AUGUST 29</v>
      </c>
      <c r="J2710" s="8" t="s">
        <v>274</v>
      </c>
      <c r="K2710" s="33" t="str">
        <f>CONCATENATE(TableAopCalendar[[#This Row],[Month for Plan]]," ",TableAopCalendar[[#This Row],[Plan]])</f>
        <v>AUGUST 29 PLANNED</v>
      </c>
    </row>
    <row r="2711" spans="1:11" x14ac:dyDescent="0.25">
      <c r="A2711" s="33">
        <f t="shared" si="141"/>
        <v>3</v>
      </c>
      <c r="B2711" s="34">
        <v>47361</v>
      </c>
      <c r="C2711" s="7" t="s">
        <v>268</v>
      </c>
      <c r="D2711" s="35">
        <v>29</v>
      </c>
      <c r="E2711" s="33">
        <f>DAY(TableAopCalendar[[#This Row],[Date]])</f>
        <v>31</v>
      </c>
      <c r="F271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11" s="33" t="str">
        <f t="shared" si="142"/>
        <v>Week 5</v>
      </c>
      <c r="H2711" s="33" t="str">
        <f t="shared" si="143"/>
        <v>August 29 Week 5</v>
      </c>
      <c r="I2711" s="33" t="str">
        <f>CONCATENATE(UPPER(TableAopCalendar[[#This Row],[Month]])," ",TableAopCalendar[[#This Row],[Year]])</f>
        <v>AUGUST 29</v>
      </c>
      <c r="J2711" s="8" t="s">
        <v>274</v>
      </c>
      <c r="K2711" s="33" t="str">
        <f>CONCATENATE(TableAopCalendar[[#This Row],[Month for Plan]]," ",TableAopCalendar[[#This Row],[Plan]])</f>
        <v>AUGUST 29 PLANNED</v>
      </c>
    </row>
    <row r="2712" spans="1:11" x14ac:dyDescent="0.25">
      <c r="A2712" s="33">
        <f t="shared" si="141"/>
        <v>1</v>
      </c>
      <c r="B2712" s="34">
        <v>47362</v>
      </c>
      <c r="C2712" s="7" t="s">
        <v>269</v>
      </c>
      <c r="D2712" s="35">
        <v>29</v>
      </c>
      <c r="E2712" s="33">
        <f>DAY(TableAopCalendar[[#This Row],[Date]])</f>
        <v>1</v>
      </c>
      <c r="F271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12" s="33" t="str">
        <f t="shared" si="142"/>
        <v>Week 1</v>
      </c>
      <c r="H2712" s="33" t="str">
        <f t="shared" si="143"/>
        <v>September 29 Week 1</v>
      </c>
      <c r="I2712" s="33" t="str">
        <f>CONCATENATE(UPPER(TableAopCalendar[[#This Row],[Month]])," ",TableAopCalendar[[#This Row],[Year]])</f>
        <v>SEPTEMBER 29</v>
      </c>
      <c r="J2712" s="8" t="s">
        <v>274</v>
      </c>
      <c r="K2712" s="33" t="str">
        <f>CONCATENATE(TableAopCalendar[[#This Row],[Month for Plan]]," ",TableAopCalendar[[#This Row],[Plan]])</f>
        <v>SEPTEMBER 29 PLANNED</v>
      </c>
    </row>
    <row r="2713" spans="1:11" x14ac:dyDescent="0.25">
      <c r="A2713" s="33">
        <f t="shared" si="141"/>
        <v>2</v>
      </c>
      <c r="B2713" s="34">
        <v>47363</v>
      </c>
      <c r="C2713" s="7" t="s">
        <v>269</v>
      </c>
      <c r="D2713" s="35">
        <v>29</v>
      </c>
      <c r="E2713" s="33">
        <f>DAY(TableAopCalendar[[#This Row],[Date]])</f>
        <v>2</v>
      </c>
      <c r="F271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13" s="33" t="str">
        <f t="shared" si="142"/>
        <v>Week 1</v>
      </c>
      <c r="H2713" s="33" t="str">
        <f t="shared" si="143"/>
        <v>September 29 Week 1</v>
      </c>
      <c r="I2713" s="33" t="str">
        <f>CONCATENATE(UPPER(TableAopCalendar[[#This Row],[Month]])," ",TableAopCalendar[[#This Row],[Year]])</f>
        <v>SEPTEMBER 29</v>
      </c>
      <c r="J2713" s="8" t="s">
        <v>274</v>
      </c>
      <c r="K2713" s="33" t="str">
        <f>CONCATENATE(TableAopCalendar[[#This Row],[Month for Plan]]," ",TableAopCalendar[[#This Row],[Plan]])</f>
        <v>SEPTEMBER 29 PLANNED</v>
      </c>
    </row>
    <row r="2714" spans="1:11" x14ac:dyDescent="0.25">
      <c r="A2714" s="33">
        <f t="shared" si="141"/>
        <v>3</v>
      </c>
      <c r="B2714" s="34">
        <v>47364</v>
      </c>
      <c r="C2714" s="7" t="s">
        <v>269</v>
      </c>
      <c r="D2714" s="35">
        <v>29</v>
      </c>
      <c r="E2714" s="33">
        <f>DAY(TableAopCalendar[[#This Row],[Date]])</f>
        <v>3</v>
      </c>
      <c r="F271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14" s="33" t="str">
        <f t="shared" si="142"/>
        <v>Week 1</v>
      </c>
      <c r="H2714" s="33" t="str">
        <f t="shared" si="143"/>
        <v>September 29 Week 1</v>
      </c>
      <c r="I2714" s="33" t="str">
        <f>CONCATENATE(UPPER(TableAopCalendar[[#This Row],[Month]])," ",TableAopCalendar[[#This Row],[Year]])</f>
        <v>SEPTEMBER 29</v>
      </c>
      <c r="J2714" s="8" t="s">
        <v>274</v>
      </c>
      <c r="K2714" s="33" t="str">
        <f>CONCATENATE(TableAopCalendar[[#This Row],[Month for Plan]]," ",TableAopCalendar[[#This Row],[Plan]])</f>
        <v>SEPTEMBER 29 PLANNED</v>
      </c>
    </row>
    <row r="2715" spans="1:11" x14ac:dyDescent="0.25">
      <c r="A2715" s="33">
        <f t="shared" si="141"/>
        <v>4</v>
      </c>
      <c r="B2715" s="34">
        <v>47365</v>
      </c>
      <c r="C2715" s="7" t="s">
        <v>269</v>
      </c>
      <c r="D2715" s="35">
        <v>29</v>
      </c>
      <c r="E2715" s="33">
        <f>DAY(TableAopCalendar[[#This Row],[Date]])</f>
        <v>4</v>
      </c>
      <c r="F271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15" s="33" t="str">
        <f t="shared" si="142"/>
        <v>Week 1</v>
      </c>
      <c r="H2715" s="33" t="str">
        <f t="shared" si="143"/>
        <v>September 29 Week 1</v>
      </c>
      <c r="I2715" s="33" t="str">
        <f>CONCATENATE(UPPER(TableAopCalendar[[#This Row],[Month]])," ",TableAopCalendar[[#This Row],[Year]])</f>
        <v>SEPTEMBER 29</v>
      </c>
      <c r="J2715" s="8" t="s">
        <v>274</v>
      </c>
      <c r="K2715" s="33" t="str">
        <f>CONCATENATE(TableAopCalendar[[#This Row],[Month for Plan]]," ",TableAopCalendar[[#This Row],[Plan]])</f>
        <v>SEPTEMBER 29 PLANNED</v>
      </c>
    </row>
    <row r="2716" spans="1:11" x14ac:dyDescent="0.25">
      <c r="A2716" s="33">
        <f t="shared" si="141"/>
        <v>5</v>
      </c>
      <c r="B2716" s="34">
        <v>47366</v>
      </c>
      <c r="C2716" s="7" t="s">
        <v>269</v>
      </c>
      <c r="D2716" s="35">
        <v>29</v>
      </c>
      <c r="E2716" s="33">
        <f>DAY(TableAopCalendar[[#This Row],[Date]])</f>
        <v>5</v>
      </c>
      <c r="F271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16" s="33" t="str">
        <f t="shared" si="142"/>
        <v>Week 1</v>
      </c>
      <c r="H2716" s="33" t="str">
        <f t="shared" si="143"/>
        <v>September 29 Week 1</v>
      </c>
      <c r="I2716" s="33" t="str">
        <f>CONCATENATE(UPPER(TableAopCalendar[[#This Row],[Month]])," ",TableAopCalendar[[#This Row],[Year]])</f>
        <v>SEPTEMBER 29</v>
      </c>
      <c r="J2716" s="8" t="s">
        <v>274</v>
      </c>
      <c r="K2716" s="33" t="str">
        <f>CONCATENATE(TableAopCalendar[[#This Row],[Month for Plan]]," ",TableAopCalendar[[#This Row],[Plan]])</f>
        <v>SEPTEMBER 29 PLANNED</v>
      </c>
    </row>
    <row r="2717" spans="1:11" x14ac:dyDescent="0.25">
      <c r="A2717" s="33">
        <f t="shared" si="141"/>
        <v>6</v>
      </c>
      <c r="B2717" s="34">
        <v>47367</v>
      </c>
      <c r="C2717" s="7" t="s">
        <v>269</v>
      </c>
      <c r="D2717" s="35">
        <v>29</v>
      </c>
      <c r="E2717" s="33">
        <f>DAY(TableAopCalendar[[#This Row],[Date]])</f>
        <v>6</v>
      </c>
      <c r="F271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17" s="33" t="str">
        <f t="shared" si="142"/>
        <v>Week 1</v>
      </c>
      <c r="H2717" s="33" t="str">
        <f t="shared" si="143"/>
        <v>September 29 Week 1</v>
      </c>
      <c r="I2717" s="33" t="str">
        <f>CONCATENATE(UPPER(TableAopCalendar[[#This Row],[Month]])," ",TableAopCalendar[[#This Row],[Year]])</f>
        <v>SEPTEMBER 29</v>
      </c>
      <c r="J2717" s="8" t="s">
        <v>274</v>
      </c>
      <c r="K2717" s="33" t="str">
        <f>CONCATENATE(TableAopCalendar[[#This Row],[Month for Plan]]," ",TableAopCalendar[[#This Row],[Plan]])</f>
        <v>SEPTEMBER 29 PLANNED</v>
      </c>
    </row>
    <row r="2718" spans="1:11" x14ac:dyDescent="0.25">
      <c r="A2718" s="33">
        <f t="shared" si="141"/>
        <v>7</v>
      </c>
      <c r="B2718" s="34">
        <v>47368</v>
      </c>
      <c r="C2718" s="7" t="s">
        <v>269</v>
      </c>
      <c r="D2718" s="35">
        <v>29</v>
      </c>
      <c r="E2718" s="33">
        <f>DAY(TableAopCalendar[[#This Row],[Date]])</f>
        <v>7</v>
      </c>
      <c r="F271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18" s="33" t="str">
        <f t="shared" si="142"/>
        <v>Week 1</v>
      </c>
      <c r="H2718" s="33" t="str">
        <f t="shared" si="143"/>
        <v>September 29 Week 1</v>
      </c>
      <c r="I2718" s="33" t="str">
        <f>CONCATENATE(UPPER(TableAopCalendar[[#This Row],[Month]])," ",TableAopCalendar[[#This Row],[Year]])</f>
        <v>SEPTEMBER 29</v>
      </c>
      <c r="J2718" s="8" t="s">
        <v>274</v>
      </c>
      <c r="K2718" s="33" t="str">
        <f>CONCATENATE(TableAopCalendar[[#This Row],[Month for Plan]]," ",TableAopCalendar[[#This Row],[Plan]])</f>
        <v>SEPTEMBER 29 PLANNED</v>
      </c>
    </row>
    <row r="2719" spans="1:11" x14ac:dyDescent="0.25">
      <c r="A2719" s="33">
        <f t="shared" si="141"/>
        <v>1</v>
      </c>
      <c r="B2719" s="34">
        <v>47369</v>
      </c>
      <c r="C2719" s="7" t="s">
        <v>269</v>
      </c>
      <c r="D2719" s="35">
        <v>29</v>
      </c>
      <c r="E2719" s="33">
        <f>DAY(TableAopCalendar[[#This Row],[Date]])</f>
        <v>8</v>
      </c>
      <c r="F271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19" s="33" t="str">
        <f t="shared" si="142"/>
        <v>Week 2</v>
      </c>
      <c r="H2719" s="33" t="str">
        <f t="shared" si="143"/>
        <v>September 29 Week 2</v>
      </c>
      <c r="I2719" s="33" t="str">
        <f>CONCATENATE(UPPER(TableAopCalendar[[#This Row],[Month]])," ",TableAopCalendar[[#This Row],[Year]])</f>
        <v>SEPTEMBER 29</v>
      </c>
      <c r="J2719" s="8" t="s">
        <v>274</v>
      </c>
      <c r="K2719" s="33" t="str">
        <f>CONCATENATE(TableAopCalendar[[#This Row],[Month for Plan]]," ",TableAopCalendar[[#This Row],[Plan]])</f>
        <v>SEPTEMBER 29 PLANNED</v>
      </c>
    </row>
    <row r="2720" spans="1:11" x14ac:dyDescent="0.25">
      <c r="A2720" s="33">
        <f t="shared" si="141"/>
        <v>2</v>
      </c>
      <c r="B2720" s="34">
        <v>47370</v>
      </c>
      <c r="C2720" s="7" t="s">
        <v>269</v>
      </c>
      <c r="D2720" s="35">
        <v>29</v>
      </c>
      <c r="E2720" s="33">
        <f>DAY(TableAopCalendar[[#This Row],[Date]])</f>
        <v>9</v>
      </c>
      <c r="F272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20" s="33" t="str">
        <f t="shared" si="142"/>
        <v>Week 2</v>
      </c>
      <c r="H2720" s="33" t="str">
        <f t="shared" si="143"/>
        <v>September 29 Week 2</v>
      </c>
      <c r="I2720" s="33" t="str">
        <f>CONCATENATE(UPPER(TableAopCalendar[[#This Row],[Month]])," ",TableAopCalendar[[#This Row],[Year]])</f>
        <v>SEPTEMBER 29</v>
      </c>
      <c r="J2720" s="8" t="s">
        <v>274</v>
      </c>
      <c r="K2720" s="33" t="str">
        <f>CONCATENATE(TableAopCalendar[[#This Row],[Month for Plan]]," ",TableAopCalendar[[#This Row],[Plan]])</f>
        <v>SEPTEMBER 29 PLANNED</v>
      </c>
    </row>
    <row r="2721" spans="1:11" x14ac:dyDescent="0.25">
      <c r="A2721" s="33">
        <f t="shared" si="141"/>
        <v>3</v>
      </c>
      <c r="B2721" s="34">
        <v>47371</v>
      </c>
      <c r="C2721" s="7" t="s">
        <v>269</v>
      </c>
      <c r="D2721" s="35">
        <v>29</v>
      </c>
      <c r="E2721" s="33">
        <f>DAY(TableAopCalendar[[#This Row],[Date]])</f>
        <v>10</v>
      </c>
      <c r="F272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21" s="33" t="str">
        <f t="shared" si="142"/>
        <v>Week 2</v>
      </c>
      <c r="H2721" s="33" t="str">
        <f t="shared" si="143"/>
        <v>September 29 Week 2</v>
      </c>
      <c r="I2721" s="33" t="str">
        <f>CONCATENATE(UPPER(TableAopCalendar[[#This Row],[Month]])," ",TableAopCalendar[[#This Row],[Year]])</f>
        <v>SEPTEMBER 29</v>
      </c>
      <c r="J2721" s="8" t="s">
        <v>274</v>
      </c>
      <c r="K2721" s="33" t="str">
        <f>CONCATENATE(TableAopCalendar[[#This Row],[Month for Plan]]," ",TableAopCalendar[[#This Row],[Plan]])</f>
        <v>SEPTEMBER 29 PLANNED</v>
      </c>
    </row>
    <row r="2722" spans="1:11" x14ac:dyDescent="0.25">
      <c r="A2722" s="33">
        <f t="shared" si="141"/>
        <v>4</v>
      </c>
      <c r="B2722" s="34">
        <v>47372</v>
      </c>
      <c r="C2722" s="7" t="s">
        <v>269</v>
      </c>
      <c r="D2722" s="35">
        <v>29</v>
      </c>
      <c r="E2722" s="33">
        <f>DAY(TableAopCalendar[[#This Row],[Date]])</f>
        <v>11</v>
      </c>
      <c r="F272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22" s="33" t="str">
        <f t="shared" si="142"/>
        <v>Week 2</v>
      </c>
      <c r="H2722" s="33" t="str">
        <f t="shared" si="143"/>
        <v>September 29 Week 2</v>
      </c>
      <c r="I2722" s="33" t="str">
        <f>CONCATENATE(UPPER(TableAopCalendar[[#This Row],[Month]])," ",TableAopCalendar[[#This Row],[Year]])</f>
        <v>SEPTEMBER 29</v>
      </c>
      <c r="J2722" s="8" t="s">
        <v>274</v>
      </c>
      <c r="K2722" s="33" t="str">
        <f>CONCATENATE(TableAopCalendar[[#This Row],[Month for Plan]]," ",TableAopCalendar[[#This Row],[Plan]])</f>
        <v>SEPTEMBER 29 PLANNED</v>
      </c>
    </row>
    <row r="2723" spans="1:11" x14ac:dyDescent="0.25">
      <c r="A2723" s="33">
        <f t="shared" si="141"/>
        <v>5</v>
      </c>
      <c r="B2723" s="34">
        <v>47373</v>
      </c>
      <c r="C2723" s="7" t="s">
        <v>269</v>
      </c>
      <c r="D2723" s="35">
        <v>29</v>
      </c>
      <c r="E2723" s="33">
        <f>DAY(TableAopCalendar[[#This Row],[Date]])</f>
        <v>12</v>
      </c>
      <c r="F272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23" s="33" t="str">
        <f t="shared" si="142"/>
        <v>Week 2</v>
      </c>
      <c r="H2723" s="33" t="str">
        <f t="shared" si="143"/>
        <v>September 29 Week 2</v>
      </c>
      <c r="I2723" s="33" t="str">
        <f>CONCATENATE(UPPER(TableAopCalendar[[#This Row],[Month]])," ",TableAopCalendar[[#This Row],[Year]])</f>
        <v>SEPTEMBER 29</v>
      </c>
      <c r="J2723" s="8" t="s">
        <v>274</v>
      </c>
      <c r="K2723" s="33" t="str">
        <f>CONCATENATE(TableAopCalendar[[#This Row],[Month for Plan]]," ",TableAopCalendar[[#This Row],[Plan]])</f>
        <v>SEPTEMBER 29 PLANNED</v>
      </c>
    </row>
    <row r="2724" spans="1:11" x14ac:dyDescent="0.25">
      <c r="A2724" s="33">
        <f t="shared" ref="A2724:A2787" si="144">IF(G2724=G2723,A2723+1,1)</f>
        <v>6</v>
      </c>
      <c r="B2724" s="34">
        <v>47374</v>
      </c>
      <c r="C2724" s="7" t="s">
        <v>269</v>
      </c>
      <c r="D2724" s="35">
        <v>29</v>
      </c>
      <c r="E2724" s="33">
        <f>DAY(TableAopCalendar[[#This Row],[Date]])</f>
        <v>13</v>
      </c>
      <c r="F272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24" s="33" t="str">
        <f t="shared" ref="G2724:G2787" si="145">"Week"&amp;" "&amp;F2724</f>
        <v>Week 2</v>
      </c>
      <c r="H2724" s="33" t="str">
        <f t="shared" ref="H2724:H2787" si="146">CONCATENATE(C2724," ",D2724," ",G2724)</f>
        <v>September 29 Week 2</v>
      </c>
      <c r="I2724" s="33" t="str">
        <f>CONCATENATE(UPPER(TableAopCalendar[[#This Row],[Month]])," ",TableAopCalendar[[#This Row],[Year]])</f>
        <v>SEPTEMBER 29</v>
      </c>
      <c r="J2724" s="8" t="s">
        <v>274</v>
      </c>
      <c r="K2724" s="33" t="str">
        <f>CONCATENATE(TableAopCalendar[[#This Row],[Month for Plan]]," ",TableAopCalendar[[#This Row],[Plan]])</f>
        <v>SEPTEMBER 29 PLANNED</v>
      </c>
    </row>
    <row r="2725" spans="1:11" x14ac:dyDescent="0.25">
      <c r="A2725" s="33">
        <f t="shared" si="144"/>
        <v>7</v>
      </c>
      <c r="B2725" s="34">
        <v>47375</v>
      </c>
      <c r="C2725" s="7" t="s">
        <v>269</v>
      </c>
      <c r="D2725" s="35">
        <v>29</v>
      </c>
      <c r="E2725" s="33">
        <f>DAY(TableAopCalendar[[#This Row],[Date]])</f>
        <v>14</v>
      </c>
      <c r="F272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25" s="33" t="str">
        <f t="shared" si="145"/>
        <v>Week 2</v>
      </c>
      <c r="H2725" s="33" t="str">
        <f t="shared" si="146"/>
        <v>September 29 Week 2</v>
      </c>
      <c r="I2725" s="33" t="str">
        <f>CONCATENATE(UPPER(TableAopCalendar[[#This Row],[Month]])," ",TableAopCalendar[[#This Row],[Year]])</f>
        <v>SEPTEMBER 29</v>
      </c>
      <c r="J2725" s="8" t="s">
        <v>274</v>
      </c>
      <c r="K2725" s="33" t="str">
        <f>CONCATENATE(TableAopCalendar[[#This Row],[Month for Plan]]," ",TableAopCalendar[[#This Row],[Plan]])</f>
        <v>SEPTEMBER 29 PLANNED</v>
      </c>
    </row>
    <row r="2726" spans="1:11" x14ac:dyDescent="0.25">
      <c r="A2726" s="33">
        <f t="shared" si="144"/>
        <v>1</v>
      </c>
      <c r="B2726" s="34">
        <v>47376</v>
      </c>
      <c r="C2726" s="7" t="s">
        <v>269</v>
      </c>
      <c r="D2726" s="35">
        <v>29</v>
      </c>
      <c r="E2726" s="33">
        <f>DAY(TableAopCalendar[[#This Row],[Date]])</f>
        <v>15</v>
      </c>
      <c r="F272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26" s="33" t="str">
        <f t="shared" si="145"/>
        <v>Week 3</v>
      </c>
      <c r="H2726" s="33" t="str">
        <f t="shared" si="146"/>
        <v>September 29 Week 3</v>
      </c>
      <c r="I2726" s="33" t="str">
        <f>CONCATENATE(UPPER(TableAopCalendar[[#This Row],[Month]])," ",TableAopCalendar[[#This Row],[Year]])</f>
        <v>SEPTEMBER 29</v>
      </c>
      <c r="J2726" s="8" t="s">
        <v>274</v>
      </c>
      <c r="K2726" s="33" t="str">
        <f>CONCATENATE(TableAopCalendar[[#This Row],[Month for Plan]]," ",TableAopCalendar[[#This Row],[Plan]])</f>
        <v>SEPTEMBER 29 PLANNED</v>
      </c>
    </row>
    <row r="2727" spans="1:11" x14ac:dyDescent="0.25">
      <c r="A2727" s="33">
        <f t="shared" si="144"/>
        <v>2</v>
      </c>
      <c r="B2727" s="34">
        <v>47377</v>
      </c>
      <c r="C2727" s="7" t="s">
        <v>269</v>
      </c>
      <c r="D2727" s="35">
        <v>29</v>
      </c>
      <c r="E2727" s="33">
        <f>DAY(TableAopCalendar[[#This Row],[Date]])</f>
        <v>16</v>
      </c>
      <c r="F272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27" s="33" t="str">
        <f t="shared" si="145"/>
        <v>Week 3</v>
      </c>
      <c r="H2727" s="33" t="str">
        <f t="shared" si="146"/>
        <v>September 29 Week 3</v>
      </c>
      <c r="I2727" s="33" t="str">
        <f>CONCATENATE(UPPER(TableAopCalendar[[#This Row],[Month]])," ",TableAopCalendar[[#This Row],[Year]])</f>
        <v>SEPTEMBER 29</v>
      </c>
      <c r="J2727" s="8" t="s">
        <v>274</v>
      </c>
      <c r="K2727" s="33" t="str">
        <f>CONCATENATE(TableAopCalendar[[#This Row],[Month for Plan]]," ",TableAopCalendar[[#This Row],[Plan]])</f>
        <v>SEPTEMBER 29 PLANNED</v>
      </c>
    </row>
    <row r="2728" spans="1:11" x14ac:dyDescent="0.25">
      <c r="A2728" s="33">
        <f t="shared" si="144"/>
        <v>3</v>
      </c>
      <c r="B2728" s="34">
        <v>47378</v>
      </c>
      <c r="C2728" s="7" t="s">
        <v>269</v>
      </c>
      <c r="D2728" s="35">
        <v>29</v>
      </c>
      <c r="E2728" s="33">
        <f>DAY(TableAopCalendar[[#This Row],[Date]])</f>
        <v>17</v>
      </c>
      <c r="F272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28" s="33" t="str">
        <f t="shared" si="145"/>
        <v>Week 3</v>
      </c>
      <c r="H2728" s="33" t="str">
        <f t="shared" si="146"/>
        <v>September 29 Week 3</v>
      </c>
      <c r="I2728" s="33" t="str">
        <f>CONCATENATE(UPPER(TableAopCalendar[[#This Row],[Month]])," ",TableAopCalendar[[#This Row],[Year]])</f>
        <v>SEPTEMBER 29</v>
      </c>
      <c r="J2728" s="8" t="s">
        <v>274</v>
      </c>
      <c r="K2728" s="33" t="str">
        <f>CONCATENATE(TableAopCalendar[[#This Row],[Month for Plan]]," ",TableAopCalendar[[#This Row],[Plan]])</f>
        <v>SEPTEMBER 29 PLANNED</v>
      </c>
    </row>
    <row r="2729" spans="1:11" x14ac:dyDescent="0.25">
      <c r="A2729" s="33">
        <f t="shared" si="144"/>
        <v>4</v>
      </c>
      <c r="B2729" s="34">
        <v>47379</v>
      </c>
      <c r="C2729" s="7" t="s">
        <v>269</v>
      </c>
      <c r="D2729" s="35">
        <v>29</v>
      </c>
      <c r="E2729" s="33">
        <f>DAY(TableAopCalendar[[#This Row],[Date]])</f>
        <v>18</v>
      </c>
      <c r="F272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29" s="33" t="str">
        <f t="shared" si="145"/>
        <v>Week 3</v>
      </c>
      <c r="H2729" s="33" t="str">
        <f t="shared" si="146"/>
        <v>September 29 Week 3</v>
      </c>
      <c r="I2729" s="33" t="str">
        <f>CONCATENATE(UPPER(TableAopCalendar[[#This Row],[Month]])," ",TableAopCalendar[[#This Row],[Year]])</f>
        <v>SEPTEMBER 29</v>
      </c>
      <c r="J2729" s="8" t="s">
        <v>274</v>
      </c>
      <c r="K2729" s="33" t="str">
        <f>CONCATENATE(TableAopCalendar[[#This Row],[Month for Plan]]," ",TableAopCalendar[[#This Row],[Plan]])</f>
        <v>SEPTEMBER 29 PLANNED</v>
      </c>
    </row>
    <row r="2730" spans="1:11" x14ac:dyDescent="0.25">
      <c r="A2730" s="33">
        <f t="shared" si="144"/>
        <v>5</v>
      </c>
      <c r="B2730" s="34">
        <v>47380</v>
      </c>
      <c r="C2730" s="7" t="s">
        <v>269</v>
      </c>
      <c r="D2730" s="35">
        <v>29</v>
      </c>
      <c r="E2730" s="33">
        <f>DAY(TableAopCalendar[[#This Row],[Date]])</f>
        <v>19</v>
      </c>
      <c r="F273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30" s="33" t="str">
        <f t="shared" si="145"/>
        <v>Week 3</v>
      </c>
      <c r="H2730" s="33" t="str">
        <f t="shared" si="146"/>
        <v>September 29 Week 3</v>
      </c>
      <c r="I2730" s="33" t="str">
        <f>CONCATENATE(UPPER(TableAopCalendar[[#This Row],[Month]])," ",TableAopCalendar[[#This Row],[Year]])</f>
        <v>SEPTEMBER 29</v>
      </c>
      <c r="J2730" s="8" t="s">
        <v>274</v>
      </c>
      <c r="K2730" s="33" t="str">
        <f>CONCATENATE(TableAopCalendar[[#This Row],[Month for Plan]]," ",TableAopCalendar[[#This Row],[Plan]])</f>
        <v>SEPTEMBER 29 PLANNED</v>
      </c>
    </row>
    <row r="2731" spans="1:11" x14ac:dyDescent="0.25">
      <c r="A2731" s="33">
        <f t="shared" si="144"/>
        <v>6</v>
      </c>
      <c r="B2731" s="34">
        <v>47381</v>
      </c>
      <c r="C2731" s="7" t="s">
        <v>269</v>
      </c>
      <c r="D2731" s="35">
        <v>29</v>
      </c>
      <c r="E2731" s="33">
        <f>DAY(TableAopCalendar[[#This Row],[Date]])</f>
        <v>20</v>
      </c>
      <c r="F273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31" s="33" t="str">
        <f t="shared" si="145"/>
        <v>Week 3</v>
      </c>
      <c r="H2731" s="33" t="str">
        <f t="shared" si="146"/>
        <v>September 29 Week 3</v>
      </c>
      <c r="I2731" s="33" t="str">
        <f>CONCATENATE(UPPER(TableAopCalendar[[#This Row],[Month]])," ",TableAopCalendar[[#This Row],[Year]])</f>
        <v>SEPTEMBER 29</v>
      </c>
      <c r="J2731" s="8" t="s">
        <v>274</v>
      </c>
      <c r="K2731" s="33" t="str">
        <f>CONCATENATE(TableAopCalendar[[#This Row],[Month for Plan]]," ",TableAopCalendar[[#This Row],[Plan]])</f>
        <v>SEPTEMBER 29 PLANNED</v>
      </c>
    </row>
    <row r="2732" spans="1:11" x14ac:dyDescent="0.25">
      <c r="A2732" s="33">
        <f t="shared" si="144"/>
        <v>7</v>
      </c>
      <c r="B2732" s="34">
        <v>47382</v>
      </c>
      <c r="C2732" s="7" t="s">
        <v>269</v>
      </c>
      <c r="D2732" s="35">
        <v>29</v>
      </c>
      <c r="E2732" s="33">
        <f>DAY(TableAopCalendar[[#This Row],[Date]])</f>
        <v>21</v>
      </c>
      <c r="F273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32" s="33" t="str">
        <f t="shared" si="145"/>
        <v>Week 3</v>
      </c>
      <c r="H2732" s="33" t="str">
        <f t="shared" si="146"/>
        <v>September 29 Week 3</v>
      </c>
      <c r="I2732" s="33" t="str">
        <f>CONCATENATE(UPPER(TableAopCalendar[[#This Row],[Month]])," ",TableAopCalendar[[#This Row],[Year]])</f>
        <v>SEPTEMBER 29</v>
      </c>
      <c r="J2732" s="8" t="s">
        <v>274</v>
      </c>
      <c r="K2732" s="33" t="str">
        <f>CONCATENATE(TableAopCalendar[[#This Row],[Month for Plan]]," ",TableAopCalendar[[#This Row],[Plan]])</f>
        <v>SEPTEMBER 29 PLANNED</v>
      </c>
    </row>
    <row r="2733" spans="1:11" x14ac:dyDescent="0.25">
      <c r="A2733" s="33">
        <f t="shared" si="144"/>
        <v>1</v>
      </c>
      <c r="B2733" s="34">
        <v>47383</v>
      </c>
      <c r="C2733" s="7" t="s">
        <v>269</v>
      </c>
      <c r="D2733" s="35">
        <v>29</v>
      </c>
      <c r="E2733" s="33">
        <f>DAY(TableAopCalendar[[#This Row],[Date]])</f>
        <v>22</v>
      </c>
      <c r="F273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3" s="33" t="str">
        <f t="shared" si="145"/>
        <v>Week 4</v>
      </c>
      <c r="H2733" s="33" t="str">
        <f t="shared" si="146"/>
        <v>September 29 Week 4</v>
      </c>
      <c r="I2733" s="33" t="str">
        <f>CONCATENATE(UPPER(TableAopCalendar[[#This Row],[Month]])," ",TableAopCalendar[[#This Row],[Year]])</f>
        <v>SEPTEMBER 29</v>
      </c>
      <c r="J2733" s="8" t="s">
        <v>274</v>
      </c>
      <c r="K2733" s="33" t="str">
        <f>CONCATENATE(TableAopCalendar[[#This Row],[Month for Plan]]," ",TableAopCalendar[[#This Row],[Plan]])</f>
        <v>SEPTEMBER 29 PLANNED</v>
      </c>
    </row>
    <row r="2734" spans="1:11" x14ac:dyDescent="0.25">
      <c r="A2734" s="33">
        <f t="shared" si="144"/>
        <v>2</v>
      </c>
      <c r="B2734" s="34">
        <v>47384</v>
      </c>
      <c r="C2734" s="7" t="s">
        <v>269</v>
      </c>
      <c r="D2734" s="35">
        <v>29</v>
      </c>
      <c r="E2734" s="33">
        <f>DAY(TableAopCalendar[[#This Row],[Date]])</f>
        <v>23</v>
      </c>
      <c r="F273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4" s="33" t="str">
        <f t="shared" si="145"/>
        <v>Week 4</v>
      </c>
      <c r="H2734" s="33" t="str">
        <f t="shared" si="146"/>
        <v>September 29 Week 4</v>
      </c>
      <c r="I2734" s="33" t="str">
        <f>CONCATENATE(UPPER(TableAopCalendar[[#This Row],[Month]])," ",TableAopCalendar[[#This Row],[Year]])</f>
        <v>SEPTEMBER 29</v>
      </c>
      <c r="J2734" s="8" t="s">
        <v>274</v>
      </c>
      <c r="K2734" s="33" t="str">
        <f>CONCATENATE(TableAopCalendar[[#This Row],[Month for Plan]]," ",TableAopCalendar[[#This Row],[Plan]])</f>
        <v>SEPTEMBER 29 PLANNED</v>
      </c>
    </row>
    <row r="2735" spans="1:11" x14ac:dyDescent="0.25">
      <c r="A2735" s="33">
        <f t="shared" si="144"/>
        <v>3</v>
      </c>
      <c r="B2735" s="34">
        <v>47385</v>
      </c>
      <c r="C2735" s="7" t="s">
        <v>269</v>
      </c>
      <c r="D2735" s="35">
        <v>29</v>
      </c>
      <c r="E2735" s="33">
        <f>DAY(TableAopCalendar[[#This Row],[Date]])</f>
        <v>24</v>
      </c>
      <c r="F273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5" s="33" t="str">
        <f t="shared" si="145"/>
        <v>Week 4</v>
      </c>
      <c r="H2735" s="33" t="str">
        <f t="shared" si="146"/>
        <v>September 29 Week 4</v>
      </c>
      <c r="I2735" s="33" t="str">
        <f>CONCATENATE(UPPER(TableAopCalendar[[#This Row],[Month]])," ",TableAopCalendar[[#This Row],[Year]])</f>
        <v>SEPTEMBER 29</v>
      </c>
      <c r="J2735" s="8" t="s">
        <v>274</v>
      </c>
      <c r="K2735" s="33" t="str">
        <f>CONCATENATE(TableAopCalendar[[#This Row],[Month for Plan]]," ",TableAopCalendar[[#This Row],[Plan]])</f>
        <v>SEPTEMBER 29 PLANNED</v>
      </c>
    </row>
    <row r="2736" spans="1:11" x14ac:dyDescent="0.25">
      <c r="A2736" s="33">
        <f t="shared" si="144"/>
        <v>4</v>
      </c>
      <c r="B2736" s="34">
        <v>47386</v>
      </c>
      <c r="C2736" s="7" t="s">
        <v>269</v>
      </c>
      <c r="D2736" s="35">
        <v>29</v>
      </c>
      <c r="E2736" s="33">
        <f>DAY(TableAopCalendar[[#This Row],[Date]])</f>
        <v>25</v>
      </c>
      <c r="F273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6" s="33" t="str">
        <f t="shared" si="145"/>
        <v>Week 4</v>
      </c>
      <c r="H2736" s="33" t="str">
        <f t="shared" si="146"/>
        <v>September 29 Week 4</v>
      </c>
      <c r="I2736" s="33" t="str">
        <f>CONCATENATE(UPPER(TableAopCalendar[[#This Row],[Month]])," ",TableAopCalendar[[#This Row],[Year]])</f>
        <v>SEPTEMBER 29</v>
      </c>
      <c r="J2736" s="8" t="s">
        <v>274</v>
      </c>
      <c r="K2736" s="33" t="str">
        <f>CONCATENATE(TableAopCalendar[[#This Row],[Month for Plan]]," ",TableAopCalendar[[#This Row],[Plan]])</f>
        <v>SEPTEMBER 29 PLANNED</v>
      </c>
    </row>
    <row r="2737" spans="1:11" x14ac:dyDescent="0.25">
      <c r="A2737" s="33">
        <f t="shared" si="144"/>
        <v>5</v>
      </c>
      <c r="B2737" s="34">
        <v>47387</v>
      </c>
      <c r="C2737" s="7" t="s">
        <v>269</v>
      </c>
      <c r="D2737" s="35">
        <v>29</v>
      </c>
      <c r="E2737" s="33">
        <f>DAY(TableAopCalendar[[#This Row],[Date]])</f>
        <v>26</v>
      </c>
      <c r="F273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7" s="33" t="str">
        <f t="shared" si="145"/>
        <v>Week 4</v>
      </c>
      <c r="H2737" s="33" t="str">
        <f t="shared" si="146"/>
        <v>September 29 Week 4</v>
      </c>
      <c r="I2737" s="33" t="str">
        <f>CONCATENATE(UPPER(TableAopCalendar[[#This Row],[Month]])," ",TableAopCalendar[[#This Row],[Year]])</f>
        <v>SEPTEMBER 29</v>
      </c>
      <c r="J2737" s="8" t="s">
        <v>274</v>
      </c>
      <c r="K2737" s="33" t="str">
        <f>CONCATENATE(TableAopCalendar[[#This Row],[Month for Plan]]," ",TableAopCalendar[[#This Row],[Plan]])</f>
        <v>SEPTEMBER 29 PLANNED</v>
      </c>
    </row>
    <row r="2738" spans="1:11" x14ac:dyDescent="0.25">
      <c r="A2738" s="33">
        <f t="shared" si="144"/>
        <v>6</v>
      </c>
      <c r="B2738" s="34">
        <v>47388</v>
      </c>
      <c r="C2738" s="7" t="s">
        <v>269</v>
      </c>
      <c r="D2738" s="35">
        <v>29</v>
      </c>
      <c r="E2738" s="33">
        <f>DAY(TableAopCalendar[[#This Row],[Date]])</f>
        <v>27</v>
      </c>
      <c r="F273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8" s="33" t="str">
        <f t="shared" si="145"/>
        <v>Week 4</v>
      </c>
      <c r="H2738" s="33" t="str">
        <f t="shared" si="146"/>
        <v>September 29 Week 4</v>
      </c>
      <c r="I2738" s="33" t="str">
        <f>CONCATENATE(UPPER(TableAopCalendar[[#This Row],[Month]])," ",TableAopCalendar[[#This Row],[Year]])</f>
        <v>SEPTEMBER 29</v>
      </c>
      <c r="J2738" s="8" t="s">
        <v>274</v>
      </c>
      <c r="K2738" s="33" t="str">
        <f>CONCATENATE(TableAopCalendar[[#This Row],[Month for Plan]]," ",TableAopCalendar[[#This Row],[Plan]])</f>
        <v>SEPTEMBER 29 PLANNED</v>
      </c>
    </row>
    <row r="2739" spans="1:11" x14ac:dyDescent="0.25">
      <c r="A2739" s="33">
        <f t="shared" si="144"/>
        <v>7</v>
      </c>
      <c r="B2739" s="34">
        <v>47389</v>
      </c>
      <c r="C2739" s="7" t="s">
        <v>269</v>
      </c>
      <c r="D2739" s="35">
        <v>29</v>
      </c>
      <c r="E2739" s="33">
        <f>DAY(TableAopCalendar[[#This Row],[Date]])</f>
        <v>28</v>
      </c>
      <c r="F273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39" s="33" t="str">
        <f t="shared" si="145"/>
        <v>Week 4</v>
      </c>
      <c r="H2739" s="33" t="str">
        <f t="shared" si="146"/>
        <v>September 29 Week 4</v>
      </c>
      <c r="I2739" s="33" t="str">
        <f>CONCATENATE(UPPER(TableAopCalendar[[#This Row],[Month]])," ",TableAopCalendar[[#This Row],[Year]])</f>
        <v>SEPTEMBER 29</v>
      </c>
      <c r="J2739" s="8" t="s">
        <v>274</v>
      </c>
      <c r="K2739" s="33" t="str">
        <f>CONCATENATE(TableAopCalendar[[#This Row],[Month for Plan]]," ",TableAopCalendar[[#This Row],[Plan]])</f>
        <v>SEPTEMBER 29 PLANNED</v>
      </c>
    </row>
    <row r="2740" spans="1:11" x14ac:dyDescent="0.25">
      <c r="A2740" s="33">
        <f t="shared" si="144"/>
        <v>1</v>
      </c>
      <c r="B2740" s="34">
        <v>47390</v>
      </c>
      <c r="C2740" s="7" t="s">
        <v>269</v>
      </c>
      <c r="D2740" s="35">
        <v>29</v>
      </c>
      <c r="E2740" s="33">
        <f>DAY(TableAopCalendar[[#This Row],[Date]])</f>
        <v>29</v>
      </c>
      <c r="F2740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40" s="33" t="str">
        <f t="shared" si="145"/>
        <v>Week 5</v>
      </c>
      <c r="H2740" s="33" t="str">
        <f t="shared" si="146"/>
        <v>September 29 Week 5</v>
      </c>
      <c r="I2740" s="33" t="str">
        <f>CONCATENATE(UPPER(TableAopCalendar[[#This Row],[Month]])," ",TableAopCalendar[[#This Row],[Year]])</f>
        <v>SEPTEMBER 29</v>
      </c>
      <c r="J2740" s="8" t="s">
        <v>274</v>
      </c>
      <c r="K2740" s="33" t="str">
        <f>CONCATENATE(TableAopCalendar[[#This Row],[Month for Plan]]," ",TableAopCalendar[[#This Row],[Plan]])</f>
        <v>SEPTEMBER 29 PLANNED</v>
      </c>
    </row>
    <row r="2741" spans="1:11" x14ac:dyDescent="0.25">
      <c r="A2741" s="33">
        <f t="shared" si="144"/>
        <v>2</v>
      </c>
      <c r="B2741" s="34">
        <v>47391</v>
      </c>
      <c r="C2741" s="7" t="s">
        <v>269</v>
      </c>
      <c r="D2741" s="35">
        <v>29</v>
      </c>
      <c r="E2741" s="33">
        <f>DAY(TableAopCalendar[[#This Row],[Date]])</f>
        <v>30</v>
      </c>
      <c r="F274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41" s="33" t="str">
        <f t="shared" si="145"/>
        <v>Week 5</v>
      </c>
      <c r="H2741" s="33" t="str">
        <f t="shared" si="146"/>
        <v>September 29 Week 5</v>
      </c>
      <c r="I2741" s="33" t="str">
        <f>CONCATENATE(UPPER(TableAopCalendar[[#This Row],[Month]])," ",TableAopCalendar[[#This Row],[Year]])</f>
        <v>SEPTEMBER 29</v>
      </c>
      <c r="J2741" s="8" t="s">
        <v>274</v>
      </c>
      <c r="K2741" s="33" t="str">
        <f>CONCATENATE(TableAopCalendar[[#This Row],[Month for Plan]]," ",TableAopCalendar[[#This Row],[Plan]])</f>
        <v>SEPTEMBER 29 PLANNED</v>
      </c>
    </row>
    <row r="2742" spans="1:11" x14ac:dyDescent="0.25">
      <c r="A2742" s="33">
        <f t="shared" si="144"/>
        <v>1</v>
      </c>
      <c r="B2742" s="34">
        <v>47392</v>
      </c>
      <c r="C2742" s="7" t="s">
        <v>114</v>
      </c>
      <c r="D2742" s="35">
        <v>29</v>
      </c>
      <c r="E2742" s="33">
        <f>DAY(TableAopCalendar[[#This Row],[Date]])</f>
        <v>1</v>
      </c>
      <c r="F2742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42" s="33" t="str">
        <f t="shared" si="145"/>
        <v>Week 1</v>
      </c>
      <c r="H2742" s="33" t="str">
        <f t="shared" si="146"/>
        <v>October 29 Week 1</v>
      </c>
      <c r="I2742" s="33" t="str">
        <f>CONCATENATE(UPPER(TableAopCalendar[[#This Row],[Month]])," ",TableAopCalendar[[#This Row],[Year]])</f>
        <v>OCTOBER 29</v>
      </c>
      <c r="J2742" s="8" t="s">
        <v>274</v>
      </c>
      <c r="K2742" s="33" t="str">
        <f>CONCATENATE(TableAopCalendar[[#This Row],[Month for Plan]]," ",TableAopCalendar[[#This Row],[Plan]])</f>
        <v>OCTOBER 29 PLANNED</v>
      </c>
    </row>
    <row r="2743" spans="1:11" x14ac:dyDescent="0.25">
      <c r="A2743" s="33">
        <f t="shared" si="144"/>
        <v>2</v>
      </c>
      <c r="B2743" s="34">
        <v>47393</v>
      </c>
      <c r="C2743" s="7" t="s">
        <v>114</v>
      </c>
      <c r="D2743" s="35">
        <v>29</v>
      </c>
      <c r="E2743" s="33">
        <f>DAY(TableAopCalendar[[#This Row],[Date]])</f>
        <v>2</v>
      </c>
      <c r="F274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43" s="33" t="str">
        <f t="shared" si="145"/>
        <v>Week 1</v>
      </c>
      <c r="H2743" s="33" t="str">
        <f t="shared" si="146"/>
        <v>October 29 Week 1</v>
      </c>
      <c r="I2743" s="33" t="str">
        <f>CONCATENATE(UPPER(TableAopCalendar[[#This Row],[Month]])," ",TableAopCalendar[[#This Row],[Year]])</f>
        <v>OCTOBER 29</v>
      </c>
      <c r="J2743" s="8" t="s">
        <v>274</v>
      </c>
      <c r="K2743" s="33" t="str">
        <f>CONCATENATE(TableAopCalendar[[#This Row],[Month for Plan]]," ",TableAopCalendar[[#This Row],[Plan]])</f>
        <v>OCTOBER 29 PLANNED</v>
      </c>
    </row>
    <row r="2744" spans="1:11" x14ac:dyDescent="0.25">
      <c r="A2744" s="33">
        <f t="shared" si="144"/>
        <v>3</v>
      </c>
      <c r="B2744" s="34">
        <v>47394</v>
      </c>
      <c r="C2744" s="7" t="s">
        <v>114</v>
      </c>
      <c r="D2744" s="35">
        <v>29</v>
      </c>
      <c r="E2744" s="33">
        <f>DAY(TableAopCalendar[[#This Row],[Date]])</f>
        <v>3</v>
      </c>
      <c r="F274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44" s="33" t="str">
        <f t="shared" si="145"/>
        <v>Week 1</v>
      </c>
      <c r="H2744" s="33" t="str">
        <f t="shared" si="146"/>
        <v>October 29 Week 1</v>
      </c>
      <c r="I2744" s="33" t="str">
        <f>CONCATENATE(UPPER(TableAopCalendar[[#This Row],[Month]])," ",TableAopCalendar[[#This Row],[Year]])</f>
        <v>OCTOBER 29</v>
      </c>
      <c r="J2744" s="8" t="s">
        <v>274</v>
      </c>
      <c r="K2744" s="33" t="str">
        <f>CONCATENATE(TableAopCalendar[[#This Row],[Month for Plan]]," ",TableAopCalendar[[#This Row],[Plan]])</f>
        <v>OCTOBER 29 PLANNED</v>
      </c>
    </row>
    <row r="2745" spans="1:11" x14ac:dyDescent="0.25">
      <c r="A2745" s="33">
        <f t="shared" si="144"/>
        <v>4</v>
      </c>
      <c r="B2745" s="34">
        <v>47395</v>
      </c>
      <c r="C2745" s="7" t="s">
        <v>114</v>
      </c>
      <c r="D2745" s="35">
        <v>29</v>
      </c>
      <c r="E2745" s="33">
        <f>DAY(TableAopCalendar[[#This Row],[Date]])</f>
        <v>4</v>
      </c>
      <c r="F274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45" s="33" t="str">
        <f t="shared" si="145"/>
        <v>Week 1</v>
      </c>
      <c r="H2745" s="33" t="str">
        <f t="shared" si="146"/>
        <v>October 29 Week 1</v>
      </c>
      <c r="I2745" s="33" t="str">
        <f>CONCATENATE(UPPER(TableAopCalendar[[#This Row],[Month]])," ",TableAopCalendar[[#This Row],[Year]])</f>
        <v>OCTOBER 29</v>
      </c>
      <c r="J2745" s="8" t="s">
        <v>274</v>
      </c>
      <c r="K2745" s="33" t="str">
        <f>CONCATENATE(TableAopCalendar[[#This Row],[Month for Plan]]," ",TableAopCalendar[[#This Row],[Plan]])</f>
        <v>OCTOBER 29 PLANNED</v>
      </c>
    </row>
    <row r="2746" spans="1:11" x14ac:dyDescent="0.25">
      <c r="A2746" s="33">
        <f t="shared" si="144"/>
        <v>5</v>
      </c>
      <c r="B2746" s="34">
        <v>47396</v>
      </c>
      <c r="C2746" s="7" t="s">
        <v>114</v>
      </c>
      <c r="D2746" s="35">
        <v>29</v>
      </c>
      <c r="E2746" s="33">
        <f>DAY(TableAopCalendar[[#This Row],[Date]])</f>
        <v>5</v>
      </c>
      <c r="F274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46" s="33" t="str">
        <f t="shared" si="145"/>
        <v>Week 1</v>
      </c>
      <c r="H2746" s="33" t="str">
        <f t="shared" si="146"/>
        <v>October 29 Week 1</v>
      </c>
      <c r="I2746" s="33" t="str">
        <f>CONCATENATE(UPPER(TableAopCalendar[[#This Row],[Month]])," ",TableAopCalendar[[#This Row],[Year]])</f>
        <v>OCTOBER 29</v>
      </c>
      <c r="J2746" s="8" t="s">
        <v>274</v>
      </c>
      <c r="K2746" s="33" t="str">
        <f>CONCATENATE(TableAopCalendar[[#This Row],[Month for Plan]]," ",TableAopCalendar[[#This Row],[Plan]])</f>
        <v>OCTOBER 29 PLANNED</v>
      </c>
    </row>
    <row r="2747" spans="1:11" x14ac:dyDescent="0.25">
      <c r="A2747" s="33">
        <f t="shared" si="144"/>
        <v>6</v>
      </c>
      <c r="B2747" s="34">
        <v>47397</v>
      </c>
      <c r="C2747" s="7" t="s">
        <v>114</v>
      </c>
      <c r="D2747" s="35">
        <v>29</v>
      </c>
      <c r="E2747" s="33">
        <f>DAY(TableAopCalendar[[#This Row],[Date]])</f>
        <v>6</v>
      </c>
      <c r="F274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47" s="33" t="str">
        <f t="shared" si="145"/>
        <v>Week 1</v>
      </c>
      <c r="H2747" s="33" t="str">
        <f t="shared" si="146"/>
        <v>October 29 Week 1</v>
      </c>
      <c r="I2747" s="33" t="str">
        <f>CONCATENATE(UPPER(TableAopCalendar[[#This Row],[Month]])," ",TableAopCalendar[[#This Row],[Year]])</f>
        <v>OCTOBER 29</v>
      </c>
      <c r="J2747" s="8" t="s">
        <v>274</v>
      </c>
      <c r="K2747" s="33" t="str">
        <f>CONCATENATE(TableAopCalendar[[#This Row],[Month for Plan]]," ",TableAopCalendar[[#This Row],[Plan]])</f>
        <v>OCTOBER 29 PLANNED</v>
      </c>
    </row>
    <row r="2748" spans="1:11" x14ac:dyDescent="0.25">
      <c r="A2748" s="33">
        <f t="shared" si="144"/>
        <v>7</v>
      </c>
      <c r="B2748" s="34">
        <v>47398</v>
      </c>
      <c r="C2748" s="7" t="s">
        <v>114</v>
      </c>
      <c r="D2748" s="35">
        <v>29</v>
      </c>
      <c r="E2748" s="33">
        <f>DAY(TableAopCalendar[[#This Row],[Date]])</f>
        <v>7</v>
      </c>
      <c r="F274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48" s="33" t="str">
        <f t="shared" si="145"/>
        <v>Week 1</v>
      </c>
      <c r="H2748" s="33" t="str">
        <f t="shared" si="146"/>
        <v>October 29 Week 1</v>
      </c>
      <c r="I2748" s="33" t="str">
        <f>CONCATENATE(UPPER(TableAopCalendar[[#This Row],[Month]])," ",TableAopCalendar[[#This Row],[Year]])</f>
        <v>OCTOBER 29</v>
      </c>
      <c r="J2748" s="8" t="s">
        <v>274</v>
      </c>
      <c r="K2748" s="33" t="str">
        <f>CONCATENATE(TableAopCalendar[[#This Row],[Month for Plan]]," ",TableAopCalendar[[#This Row],[Plan]])</f>
        <v>OCTOBER 29 PLANNED</v>
      </c>
    </row>
    <row r="2749" spans="1:11" x14ac:dyDescent="0.25">
      <c r="A2749" s="33">
        <f t="shared" si="144"/>
        <v>1</v>
      </c>
      <c r="B2749" s="34">
        <v>47399</v>
      </c>
      <c r="C2749" s="7" t="s">
        <v>114</v>
      </c>
      <c r="D2749" s="35">
        <v>29</v>
      </c>
      <c r="E2749" s="33">
        <f>DAY(TableAopCalendar[[#This Row],[Date]])</f>
        <v>8</v>
      </c>
      <c r="F2749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49" s="33" t="str">
        <f t="shared" si="145"/>
        <v>Week 2</v>
      </c>
      <c r="H2749" s="33" t="str">
        <f t="shared" si="146"/>
        <v>October 29 Week 2</v>
      </c>
      <c r="I2749" s="33" t="str">
        <f>CONCATENATE(UPPER(TableAopCalendar[[#This Row],[Month]])," ",TableAopCalendar[[#This Row],[Year]])</f>
        <v>OCTOBER 29</v>
      </c>
      <c r="J2749" s="8" t="s">
        <v>274</v>
      </c>
      <c r="K2749" s="33" t="str">
        <f>CONCATENATE(TableAopCalendar[[#This Row],[Month for Plan]]," ",TableAopCalendar[[#This Row],[Plan]])</f>
        <v>OCTOBER 29 PLANNED</v>
      </c>
    </row>
    <row r="2750" spans="1:11" x14ac:dyDescent="0.25">
      <c r="A2750" s="33">
        <f t="shared" si="144"/>
        <v>2</v>
      </c>
      <c r="B2750" s="34">
        <v>47400</v>
      </c>
      <c r="C2750" s="7" t="s">
        <v>114</v>
      </c>
      <c r="D2750" s="35">
        <v>29</v>
      </c>
      <c r="E2750" s="33">
        <f>DAY(TableAopCalendar[[#This Row],[Date]])</f>
        <v>9</v>
      </c>
      <c r="F275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50" s="33" t="str">
        <f t="shared" si="145"/>
        <v>Week 2</v>
      </c>
      <c r="H2750" s="33" t="str">
        <f t="shared" si="146"/>
        <v>October 29 Week 2</v>
      </c>
      <c r="I2750" s="33" t="str">
        <f>CONCATENATE(UPPER(TableAopCalendar[[#This Row],[Month]])," ",TableAopCalendar[[#This Row],[Year]])</f>
        <v>OCTOBER 29</v>
      </c>
      <c r="J2750" s="8" t="s">
        <v>274</v>
      </c>
      <c r="K2750" s="33" t="str">
        <f>CONCATENATE(TableAopCalendar[[#This Row],[Month for Plan]]," ",TableAopCalendar[[#This Row],[Plan]])</f>
        <v>OCTOBER 29 PLANNED</v>
      </c>
    </row>
    <row r="2751" spans="1:11" x14ac:dyDescent="0.25">
      <c r="A2751" s="33">
        <f t="shared" si="144"/>
        <v>3</v>
      </c>
      <c r="B2751" s="34">
        <v>47401</v>
      </c>
      <c r="C2751" s="7" t="s">
        <v>114</v>
      </c>
      <c r="D2751" s="35">
        <v>29</v>
      </c>
      <c r="E2751" s="33">
        <f>DAY(TableAopCalendar[[#This Row],[Date]])</f>
        <v>10</v>
      </c>
      <c r="F275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51" s="33" t="str">
        <f t="shared" si="145"/>
        <v>Week 2</v>
      </c>
      <c r="H2751" s="33" t="str">
        <f t="shared" si="146"/>
        <v>October 29 Week 2</v>
      </c>
      <c r="I2751" s="33" t="str">
        <f>CONCATENATE(UPPER(TableAopCalendar[[#This Row],[Month]])," ",TableAopCalendar[[#This Row],[Year]])</f>
        <v>OCTOBER 29</v>
      </c>
      <c r="J2751" s="8" t="s">
        <v>274</v>
      </c>
      <c r="K2751" s="33" t="str">
        <f>CONCATENATE(TableAopCalendar[[#This Row],[Month for Plan]]," ",TableAopCalendar[[#This Row],[Plan]])</f>
        <v>OCTOBER 29 PLANNED</v>
      </c>
    </row>
    <row r="2752" spans="1:11" x14ac:dyDescent="0.25">
      <c r="A2752" s="33">
        <f t="shared" si="144"/>
        <v>4</v>
      </c>
      <c r="B2752" s="34">
        <v>47402</v>
      </c>
      <c r="C2752" s="7" t="s">
        <v>114</v>
      </c>
      <c r="D2752" s="35">
        <v>29</v>
      </c>
      <c r="E2752" s="33">
        <f>DAY(TableAopCalendar[[#This Row],[Date]])</f>
        <v>11</v>
      </c>
      <c r="F275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52" s="33" t="str">
        <f t="shared" si="145"/>
        <v>Week 2</v>
      </c>
      <c r="H2752" s="33" t="str">
        <f t="shared" si="146"/>
        <v>October 29 Week 2</v>
      </c>
      <c r="I2752" s="33" t="str">
        <f>CONCATENATE(UPPER(TableAopCalendar[[#This Row],[Month]])," ",TableAopCalendar[[#This Row],[Year]])</f>
        <v>OCTOBER 29</v>
      </c>
      <c r="J2752" s="8" t="s">
        <v>274</v>
      </c>
      <c r="K2752" s="33" t="str">
        <f>CONCATENATE(TableAopCalendar[[#This Row],[Month for Plan]]," ",TableAopCalendar[[#This Row],[Plan]])</f>
        <v>OCTOBER 29 PLANNED</v>
      </c>
    </row>
    <row r="2753" spans="1:11" x14ac:dyDescent="0.25">
      <c r="A2753" s="33">
        <f t="shared" si="144"/>
        <v>5</v>
      </c>
      <c r="B2753" s="34">
        <v>47403</v>
      </c>
      <c r="C2753" s="7" t="s">
        <v>114</v>
      </c>
      <c r="D2753" s="35">
        <v>29</v>
      </c>
      <c r="E2753" s="33">
        <f>DAY(TableAopCalendar[[#This Row],[Date]])</f>
        <v>12</v>
      </c>
      <c r="F275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53" s="33" t="str">
        <f t="shared" si="145"/>
        <v>Week 2</v>
      </c>
      <c r="H2753" s="33" t="str">
        <f t="shared" si="146"/>
        <v>October 29 Week 2</v>
      </c>
      <c r="I2753" s="33" t="str">
        <f>CONCATENATE(UPPER(TableAopCalendar[[#This Row],[Month]])," ",TableAopCalendar[[#This Row],[Year]])</f>
        <v>OCTOBER 29</v>
      </c>
      <c r="J2753" s="8" t="s">
        <v>274</v>
      </c>
      <c r="K2753" s="33" t="str">
        <f>CONCATENATE(TableAopCalendar[[#This Row],[Month for Plan]]," ",TableAopCalendar[[#This Row],[Plan]])</f>
        <v>OCTOBER 29 PLANNED</v>
      </c>
    </row>
    <row r="2754" spans="1:11" x14ac:dyDescent="0.25">
      <c r="A2754" s="33">
        <f t="shared" si="144"/>
        <v>6</v>
      </c>
      <c r="B2754" s="34">
        <v>47404</v>
      </c>
      <c r="C2754" s="7" t="s">
        <v>114</v>
      </c>
      <c r="D2754" s="35">
        <v>29</v>
      </c>
      <c r="E2754" s="33">
        <f>DAY(TableAopCalendar[[#This Row],[Date]])</f>
        <v>13</v>
      </c>
      <c r="F275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54" s="33" t="str">
        <f t="shared" si="145"/>
        <v>Week 2</v>
      </c>
      <c r="H2754" s="33" t="str">
        <f t="shared" si="146"/>
        <v>October 29 Week 2</v>
      </c>
      <c r="I2754" s="33" t="str">
        <f>CONCATENATE(UPPER(TableAopCalendar[[#This Row],[Month]])," ",TableAopCalendar[[#This Row],[Year]])</f>
        <v>OCTOBER 29</v>
      </c>
      <c r="J2754" s="8" t="s">
        <v>274</v>
      </c>
      <c r="K2754" s="33" t="str">
        <f>CONCATENATE(TableAopCalendar[[#This Row],[Month for Plan]]," ",TableAopCalendar[[#This Row],[Plan]])</f>
        <v>OCTOBER 29 PLANNED</v>
      </c>
    </row>
    <row r="2755" spans="1:11" x14ac:dyDescent="0.25">
      <c r="A2755" s="33">
        <f t="shared" si="144"/>
        <v>7</v>
      </c>
      <c r="B2755" s="34">
        <v>47405</v>
      </c>
      <c r="C2755" s="7" t="s">
        <v>114</v>
      </c>
      <c r="D2755" s="35">
        <v>29</v>
      </c>
      <c r="E2755" s="33">
        <f>DAY(TableAopCalendar[[#This Row],[Date]])</f>
        <v>14</v>
      </c>
      <c r="F275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55" s="33" t="str">
        <f t="shared" si="145"/>
        <v>Week 2</v>
      </c>
      <c r="H2755" s="33" t="str">
        <f t="shared" si="146"/>
        <v>October 29 Week 2</v>
      </c>
      <c r="I2755" s="33" t="str">
        <f>CONCATENATE(UPPER(TableAopCalendar[[#This Row],[Month]])," ",TableAopCalendar[[#This Row],[Year]])</f>
        <v>OCTOBER 29</v>
      </c>
      <c r="J2755" s="8" t="s">
        <v>274</v>
      </c>
      <c r="K2755" s="33" t="str">
        <f>CONCATENATE(TableAopCalendar[[#This Row],[Month for Plan]]," ",TableAopCalendar[[#This Row],[Plan]])</f>
        <v>OCTOBER 29 PLANNED</v>
      </c>
    </row>
    <row r="2756" spans="1:11" x14ac:dyDescent="0.25">
      <c r="A2756" s="33">
        <f t="shared" si="144"/>
        <v>1</v>
      </c>
      <c r="B2756" s="34">
        <v>47406</v>
      </c>
      <c r="C2756" s="7" t="s">
        <v>114</v>
      </c>
      <c r="D2756" s="35">
        <v>29</v>
      </c>
      <c r="E2756" s="33">
        <f>DAY(TableAopCalendar[[#This Row],[Date]])</f>
        <v>15</v>
      </c>
      <c r="F2756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56" s="33" t="str">
        <f t="shared" si="145"/>
        <v>Week 3</v>
      </c>
      <c r="H2756" s="33" t="str">
        <f t="shared" si="146"/>
        <v>October 29 Week 3</v>
      </c>
      <c r="I2756" s="33" t="str">
        <f>CONCATENATE(UPPER(TableAopCalendar[[#This Row],[Month]])," ",TableAopCalendar[[#This Row],[Year]])</f>
        <v>OCTOBER 29</v>
      </c>
      <c r="J2756" s="8" t="s">
        <v>274</v>
      </c>
      <c r="K2756" s="33" t="str">
        <f>CONCATENATE(TableAopCalendar[[#This Row],[Month for Plan]]," ",TableAopCalendar[[#This Row],[Plan]])</f>
        <v>OCTOBER 29 PLANNED</v>
      </c>
    </row>
    <row r="2757" spans="1:11" x14ac:dyDescent="0.25">
      <c r="A2757" s="33">
        <f t="shared" si="144"/>
        <v>2</v>
      </c>
      <c r="B2757" s="34">
        <v>47407</v>
      </c>
      <c r="C2757" s="7" t="s">
        <v>114</v>
      </c>
      <c r="D2757" s="35">
        <v>29</v>
      </c>
      <c r="E2757" s="33">
        <f>DAY(TableAopCalendar[[#This Row],[Date]])</f>
        <v>16</v>
      </c>
      <c r="F275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57" s="33" t="str">
        <f t="shared" si="145"/>
        <v>Week 3</v>
      </c>
      <c r="H2757" s="33" t="str">
        <f t="shared" si="146"/>
        <v>October 29 Week 3</v>
      </c>
      <c r="I2757" s="33" t="str">
        <f>CONCATENATE(UPPER(TableAopCalendar[[#This Row],[Month]])," ",TableAopCalendar[[#This Row],[Year]])</f>
        <v>OCTOBER 29</v>
      </c>
      <c r="J2757" s="8" t="s">
        <v>274</v>
      </c>
      <c r="K2757" s="33" t="str">
        <f>CONCATENATE(TableAopCalendar[[#This Row],[Month for Plan]]," ",TableAopCalendar[[#This Row],[Plan]])</f>
        <v>OCTOBER 29 PLANNED</v>
      </c>
    </row>
    <row r="2758" spans="1:11" x14ac:dyDescent="0.25">
      <c r="A2758" s="33">
        <f t="shared" si="144"/>
        <v>3</v>
      </c>
      <c r="B2758" s="34">
        <v>47408</v>
      </c>
      <c r="C2758" s="7" t="s">
        <v>114</v>
      </c>
      <c r="D2758" s="35">
        <v>29</v>
      </c>
      <c r="E2758" s="33">
        <f>DAY(TableAopCalendar[[#This Row],[Date]])</f>
        <v>17</v>
      </c>
      <c r="F275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58" s="33" t="str">
        <f t="shared" si="145"/>
        <v>Week 3</v>
      </c>
      <c r="H2758" s="33" t="str">
        <f t="shared" si="146"/>
        <v>October 29 Week 3</v>
      </c>
      <c r="I2758" s="33" t="str">
        <f>CONCATENATE(UPPER(TableAopCalendar[[#This Row],[Month]])," ",TableAopCalendar[[#This Row],[Year]])</f>
        <v>OCTOBER 29</v>
      </c>
      <c r="J2758" s="8" t="s">
        <v>274</v>
      </c>
      <c r="K2758" s="33" t="str">
        <f>CONCATENATE(TableAopCalendar[[#This Row],[Month for Plan]]," ",TableAopCalendar[[#This Row],[Plan]])</f>
        <v>OCTOBER 29 PLANNED</v>
      </c>
    </row>
    <row r="2759" spans="1:11" x14ac:dyDescent="0.25">
      <c r="A2759" s="33">
        <f t="shared" si="144"/>
        <v>4</v>
      </c>
      <c r="B2759" s="34">
        <v>47409</v>
      </c>
      <c r="C2759" s="7" t="s">
        <v>114</v>
      </c>
      <c r="D2759" s="35">
        <v>29</v>
      </c>
      <c r="E2759" s="33">
        <f>DAY(TableAopCalendar[[#This Row],[Date]])</f>
        <v>18</v>
      </c>
      <c r="F275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59" s="33" t="str">
        <f t="shared" si="145"/>
        <v>Week 3</v>
      </c>
      <c r="H2759" s="33" t="str">
        <f t="shared" si="146"/>
        <v>October 29 Week 3</v>
      </c>
      <c r="I2759" s="33" t="str">
        <f>CONCATENATE(UPPER(TableAopCalendar[[#This Row],[Month]])," ",TableAopCalendar[[#This Row],[Year]])</f>
        <v>OCTOBER 29</v>
      </c>
      <c r="J2759" s="8" t="s">
        <v>274</v>
      </c>
      <c r="K2759" s="33" t="str">
        <f>CONCATENATE(TableAopCalendar[[#This Row],[Month for Plan]]," ",TableAopCalendar[[#This Row],[Plan]])</f>
        <v>OCTOBER 29 PLANNED</v>
      </c>
    </row>
    <row r="2760" spans="1:11" x14ac:dyDescent="0.25">
      <c r="A2760" s="33">
        <f t="shared" si="144"/>
        <v>5</v>
      </c>
      <c r="B2760" s="34">
        <v>47410</v>
      </c>
      <c r="C2760" s="7" t="s">
        <v>114</v>
      </c>
      <c r="D2760" s="35">
        <v>29</v>
      </c>
      <c r="E2760" s="33">
        <f>DAY(TableAopCalendar[[#This Row],[Date]])</f>
        <v>19</v>
      </c>
      <c r="F276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60" s="33" t="str">
        <f t="shared" si="145"/>
        <v>Week 3</v>
      </c>
      <c r="H2760" s="33" t="str">
        <f t="shared" si="146"/>
        <v>October 29 Week 3</v>
      </c>
      <c r="I2760" s="33" t="str">
        <f>CONCATENATE(UPPER(TableAopCalendar[[#This Row],[Month]])," ",TableAopCalendar[[#This Row],[Year]])</f>
        <v>OCTOBER 29</v>
      </c>
      <c r="J2760" s="8" t="s">
        <v>274</v>
      </c>
      <c r="K2760" s="33" t="str">
        <f>CONCATENATE(TableAopCalendar[[#This Row],[Month for Plan]]," ",TableAopCalendar[[#This Row],[Plan]])</f>
        <v>OCTOBER 29 PLANNED</v>
      </c>
    </row>
    <row r="2761" spans="1:11" x14ac:dyDescent="0.25">
      <c r="A2761" s="33">
        <f t="shared" si="144"/>
        <v>6</v>
      </c>
      <c r="B2761" s="34">
        <v>47411</v>
      </c>
      <c r="C2761" s="7" t="s">
        <v>114</v>
      </c>
      <c r="D2761" s="35">
        <v>29</v>
      </c>
      <c r="E2761" s="33">
        <f>DAY(TableAopCalendar[[#This Row],[Date]])</f>
        <v>20</v>
      </c>
      <c r="F276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61" s="33" t="str">
        <f t="shared" si="145"/>
        <v>Week 3</v>
      </c>
      <c r="H2761" s="33" t="str">
        <f t="shared" si="146"/>
        <v>October 29 Week 3</v>
      </c>
      <c r="I2761" s="33" t="str">
        <f>CONCATENATE(UPPER(TableAopCalendar[[#This Row],[Month]])," ",TableAopCalendar[[#This Row],[Year]])</f>
        <v>OCTOBER 29</v>
      </c>
      <c r="J2761" s="8" t="s">
        <v>274</v>
      </c>
      <c r="K2761" s="33" t="str">
        <f>CONCATENATE(TableAopCalendar[[#This Row],[Month for Plan]]," ",TableAopCalendar[[#This Row],[Plan]])</f>
        <v>OCTOBER 29 PLANNED</v>
      </c>
    </row>
    <row r="2762" spans="1:11" x14ac:dyDescent="0.25">
      <c r="A2762" s="33">
        <f t="shared" si="144"/>
        <v>7</v>
      </c>
      <c r="B2762" s="34">
        <v>47412</v>
      </c>
      <c r="C2762" s="7" t="s">
        <v>114</v>
      </c>
      <c r="D2762" s="35">
        <v>29</v>
      </c>
      <c r="E2762" s="33">
        <f>DAY(TableAopCalendar[[#This Row],[Date]])</f>
        <v>21</v>
      </c>
      <c r="F276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62" s="33" t="str">
        <f t="shared" si="145"/>
        <v>Week 3</v>
      </c>
      <c r="H2762" s="33" t="str">
        <f t="shared" si="146"/>
        <v>October 29 Week 3</v>
      </c>
      <c r="I2762" s="33" t="str">
        <f>CONCATENATE(UPPER(TableAopCalendar[[#This Row],[Month]])," ",TableAopCalendar[[#This Row],[Year]])</f>
        <v>OCTOBER 29</v>
      </c>
      <c r="J2762" s="8" t="s">
        <v>274</v>
      </c>
      <c r="K2762" s="33" t="str">
        <f>CONCATENATE(TableAopCalendar[[#This Row],[Month for Plan]]," ",TableAopCalendar[[#This Row],[Plan]])</f>
        <v>OCTOBER 29 PLANNED</v>
      </c>
    </row>
    <row r="2763" spans="1:11" x14ac:dyDescent="0.25">
      <c r="A2763" s="33">
        <f t="shared" si="144"/>
        <v>1</v>
      </c>
      <c r="B2763" s="34">
        <v>47413</v>
      </c>
      <c r="C2763" s="7" t="s">
        <v>114</v>
      </c>
      <c r="D2763" s="35">
        <v>29</v>
      </c>
      <c r="E2763" s="33">
        <f>DAY(TableAopCalendar[[#This Row],[Date]])</f>
        <v>22</v>
      </c>
      <c r="F2763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63" s="33" t="str">
        <f t="shared" si="145"/>
        <v>Week 4</v>
      </c>
      <c r="H2763" s="33" t="str">
        <f t="shared" si="146"/>
        <v>October 29 Week 4</v>
      </c>
      <c r="I2763" s="33" t="str">
        <f>CONCATENATE(UPPER(TableAopCalendar[[#This Row],[Month]])," ",TableAopCalendar[[#This Row],[Year]])</f>
        <v>OCTOBER 29</v>
      </c>
      <c r="J2763" s="8" t="s">
        <v>274</v>
      </c>
      <c r="K2763" s="33" t="str">
        <f>CONCATENATE(TableAopCalendar[[#This Row],[Month for Plan]]," ",TableAopCalendar[[#This Row],[Plan]])</f>
        <v>OCTOBER 29 PLANNED</v>
      </c>
    </row>
    <row r="2764" spans="1:11" x14ac:dyDescent="0.25">
      <c r="A2764" s="33">
        <f t="shared" si="144"/>
        <v>2</v>
      </c>
      <c r="B2764" s="34">
        <v>47414</v>
      </c>
      <c r="C2764" s="7" t="s">
        <v>114</v>
      </c>
      <c r="D2764" s="35">
        <v>29</v>
      </c>
      <c r="E2764" s="33">
        <f>DAY(TableAopCalendar[[#This Row],[Date]])</f>
        <v>23</v>
      </c>
      <c r="F276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64" s="33" t="str">
        <f t="shared" si="145"/>
        <v>Week 4</v>
      </c>
      <c r="H2764" s="33" t="str">
        <f t="shared" si="146"/>
        <v>October 29 Week 4</v>
      </c>
      <c r="I2764" s="33" t="str">
        <f>CONCATENATE(UPPER(TableAopCalendar[[#This Row],[Month]])," ",TableAopCalendar[[#This Row],[Year]])</f>
        <v>OCTOBER 29</v>
      </c>
      <c r="J2764" s="8" t="s">
        <v>274</v>
      </c>
      <c r="K2764" s="33" t="str">
        <f>CONCATENATE(TableAopCalendar[[#This Row],[Month for Plan]]," ",TableAopCalendar[[#This Row],[Plan]])</f>
        <v>OCTOBER 29 PLANNED</v>
      </c>
    </row>
    <row r="2765" spans="1:11" x14ac:dyDescent="0.25">
      <c r="A2765" s="33">
        <f t="shared" si="144"/>
        <v>3</v>
      </c>
      <c r="B2765" s="34">
        <v>47415</v>
      </c>
      <c r="C2765" s="7" t="s">
        <v>114</v>
      </c>
      <c r="D2765" s="35">
        <v>29</v>
      </c>
      <c r="E2765" s="33">
        <f>DAY(TableAopCalendar[[#This Row],[Date]])</f>
        <v>24</v>
      </c>
      <c r="F276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65" s="33" t="str">
        <f t="shared" si="145"/>
        <v>Week 4</v>
      </c>
      <c r="H2765" s="33" t="str">
        <f t="shared" si="146"/>
        <v>October 29 Week 4</v>
      </c>
      <c r="I2765" s="33" t="str">
        <f>CONCATENATE(UPPER(TableAopCalendar[[#This Row],[Month]])," ",TableAopCalendar[[#This Row],[Year]])</f>
        <v>OCTOBER 29</v>
      </c>
      <c r="J2765" s="8" t="s">
        <v>274</v>
      </c>
      <c r="K2765" s="33" t="str">
        <f>CONCATENATE(TableAopCalendar[[#This Row],[Month for Plan]]," ",TableAopCalendar[[#This Row],[Plan]])</f>
        <v>OCTOBER 29 PLANNED</v>
      </c>
    </row>
    <row r="2766" spans="1:11" x14ac:dyDescent="0.25">
      <c r="A2766" s="33">
        <f t="shared" si="144"/>
        <v>4</v>
      </c>
      <c r="B2766" s="34">
        <v>47416</v>
      </c>
      <c r="C2766" s="7" t="s">
        <v>114</v>
      </c>
      <c r="D2766" s="35">
        <v>29</v>
      </c>
      <c r="E2766" s="33">
        <f>DAY(TableAopCalendar[[#This Row],[Date]])</f>
        <v>25</v>
      </c>
      <c r="F276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66" s="33" t="str">
        <f t="shared" si="145"/>
        <v>Week 4</v>
      </c>
      <c r="H2766" s="33" t="str">
        <f t="shared" si="146"/>
        <v>October 29 Week 4</v>
      </c>
      <c r="I2766" s="33" t="str">
        <f>CONCATENATE(UPPER(TableAopCalendar[[#This Row],[Month]])," ",TableAopCalendar[[#This Row],[Year]])</f>
        <v>OCTOBER 29</v>
      </c>
      <c r="J2766" s="8" t="s">
        <v>274</v>
      </c>
      <c r="K2766" s="33" t="str">
        <f>CONCATENATE(TableAopCalendar[[#This Row],[Month for Plan]]," ",TableAopCalendar[[#This Row],[Plan]])</f>
        <v>OCTOBER 29 PLANNED</v>
      </c>
    </row>
    <row r="2767" spans="1:11" x14ac:dyDescent="0.25">
      <c r="A2767" s="33">
        <f t="shared" si="144"/>
        <v>5</v>
      </c>
      <c r="B2767" s="34">
        <v>47417</v>
      </c>
      <c r="C2767" s="7" t="s">
        <v>114</v>
      </c>
      <c r="D2767" s="35">
        <v>29</v>
      </c>
      <c r="E2767" s="33">
        <f>DAY(TableAopCalendar[[#This Row],[Date]])</f>
        <v>26</v>
      </c>
      <c r="F276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67" s="33" t="str">
        <f t="shared" si="145"/>
        <v>Week 4</v>
      </c>
      <c r="H2767" s="33" t="str">
        <f t="shared" si="146"/>
        <v>October 29 Week 4</v>
      </c>
      <c r="I2767" s="33" t="str">
        <f>CONCATENATE(UPPER(TableAopCalendar[[#This Row],[Month]])," ",TableAopCalendar[[#This Row],[Year]])</f>
        <v>OCTOBER 29</v>
      </c>
      <c r="J2767" s="8" t="s">
        <v>274</v>
      </c>
      <c r="K2767" s="33" t="str">
        <f>CONCATENATE(TableAopCalendar[[#This Row],[Month for Plan]]," ",TableAopCalendar[[#This Row],[Plan]])</f>
        <v>OCTOBER 29 PLANNED</v>
      </c>
    </row>
    <row r="2768" spans="1:11" x14ac:dyDescent="0.25">
      <c r="A2768" s="33">
        <f t="shared" si="144"/>
        <v>6</v>
      </c>
      <c r="B2768" s="34">
        <v>47418</v>
      </c>
      <c r="C2768" s="7" t="s">
        <v>114</v>
      </c>
      <c r="D2768" s="35">
        <v>29</v>
      </c>
      <c r="E2768" s="33">
        <f>DAY(TableAopCalendar[[#This Row],[Date]])</f>
        <v>27</v>
      </c>
      <c r="F276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68" s="33" t="str">
        <f t="shared" si="145"/>
        <v>Week 4</v>
      </c>
      <c r="H2768" s="33" t="str">
        <f t="shared" si="146"/>
        <v>October 29 Week 4</v>
      </c>
      <c r="I2768" s="33" t="str">
        <f>CONCATENATE(UPPER(TableAopCalendar[[#This Row],[Month]])," ",TableAopCalendar[[#This Row],[Year]])</f>
        <v>OCTOBER 29</v>
      </c>
      <c r="J2768" s="8" t="s">
        <v>274</v>
      </c>
      <c r="K2768" s="33" t="str">
        <f>CONCATENATE(TableAopCalendar[[#This Row],[Month for Plan]]," ",TableAopCalendar[[#This Row],[Plan]])</f>
        <v>OCTOBER 29 PLANNED</v>
      </c>
    </row>
    <row r="2769" spans="1:11" x14ac:dyDescent="0.25">
      <c r="A2769" s="33">
        <f t="shared" si="144"/>
        <v>7</v>
      </c>
      <c r="B2769" s="34">
        <v>47419</v>
      </c>
      <c r="C2769" s="7" t="s">
        <v>114</v>
      </c>
      <c r="D2769" s="35">
        <v>29</v>
      </c>
      <c r="E2769" s="33">
        <f>DAY(TableAopCalendar[[#This Row],[Date]])</f>
        <v>28</v>
      </c>
      <c r="F276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69" s="33" t="str">
        <f t="shared" si="145"/>
        <v>Week 4</v>
      </c>
      <c r="H2769" s="33" t="str">
        <f t="shared" si="146"/>
        <v>October 29 Week 4</v>
      </c>
      <c r="I2769" s="33" t="str">
        <f>CONCATENATE(UPPER(TableAopCalendar[[#This Row],[Month]])," ",TableAopCalendar[[#This Row],[Year]])</f>
        <v>OCTOBER 29</v>
      </c>
      <c r="J2769" s="8" t="s">
        <v>274</v>
      </c>
      <c r="K2769" s="33" t="str">
        <f>CONCATENATE(TableAopCalendar[[#This Row],[Month for Plan]]," ",TableAopCalendar[[#This Row],[Plan]])</f>
        <v>OCTOBER 29 PLANNED</v>
      </c>
    </row>
    <row r="2770" spans="1:11" x14ac:dyDescent="0.25">
      <c r="A2770" s="33">
        <f t="shared" si="144"/>
        <v>1</v>
      </c>
      <c r="B2770" s="34">
        <v>47420</v>
      </c>
      <c r="C2770" s="7" t="s">
        <v>114</v>
      </c>
      <c r="D2770" s="35">
        <v>29</v>
      </c>
      <c r="E2770" s="33">
        <f>DAY(TableAopCalendar[[#This Row],[Date]])</f>
        <v>29</v>
      </c>
      <c r="F2770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70" s="33" t="str">
        <f t="shared" si="145"/>
        <v>Week 5</v>
      </c>
      <c r="H2770" s="33" t="str">
        <f t="shared" si="146"/>
        <v>October 29 Week 5</v>
      </c>
      <c r="I2770" s="33" t="str">
        <f>CONCATENATE(UPPER(TableAopCalendar[[#This Row],[Month]])," ",TableAopCalendar[[#This Row],[Year]])</f>
        <v>OCTOBER 29</v>
      </c>
      <c r="J2770" s="8" t="s">
        <v>274</v>
      </c>
      <c r="K2770" s="33" t="str">
        <f>CONCATENATE(TableAopCalendar[[#This Row],[Month for Plan]]," ",TableAopCalendar[[#This Row],[Plan]])</f>
        <v>OCTOBER 29 PLANNED</v>
      </c>
    </row>
    <row r="2771" spans="1:11" x14ac:dyDescent="0.25">
      <c r="A2771" s="33">
        <f t="shared" si="144"/>
        <v>2</v>
      </c>
      <c r="B2771" s="34">
        <v>47421</v>
      </c>
      <c r="C2771" s="7" t="s">
        <v>114</v>
      </c>
      <c r="D2771" s="35">
        <v>29</v>
      </c>
      <c r="E2771" s="33">
        <f>DAY(TableAopCalendar[[#This Row],[Date]])</f>
        <v>30</v>
      </c>
      <c r="F277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71" s="33" t="str">
        <f t="shared" si="145"/>
        <v>Week 5</v>
      </c>
      <c r="H2771" s="33" t="str">
        <f t="shared" si="146"/>
        <v>October 29 Week 5</v>
      </c>
      <c r="I2771" s="33" t="str">
        <f>CONCATENATE(UPPER(TableAopCalendar[[#This Row],[Month]])," ",TableAopCalendar[[#This Row],[Year]])</f>
        <v>OCTOBER 29</v>
      </c>
      <c r="J2771" s="8" t="s">
        <v>274</v>
      </c>
      <c r="K2771" s="33" t="str">
        <f>CONCATENATE(TableAopCalendar[[#This Row],[Month for Plan]]," ",TableAopCalendar[[#This Row],[Plan]])</f>
        <v>OCTOBER 29 PLANNED</v>
      </c>
    </row>
    <row r="2772" spans="1:11" x14ac:dyDescent="0.25">
      <c r="A2772" s="33">
        <f t="shared" si="144"/>
        <v>3</v>
      </c>
      <c r="B2772" s="34">
        <v>47422</v>
      </c>
      <c r="C2772" s="7" t="s">
        <v>114</v>
      </c>
      <c r="D2772" s="35">
        <v>29</v>
      </c>
      <c r="E2772" s="33">
        <f>DAY(TableAopCalendar[[#This Row],[Date]])</f>
        <v>31</v>
      </c>
      <c r="F277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772" s="33" t="str">
        <f t="shared" si="145"/>
        <v>Week 5</v>
      </c>
      <c r="H2772" s="33" t="str">
        <f t="shared" si="146"/>
        <v>October 29 Week 5</v>
      </c>
      <c r="I2772" s="33" t="str">
        <f>CONCATENATE(UPPER(TableAopCalendar[[#This Row],[Month]])," ",TableAopCalendar[[#This Row],[Year]])</f>
        <v>OCTOBER 29</v>
      </c>
      <c r="J2772" s="8" t="s">
        <v>274</v>
      </c>
      <c r="K2772" s="33" t="str">
        <f>CONCATENATE(TableAopCalendar[[#This Row],[Month for Plan]]," ",TableAopCalendar[[#This Row],[Plan]])</f>
        <v>OCTOBER 29 PLANNED</v>
      </c>
    </row>
    <row r="2773" spans="1:11" x14ac:dyDescent="0.25">
      <c r="A2773" s="33">
        <f t="shared" si="144"/>
        <v>1</v>
      </c>
      <c r="B2773" s="34">
        <v>47423</v>
      </c>
      <c r="C2773" s="7" t="s">
        <v>117</v>
      </c>
      <c r="D2773" s="35">
        <v>29</v>
      </c>
      <c r="E2773" s="33">
        <f>DAY(TableAopCalendar[[#This Row],[Date]])</f>
        <v>1</v>
      </c>
      <c r="F277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3" s="33" t="str">
        <f t="shared" si="145"/>
        <v>Week 1</v>
      </c>
      <c r="H2773" s="33" t="str">
        <f t="shared" si="146"/>
        <v>November 29 Week 1</v>
      </c>
      <c r="I2773" s="33" t="str">
        <f>CONCATENATE(UPPER(TableAopCalendar[[#This Row],[Month]])," ",TableAopCalendar[[#This Row],[Year]])</f>
        <v>NOVEMBER 29</v>
      </c>
      <c r="J2773" s="8" t="s">
        <v>274</v>
      </c>
      <c r="K2773" s="33" t="str">
        <f>CONCATENATE(TableAopCalendar[[#This Row],[Month for Plan]]," ",TableAopCalendar[[#This Row],[Plan]])</f>
        <v>NOVEMBER 29 PLANNED</v>
      </c>
    </row>
    <row r="2774" spans="1:11" x14ac:dyDescent="0.25">
      <c r="A2774" s="33">
        <f t="shared" si="144"/>
        <v>2</v>
      </c>
      <c r="B2774" s="34">
        <v>47424</v>
      </c>
      <c r="C2774" s="7" t="s">
        <v>117</v>
      </c>
      <c r="D2774" s="35">
        <v>29</v>
      </c>
      <c r="E2774" s="33">
        <f>DAY(TableAopCalendar[[#This Row],[Date]])</f>
        <v>2</v>
      </c>
      <c r="F277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4" s="33" t="str">
        <f t="shared" si="145"/>
        <v>Week 1</v>
      </c>
      <c r="H2774" s="33" t="str">
        <f t="shared" si="146"/>
        <v>November 29 Week 1</v>
      </c>
      <c r="I2774" s="33" t="str">
        <f>CONCATENATE(UPPER(TableAopCalendar[[#This Row],[Month]])," ",TableAopCalendar[[#This Row],[Year]])</f>
        <v>NOVEMBER 29</v>
      </c>
      <c r="J2774" s="8" t="s">
        <v>274</v>
      </c>
      <c r="K2774" s="33" t="str">
        <f>CONCATENATE(TableAopCalendar[[#This Row],[Month for Plan]]," ",TableAopCalendar[[#This Row],[Plan]])</f>
        <v>NOVEMBER 29 PLANNED</v>
      </c>
    </row>
    <row r="2775" spans="1:11" x14ac:dyDescent="0.25">
      <c r="A2775" s="33">
        <f t="shared" si="144"/>
        <v>3</v>
      </c>
      <c r="B2775" s="34">
        <v>47425</v>
      </c>
      <c r="C2775" s="7" t="s">
        <v>117</v>
      </c>
      <c r="D2775" s="35">
        <v>29</v>
      </c>
      <c r="E2775" s="33">
        <f>DAY(TableAopCalendar[[#This Row],[Date]])</f>
        <v>3</v>
      </c>
      <c r="F277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5" s="33" t="str">
        <f t="shared" si="145"/>
        <v>Week 1</v>
      </c>
      <c r="H2775" s="33" t="str">
        <f t="shared" si="146"/>
        <v>November 29 Week 1</v>
      </c>
      <c r="I2775" s="33" t="str">
        <f>CONCATENATE(UPPER(TableAopCalendar[[#This Row],[Month]])," ",TableAopCalendar[[#This Row],[Year]])</f>
        <v>NOVEMBER 29</v>
      </c>
      <c r="J2775" s="8" t="s">
        <v>274</v>
      </c>
      <c r="K2775" s="33" t="str">
        <f>CONCATENATE(TableAopCalendar[[#This Row],[Month for Plan]]," ",TableAopCalendar[[#This Row],[Plan]])</f>
        <v>NOVEMBER 29 PLANNED</v>
      </c>
    </row>
    <row r="2776" spans="1:11" x14ac:dyDescent="0.25">
      <c r="A2776" s="33">
        <f t="shared" si="144"/>
        <v>4</v>
      </c>
      <c r="B2776" s="34">
        <v>47426</v>
      </c>
      <c r="C2776" s="7" t="s">
        <v>117</v>
      </c>
      <c r="D2776" s="35">
        <v>29</v>
      </c>
      <c r="E2776" s="33">
        <f>DAY(TableAopCalendar[[#This Row],[Date]])</f>
        <v>4</v>
      </c>
      <c r="F277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6" s="33" t="str">
        <f t="shared" si="145"/>
        <v>Week 1</v>
      </c>
      <c r="H2776" s="33" t="str">
        <f t="shared" si="146"/>
        <v>November 29 Week 1</v>
      </c>
      <c r="I2776" s="33" t="str">
        <f>CONCATENATE(UPPER(TableAopCalendar[[#This Row],[Month]])," ",TableAopCalendar[[#This Row],[Year]])</f>
        <v>NOVEMBER 29</v>
      </c>
      <c r="J2776" s="8" t="s">
        <v>274</v>
      </c>
      <c r="K2776" s="33" t="str">
        <f>CONCATENATE(TableAopCalendar[[#This Row],[Month for Plan]]," ",TableAopCalendar[[#This Row],[Plan]])</f>
        <v>NOVEMBER 29 PLANNED</v>
      </c>
    </row>
    <row r="2777" spans="1:11" x14ac:dyDescent="0.25">
      <c r="A2777" s="33">
        <f t="shared" si="144"/>
        <v>5</v>
      </c>
      <c r="B2777" s="34">
        <v>47427</v>
      </c>
      <c r="C2777" s="7" t="s">
        <v>117</v>
      </c>
      <c r="D2777" s="35">
        <v>29</v>
      </c>
      <c r="E2777" s="33">
        <f>DAY(TableAopCalendar[[#This Row],[Date]])</f>
        <v>5</v>
      </c>
      <c r="F277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7" s="33" t="str">
        <f t="shared" si="145"/>
        <v>Week 1</v>
      </c>
      <c r="H2777" s="33" t="str">
        <f t="shared" si="146"/>
        <v>November 29 Week 1</v>
      </c>
      <c r="I2777" s="33" t="str">
        <f>CONCATENATE(UPPER(TableAopCalendar[[#This Row],[Month]])," ",TableAopCalendar[[#This Row],[Year]])</f>
        <v>NOVEMBER 29</v>
      </c>
      <c r="J2777" s="8" t="s">
        <v>274</v>
      </c>
      <c r="K2777" s="33" t="str">
        <f>CONCATENATE(TableAopCalendar[[#This Row],[Month for Plan]]," ",TableAopCalendar[[#This Row],[Plan]])</f>
        <v>NOVEMBER 29 PLANNED</v>
      </c>
    </row>
    <row r="2778" spans="1:11" x14ac:dyDescent="0.25">
      <c r="A2778" s="33">
        <f t="shared" si="144"/>
        <v>6</v>
      </c>
      <c r="B2778" s="34">
        <v>47428</v>
      </c>
      <c r="C2778" s="7" t="s">
        <v>117</v>
      </c>
      <c r="D2778" s="35">
        <v>29</v>
      </c>
      <c r="E2778" s="33">
        <f>DAY(TableAopCalendar[[#This Row],[Date]])</f>
        <v>6</v>
      </c>
      <c r="F277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8" s="33" t="str">
        <f t="shared" si="145"/>
        <v>Week 1</v>
      </c>
      <c r="H2778" s="33" t="str">
        <f t="shared" si="146"/>
        <v>November 29 Week 1</v>
      </c>
      <c r="I2778" s="33" t="str">
        <f>CONCATENATE(UPPER(TableAopCalendar[[#This Row],[Month]])," ",TableAopCalendar[[#This Row],[Year]])</f>
        <v>NOVEMBER 29</v>
      </c>
      <c r="J2778" s="8" t="s">
        <v>274</v>
      </c>
      <c r="K2778" s="33" t="str">
        <f>CONCATENATE(TableAopCalendar[[#This Row],[Month for Plan]]," ",TableAopCalendar[[#This Row],[Plan]])</f>
        <v>NOVEMBER 29 PLANNED</v>
      </c>
    </row>
    <row r="2779" spans="1:11" x14ac:dyDescent="0.25">
      <c r="A2779" s="33">
        <f t="shared" si="144"/>
        <v>7</v>
      </c>
      <c r="B2779" s="34">
        <v>47429</v>
      </c>
      <c r="C2779" s="7" t="s">
        <v>117</v>
      </c>
      <c r="D2779" s="35">
        <v>29</v>
      </c>
      <c r="E2779" s="33">
        <f>DAY(TableAopCalendar[[#This Row],[Date]])</f>
        <v>7</v>
      </c>
      <c r="F277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779" s="33" t="str">
        <f t="shared" si="145"/>
        <v>Week 1</v>
      </c>
      <c r="H2779" s="33" t="str">
        <f t="shared" si="146"/>
        <v>November 29 Week 1</v>
      </c>
      <c r="I2779" s="33" t="str">
        <f>CONCATENATE(UPPER(TableAopCalendar[[#This Row],[Month]])," ",TableAopCalendar[[#This Row],[Year]])</f>
        <v>NOVEMBER 29</v>
      </c>
      <c r="J2779" s="8" t="s">
        <v>274</v>
      </c>
      <c r="K2779" s="33" t="str">
        <f>CONCATENATE(TableAopCalendar[[#This Row],[Month for Plan]]," ",TableAopCalendar[[#This Row],[Plan]])</f>
        <v>NOVEMBER 29 PLANNED</v>
      </c>
    </row>
    <row r="2780" spans="1:11" x14ac:dyDescent="0.25">
      <c r="A2780" s="33">
        <f t="shared" si="144"/>
        <v>1</v>
      </c>
      <c r="B2780" s="34">
        <v>47430</v>
      </c>
      <c r="C2780" s="7" t="s">
        <v>117</v>
      </c>
      <c r="D2780" s="35">
        <v>29</v>
      </c>
      <c r="E2780" s="33">
        <f>DAY(TableAopCalendar[[#This Row],[Date]])</f>
        <v>8</v>
      </c>
      <c r="F278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80" s="33" t="str">
        <f t="shared" si="145"/>
        <v>Week 2</v>
      </c>
      <c r="H2780" s="33" t="str">
        <f t="shared" si="146"/>
        <v>November 29 Week 2</v>
      </c>
      <c r="I2780" s="33" t="str">
        <f>CONCATENATE(UPPER(TableAopCalendar[[#This Row],[Month]])," ",TableAopCalendar[[#This Row],[Year]])</f>
        <v>NOVEMBER 29</v>
      </c>
      <c r="J2780" s="8" t="s">
        <v>274</v>
      </c>
      <c r="K2780" s="33" t="str">
        <f>CONCATENATE(TableAopCalendar[[#This Row],[Month for Plan]]," ",TableAopCalendar[[#This Row],[Plan]])</f>
        <v>NOVEMBER 29 PLANNED</v>
      </c>
    </row>
    <row r="2781" spans="1:11" x14ac:dyDescent="0.25">
      <c r="A2781" s="33">
        <f t="shared" si="144"/>
        <v>2</v>
      </c>
      <c r="B2781" s="34">
        <v>47431</v>
      </c>
      <c r="C2781" s="7" t="s">
        <v>117</v>
      </c>
      <c r="D2781" s="35">
        <v>29</v>
      </c>
      <c r="E2781" s="33">
        <f>DAY(TableAopCalendar[[#This Row],[Date]])</f>
        <v>9</v>
      </c>
      <c r="F278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81" s="33" t="str">
        <f t="shared" si="145"/>
        <v>Week 2</v>
      </c>
      <c r="H2781" s="33" t="str">
        <f t="shared" si="146"/>
        <v>November 29 Week 2</v>
      </c>
      <c r="I2781" s="33" t="str">
        <f>CONCATENATE(UPPER(TableAopCalendar[[#This Row],[Month]])," ",TableAopCalendar[[#This Row],[Year]])</f>
        <v>NOVEMBER 29</v>
      </c>
      <c r="J2781" s="8" t="s">
        <v>274</v>
      </c>
      <c r="K2781" s="33" t="str">
        <f>CONCATENATE(TableAopCalendar[[#This Row],[Month for Plan]]," ",TableAopCalendar[[#This Row],[Plan]])</f>
        <v>NOVEMBER 29 PLANNED</v>
      </c>
    </row>
    <row r="2782" spans="1:11" x14ac:dyDescent="0.25">
      <c r="A2782" s="33">
        <f t="shared" si="144"/>
        <v>3</v>
      </c>
      <c r="B2782" s="34">
        <v>47432</v>
      </c>
      <c r="C2782" s="7" t="s">
        <v>117</v>
      </c>
      <c r="D2782" s="35">
        <v>29</v>
      </c>
      <c r="E2782" s="33">
        <f>DAY(TableAopCalendar[[#This Row],[Date]])</f>
        <v>10</v>
      </c>
      <c r="F278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82" s="33" t="str">
        <f t="shared" si="145"/>
        <v>Week 2</v>
      </c>
      <c r="H2782" s="33" t="str">
        <f t="shared" si="146"/>
        <v>November 29 Week 2</v>
      </c>
      <c r="I2782" s="33" t="str">
        <f>CONCATENATE(UPPER(TableAopCalendar[[#This Row],[Month]])," ",TableAopCalendar[[#This Row],[Year]])</f>
        <v>NOVEMBER 29</v>
      </c>
      <c r="J2782" s="8" t="s">
        <v>274</v>
      </c>
      <c r="K2782" s="33" t="str">
        <f>CONCATENATE(TableAopCalendar[[#This Row],[Month for Plan]]," ",TableAopCalendar[[#This Row],[Plan]])</f>
        <v>NOVEMBER 29 PLANNED</v>
      </c>
    </row>
    <row r="2783" spans="1:11" x14ac:dyDescent="0.25">
      <c r="A2783" s="33">
        <f t="shared" si="144"/>
        <v>4</v>
      </c>
      <c r="B2783" s="34">
        <v>47433</v>
      </c>
      <c r="C2783" s="7" t="s">
        <v>117</v>
      </c>
      <c r="D2783" s="35">
        <v>29</v>
      </c>
      <c r="E2783" s="33">
        <f>DAY(TableAopCalendar[[#This Row],[Date]])</f>
        <v>11</v>
      </c>
      <c r="F278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83" s="33" t="str">
        <f t="shared" si="145"/>
        <v>Week 2</v>
      </c>
      <c r="H2783" s="33" t="str">
        <f t="shared" si="146"/>
        <v>November 29 Week 2</v>
      </c>
      <c r="I2783" s="33" t="str">
        <f>CONCATENATE(UPPER(TableAopCalendar[[#This Row],[Month]])," ",TableAopCalendar[[#This Row],[Year]])</f>
        <v>NOVEMBER 29</v>
      </c>
      <c r="J2783" s="8" t="s">
        <v>274</v>
      </c>
      <c r="K2783" s="33" t="str">
        <f>CONCATENATE(TableAopCalendar[[#This Row],[Month for Plan]]," ",TableAopCalendar[[#This Row],[Plan]])</f>
        <v>NOVEMBER 29 PLANNED</v>
      </c>
    </row>
    <row r="2784" spans="1:11" x14ac:dyDescent="0.25">
      <c r="A2784" s="33">
        <f t="shared" si="144"/>
        <v>5</v>
      </c>
      <c r="B2784" s="34">
        <v>47434</v>
      </c>
      <c r="C2784" s="7" t="s">
        <v>117</v>
      </c>
      <c r="D2784" s="35">
        <v>29</v>
      </c>
      <c r="E2784" s="33">
        <f>DAY(TableAopCalendar[[#This Row],[Date]])</f>
        <v>12</v>
      </c>
      <c r="F278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84" s="33" t="str">
        <f t="shared" si="145"/>
        <v>Week 2</v>
      </c>
      <c r="H2784" s="33" t="str">
        <f t="shared" si="146"/>
        <v>November 29 Week 2</v>
      </c>
      <c r="I2784" s="33" t="str">
        <f>CONCATENATE(UPPER(TableAopCalendar[[#This Row],[Month]])," ",TableAopCalendar[[#This Row],[Year]])</f>
        <v>NOVEMBER 29</v>
      </c>
      <c r="J2784" s="8" t="s">
        <v>274</v>
      </c>
      <c r="K2784" s="33" t="str">
        <f>CONCATENATE(TableAopCalendar[[#This Row],[Month for Plan]]," ",TableAopCalendar[[#This Row],[Plan]])</f>
        <v>NOVEMBER 29 PLANNED</v>
      </c>
    </row>
    <row r="2785" spans="1:11" x14ac:dyDescent="0.25">
      <c r="A2785" s="33">
        <f t="shared" si="144"/>
        <v>6</v>
      </c>
      <c r="B2785" s="34">
        <v>47435</v>
      </c>
      <c r="C2785" s="7" t="s">
        <v>117</v>
      </c>
      <c r="D2785" s="35">
        <v>29</v>
      </c>
      <c r="E2785" s="33">
        <f>DAY(TableAopCalendar[[#This Row],[Date]])</f>
        <v>13</v>
      </c>
      <c r="F278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85" s="33" t="str">
        <f t="shared" si="145"/>
        <v>Week 2</v>
      </c>
      <c r="H2785" s="33" t="str">
        <f t="shared" si="146"/>
        <v>November 29 Week 2</v>
      </c>
      <c r="I2785" s="33" t="str">
        <f>CONCATENATE(UPPER(TableAopCalendar[[#This Row],[Month]])," ",TableAopCalendar[[#This Row],[Year]])</f>
        <v>NOVEMBER 29</v>
      </c>
      <c r="J2785" s="8" t="s">
        <v>274</v>
      </c>
      <c r="K2785" s="33" t="str">
        <f>CONCATENATE(TableAopCalendar[[#This Row],[Month for Plan]]," ",TableAopCalendar[[#This Row],[Plan]])</f>
        <v>NOVEMBER 29 PLANNED</v>
      </c>
    </row>
    <row r="2786" spans="1:11" x14ac:dyDescent="0.25">
      <c r="A2786" s="33">
        <f t="shared" si="144"/>
        <v>7</v>
      </c>
      <c r="B2786" s="34">
        <v>47436</v>
      </c>
      <c r="C2786" s="7" t="s">
        <v>117</v>
      </c>
      <c r="D2786" s="35">
        <v>29</v>
      </c>
      <c r="E2786" s="33">
        <f>DAY(TableAopCalendar[[#This Row],[Date]])</f>
        <v>14</v>
      </c>
      <c r="F278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786" s="33" t="str">
        <f t="shared" si="145"/>
        <v>Week 2</v>
      </c>
      <c r="H2786" s="33" t="str">
        <f t="shared" si="146"/>
        <v>November 29 Week 2</v>
      </c>
      <c r="I2786" s="33" t="str">
        <f>CONCATENATE(UPPER(TableAopCalendar[[#This Row],[Month]])," ",TableAopCalendar[[#This Row],[Year]])</f>
        <v>NOVEMBER 29</v>
      </c>
      <c r="J2786" s="8" t="s">
        <v>274</v>
      </c>
      <c r="K2786" s="33" t="str">
        <f>CONCATENATE(TableAopCalendar[[#This Row],[Month for Plan]]," ",TableAopCalendar[[#This Row],[Plan]])</f>
        <v>NOVEMBER 29 PLANNED</v>
      </c>
    </row>
    <row r="2787" spans="1:11" x14ac:dyDescent="0.25">
      <c r="A2787" s="33">
        <f t="shared" si="144"/>
        <v>1</v>
      </c>
      <c r="B2787" s="34">
        <v>47437</v>
      </c>
      <c r="C2787" s="7" t="s">
        <v>117</v>
      </c>
      <c r="D2787" s="35">
        <v>29</v>
      </c>
      <c r="E2787" s="33">
        <f>DAY(TableAopCalendar[[#This Row],[Date]])</f>
        <v>15</v>
      </c>
      <c r="F278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87" s="33" t="str">
        <f t="shared" si="145"/>
        <v>Week 3</v>
      </c>
      <c r="H2787" s="33" t="str">
        <f t="shared" si="146"/>
        <v>November 29 Week 3</v>
      </c>
      <c r="I2787" s="33" t="str">
        <f>CONCATENATE(UPPER(TableAopCalendar[[#This Row],[Month]])," ",TableAopCalendar[[#This Row],[Year]])</f>
        <v>NOVEMBER 29</v>
      </c>
      <c r="J2787" s="8" t="s">
        <v>274</v>
      </c>
      <c r="K2787" s="33" t="str">
        <f>CONCATENATE(TableAopCalendar[[#This Row],[Month for Plan]]," ",TableAopCalendar[[#This Row],[Plan]])</f>
        <v>NOVEMBER 29 PLANNED</v>
      </c>
    </row>
    <row r="2788" spans="1:11" x14ac:dyDescent="0.25">
      <c r="A2788" s="33">
        <f t="shared" ref="A2788:A2851" si="147">IF(G2788=G2787,A2787+1,1)</f>
        <v>2</v>
      </c>
      <c r="B2788" s="34">
        <v>47438</v>
      </c>
      <c r="C2788" s="7" t="s">
        <v>117</v>
      </c>
      <c r="D2788" s="35">
        <v>29</v>
      </c>
      <c r="E2788" s="33">
        <f>DAY(TableAopCalendar[[#This Row],[Date]])</f>
        <v>16</v>
      </c>
      <c r="F278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88" s="33" t="str">
        <f t="shared" ref="G2788:G2851" si="148">"Week"&amp;" "&amp;F2788</f>
        <v>Week 3</v>
      </c>
      <c r="H2788" s="33" t="str">
        <f t="shared" ref="H2788:H2851" si="149">CONCATENATE(C2788," ",D2788," ",G2788)</f>
        <v>November 29 Week 3</v>
      </c>
      <c r="I2788" s="33" t="str">
        <f>CONCATENATE(UPPER(TableAopCalendar[[#This Row],[Month]])," ",TableAopCalendar[[#This Row],[Year]])</f>
        <v>NOVEMBER 29</v>
      </c>
      <c r="J2788" s="8" t="s">
        <v>274</v>
      </c>
      <c r="K2788" s="33" t="str">
        <f>CONCATENATE(TableAopCalendar[[#This Row],[Month for Plan]]," ",TableAopCalendar[[#This Row],[Plan]])</f>
        <v>NOVEMBER 29 PLANNED</v>
      </c>
    </row>
    <row r="2789" spans="1:11" x14ac:dyDescent="0.25">
      <c r="A2789" s="33">
        <f t="shared" si="147"/>
        <v>3</v>
      </c>
      <c r="B2789" s="34">
        <v>47439</v>
      </c>
      <c r="C2789" s="7" t="s">
        <v>117</v>
      </c>
      <c r="D2789" s="35">
        <v>29</v>
      </c>
      <c r="E2789" s="33">
        <f>DAY(TableAopCalendar[[#This Row],[Date]])</f>
        <v>17</v>
      </c>
      <c r="F278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89" s="33" t="str">
        <f t="shared" si="148"/>
        <v>Week 3</v>
      </c>
      <c r="H2789" s="33" t="str">
        <f t="shared" si="149"/>
        <v>November 29 Week 3</v>
      </c>
      <c r="I2789" s="33" t="str">
        <f>CONCATENATE(UPPER(TableAopCalendar[[#This Row],[Month]])," ",TableAopCalendar[[#This Row],[Year]])</f>
        <v>NOVEMBER 29</v>
      </c>
      <c r="J2789" s="8" t="s">
        <v>274</v>
      </c>
      <c r="K2789" s="33" t="str">
        <f>CONCATENATE(TableAopCalendar[[#This Row],[Month for Plan]]," ",TableAopCalendar[[#This Row],[Plan]])</f>
        <v>NOVEMBER 29 PLANNED</v>
      </c>
    </row>
    <row r="2790" spans="1:11" x14ac:dyDescent="0.25">
      <c r="A2790" s="33">
        <f t="shared" si="147"/>
        <v>4</v>
      </c>
      <c r="B2790" s="34">
        <v>47440</v>
      </c>
      <c r="C2790" s="7" t="s">
        <v>117</v>
      </c>
      <c r="D2790" s="35">
        <v>29</v>
      </c>
      <c r="E2790" s="33">
        <f>DAY(TableAopCalendar[[#This Row],[Date]])</f>
        <v>18</v>
      </c>
      <c r="F279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90" s="33" t="str">
        <f t="shared" si="148"/>
        <v>Week 3</v>
      </c>
      <c r="H2790" s="33" t="str">
        <f t="shared" si="149"/>
        <v>November 29 Week 3</v>
      </c>
      <c r="I2790" s="33" t="str">
        <f>CONCATENATE(UPPER(TableAopCalendar[[#This Row],[Month]])," ",TableAopCalendar[[#This Row],[Year]])</f>
        <v>NOVEMBER 29</v>
      </c>
      <c r="J2790" s="8" t="s">
        <v>274</v>
      </c>
      <c r="K2790" s="33" t="str">
        <f>CONCATENATE(TableAopCalendar[[#This Row],[Month for Plan]]," ",TableAopCalendar[[#This Row],[Plan]])</f>
        <v>NOVEMBER 29 PLANNED</v>
      </c>
    </row>
    <row r="2791" spans="1:11" x14ac:dyDescent="0.25">
      <c r="A2791" s="33">
        <f t="shared" si="147"/>
        <v>5</v>
      </c>
      <c r="B2791" s="34">
        <v>47441</v>
      </c>
      <c r="C2791" s="7" t="s">
        <v>117</v>
      </c>
      <c r="D2791" s="35">
        <v>29</v>
      </c>
      <c r="E2791" s="33">
        <f>DAY(TableAopCalendar[[#This Row],[Date]])</f>
        <v>19</v>
      </c>
      <c r="F279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91" s="33" t="str">
        <f t="shared" si="148"/>
        <v>Week 3</v>
      </c>
      <c r="H2791" s="33" t="str">
        <f t="shared" si="149"/>
        <v>November 29 Week 3</v>
      </c>
      <c r="I2791" s="33" t="str">
        <f>CONCATENATE(UPPER(TableAopCalendar[[#This Row],[Month]])," ",TableAopCalendar[[#This Row],[Year]])</f>
        <v>NOVEMBER 29</v>
      </c>
      <c r="J2791" s="8" t="s">
        <v>274</v>
      </c>
      <c r="K2791" s="33" t="str">
        <f>CONCATENATE(TableAopCalendar[[#This Row],[Month for Plan]]," ",TableAopCalendar[[#This Row],[Plan]])</f>
        <v>NOVEMBER 29 PLANNED</v>
      </c>
    </row>
    <row r="2792" spans="1:11" x14ac:dyDescent="0.25">
      <c r="A2792" s="33">
        <f t="shared" si="147"/>
        <v>6</v>
      </c>
      <c r="B2792" s="34">
        <v>47442</v>
      </c>
      <c r="C2792" s="7" t="s">
        <v>117</v>
      </c>
      <c r="D2792" s="35">
        <v>29</v>
      </c>
      <c r="E2792" s="33">
        <f>DAY(TableAopCalendar[[#This Row],[Date]])</f>
        <v>20</v>
      </c>
      <c r="F279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92" s="33" t="str">
        <f t="shared" si="148"/>
        <v>Week 3</v>
      </c>
      <c r="H2792" s="33" t="str">
        <f t="shared" si="149"/>
        <v>November 29 Week 3</v>
      </c>
      <c r="I2792" s="33" t="str">
        <f>CONCATENATE(UPPER(TableAopCalendar[[#This Row],[Month]])," ",TableAopCalendar[[#This Row],[Year]])</f>
        <v>NOVEMBER 29</v>
      </c>
      <c r="J2792" s="8" t="s">
        <v>274</v>
      </c>
      <c r="K2792" s="33" t="str">
        <f>CONCATENATE(TableAopCalendar[[#This Row],[Month for Plan]]," ",TableAopCalendar[[#This Row],[Plan]])</f>
        <v>NOVEMBER 29 PLANNED</v>
      </c>
    </row>
    <row r="2793" spans="1:11" x14ac:dyDescent="0.25">
      <c r="A2793" s="33">
        <f t="shared" si="147"/>
        <v>7</v>
      </c>
      <c r="B2793" s="34">
        <v>47443</v>
      </c>
      <c r="C2793" s="7" t="s">
        <v>117</v>
      </c>
      <c r="D2793" s="35">
        <v>29</v>
      </c>
      <c r="E2793" s="33">
        <f>DAY(TableAopCalendar[[#This Row],[Date]])</f>
        <v>21</v>
      </c>
      <c r="F279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793" s="33" t="str">
        <f t="shared" si="148"/>
        <v>Week 3</v>
      </c>
      <c r="H2793" s="33" t="str">
        <f t="shared" si="149"/>
        <v>November 29 Week 3</v>
      </c>
      <c r="I2793" s="33" t="str">
        <f>CONCATENATE(UPPER(TableAopCalendar[[#This Row],[Month]])," ",TableAopCalendar[[#This Row],[Year]])</f>
        <v>NOVEMBER 29</v>
      </c>
      <c r="J2793" s="8" t="s">
        <v>274</v>
      </c>
      <c r="K2793" s="33" t="str">
        <f>CONCATENATE(TableAopCalendar[[#This Row],[Month for Plan]]," ",TableAopCalendar[[#This Row],[Plan]])</f>
        <v>NOVEMBER 29 PLANNED</v>
      </c>
    </row>
    <row r="2794" spans="1:11" x14ac:dyDescent="0.25">
      <c r="A2794" s="33">
        <f t="shared" si="147"/>
        <v>1</v>
      </c>
      <c r="B2794" s="34">
        <v>47444</v>
      </c>
      <c r="C2794" s="7" t="s">
        <v>117</v>
      </c>
      <c r="D2794" s="35">
        <v>29</v>
      </c>
      <c r="E2794" s="33">
        <f>DAY(TableAopCalendar[[#This Row],[Date]])</f>
        <v>22</v>
      </c>
      <c r="F279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94" s="33" t="str">
        <f t="shared" si="148"/>
        <v>Week 4</v>
      </c>
      <c r="H2794" s="33" t="str">
        <f t="shared" si="149"/>
        <v>November 29 Week 4</v>
      </c>
      <c r="I2794" s="33" t="str">
        <f>CONCATENATE(UPPER(TableAopCalendar[[#This Row],[Month]])," ",TableAopCalendar[[#This Row],[Year]])</f>
        <v>NOVEMBER 29</v>
      </c>
      <c r="J2794" s="8" t="s">
        <v>274</v>
      </c>
      <c r="K2794" s="33" t="str">
        <f>CONCATENATE(TableAopCalendar[[#This Row],[Month for Plan]]," ",TableAopCalendar[[#This Row],[Plan]])</f>
        <v>NOVEMBER 29 PLANNED</v>
      </c>
    </row>
    <row r="2795" spans="1:11" x14ac:dyDescent="0.25">
      <c r="A2795" s="33">
        <f t="shared" si="147"/>
        <v>2</v>
      </c>
      <c r="B2795" s="34">
        <v>47445</v>
      </c>
      <c r="C2795" s="7" t="s">
        <v>117</v>
      </c>
      <c r="D2795" s="35">
        <v>29</v>
      </c>
      <c r="E2795" s="33">
        <f>DAY(TableAopCalendar[[#This Row],[Date]])</f>
        <v>23</v>
      </c>
      <c r="F279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95" s="33" t="str">
        <f t="shared" si="148"/>
        <v>Week 4</v>
      </c>
      <c r="H2795" s="33" t="str">
        <f t="shared" si="149"/>
        <v>November 29 Week 4</v>
      </c>
      <c r="I2795" s="33" t="str">
        <f>CONCATENATE(UPPER(TableAopCalendar[[#This Row],[Month]])," ",TableAopCalendar[[#This Row],[Year]])</f>
        <v>NOVEMBER 29</v>
      </c>
      <c r="J2795" s="8" t="s">
        <v>274</v>
      </c>
      <c r="K2795" s="33" t="str">
        <f>CONCATENATE(TableAopCalendar[[#This Row],[Month for Plan]]," ",TableAopCalendar[[#This Row],[Plan]])</f>
        <v>NOVEMBER 29 PLANNED</v>
      </c>
    </row>
    <row r="2796" spans="1:11" x14ac:dyDescent="0.25">
      <c r="A2796" s="33">
        <f t="shared" si="147"/>
        <v>3</v>
      </c>
      <c r="B2796" s="34">
        <v>47446</v>
      </c>
      <c r="C2796" s="7" t="s">
        <v>117</v>
      </c>
      <c r="D2796" s="35">
        <v>29</v>
      </c>
      <c r="E2796" s="33">
        <f>DAY(TableAopCalendar[[#This Row],[Date]])</f>
        <v>24</v>
      </c>
      <c r="F279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96" s="33" t="str">
        <f t="shared" si="148"/>
        <v>Week 4</v>
      </c>
      <c r="H2796" s="33" t="str">
        <f t="shared" si="149"/>
        <v>November 29 Week 4</v>
      </c>
      <c r="I2796" s="33" t="str">
        <f>CONCATENATE(UPPER(TableAopCalendar[[#This Row],[Month]])," ",TableAopCalendar[[#This Row],[Year]])</f>
        <v>NOVEMBER 29</v>
      </c>
      <c r="J2796" s="8" t="s">
        <v>274</v>
      </c>
      <c r="K2796" s="33" t="str">
        <f>CONCATENATE(TableAopCalendar[[#This Row],[Month for Plan]]," ",TableAopCalendar[[#This Row],[Plan]])</f>
        <v>NOVEMBER 29 PLANNED</v>
      </c>
    </row>
    <row r="2797" spans="1:11" x14ac:dyDescent="0.25">
      <c r="A2797" s="33">
        <f t="shared" si="147"/>
        <v>4</v>
      </c>
      <c r="B2797" s="34">
        <v>47447</v>
      </c>
      <c r="C2797" s="7" t="s">
        <v>117</v>
      </c>
      <c r="D2797" s="35">
        <v>29</v>
      </c>
      <c r="E2797" s="33">
        <f>DAY(TableAopCalendar[[#This Row],[Date]])</f>
        <v>25</v>
      </c>
      <c r="F279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97" s="33" t="str">
        <f t="shared" si="148"/>
        <v>Week 4</v>
      </c>
      <c r="H2797" s="33" t="str">
        <f t="shared" si="149"/>
        <v>November 29 Week 4</v>
      </c>
      <c r="I2797" s="33" t="str">
        <f>CONCATENATE(UPPER(TableAopCalendar[[#This Row],[Month]])," ",TableAopCalendar[[#This Row],[Year]])</f>
        <v>NOVEMBER 29</v>
      </c>
      <c r="J2797" s="8" t="s">
        <v>274</v>
      </c>
      <c r="K2797" s="33" t="str">
        <f>CONCATENATE(TableAopCalendar[[#This Row],[Month for Plan]]," ",TableAopCalendar[[#This Row],[Plan]])</f>
        <v>NOVEMBER 29 PLANNED</v>
      </c>
    </row>
    <row r="2798" spans="1:11" x14ac:dyDescent="0.25">
      <c r="A2798" s="33">
        <f t="shared" si="147"/>
        <v>5</v>
      </c>
      <c r="B2798" s="34">
        <v>47448</v>
      </c>
      <c r="C2798" s="7" t="s">
        <v>117</v>
      </c>
      <c r="D2798" s="35">
        <v>29</v>
      </c>
      <c r="E2798" s="33">
        <f>DAY(TableAopCalendar[[#This Row],[Date]])</f>
        <v>26</v>
      </c>
      <c r="F279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98" s="33" t="str">
        <f t="shared" si="148"/>
        <v>Week 4</v>
      </c>
      <c r="H2798" s="33" t="str">
        <f t="shared" si="149"/>
        <v>November 29 Week 4</v>
      </c>
      <c r="I2798" s="33" t="str">
        <f>CONCATENATE(UPPER(TableAopCalendar[[#This Row],[Month]])," ",TableAopCalendar[[#This Row],[Year]])</f>
        <v>NOVEMBER 29</v>
      </c>
      <c r="J2798" s="8" t="s">
        <v>274</v>
      </c>
      <c r="K2798" s="33" t="str">
        <f>CONCATENATE(TableAopCalendar[[#This Row],[Month for Plan]]," ",TableAopCalendar[[#This Row],[Plan]])</f>
        <v>NOVEMBER 29 PLANNED</v>
      </c>
    </row>
    <row r="2799" spans="1:11" x14ac:dyDescent="0.25">
      <c r="A2799" s="33">
        <f t="shared" si="147"/>
        <v>6</v>
      </c>
      <c r="B2799" s="34">
        <v>47449</v>
      </c>
      <c r="C2799" s="7" t="s">
        <v>117</v>
      </c>
      <c r="D2799" s="35">
        <v>29</v>
      </c>
      <c r="E2799" s="33">
        <f>DAY(TableAopCalendar[[#This Row],[Date]])</f>
        <v>27</v>
      </c>
      <c r="F279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799" s="33" t="str">
        <f t="shared" si="148"/>
        <v>Week 4</v>
      </c>
      <c r="H2799" s="33" t="str">
        <f t="shared" si="149"/>
        <v>November 29 Week 4</v>
      </c>
      <c r="I2799" s="33" t="str">
        <f>CONCATENATE(UPPER(TableAopCalendar[[#This Row],[Month]])," ",TableAopCalendar[[#This Row],[Year]])</f>
        <v>NOVEMBER 29</v>
      </c>
      <c r="J2799" s="8" t="s">
        <v>274</v>
      </c>
      <c r="K2799" s="33" t="str">
        <f>CONCATENATE(TableAopCalendar[[#This Row],[Month for Plan]]," ",TableAopCalendar[[#This Row],[Plan]])</f>
        <v>NOVEMBER 29 PLANNED</v>
      </c>
    </row>
    <row r="2800" spans="1:11" x14ac:dyDescent="0.25">
      <c r="A2800" s="33">
        <f t="shared" si="147"/>
        <v>7</v>
      </c>
      <c r="B2800" s="34">
        <v>47450</v>
      </c>
      <c r="C2800" s="7" t="s">
        <v>117</v>
      </c>
      <c r="D2800" s="35">
        <v>29</v>
      </c>
      <c r="E2800" s="33">
        <f>DAY(TableAopCalendar[[#This Row],[Date]])</f>
        <v>28</v>
      </c>
      <c r="F280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00" s="33" t="str">
        <f t="shared" si="148"/>
        <v>Week 4</v>
      </c>
      <c r="H2800" s="33" t="str">
        <f t="shared" si="149"/>
        <v>November 29 Week 4</v>
      </c>
      <c r="I2800" s="33" t="str">
        <f>CONCATENATE(UPPER(TableAopCalendar[[#This Row],[Month]])," ",TableAopCalendar[[#This Row],[Year]])</f>
        <v>NOVEMBER 29</v>
      </c>
      <c r="J2800" s="8" t="s">
        <v>274</v>
      </c>
      <c r="K2800" s="33" t="str">
        <f>CONCATENATE(TableAopCalendar[[#This Row],[Month for Plan]]," ",TableAopCalendar[[#This Row],[Plan]])</f>
        <v>NOVEMBER 29 PLANNED</v>
      </c>
    </row>
    <row r="2801" spans="1:11" x14ac:dyDescent="0.25">
      <c r="A2801" s="33">
        <f t="shared" si="147"/>
        <v>1</v>
      </c>
      <c r="B2801" s="34">
        <v>47451</v>
      </c>
      <c r="C2801" s="7" t="s">
        <v>117</v>
      </c>
      <c r="D2801" s="35">
        <v>29</v>
      </c>
      <c r="E2801" s="33">
        <f>DAY(TableAopCalendar[[#This Row],[Date]])</f>
        <v>29</v>
      </c>
      <c r="F280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01" s="33" t="str">
        <f t="shared" si="148"/>
        <v>Week 5</v>
      </c>
      <c r="H2801" s="33" t="str">
        <f t="shared" si="149"/>
        <v>November 29 Week 5</v>
      </c>
      <c r="I2801" s="33" t="str">
        <f>CONCATENATE(UPPER(TableAopCalendar[[#This Row],[Month]])," ",TableAopCalendar[[#This Row],[Year]])</f>
        <v>NOVEMBER 29</v>
      </c>
      <c r="J2801" s="8" t="s">
        <v>274</v>
      </c>
      <c r="K2801" s="33" t="str">
        <f>CONCATENATE(TableAopCalendar[[#This Row],[Month for Plan]]," ",TableAopCalendar[[#This Row],[Plan]])</f>
        <v>NOVEMBER 29 PLANNED</v>
      </c>
    </row>
    <row r="2802" spans="1:11" x14ac:dyDescent="0.25">
      <c r="A2802" s="33">
        <f t="shared" si="147"/>
        <v>2</v>
      </c>
      <c r="B2802" s="34">
        <v>47452</v>
      </c>
      <c r="C2802" s="7" t="s">
        <v>117</v>
      </c>
      <c r="D2802" s="35">
        <v>29</v>
      </c>
      <c r="E2802" s="33">
        <f>DAY(TableAopCalendar[[#This Row],[Date]])</f>
        <v>30</v>
      </c>
      <c r="F280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02" s="33" t="str">
        <f t="shared" si="148"/>
        <v>Week 5</v>
      </c>
      <c r="H2802" s="33" t="str">
        <f t="shared" si="149"/>
        <v>November 29 Week 5</v>
      </c>
      <c r="I2802" s="33" t="str">
        <f>CONCATENATE(UPPER(TableAopCalendar[[#This Row],[Month]])," ",TableAopCalendar[[#This Row],[Year]])</f>
        <v>NOVEMBER 29</v>
      </c>
      <c r="J2802" s="8" t="s">
        <v>274</v>
      </c>
      <c r="K2802" s="33" t="str">
        <f>CONCATENATE(TableAopCalendar[[#This Row],[Month for Plan]]," ",TableAopCalendar[[#This Row],[Plan]])</f>
        <v>NOVEMBER 29 PLANNED</v>
      </c>
    </row>
    <row r="2803" spans="1:11" x14ac:dyDescent="0.25">
      <c r="A2803" s="33">
        <f t="shared" si="147"/>
        <v>1</v>
      </c>
      <c r="B2803" s="34">
        <v>47453</v>
      </c>
      <c r="C2803" s="7" t="s">
        <v>270</v>
      </c>
      <c r="D2803" s="35">
        <v>29</v>
      </c>
      <c r="E2803" s="33">
        <f>DAY(TableAopCalendar[[#This Row],[Date]])</f>
        <v>1</v>
      </c>
      <c r="F280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3" s="33" t="str">
        <f t="shared" si="148"/>
        <v>Week 1</v>
      </c>
      <c r="H2803" s="33" t="str">
        <f t="shared" si="149"/>
        <v>December 29 Week 1</v>
      </c>
      <c r="I2803" s="33" t="str">
        <f>CONCATENATE(UPPER(TableAopCalendar[[#This Row],[Month]])," ",TableAopCalendar[[#This Row],[Year]])</f>
        <v>DECEMBER 29</v>
      </c>
      <c r="J2803" s="8" t="s">
        <v>274</v>
      </c>
      <c r="K2803" s="33" t="str">
        <f>CONCATENATE(TableAopCalendar[[#This Row],[Month for Plan]]," ",TableAopCalendar[[#This Row],[Plan]])</f>
        <v>DECEMBER 29 PLANNED</v>
      </c>
    </row>
    <row r="2804" spans="1:11" x14ac:dyDescent="0.25">
      <c r="A2804" s="33">
        <f t="shared" si="147"/>
        <v>2</v>
      </c>
      <c r="B2804" s="34">
        <v>47454</v>
      </c>
      <c r="C2804" s="7" t="s">
        <v>270</v>
      </c>
      <c r="D2804" s="35">
        <v>29</v>
      </c>
      <c r="E2804" s="33">
        <f>DAY(TableAopCalendar[[#This Row],[Date]])</f>
        <v>2</v>
      </c>
      <c r="F280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4" s="33" t="str">
        <f t="shared" si="148"/>
        <v>Week 1</v>
      </c>
      <c r="H2804" s="33" t="str">
        <f t="shared" si="149"/>
        <v>December 29 Week 1</v>
      </c>
      <c r="I2804" s="33" t="str">
        <f>CONCATENATE(UPPER(TableAopCalendar[[#This Row],[Month]])," ",TableAopCalendar[[#This Row],[Year]])</f>
        <v>DECEMBER 29</v>
      </c>
      <c r="J2804" s="8" t="s">
        <v>274</v>
      </c>
      <c r="K2804" s="33" t="str">
        <f>CONCATENATE(TableAopCalendar[[#This Row],[Month for Plan]]," ",TableAopCalendar[[#This Row],[Plan]])</f>
        <v>DECEMBER 29 PLANNED</v>
      </c>
    </row>
    <row r="2805" spans="1:11" x14ac:dyDescent="0.25">
      <c r="A2805" s="33">
        <f t="shared" si="147"/>
        <v>3</v>
      </c>
      <c r="B2805" s="34">
        <v>47455</v>
      </c>
      <c r="C2805" s="7" t="s">
        <v>270</v>
      </c>
      <c r="D2805" s="35">
        <v>29</v>
      </c>
      <c r="E2805" s="33">
        <f>DAY(TableAopCalendar[[#This Row],[Date]])</f>
        <v>3</v>
      </c>
      <c r="F280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5" s="33" t="str">
        <f t="shared" si="148"/>
        <v>Week 1</v>
      </c>
      <c r="H2805" s="33" t="str">
        <f t="shared" si="149"/>
        <v>December 29 Week 1</v>
      </c>
      <c r="I2805" s="33" t="str">
        <f>CONCATENATE(UPPER(TableAopCalendar[[#This Row],[Month]])," ",TableAopCalendar[[#This Row],[Year]])</f>
        <v>DECEMBER 29</v>
      </c>
      <c r="J2805" s="8" t="s">
        <v>274</v>
      </c>
      <c r="K2805" s="33" t="str">
        <f>CONCATENATE(TableAopCalendar[[#This Row],[Month for Plan]]," ",TableAopCalendar[[#This Row],[Plan]])</f>
        <v>DECEMBER 29 PLANNED</v>
      </c>
    </row>
    <row r="2806" spans="1:11" x14ac:dyDescent="0.25">
      <c r="A2806" s="33">
        <f t="shared" si="147"/>
        <v>4</v>
      </c>
      <c r="B2806" s="34">
        <v>47456</v>
      </c>
      <c r="C2806" s="7" t="s">
        <v>270</v>
      </c>
      <c r="D2806" s="35">
        <v>29</v>
      </c>
      <c r="E2806" s="33">
        <f>DAY(TableAopCalendar[[#This Row],[Date]])</f>
        <v>4</v>
      </c>
      <c r="F280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6" s="33" t="str">
        <f t="shared" si="148"/>
        <v>Week 1</v>
      </c>
      <c r="H2806" s="33" t="str">
        <f t="shared" si="149"/>
        <v>December 29 Week 1</v>
      </c>
      <c r="I2806" s="33" t="str">
        <f>CONCATENATE(UPPER(TableAopCalendar[[#This Row],[Month]])," ",TableAopCalendar[[#This Row],[Year]])</f>
        <v>DECEMBER 29</v>
      </c>
      <c r="J2806" s="8" t="s">
        <v>274</v>
      </c>
      <c r="K2806" s="33" t="str">
        <f>CONCATENATE(TableAopCalendar[[#This Row],[Month for Plan]]," ",TableAopCalendar[[#This Row],[Plan]])</f>
        <v>DECEMBER 29 PLANNED</v>
      </c>
    </row>
    <row r="2807" spans="1:11" x14ac:dyDescent="0.25">
      <c r="A2807" s="33">
        <f t="shared" si="147"/>
        <v>5</v>
      </c>
      <c r="B2807" s="34">
        <v>47457</v>
      </c>
      <c r="C2807" s="7" t="s">
        <v>270</v>
      </c>
      <c r="D2807" s="35">
        <v>29</v>
      </c>
      <c r="E2807" s="33">
        <f>DAY(TableAopCalendar[[#This Row],[Date]])</f>
        <v>5</v>
      </c>
      <c r="F280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7" s="33" t="str">
        <f t="shared" si="148"/>
        <v>Week 1</v>
      </c>
      <c r="H2807" s="33" t="str">
        <f t="shared" si="149"/>
        <v>December 29 Week 1</v>
      </c>
      <c r="I2807" s="33" t="str">
        <f>CONCATENATE(UPPER(TableAopCalendar[[#This Row],[Month]])," ",TableAopCalendar[[#This Row],[Year]])</f>
        <v>DECEMBER 29</v>
      </c>
      <c r="J2807" s="8" t="s">
        <v>274</v>
      </c>
      <c r="K2807" s="33" t="str">
        <f>CONCATENATE(TableAopCalendar[[#This Row],[Month for Plan]]," ",TableAopCalendar[[#This Row],[Plan]])</f>
        <v>DECEMBER 29 PLANNED</v>
      </c>
    </row>
    <row r="2808" spans="1:11" x14ac:dyDescent="0.25">
      <c r="A2808" s="33">
        <f t="shared" si="147"/>
        <v>6</v>
      </c>
      <c r="B2808" s="34">
        <v>47458</v>
      </c>
      <c r="C2808" s="7" t="s">
        <v>270</v>
      </c>
      <c r="D2808" s="35">
        <v>29</v>
      </c>
      <c r="E2808" s="33">
        <f>DAY(TableAopCalendar[[#This Row],[Date]])</f>
        <v>6</v>
      </c>
      <c r="F280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8" s="33" t="str">
        <f t="shared" si="148"/>
        <v>Week 1</v>
      </c>
      <c r="H2808" s="33" t="str">
        <f t="shared" si="149"/>
        <v>December 29 Week 1</v>
      </c>
      <c r="I2808" s="33" t="str">
        <f>CONCATENATE(UPPER(TableAopCalendar[[#This Row],[Month]])," ",TableAopCalendar[[#This Row],[Year]])</f>
        <v>DECEMBER 29</v>
      </c>
      <c r="J2808" s="8" t="s">
        <v>274</v>
      </c>
      <c r="K2808" s="33" t="str">
        <f>CONCATENATE(TableAopCalendar[[#This Row],[Month for Plan]]," ",TableAopCalendar[[#This Row],[Plan]])</f>
        <v>DECEMBER 29 PLANNED</v>
      </c>
    </row>
    <row r="2809" spans="1:11" x14ac:dyDescent="0.25">
      <c r="A2809" s="33">
        <f t="shared" si="147"/>
        <v>7</v>
      </c>
      <c r="B2809" s="34">
        <v>47459</v>
      </c>
      <c r="C2809" s="7" t="s">
        <v>270</v>
      </c>
      <c r="D2809" s="35">
        <v>29</v>
      </c>
      <c r="E2809" s="33">
        <f>DAY(TableAopCalendar[[#This Row],[Date]])</f>
        <v>7</v>
      </c>
      <c r="F280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09" s="33" t="str">
        <f t="shared" si="148"/>
        <v>Week 1</v>
      </c>
      <c r="H2809" s="33" t="str">
        <f t="shared" si="149"/>
        <v>December 29 Week 1</v>
      </c>
      <c r="I2809" s="33" t="str">
        <f>CONCATENATE(UPPER(TableAopCalendar[[#This Row],[Month]])," ",TableAopCalendar[[#This Row],[Year]])</f>
        <v>DECEMBER 29</v>
      </c>
      <c r="J2809" s="8" t="s">
        <v>274</v>
      </c>
      <c r="K2809" s="33" t="str">
        <f>CONCATENATE(TableAopCalendar[[#This Row],[Month for Plan]]," ",TableAopCalendar[[#This Row],[Plan]])</f>
        <v>DECEMBER 29 PLANNED</v>
      </c>
    </row>
    <row r="2810" spans="1:11" x14ac:dyDescent="0.25">
      <c r="A2810" s="33">
        <f t="shared" si="147"/>
        <v>1</v>
      </c>
      <c r="B2810" s="34">
        <v>47460</v>
      </c>
      <c r="C2810" s="7" t="s">
        <v>270</v>
      </c>
      <c r="D2810" s="35">
        <v>29</v>
      </c>
      <c r="E2810" s="33">
        <f>DAY(TableAopCalendar[[#This Row],[Date]])</f>
        <v>8</v>
      </c>
      <c r="F281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10" s="33" t="str">
        <f t="shared" si="148"/>
        <v>Week 2</v>
      </c>
      <c r="H2810" s="33" t="str">
        <f t="shared" si="149"/>
        <v>December 29 Week 2</v>
      </c>
      <c r="I2810" s="33" t="str">
        <f>CONCATENATE(UPPER(TableAopCalendar[[#This Row],[Month]])," ",TableAopCalendar[[#This Row],[Year]])</f>
        <v>DECEMBER 29</v>
      </c>
      <c r="J2810" s="8" t="s">
        <v>274</v>
      </c>
      <c r="K2810" s="33" t="str">
        <f>CONCATENATE(TableAopCalendar[[#This Row],[Month for Plan]]," ",TableAopCalendar[[#This Row],[Plan]])</f>
        <v>DECEMBER 29 PLANNED</v>
      </c>
    </row>
    <row r="2811" spans="1:11" x14ac:dyDescent="0.25">
      <c r="A2811" s="33">
        <f t="shared" si="147"/>
        <v>2</v>
      </c>
      <c r="B2811" s="34">
        <v>47461</v>
      </c>
      <c r="C2811" s="7" t="s">
        <v>270</v>
      </c>
      <c r="D2811" s="35">
        <v>29</v>
      </c>
      <c r="E2811" s="33">
        <f>DAY(TableAopCalendar[[#This Row],[Date]])</f>
        <v>9</v>
      </c>
      <c r="F281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11" s="33" t="str">
        <f t="shared" si="148"/>
        <v>Week 2</v>
      </c>
      <c r="H2811" s="33" t="str">
        <f t="shared" si="149"/>
        <v>December 29 Week 2</v>
      </c>
      <c r="I2811" s="33" t="str">
        <f>CONCATENATE(UPPER(TableAopCalendar[[#This Row],[Month]])," ",TableAopCalendar[[#This Row],[Year]])</f>
        <v>DECEMBER 29</v>
      </c>
      <c r="J2811" s="8" t="s">
        <v>274</v>
      </c>
      <c r="K2811" s="33" t="str">
        <f>CONCATENATE(TableAopCalendar[[#This Row],[Month for Plan]]," ",TableAopCalendar[[#This Row],[Plan]])</f>
        <v>DECEMBER 29 PLANNED</v>
      </c>
    </row>
    <row r="2812" spans="1:11" x14ac:dyDescent="0.25">
      <c r="A2812" s="33">
        <f t="shared" si="147"/>
        <v>3</v>
      </c>
      <c r="B2812" s="34">
        <v>47462</v>
      </c>
      <c r="C2812" s="7" t="s">
        <v>270</v>
      </c>
      <c r="D2812" s="35">
        <v>29</v>
      </c>
      <c r="E2812" s="33">
        <f>DAY(TableAopCalendar[[#This Row],[Date]])</f>
        <v>10</v>
      </c>
      <c r="F281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12" s="33" t="str">
        <f t="shared" si="148"/>
        <v>Week 2</v>
      </c>
      <c r="H2812" s="33" t="str">
        <f t="shared" si="149"/>
        <v>December 29 Week 2</v>
      </c>
      <c r="I2812" s="33" t="str">
        <f>CONCATENATE(UPPER(TableAopCalendar[[#This Row],[Month]])," ",TableAopCalendar[[#This Row],[Year]])</f>
        <v>DECEMBER 29</v>
      </c>
      <c r="J2812" s="8" t="s">
        <v>274</v>
      </c>
      <c r="K2812" s="33" t="str">
        <f>CONCATENATE(TableAopCalendar[[#This Row],[Month for Plan]]," ",TableAopCalendar[[#This Row],[Plan]])</f>
        <v>DECEMBER 29 PLANNED</v>
      </c>
    </row>
    <row r="2813" spans="1:11" x14ac:dyDescent="0.25">
      <c r="A2813" s="33">
        <f t="shared" si="147"/>
        <v>4</v>
      </c>
      <c r="B2813" s="34">
        <v>47463</v>
      </c>
      <c r="C2813" s="7" t="s">
        <v>270</v>
      </c>
      <c r="D2813" s="35">
        <v>29</v>
      </c>
      <c r="E2813" s="33">
        <f>DAY(TableAopCalendar[[#This Row],[Date]])</f>
        <v>11</v>
      </c>
      <c r="F281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13" s="33" t="str">
        <f t="shared" si="148"/>
        <v>Week 2</v>
      </c>
      <c r="H2813" s="33" t="str">
        <f t="shared" si="149"/>
        <v>December 29 Week 2</v>
      </c>
      <c r="I2813" s="33" t="str">
        <f>CONCATENATE(UPPER(TableAopCalendar[[#This Row],[Month]])," ",TableAopCalendar[[#This Row],[Year]])</f>
        <v>DECEMBER 29</v>
      </c>
      <c r="J2813" s="8" t="s">
        <v>274</v>
      </c>
      <c r="K2813" s="33" t="str">
        <f>CONCATENATE(TableAopCalendar[[#This Row],[Month for Plan]]," ",TableAopCalendar[[#This Row],[Plan]])</f>
        <v>DECEMBER 29 PLANNED</v>
      </c>
    </row>
    <row r="2814" spans="1:11" x14ac:dyDescent="0.25">
      <c r="A2814" s="33">
        <f t="shared" si="147"/>
        <v>5</v>
      </c>
      <c r="B2814" s="34">
        <v>47464</v>
      </c>
      <c r="C2814" s="7" t="s">
        <v>270</v>
      </c>
      <c r="D2814" s="35">
        <v>29</v>
      </c>
      <c r="E2814" s="33">
        <f>DAY(TableAopCalendar[[#This Row],[Date]])</f>
        <v>12</v>
      </c>
      <c r="F281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14" s="33" t="str">
        <f t="shared" si="148"/>
        <v>Week 2</v>
      </c>
      <c r="H2814" s="33" t="str">
        <f t="shared" si="149"/>
        <v>December 29 Week 2</v>
      </c>
      <c r="I2814" s="33" t="str">
        <f>CONCATENATE(UPPER(TableAopCalendar[[#This Row],[Month]])," ",TableAopCalendar[[#This Row],[Year]])</f>
        <v>DECEMBER 29</v>
      </c>
      <c r="J2814" s="8" t="s">
        <v>274</v>
      </c>
      <c r="K2814" s="33" t="str">
        <f>CONCATENATE(TableAopCalendar[[#This Row],[Month for Plan]]," ",TableAopCalendar[[#This Row],[Plan]])</f>
        <v>DECEMBER 29 PLANNED</v>
      </c>
    </row>
    <row r="2815" spans="1:11" x14ac:dyDescent="0.25">
      <c r="A2815" s="33">
        <f t="shared" si="147"/>
        <v>6</v>
      </c>
      <c r="B2815" s="34">
        <v>47465</v>
      </c>
      <c r="C2815" s="7" t="s">
        <v>270</v>
      </c>
      <c r="D2815" s="35">
        <v>29</v>
      </c>
      <c r="E2815" s="33">
        <f>DAY(TableAopCalendar[[#This Row],[Date]])</f>
        <v>13</v>
      </c>
      <c r="F281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15" s="33" t="str">
        <f t="shared" si="148"/>
        <v>Week 2</v>
      </c>
      <c r="H2815" s="33" t="str">
        <f t="shared" si="149"/>
        <v>December 29 Week 2</v>
      </c>
      <c r="I2815" s="33" t="str">
        <f>CONCATENATE(UPPER(TableAopCalendar[[#This Row],[Month]])," ",TableAopCalendar[[#This Row],[Year]])</f>
        <v>DECEMBER 29</v>
      </c>
      <c r="J2815" s="8" t="s">
        <v>274</v>
      </c>
      <c r="K2815" s="33" t="str">
        <f>CONCATENATE(TableAopCalendar[[#This Row],[Month for Plan]]," ",TableAopCalendar[[#This Row],[Plan]])</f>
        <v>DECEMBER 29 PLANNED</v>
      </c>
    </row>
    <row r="2816" spans="1:11" x14ac:dyDescent="0.25">
      <c r="A2816" s="33">
        <f t="shared" si="147"/>
        <v>7</v>
      </c>
      <c r="B2816" s="34">
        <v>47466</v>
      </c>
      <c r="C2816" s="7" t="s">
        <v>270</v>
      </c>
      <c r="D2816" s="35">
        <v>29</v>
      </c>
      <c r="E2816" s="33">
        <f>DAY(TableAopCalendar[[#This Row],[Date]])</f>
        <v>14</v>
      </c>
      <c r="F281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16" s="33" t="str">
        <f t="shared" si="148"/>
        <v>Week 2</v>
      </c>
      <c r="H2816" s="33" t="str">
        <f t="shared" si="149"/>
        <v>December 29 Week 2</v>
      </c>
      <c r="I2816" s="33" t="str">
        <f>CONCATENATE(UPPER(TableAopCalendar[[#This Row],[Month]])," ",TableAopCalendar[[#This Row],[Year]])</f>
        <v>DECEMBER 29</v>
      </c>
      <c r="J2816" s="8" t="s">
        <v>274</v>
      </c>
      <c r="K2816" s="33" t="str">
        <f>CONCATENATE(TableAopCalendar[[#This Row],[Month for Plan]]," ",TableAopCalendar[[#This Row],[Plan]])</f>
        <v>DECEMBER 29 PLANNED</v>
      </c>
    </row>
    <row r="2817" spans="1:11" x14ac:dyDescent="0.25">
      <c r="A2817" s="33">
        <f t="shared" si="147"/>
        <v>1</v>
      </c>
      <c r="B2817" s="34">
        <v>47467</v>
      </c>
      <c r="C2817" s="7" t="s">
        <v>270</v>
      </c>
      <c r="D2817" s="35">
        <v>29</v>
      </c>
      <c r="E2817" s="33">
        <f>DAY(TableAopCalendar[[#This Row],[Date]])</f>
        <v>15</v>
      </c>
      <c r="F281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17" s="33" t="str">
        <f t="shared" si="148"/>
        <v>Week 3</v>
      </c>
      <c r="H2817" s="33" t="str">
        <f t="shared" si="149"/>
        <v>December 29 Week 3</v>
      </c>
      <c r="I2817" s="33" t="str">
        <f>CONCATENATE(UPPER(TableAopCalendar[[#This Row],[Month]])," ",TableAopCalendar[[#This Row],[Year]])</f>
        <v>DECEMBER 29</v>
      </c>
      <c r="J2817" s="8" t="s">
        <v>274</v>
      </c>
      <c r="K2817" s="33" t="str">
        <f>CONCATENATE(TableAopCalendar[[#This Row],[Month for Plan]]," ",TableAopCalendar[[#This Row],[Plan]])</f>
        <v>DECEMBER 29 PLANNED</v>
      </c>
    </row>
    <row r="2818" spans="1:11" x14ac:dyDescent="0.25">
      <c r="A2818" s="33">
        <f t="shared" si="147"/>
        <v>2</v>
      </c>
      <c r="B2818" s="34">
        <v>47468</v>
      </c>
      <c r="C2818" s="7" t="s">
        <v>270</v>
      </c>
      <c r="D2818" s="35">
        <v>29</v>
      </c>
      <c r="E2818" s="33">
        <f>DAY(TableAopCalendar[[#This Row],[Date]])</f>
        <v>16</v>
      </c>
      <c r="F281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18" s="33" t="str">
        <f t="shared" si="148"/>
        <v>Week 3</v>
      </c>
      <c r="H2818" s="33" t="str">
        <f t="shared" si="149"/>
        <v>December 29 Week 3</v>
      </c>
      <c r="I2818" s="33" t="str">
        <f>CONCATENATE(UPPER(TableAopCalendar[[#This Row],[Month]])," ",TableAopCalendar[[#This Row],[Year]])</f>
        <v>DECEMBER 29</v>
      </c>
      <c r="J2818" s="8" t="s">
        <v>274</v>
      </c>
      <c r="K2818" s="33" t="str">
        <f>CONCATENATE(TableAopCalendar[[#This Row],[Month for Plan]]," ",TableAopCalendar[[#This Row],[Plan]])</f>
        <v>DECEMBER 29 PLANNED</v>
      </c>
    </row>
    <row r="2819" spans="1:11" x14ac:dyDescent="0.25">
      <c r="A2819" s="33">
        <f t="shared" si="147"/>
        <v>3</v>
      </c>
      <c r="B2819" s="34">
        <v>47469</v>
      </c>
      <c r="C2819" s="7" t="s">
        <v>270</v>
      </c>
      <c r="D2819" s="35">
        <v>29</v>
      </c>
      <c r="E2819" s="33">
        <f>DAY(TableAopCalendar[[#This Row],[Date]])</f>
        <v>17</v>
      </c>
      <c r="F281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19" s="33" t="str">
        <f t="shared" si="148"/>
        <v>Week 3</v>
      </c>
      <c r="H2819" s="33" t="str">
        <f t="shared" si="149"/>
        <v>December 29 Week 3</v>
      </c>
      <c r="I2819" s="33" t="str">
        <f>CONCATENATE(UPPER(TableAopCalendar[[#This Row],[Month]])," ",TableAopCalendar[[#This Row],[Year]])</f>
        <v>DECEMBER 29</v>
      </c>
      <c r="J2819" s="8" t="s">
        <v>274</v>
      </c>
      <c r="K2819" s="33" t="str">
        <f>CONCATENATE(TableAopCalendar[[#This Row],[Month for Plan]]," ",TableAopCalendar[[#This Row],[Plan]])</f>
        <v>DECEMBER 29 PLANNED</v>
      </c>
    </row>
    <row r="2820" spans="1:11" x14ac:dyDescent="0.25">
      <c r="A2820" s="33">
        <f t="shared" si="147"/>
        <v>4</v>
      </c>
      <c r="B2820" s="34">
        <v>47470</v>
      </c>
      <c r="C2820" s="7" t="s">
        <v>270</v>
      </c>
      <c r="D2820" s="35">
        <v>29</v>
      </c>
      <c r="E2820" s="33">
        <f>DAY(TableAopCalendar[[#This Row],[Date]])</f>
        <v>18</v>
      </c>
      <c r="F282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20" s="33" t="str">
        <f t="shared" si="148"/>
        <v>Week 3</v>
      </c>
      <c r="H2820" s="33" t="str">
        <f t="shared" si="149"/>
        <v>December 29 Week 3</v>
      </c>
      <c r="I2820" s="33" t="str">
        <f>CONCATENATE(UPPER(TableAopCalendar[[#This Row],[Month]])," ",TableAopCalendar[[#This Row],[Year]])</f>
        <v>DECEMBER 29</v>
      </c>
      <c r="J2820" s="8" t="s">
        <v>274</v>
      </c>
      <c r="K2820" s="33" t="str">
        <f>CONCATENATE(TableAopCalendar[[#This Row],[Month for Plan]]," ",TableAopCalendar[[#This Row],[Plan]])</f>
        <v>DECEMBER 29 PLANNED</v>
      </c>
    </row>
    <row r="2821" spans="1:11" x14ac:dyDescent="0.25">
      <c r="A2821" s="33">
        <f t="shared" si="147"/>
        <v>5</v>
      </c>
      <c r="B2821" s="34">
        <v>47471</v>
      </c>
      <c r="C2821" s="7" t="s">
        <v>270</v>
      </c>
      <c r="D2821" s="35">
        <v>29</v>
      </c>
      <c r="E2821" s="33">
        <f>DAY(TableAopCalendar[[#This Row],[Date]])</f>
        <v>19</v>
      </c>
      <c r="F282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21" s="33" t="str">
        <f t="shared" si="148"/>
        <v>Week 3</v>
      </c>
      <c r="H2821" s="33" t="str">
        <f t="shared" si="149"/>
        <v>December 29 Week 3</v>
      </c>
      <c r="I2821" s="33" t="str">
        <f>CONCATENATE(UPPER(TableAopCalendar[[#This Row],[Month]])," ",TableAopCalendar[[#This Row],[Year]])</f>
        <v>DECEMBER 29</v>
      </c>
      <c r="J2821" s="8" t="s">
        <v>274</v>
      </c>
      <c r="K2821" s="33" t="str">
        <f>CONCATENATE(TableAopCalendar[[#This Row],[Month for Plan]]," ",TableAopCalendar[[#This Row],[Plan]])</f>
        <v>DECEMBER 29 PLANNED</v>
      </c>
    </row>
    <row r="2822" spans="1:11" x14ac:dyDescent="0.25">
      <c r="A2822" s="33">
        <f t="shared" si="147"/>
        <v>6</v>
      </c>
      <c r="B2822" s="34">
        <v>47472</v>
      </c>
      <c r="C2822" s="7" t="s">
        <v>270</v>
      </c>
      <c r="D2822" s="35">
        <v>29</v>
      </c>
      <c r="E2822" s="33">
        <f>DAY(TableAopCalendar[[#This Row],[Date]])</f>
        <v>20</v>
      </c>
      <c r="F282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22" s="33" t="str">
        <f t="shared" si="148"/>
        <v>Week 3</v>
      </c>
      <c r="H2822" s="33" t="str">
        <f t="shared" si="149"/>
        <v>December 29 Week 3</v>
      </c>
      <c r="I2822" s="33" t="str">
        <f>CONCATENATE(UPPER(TableAopCalendar[[#This Row],[Month]])," ",TableAopCalendar[[#This Row],[Year]])</f>
        <v>DECEMBER 29</v>
      </c>
      <c r="J2822" s="8" t="s">
        <v>274</v>
      </c>
      <c r="K2822" s="33" t="str">
        <f>CONCATENATE(TableAopCalendar[[#This Row],[Month for Plan]]," ",TableAopCalendar[[#This Row],[Plan]])</f>
        <v>DECEMBER 29 PLANNED</v>
      </c>
    </row>
    <row r="2823" spans="1:11" x14ac:dyDescent="0.25">
      <c r="A2823" s="33">
        <f t="shared" si="147"/>
        <v>7</v>
      </c>
      <c r="B2823" s="34">
        <v>47473</v>
      </c>
      <c r="C2823" s="7" t="s">
        <v>270</v>
      </c>
      <c r="D2823" s="35">
        <v>29</v>
      </c>
      <c r="E2823" s="33">
        <f>DAY(TableAopCalendar[[#This Row],[Date]])</f>
        <v>21</v>
      </c>
      <c r="F282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23" s="33" t="str">
        <f t="shared" si="148"/>
        <v>Week 3</v>
      </c>
      <c r="H2823" s="33" t="str">
        <f t="shared" si="149"/>
        <v>December 29 Week 3</v>
      </c>
      <c r="I2823" s="33" t="str">
        <f>CONCATENATE(UPPER(TableAopCalendar[[#This Row],[Month]])," ",TableAopCalendar[[#This Row],[Year]])</f>
        <v>DECEMBER 29</v>
      </c>
      <c r="J2823" s="8" t="s">
        <v>274</v>
      </c>
      <c r="K2823" s="33" t="str">
        <f>CONCATENATE(TableAopCalendar[[#This Row],[Month for Plan]]," ",TableAopCalendar[[#This Row],[Plan]])</f>
        <v>DECEMBER 29 PLANNED</v>
      </c>
    </row>
    <row r="2824" spans="1:11" x14ac:dyDescent="0.25">
      <c r="A2824" s="33">
        <f t="shared" si="147"/>
        <v>1</v>
      </c>
      <c r="B2824" s="34">
        <v>47474</v>
      </c>
      <c r="C2824" s="7" t="s">
        <v>270</v>
      </c>
      <c r="D2824" s="35">
        <v>29</v>
      </c>
      <c r="E2824" s="33">
        <f>DAY(TableAopCalendar[[#This Row],[Date]])</f>
        <v>22</v>
      </c>
      <c r="F282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24" s="33" t="str">
        <f t="shared" si="148"/>
        <v>Week 4</v>
      </c>
      <c r="H2824" s="33" t="str">
        <f t="shared" si="149"/>
        <v>December 29 Week 4</v>
      </c>
      <c r="I2824" s="33" t="str">
        <f>CONCATENATE(UPPER(TableAopCalendar[[#This Row],[Month]])," ",TableAopCalendar[[#This Row],[Year]])</f>
        <v>DECEMBER 29</v>
      </c>
      <c r="J2824" s="8" t="s">
        <v>274</v>
      </c>
      <c r="K2824" s="33" t="str">
        <f>CONCATENATE(TableAopCalendar[[#This Row],[Month for Plan]]," ",TableAopCalendar[[#This Row],[Plan]])</f>
        <v>DECEMBER 29 PLANNED</v>
      </c>
    </row>
    <row r="2825" spans="1:11" x14ac:dyDescent="0.25">
      <c r="A2825" s="33">
        <f t="shared" si="147"/>
        <v>2</v>
      </c>
      <c r="B2825" s="34">
        <v>47475</v>
      </c>
      <c r="C2825" s="7" t="s">
        <v>270</v>
      </c>
      <c r="D2825" s="35">
        <v>29</v>
      </c>
      <c r="E2825" s="33">
        <f>DAY(TableAopCalendar[[#This Row],[Date]])</f>
        <v>23</v>
      </c>
      <c r="F282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25" s="33" t="str">
        <f t="shared" si="148"/>
        <v>Week 4</v>
      </c>
      <c r="H2825" s="33" t="str">
        <f t="shared" si="149"/>
        <v>December 29 Week 4</v>
      </c>
      <c r="I2825" s="33" t="str">
        <f>CONCATENATE(UPPER(TableAopCalendar[[#This Row],[Month]])," ",TableAopCalendar[[#This Row],[Year]])</f>
        <v>DECEMBER 29</v>
      </c>
      <c r="J2825" s="8" t="s">
        <v>274</v>
      </c>
      <c r="K2825" s="33" t="str">
        <f>CONCATENATE(TableAopCalendar[[#This Row],[Month for Plan]]," ",TableAopCalendar[[#This Row],[Plan]])</f>
        <v>DECEMBER 29 PLANNED</v>
      </c>
    </row>
    <row r="2826" spans="1:11" x14ac:dyDescent="0.25">
      <c r="A2826" s="33">
        <f t="shared" si="147"/>
        <v>3</v>
      </c>
      <c r="B2826" s="34">
        <v>47476</v>
      </c>
      <c r="C2826" s="7" t="s">
        <v>270</v>
      </c>
      <c r="D2826" s="35">
        <v>29</v>
      </c>
      <c r="E2826" s="33">
        <f>DAY(TableAopCalendar[[#This Row],[Date]])</f>
        <v>24</v>
      </c>
      <c r="F282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26" s="33" t="str">
        <f t="shared" si="148"/>
        <v>Week 4</v>
      </c>
      <c r="H2826" s="33" t="str">
        <f t="shared" si="149"/>
        <v>December 29 Week 4</v>
      </c>
      <c r="I2826" s="33" t="str">
        <f>CONCATENATE(UPPER(TableAopCalendar[[#This Row],[Month]])," ",TableAopCalendar[[#This Row],[Year]])</f>
        <v>DECEMBER 29</v>
      </c>
      <c r="J2826" s="8" t="s">
        <v>274</v>
      </c>
      <c r="K2826" s="33" t="str">
        <f>CONCATENATE(TableAopCalendar[[#This Row],[Month for Plan]]," ",TableAopCalendar[[#This Row],[Plan]])</f>
        <v>DECEMBER 29 PLANNED</v>
      </c>
    </row>
    <row r="2827" spans="1:11" x14ac:dyDescent="0.25">
      <c r="A2827" s="33">
        <f t="shared" si="147"/>
        <v>4</v>
      </c>
      <c r="B2827" s="34">
        <v>47477</v>
      </c>
      <c r="C2827" s="7" t="s">
        <v>270</v>
      </c>
      <c r="D2827" s="35">
        <v>29</v>
      </c>
      <c r="E2827" s="33">
        <f>DAY(TableAopCalendar[[#This Row],[Date]])</f>
        <v>25</v>
      </c>
      <c r="F282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27" s="33" t="str">
        <f t="shared" si="148"/>
        <v>Week 4</v>
      </c>
      <c r="H2827" s="33" t="str">
        <f t="shared" si="149"/>
        <v>December 29 Week 4</v>
      </c>
      <c r="I2827" s="33" t="str">
        <f>CONCATENATE(UPPER(TableAopCalendar[[#This Row],[Month]])," ",TableAopCalendar[[#This Row],[Year]])</f>
        <v>DECEMBER 29</v>
      </c>
      <c r="J2827" s="8" t="s">
        <v>274</v>
      </c>
      <c r="K2827" s="33" t="str">
        <f>CONCATENATE(TableAopCalendar[[#This Row],[Month for Plan]]," ",TableAopCalendar[[#This Row],[Plan]])</f>
        <v>DECEMBER 29 PLANNED</v>
      </c>
    </row>
    <row r="2828" spans="1:11" x14ac:dyDescent="0.25">
      <c r="A2828" s="33">
        <f t="shared" si="147"/>
        <v>5</v>
      </c>
      <c r="B2828" s="34">
        <v>47478</v>
      </c>
      <c r="C2828" s="7" t="s">
        <v>270</v>
      </c>
      <c r="D2828" s="35">
        <v>29</v>
      </c>
      <c r="E2828" s="33">
        <f>DAY(TableAopCalendar[[#This Row],[Date]])</f>
        <v>26</v>
      </c>
      <c r="F282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28" s="33" t="str">
        <f t="shared" si="148"/>
        <v>Week 4</v>
      </c>
      <c r="H2828" s="33" t="str">
        <f t="shared" si="149"/>
        <v>December 29 Week 4</v>
      </c>
      <c r="I2828" s="33" t="str">
        <f>CONCATENATE(UPPER(TableAopCalendar[[#This Row],[Month]])," ",TableAopCalendar[[#This Row],[Year]])</f>
        <v>DECEMBER 29</v>
      </c>
      <c r="J2828" s="8" t="s">
        <v>274</v>
      </c>
      <c r="K2828" s="33" t="str">
        <f>CONCATENATE(TableAopCalendar[[#This Row],[Month for Plan]]," ",TableAopCalendar[[#This Row],[Plan]])</f>
        <v>DECEMBER 29 PLANNED</v>
      </c>
    </row>
    <row r="2829" spans="1:11" x14ac:dyDescent="0.25">
      <c r="A2829" s="33">
        <f t="shared" si="147"/>
        <v>6</v>
      </c>
      <c r="B2829" s="34">
        <v>47479</v>
      </c>
      <c r="C2829" s="7" t="s">
        <v>270</v>
      </c>
      <c r="D2829" s="35">
        <v>29</v>
      </c>
      <c r="E2829" s="33">
        <f>DAY(TableAopCalendar[[#This Row],[Date]])</f>
        <v>27</v>
      </c>
      <c r="F282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29" s="33" t="str">
        <f t="shared" si="148"/>
        <v>Week 4</v>
      </c>
      <c r="H2829" s="33" t="str">
        <f t="shared" si="149"/>
        <v>December 29 Week 4</v>
      </c>
      <c r="I2829" s="33" t="str">
        <f>CONCATENATE(UPPER(TableAopCalendar[[#This Row],[Month]])," ",TableAopCalendar[[#This Row],[Year]])</f>
        <v>DECEMBER 29</v>
      </c>
      <c r="J2829" s="8" t="s">
        <v>274</v>
      </c>
      <c r="K2829" s="33" t="str">
        <f>CONCATENATE(TableAopCalendar[[#This Row],[Month for Plan]]," ",TableAopCalendar[[#This Row],[Plan]])</f>
        <v>DECEMBER 29 PLANNED</v>
      </c>
    </row>
    <row r="2830" spans="1:11" x14ac:dyDescent="0.25">
      <c r="A2830" s="33">
        <f t="shared" si="147"/>
        <v>7</v>
      </c>
      <c r="B2830" s="34">
        <v>47480</v>
      </c>
      <c r="C2830" s="7" t="s">
        <v>270</v>
      </c>
      <c r="D2830" s="35">
        <v>29</v>
      </c>
      <c r="E2830" s="33">
        <f>DAY(TableAopCalendar[[#This Row],[Date]])</f>
        <v>28</v>
      </c>
      <c r="F283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30" s="33" t="str">
        <f t="shared" si="148"/>
        <v>Week 4</v>
      </c>
      <c r="H2830" s="33" t="str">
        <f t="shared" si="149"/>
        <v>December 29 Week 4</v>
      </c>
      <c r="I2830" s="33" t="str">
        <f>CONCATENATE(UPPER(TableAopCalendar[[#This Row],[Month]])," ",TableAopCalendar[[#This Row],[Year]])</f>
        <v>DECEMBER 29</v>
      </c>
      <c r="J2830" s="8" t="s">
        <v>274</v>
      </c>
      <c r="K2830" s="33" t="str">
        <f>CONCATENATE(TableAopCalendar[[#This Row],[Month for Plan]]," ",TableAopCalendar[[#This Row],[Plan]])</f>
        <v>DECEMBER 29 PLANNED</v>
      </c>
    </row>
    <row r="2831" spans="1:11" x14ac:dyDescent="0.25">
      <c r="A2831" s="33">
        <f t="shared" si="147"/>
        <v>1</v>
      </c>
      <c r="B2831" s="34">
        <v>47481</v>
      </c>
      <c r="C2831" s="7" t="s">
        <v>270</v>
      </c>
      <c r="D2831" s="35">
        <v>29</v>
      </c>
      <c r="E2831" s="33">
        <f>DAY(TableAopCalendar[[#This Row],[Date]])</f>
        <v>29</v>
      </c>
      <c r="F283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31" s="33" t="str">
        <f t="shared" si="148"/>
        <v>Week 5</v>
      </c>
      <c r="H2831" s="33" t="str">
        <f t="shared" si="149"/>
        <v>December 29 Week 5</v>
      </c>
      <c r="I2831" s="33" t="str">
        <f>CONCATENATE(UPPER(TableAopCalendar[[#This Row],[Month]])," ",TableAopCalendar[[#This Row],[Year]])</f>
        <v>DECEMBER 29</v>
      </c>
      <c r="J2831" s="8" t="s">
        <v>274</v>
      </c>
      <c r="K2831" s="33" t="str">
        <f>CONCATENATE(TableAopCalendar[[#This Row],[Month for Plan]]," ",TableAopCalendar[[#This Row],[Plan]])</f>
        <v>DECEMBER 29 PLANNED</v>
      </c>
    </row>
    <row r="2832" spans="1:11" x14ac:dyDescent="0.25">
      <c r="A2832" s="33">
        <f t="shared" si="147"/>
        <v>2</v>
      </c>
      <c r="B2832" s="34">
        <v>47482</v>
      </c>
      <c r="C2832" s="7" t="s">
        <v>270</v>
      </c>
      <c r="D2832" s="35">
        <v>29</v>
      </c>
      <c r="E2832" s="33">
        <f>DAY(TableAopCalendar[[#This Row],[Date]])</f>
        <v>30</v>
      </c>
      <c r="F283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32" s="33" t="str">
        <f t="shared" si="148"/>
        <v>Week 5</v>
      </c>
      <c r="H2832" s="33" t="str">
        <f t="shared" si="149"/>
        <v>December 29 Week 5</v>
      </c>
      <c r="I2832" s="33" t="str">
        <f>CONCATENATE(UPPER(TableAopCalendar[[#This Row],[Month]])," ",TableAopCalendar[[#This Row],[Year]])</f>
        <v>DECEMBER 29</v>
      </c>
      <c r="J2832" s="8" t="s">
        <v>274</v>
      </c>
      <c r="K2832" s="33" t="str">
        <f>CONCATENATE(TableAopCalendar[[#This Row],[Month for Plan]]," ",TableAopCalendar[[#This Row],[Plan]])</f>
        <v>DECEMBER 29 PLANNED</v>
      </c>
    </row>
    <row r="2833" spans="1:11" x14ac:dyDescent="0.25">
      <c r="A2833" s="33">
        <f t="shared" si="147"/>
        <v>3</v>
      </c>
      <c r="B2833" s="34">
        <v>47483</v>
      </c>
      <c r="C2833" s="7" t="s">
        <v>270</v>
      </c>
      <c r="D2833" s="35">
        <v>29</v>
      </c>
      <c r="E2833" s="33">
        <f>DAY(TableAopCalendar[[#This Row],[Date]])</f>
        <v>31</v>
      </c>
      <c r="F2833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33" s="33" t="str">
        <f t="shared" si="148"/>
        <v>Week 5</v>
      </c>
      <c r="H2833" s="33" t="str">
        <f t="shared" si="149"/>
        <v>December 29 Week 5</v>
      </c>
      <c r="I2833" s="33" t="str">
        <f>CONCATENATE(UPPER(TableAopCalendar[[#This Row],[Month]])," ",TableAopCalendar[[#This Row],[Year]])</f>
        <v>DECEMBER 29</v>
      </c>
      <c r="J2833" s="8" t="s">
        <v>274</v>
      </c>
      <c r="K2833" s="33" t="str">
        <f>CONCATENATE(TableAopCalendar[[#This Row],[Month for Plan]]," ",TableAopCalendar[[#This Row],[Plan]])</f>
        <v>DECEMBER 29 PLANNED</v>
      </c>
    </row>
    <row r="2834" spans="1:11" x14ac:dyDescent="0.25">
      <c r="A2834" s="33">
        <f t="shared" si="147"/>
        <v>1</v>
      </c>
      <c r="B2834" s="34">
        <v>47484</v>
      </c>
      <c r="C2834" s="7" t="s">
        <v>271</v>
      </c>
      <c r="D2834" s="35">
        <v>30</v>
      </c>
      <c r="E2834" s="33">
        <f>DAY(TableAopCalendar[[#This Row],[Date]])</f>
        <v>1</v>
      </c>
      <c r="F283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34" s="33" t="str">
        <f t="shared" si="148"/>
        <v>Week 1</v>
      </c>
      <c r="H2834" s="33" t="str">
        <f t="shared" si="149"/>
        <v>January 30 Week 1</v>
      </c>
      <c r="I2834" s="33" t="str">
        <f>CONCATENATE(UPPER(TableAopCalendar[[#This Row],[Month]])," ",TableAopCalendar[[#This Row],[Year]])</f>
        <v>JANUARY 30</v>
      </c>
      <c r="J2834" s="8" t="s">
        <v>274</v>
      </c>
      <c r="K2834" s="33" t="str">
        <f>CONCATENATE(TableAopCalendar[[#This Row],[Month for Plan]]," ",TableAopCalendar[[#This Row],[Plan]])</f>
        <v>JANUARY 30 PLANNED</v>
      </c>
    </row>
    <row r="2835" spans="1:11" x14ac:dyDescent="0.25">
      <c r="A2835" s="33">
        <f t="shared" si="147"/>
        <v>2</v>
      </c>
      <c r="B2835" s="34">
        <v>47485</v>
      </c>
      <c r="C2835" s="7" t="s">
        <v>271</v>
      </c>
      <c r="D2835" s="35">
        <v>30</v>
      </c>
      <c r="E2835" s="33">
        <f>DAY(TableAopCalendar[[#This Row],[Date]])</f>
        <v>2</v>
      </c>
      <c r="F283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35" s="33" t="str">
        <f t="shared" si="148"/>
        <v>Week 1</v>
      </c>
      <c r="H2835" s="33" t="str">
        <f t="shared" si="149"/>
        <v>January 30 Week 1</v>
      </c>
      <c r="I2835" s="33" t="str">
        <f>CONCATENATE(UPPER(TableAopCalendar[[#This Row],[Month]])," ",TableAopCalendar[[#This Row],[Year]])</f>
        <v>JANUARY 30</v>
      </c>
      <c r="J2835" s="8" t="s">
        <v>274</v>
      </c>
      <c r="K2835" s="33" t="str">
        <f>CONCATENATE(TableAopCalendar[[#This Row],[Month for Plan]]," ",TableAopCalendar[[#This Row],[Plan]])</f>
        <v>JANUARY 30 PLANNED</v>
      </c>
    </row>
    <row r="2836" spans="1:11" x14ac:dyDescent="0.25">
      <c r="A2836" s="33">
        <f t="shared" si="147"/>
        <v>3</v>
      </c>
      <c r="B2836" s="34">
        <v>47486</v>
      </c>
      <c r="C2836" s="7" t="s">
        <v>271</v>
      </c>
      <c r="D2836" s="35">
        <v>30</v>
      </c>
      <c r="E2836" s="33">
        <f>DAY(TableAopCalendar[[#This Row],[Date]])</f>
        <v>3</v>
      </c>
      <c r="F283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36" s="33" t="str">
        <f t="shared" si="148"/>
        <v>Week 1</v>
      </c>
      <c r="H2836" s="33" t="str">
        <f t="shared" si="149"/>
        <v>January 30 Week 1</v>
      </c>
      <c r="I2836" s="33" t="str">
        <f>CONCATENATE(UPPER(TableAopCalendar[[#This Row],[Month]])," ",TableAopCalendar[[#This Row],[Year]])</f>
        <v>JANUARY 30</v>
      </c>
      <c r="J2836" s="8" t="s">
        <v>274</v>
      </c>
      <c r="K2836" s="33" t="str">
        <f>CONCATENATE(TableAopCalendar[[#This Row],[Month for Plan]]," ",TableAopCalendar[[#This Row],[Plan]])</f>
        <v>JANUARY 30 PLANNED</v>
      </c>
    </row>
    <row r="2837" spans="1:11" x14ac:dyDescent="0.25">
      <c r="A2837" s="33">
        <f t="shared" si="147"/>
        <v>4</v>
      </c>
      <c r="B2837" s="34">
        <v>47487</v>
      </c>
      <c r="C2837" s="7" t="s">
        <v>271</v>
      </c>
      <c r="D2837" s="35">
        <v>30</v>
      </c>
      <c r="E2837" s="33">
        <f>DAY(TableAopCalendar[[#This Row],[Date]])</f>
        <v>4</v>
      </c>
      <c r="F283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37" s="33" t="str">
        <f t="shared" si="148"/>
        <v>Week 1</v>
      </c>
      <c r="H2837" s="33" t="str">
        <f t="shared" si="149"/>
        <v>January 30 Week 1</v>
      </c>
      <c r="I2837" s="33" t="str">
        <f>CONCATENATE(UPPER(TableAopCalendar[[#This Row],[Month]])," ",TableAopCalendar[[#This Row],[Year]])</f>
        <v>JANUARY 30</v>
      </c>
      <c r="J2837" s="8" t="s">
        <v>274</v>
      </c>
      <c r="K2837" s="33" t="str">
        <f>CONCATENATE(TableAopCalendar[[#This Row],[Month for Plan]]," ",TableAopCalendar[[#This Row],[Plan]])</f>
        <v>JANUARY 30 PLANNED</v>
      </c>
    </row>
    <row r="2838" spans="1:11" x14ac:dyDescent="0.25">
      <c r="A2838" s="33">
        <f t="shared" si="147"/>
        <v>5</v>
      </c>
      <c r="B2838" s="34">
        <v>47488</v>
      </c>
      <c r="C2838" s="7" t="s">
        <v>271</v>
      </c>
      <c r="D2838" s="35">
        <v>30</v>
      </c>
      <c r="E2838" s="33">
        <f>DAY(TableAopCalendar[[#This Row],[Date]])</f>
        <v>5</v>
      </c>
      <c r="F283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38" s="33" t="str">
        <f t="shared" si="148"/>
        <v>Week 1</v>
      </c>
      <c r="H2838" s="33" t="str">
        <f t="shared" si="149"/>
        <v>January 30 Week 1</v>
      </c>
      <c r="I2838" s="33" t="str">
        <f>CONCATENATE(UPPER(TableAopCalendar[[#This Row],[Month]])," ",TableAopCalendar[[#This Row],[Year]])</f>
        <v>JANUARY 30</v>
      </c>
      <c r="J2838" s="8" t="s">
        <v>274</v>
      </c>
      <c r="K2838" s="33" t="str">
        <f>CONCATENATE(TableAopCalendar[[#This Row],[Month for Plan]]," ",TableAopCalendar[[#This Row],[Plan]])</f>
        <v>JANUARY 30 PLANNED</v>
      </c>
    </row>
    <row r="2839" spans="1:11" x14ac:dyDescent="0.25">
      <c r="A2839" s="33">
        <f t="shared" si="147"/>
        <v>6</v>
      </c>
      <c r="B2839" s="34">
        <v>47489</v>
      </c>
      <c r="C2839" s="7" t="s">
        <v>271</v>
      </c>
      <c r="D2839" s="35">
        <v>30</v>
      </c>
      <c r="E2839" s="33">
        <f>DAY(TableAopCalendar[[#This Row],[Date]])</f>
        <v>6</v>
      </c>
      <c r="F283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39" s="33" t="str">
        <f t="shared" si="148"/>
        <v>Week 1</v>
      </c>
      <c r="H2839" s="33" t="str">
        <f t="shared" si="149"/>
        <v>January 30 Week 1</v>
      </c>
      <c r="I2839" s="33" t="str">
        <f>CONCATENATE(UPPER(TableAopCalendar[[#This Row],[Month]])," ",TableAopCalendar[[#This Row],[Year]])</f>
        <v>JANUARY 30</v>
      </c>
      <c r="J2839" s="8" t="s">
        <v>274</v>
      </c>
      <c r="K2839" s="33" t="str">
        <f>CONCATENATE(TableAopCalendar[[#This Row],[Month for Plan]]," ",TableAopCalendar[[#This Row],[Plan]])</f>
        <v>JANUARY 30 PLANNED</v>
      </c>
    </row>
    <row r="2840" spans="1:11" x14ac:dyDescent="0.25">
      <c r="A2840" s="33">
        <f t="shared" si="147"/>
        <v>7</v>
      </c>
      <c r="B2840" s="34">
        <v>47490</v>
      </c>
      <c r="C2840" s="7" t="s">
        <v>271</v>
      </c>
      <c r="D2840" s="35">
        <v>30</v>
      </c>
      <c r="E2840" s="33">
        <f>DAY(TableAopCalendar[[#This Row],[Date]])</f>
        <v>7</v>
      </c>
      <c r="F284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40" s="33" t="str">
        <f t="shared" si="148"/>
        <v>Week 1</v>
      </c>
      <c r="H2840" s="33" t="str">
        <f t="shared" si="149"/>
        <v>January 30 Week 1</v>
      </c>
      <c r="I2840" s="33" t="str">
        <f>CONCATENATE(UPPER(TableAopCalendar[[#This Row],[Month]])," ",TableAopCalendar[[#This Row],[Year]])</f>
        <v>JANUARY 30</v>
      </c>
      <c r="J2840" s="8" t="s">
        <v>274</v>
      </c>
      <c r="K2840" s="33" t="str">
        <f>CONCATENATE(TableAopCalendar[[#This Row],[Month for Plan]]," ",TableAopCalendar[[#This Row],[Plan]])</f>
        <v>JANUARY 30 PLANNED</v>
      </c>
    </row>
    <row r="2841" spans="1:11" x14ac:dyDescent="0.25">
      <c r="A2841" s="33">
        <f t="shared" si="147"/>
        <v>1</v>
      </c>
      <c r="B2841" s="34">
        <v>47491</v>
      </c>
      <c r="C2841" s="7" t="s">
        <v>271</v>
      </c>
      <c r="D2841" s="35">
        <v>30</v>
      </c>
      <c r="E2841" s="33">
        <f>DAY(TableAopCalendar[[#This Row],[Date]])</f>
        <v>8</v>
      </c>
      <c r="F284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1" s="33" t="str">
        <f t="shared" si="148"/>
        <v>Week 2</v>
      </c>
      <c r="H2841" s="33" t="str">
        <f t="shared" si="149"/>
        <v>January 30 Week 2</v>
      </c>
      <c r="I2841" s="33" t="str">
        <f>CONCATENATE(UPPER(TableAopCalendar[[#This Row],[Month]])," ",TableAopCalendar[[#This Row],[Year]])</f>
        <v>JANUARY 30</v>
      </c>
      <c r="J2841" s="8" t="s">
        <v>274</v>
      </c>
      <c r="K2841" s="33" t="str">
        <f>CONCATENATE(TableAopCalendar[[#This Row],[Month for Plan]]," ",TableAopCalendar[[#This Row],[Plan]])</f>
        <v>JANUARY 30 PLANNED</v>
      </c>
    </row>
    <row r="2842" spans="1:11" x14ac:dyDescent="0.25">
      <c r="A2842" s="33">
        <f t="shared" si="147"/>
        <v>2</v>
      </c>
      <c r="B2842" s="34">
        <v>47492</v>
      </c>
      <c r="C2842" s="7" t="s">
        <v>271</v>
      </c>
      <c r="D2842" s="35">
        <v>30</v>
      </c>
      <c r="E2842" s="33">
        <f>DAY(TableAopCalendar[[#This Row],[Date]])</f>
        <v>9</v>
      </c>
      <c r="F284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2" s="33" t="str">
        <f t="shared" si="148"/>
        <v>Week 2</v>
      </c>
      <c r="H2842" s="33" t="str">
        <f t="shared" si="149"/>
        <v>January 30 Week 2</v>
      </c>
      <c r="I2842" s="33" t="str">
        <f>CONCATENATE(UPPER(TableAopCalendar[[#This Row],[Month]])," ",TableAopCalendar[[#This Row],[Year]])</f>
        <v>JANUARY 30</v>
      </c>
      <c r="J2842" s="8" t="s">
        <v>274</v>
      </c>
      <c r="K2842" s="33" t="str">
        <f>CONCATENATE(TableAopCalendar[[#This Row],[Month for Plan]]," ",TableAopCalendar[[#This Row],[Plan]])</f>
        <v>JANUARY 30 PLANNED</v>
      </c>
    </row>
    <row r="2843" spans="1:11" x14ac:dyDescent="0.25">
      <c r="A2843" s="33">
        <f t="shared" si="147"/>
        <v>3</v>
      </c>
      <c r="B2843" s="34">
        <v>47493</v>
      </c>
      <c r="C2843" s="7" t="s">
        <v>271</v>
      </c>
      <c r="D2843" s="35">
        <v>30</v>
      </c>
      <c r="E2843" s="33">
        <f>DAY(TableAopCalendar[[#This Row],[Date]])</f>
        <v>10</v>
      </c>
      <c r="F284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3" s="33" t="str">
        <f t="shared" si="148"/>
        <v>Week 2</v>
      </c>
      <c r="H2843" s="33" t="str">
        <f t="shared" si="149"/>
        <v>January 30 Week 2</v>
      </c>
      <c r="I2843" s="33" t="str">
        <f>CONCATENATE(UPPER(TableAopCalendar[[#This Row],[Month]])," ",TableAopCalendar[[#This Row],[Year]])</f>
        <v>JANUARY 30</v>
      </c>
      <c r="J2843" s="8" t="s">
        <v>274</v>
      </c>
      <c r="K2843" s="33" t="str">
        <f>CONCATENATE(TableAopCalendar[[#This Row],[Month for Plan]]," ",TableAopCalendar[[#This Row],[Plan]])</f>
        <v>JANUARY 30 PLANNED</v>
      </c>
    </row>
    <row r="2844" spans="1:11" x14ac:dyDescent="0.25">
      <c r="A2844" s="33">
        <f t="shared" si="147"/>
        <v>4</v>
      </c>
      <c r="B2844" s="34">
        <v>47494</v>
      </c>
      <c r="C2844" s="7" t="s">
        <v>271</v>
      </c>
      <c r="D2844" s="35">
        <v>30</v>
      </c>
      <c r="E2844" s="33">
        <f>DAY(TableAopCalendar[[#This Row],[Date]])</f>
        <v>11</v>
      </c>
      <c r="F284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4" s="33" t="str">
        <f t="shared" si="148"/>
        <v>Week 2</v>
      </c>
      <c r="H2844" s="33" t="str">
        <f t="shared" si="149"/>
        <v>January 30 Week 2</v>
      </c>
      <c r="I2844" s="33" t="str">
        <f>CONCATENATE(UPPER(TableAopCalendar[[#This Row],[Month]])," ",TableAopCalendar[[#This Row],[Year]])</f>
        <v>JANUARY 30</v>
      </c>
      <c r="J2844" s="8" t="s">
        <v>274</v>
      </c>
      <c r="K2844" s="33" t="str">
        <f>CONCATENATE(TableAopCalendar[[#This Row],[Month for Plan]]," ",TableAopCalendar[[#This Row],[Plan]])</f>
        <v>JANUARY 30 PLANNED</v>
      </c>
    </row>
    <row r="2845" spans="1:11" x14ac:dyDescent="0.25">
      <c r="A2845" s="33">
        <f t="shared" si="147"/>
        <v>5</v>
      </c>
      <c r="B2845" s="34">
        <v>47495</v>
      </c>
      <c r="C2845" s="7" t="s">
        <v>271</v>
      </c>
      <c r="D2845" s="35">
        <v>30</v>
      </c>
      <c r="E2845" s="33">
        <f>DAY(TableAopCalendar[[#This Row],[Date]])</f>
        <v>12</v>
      </c>
      <c r="F284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5" s="33" t="str">
        <f t="shared" si="148"/>
        <v>Week 2</v>
      </c>
      <c r="H2845" s="33" t="str">
        <f t="shared" si="149"/>
        <v>January 30 Week 2</v>
      </c>
      <c r="I2845" s="33" t="str">
        <f>CONCATENATE(UPPER(TableAopCalendar[[#This Row],[Month]])," ",TableAopCalendar[[#This Row],[Year]])</f>
        <v>JANUARY 30</v>
      </c>
      <c r="J2845" s="8" t="s">
        <v>274</v>
      </c>
      <c r="K2845" s="33" t="str">
        <f>CONCATENATE(TableAopCalendar[[#This Row],[Month for Plan]]," ",TableAopCalendar[[#This Row],[Plan]])</f>
        <v>JANUARY 30 PLANNED</v>
      </c>
    </row>
    <row r="2846" spans="1:11" x14ac:dyDescent="0.25">
      <c r="A2846" s="33">
        <f t="shared" si="147"/>
        <v>6</v>
      </c>
      <c r="B2846" s="34">
        <v>47496</v>
      </c>
      <c r="C2846" s="7" t="s">
        <v>271</v>
      </c>
      <c r="D2846" s="35">
        <v>30</v>
      </c>
      <c r="E2846" s="33">
        <f>DAY(TableAopCalendar[[#This Row],[Date]])</f>
        <v>13</v>
      </c>
      <c r="F284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6" s="33" t="str">
        <f t="shared" si="148"/>
        <v>Week 2</v>
      </c>
      <c r="H2846" s="33" t="str">
        <f t="shared" si="149"/>
        <v>January 30 Week 2</v>
      </c>
      <c r="I2846" s="33" t="str">
        <f>CONCATENATE(UPPER(TableAopCalendar[[#This Row],[Month]])," ",TableAopCalendar[[#This Row],[Year]])</f>
        <v>JANUARY 30</v>
      </c>
      <c r="J2846" s="8" t="s">
        <v>274</v>
      </c>
      <c r="K2846" s="33" t="str">
        <f>CONCATENATE(TableAopCalendar[[#This Row],[Month for Plan]]," ",TableAopCalendar[[#This Row],[Plan]])</f>
        <v>JANUARY 30 PLANNED</v>
      </c>
    </row>
    <row r="2847" spans="1:11" x14ac:dyDescent="0.25">
      <c r="A2847" s="33">
        <f t="shared" si="147"/>
        <v>7</v>
      </c>
      <c r="B2847" s="34">
        <v>47497</v>
      </c>
      <c r="C2847" s="7" t="s">
        <v>271</v>
      </c>
      <c r="D2847" s="35">
        <v>30</v>
      </c>
      <c r="E2847" s="33">
        <f>DAY(TableAopCalendar[[#This Row],[Date]])</f>
        <v>14</v>
      </c>
      <c r="F284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47" s="33" t="str">
        <f t="shared" si="148"/>
        <v>Week 2</v>
      </c>
      <c r="H2847" s="33" t="str">
        <f t="shared" si="149"/>
        <v>January 30 Week 2</v>
      </c>
      <c r="I2847" s="33" t="str">
        <f>CONCATENATE(UPPER(TableAopCalendar[[#This Row],[Month]])," ",TableAopCalendar[[#This Row],[Year]])</f>
        <v>JANUARY 30</v>
      </c>
      <c r="J2847" s="8" t="s">
        <v>274</v>
      </c>
      <c r="K2847" s="33" t="str">
        <f>CONCATENATE(TableAopCalendar[[#This Row],[Month for Plan]]," ",TableAopCalendar[[#This Row],[Plan]])</f>
        <v>JANUARY 30 PLANNED</v>
      </c>
    </row>
    <row r="2848" spans="1:11" x14ac:dyDescent="0.25">
      <c r="A2848" s="33">
        <f t="shared" si="147"/>
        <v>1</v>
      </c>
      <c r="B2848" s="34">
        <v>47498</v>
      </c>
      <c r="C2848" s="7" t="s">
        <v>271</v>
      </c>
      <c r="D2848" s="35">
        <v>30</v>
      </c>
      <c r="E2848" s="33">
        <f>DAY(TableAopCalendar[[#This Row],[Date]])</f>
        <v>15</v>
      </c>
      <c r="F284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48" s="33" t="str">
        <f t="shared" si="148"/>
        <v>Week 3</v>
      </c>
      <c r="H2848" s="33" t="str">
        <f t="shared" si="149"/>
        <v>January 30 Week 3</v>
      </c>
      <c r="I2848" s="33" t="str">
        <f>CONCATENATE(UPPER(TableAopCalendar[[#This Row],[Month]])," ",TableAopCalendar[[#This Row],[Year]])</f>
        <v>JANUARY 30</v>
      </c>
      <c r="J2848" s="8" t="s">
        <v>274</v>
      </c>
      <c r="K2848" s="33" t="str">
        <f>CONCATENATE(TableAopCalendar[[#This Row],[Month for Plan]]," ",TableAopCalendar[[#This Row],[Plan]])</f>
        <v>JANUARY 30 PLANNED</v>
      </c>
    </row>
    <row r="2849" spans="1:11" x14ac:dyDescent="0.25">
      <c r="A2849" s="33">
        <f t="shared" si="147"/>
        <v>2</v>
      </c>
      <c r="B2849" s="34">
        <v>47499</v>
      </c>
      <c r="C2849" s="7" t="s">
        <v>271</v>
      </c>
      <c r="D2849" s="35">
        <v>30</v>
      </c>
      <c r="E2849" s="33">
        <f>DAY(TableAopCalendar[[#This Row],[Date]])</f>
        <v>16</v>
      </c>
      <c r="F284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49" s="33" t="str">
        <f t="shared" si="148"/>
        <v>Week 3</v>
      </c>
      <c r="H2849" s="33" t="str">
        <f t="shared" si="149"/>
        <v>January 30 Week 3</v>
      </c>
      <c r="I2849" s="33" t="str">
        <f>CONCATENATE(UPPER(TableAopCalendar[[#This Row],[Month]])," ",TableAopCalendar[[#This Row],[Year]])</f>
        <v>JANUARY 30</v>
      </c>
      <c r="J2849" s="8" t="s">
        <v>274</v>
      </c>
      <c r="K2849" s="33" t="str">
        <f>CONCATENATE(TableAopCalendar[[#This Row],[Month for Plan]]," ",TableAopCalendar[[#This Row],[Plan]])</f>
        <v>JANUARY 30 PLANNED</v>
      </c>
    </row>
    <row r="2850" spans="1:11" x14ac:dyDescent="0.25">
      <c r="A2850" s="33">
        <f t="shared" si="147"/>
        <v>3</v>
      </c>
      <c r="B2850" s="34">
        <v>47500</v>
      </c>
      <c r="C2850" s="7" t="s">
        <v>271</v>
      </c>
      <c r="D2850" s="35">
        <v>30</v>
      </c>
      <c r="E2850" s="33">
        <f>DAY(TableAopCalendar[[#This Row],[Date]])</f>
        <v>17</v>
      </c>
      <c r="F285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50" s="33" t="str">
        <f t="shared" si="148"/>
        <v>Week 3</v>
      </c>
      <c r="H2850" s="33" t="str">
        <f t="shared" si="149"/>
        <v>January 30 Week 3</v>
      </c>
      <c r="I2850" s="33" t="str">
        <f>CONCATENATE(UPPER(TableAopCalendar[[#This Row],[Month]])," ",TableAopCalendar[[#This Row],[Year]])</f>
        <v>JANUARY 30</v>
      </c>
      <c r="J2850" s="8" t="s">
        <v>274</v>
      </c>
      <c r="K2850" s="33" t="str">
        <f>CONCATENATE(TableAopCalendar[[#This Row],[Month for Plan]]," ",TableAopCalendar[[#This Row],[Plan]])</f>
        <v>JANUARY 30 PLANNED</v>
      </c>
    </row>
    <row r="2851" spans="1:11" x14ac:dyDescent="0.25">
      <c r="A2851" s="33">
        <f t="shared" si="147"/>
        <v>4</v>
      </c>
      <c r="B2851" s="34">
        <v>47501</v>
      </c>
      <c r="C2851" s="7" t="s">
        <v>271</v>
      </c>
      <c r="D2851" s="35">
        <v>30</v>
      </c>
      <c r="E2851" s="33">
        <f>DAY(TableAopCalendar[[#This Row],[Date]])</f>
        <v>18</v>
      </c>
      <c r="F285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51" s="33" t="str">
        <f t="shared" si="148"/>
        <v>Week 3</v>
      </c>
      <c r="H2851" s="33" t="str">
        <f t="shared" si="149"/>
        <v>January 30 Week 3</v>
      </c>
      <c r="I2851" s="33" t="str">
        <f>CONCATENATE(UPPER(TableAopCalendar[[#This Row],[Month]])," ",TableAopCalendar[[#This Row],[Year]])</f>
        <v>JANUARY 30</v>
      </c>
      <c r="J2851" s="8" t="s">
        <v>274</v>
      </c>
      <c r="K2851" s="33" t="str">
        <f>CONCATENATE(TableAopCalendar[[#This Row],[Month for Plan]]," ",TableAopCalendar[[#This Row],[Plan]])</f>
        <v>JANUARY 30 PLANNED</v>
      </c>
    </row>
    <row r="2852" spans="1:11" x14ac:dyDescent="0.25">
      <c r="A2852" s="33">
        <f t="shared" ref="A2852:A2915" si="150">IF(G2852=G2851,A2851+1,1)</f>
        <v>5</v>
      </c>
      <c r="B2852" s="34">
        <v>47502</v>
      </c>
      <c r="C2852" s="7" t="s">
        <v>271</v>
      </c>
      <c r="D2852" s="35">
        <v>30</v>
      </c>
      <c r="E2852" s="33">
        <f>DAY(TableAopCalendar[[#This Row],[Date]])</f>
        <v>19</v>
      </c>
      <c r="F285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52" s="33" t="str">
        <f t="shared" ref="G2852:G2915" si="151">"Week"&amp;" "&amp;F2852</f>
        <v>Week 3</v>
      </c>
      <c r="H2852" s="33" t="str">
        <f t="shared" ref="H2852:H2915" si="152">CONCATENATE(C2852," ",D2852," ",G2852)</f>
        <v>January 30 Week 3</v>
      </c>
      <c r="I2852" s="33" t="str">
        <f>CONCATENATE(UPPER(TableAopCalendar[[#This Row],[Month]])," ",TableAopCalendar[[#This Row],[Year]])</f>
        <v>JANUARY 30</v>
      </c>
      <c r="J2852" s="8" t="s">
        <v>274</v>
      </c>
      <c r="K2852" s="33" t="str">
        <f>CONCATENATE(TableAopCalendar[[#This Row],[Month for Plan]]," ",TableAopCalendar[[#This Row],[Plan]])</f>
        <v>JANUARY 30 PLANNED</v>
      </c>
    </row>
    <row r="2853" spans="1:11" x14ac:dyDescent="0.25">
      <c r="A2853" s="33">
        <f t="shared" si="150"/>
        <v>6</v>
      </c>
      <c r="B2853" s="34">
        <v>47503</v>
      </c>
      <c r="C2853" s="7" t="s">
        <v>271</v>
      </c>
      <c r="D2853" s="35">
        <v>30</v>
      </c>
      <c r="E2853" s="33">
        <f>DAY(TableAopCalendar[[#This Row],[Date]])</f>
        <v>20</v>
      </c>
      <c r="F285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53" s="33" t="str">
        <f t="shared" si="151"/>
        <v>Week 3</v>
      </c>
      <c r="H2853" s="33" t="str">
        <f t="shared" si="152"/>
        <v>January 30 Week 3</v>
      </c>
      <c r="I2853" s="33" t="str">
        <f>CONCATENATE(UPPER(TableAopCalendar[[#This Row],[Month]])," ",TableAopCalendar[[#This Row],[Year]])</f>
        <v>JANUARY 30</v>
      </c>
      <c r="J2853" s="8" t="s">
        <v>274</v>
      </c>
      <c r="K2853" s="33" t="str">
        <f>CONCATENATE(TableAopCalendar[[#This Row],[Month for Plan]]," ",TableAopCalendar[[#This Row],[Plan]])</f>
        <v>JANUARY 30 PLANNED</v>
      </c>
    </row>
    <row r="2854" spans="1:11" x14ac:dyDescent="0.25">
      <c r="A2854" s="33">
        <f t="shared" si="150"/>
        <v>7</v>
      </c>
      <c r="B2854" s="34">
        <v>47504</v>
      </c>
      <c r="C2854" s="7" t="s">
        <v>271</v>
      </c>
      <c r="D2854" s="35">
        <v>30</v>
      </c>
      <c r="E2854" s="33">
        <f>DAY(TableAopCalendar[[#This Row],[Date]])</f>
        <v>21</v>
      </c>
      <c r="F285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54" s="33" t="str">
        <f t="shared" si="151"/>
        <v>Week 3</v>
      </c>
      <c r="H2854" s="33" t="str">
        <f t="shared" si="152"/>
        <v>January 30 Week 3</v>
      </c>
      <c r="I2854" s="33" t="str">
        <f>CONCATENATE(UPPER(TableAopCalendar[[#This Row],[Month]])," ",TableAopCalendar[[#This Row],[Year]])</f>
        <v>JANUARY 30</v>
      </c>
      <c r="J2854" s="8" t="s">
        <v>274</v>
      </c>
      <c r="K2854" s="33" t="str">
        <f>CONCATENATE(TableAopCalendar[[#This Row],[Month for Plan]]," ",TableAopCalendar[[#This Row],[Plan]])</f>
        <v>JANUARY 30 PLANNED</v>
      </c>
    </row>
    <row r="2855" spans="1:11" x14ac:dyDescent="0.25">
      <c r="A2855" s="33">
        <f t="shared" si="150"/>
        <v>1</v>
      </c>
      <c r="B2855" s="34">
        <v>47505</v>
      </c>
      <c r="C2855" s="7" t="s">
        <v>271</v>
      </c>
      <c r="D2855" s="35">
        <v>30</v>
      </c>
      <c r="E2855" s="33">
        <f>DAY(TableAopCalendar[[#This Row],[Date]])</f>
        <v>22</v>
      </c>
      <c r="F285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55" s="33" t="str">
        <f t="shared" si="151"/>
        <v>Week 4</v>
      </c>
      <c r="H2855" s="33" t="str">
        <f t="shared" si="152"/>
        <v>January 30 Week 4</v>
      </c>
      <c r="I2855" s="33" t="str">
        <f>CONCATENATE(UPPER(TableAopCalendar[[#This Row],[Month]])," ",TableAopCalendar[[#This Row],[Year]])</f>
        <v>JANUARY 30</v>
      </c>
      <c r="J2855" s="8" t="s">
        <v>274</v>
      </c>
      <c r="K2855" s="33" t="str">
        <f>CONCATENATE(TableAopCalendar[[#This Row],[Month for Plan]]," ",TableAopCalendar[[#This Row],[Plan]])</f>
        <v>JANUARY 30 PLANNED</v>
      </c>
    </row>
    <row r="2856" spans="1:11" x14ac:dyDescent="0.25">
      <c r="A2856" s="33">
        <f t="shared" si="150"/>
        <v>2</v>
      </c>
      <c r="B2856" s="34">
        <v>47506</v>
      </c>
      <c r="C2856" s="7" t="s">
        <v>271</v>
      </c>
      <c r="D2856" s="35">
        <v>30</v>
      </c>
      <c r="E2856" s="33">
        <f>DAY(TableAopCalendar[[#This Row],[Date]])</f>
        <v>23</v>
      </c>
      <c r="F285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56" s="33" t="str">
        <f t="shared" si="151"/>
        <v>Week 4</v>
      </c>
      <c r="H2856" s="33" t="str">
        <f t="shared" si="152"/>
        <v>January 30 Week 4</v>
      </c>
      <c r="I2856" s="33" t="str">
        <f>CONCATENATE(UPPER(TableAopCalendar[[#This Row],[Month]])," ",TableAopCalendar[[#This Row],[Year]])</f>
        <v>JANUARY 30</v>
      </c>
      <c r="J2856" s="8" t="s">
        <v>274</v>
      </c>
      <c r="K2856" s="33" t="str">
        <f>CONCATENATE(TableAopCalendar[[#This Row],[Month for Plan]]," ",TableAopCalendar[[#This Row],[Plan]])</f>
        <v>JANUARY 30 PLANNED</v>
      </c>
    </row>
    <row r="2857" spans="1:11" x14ac:dyDescent="0.25">
      <c r="A2857" s="33">
        <f t="shared" si="150"/>
        <v>3</v>
      </c>
      <c r="B2857" s="34">
        <v>47507</v>
      </c>
      <c r="C2857" s="7" t="s">
        <v>271</v>
      </c>
      <c r="D2857" s="35">
        <v>30</v>
      </c>
      <c r="E2857" s="33">
        <f>DAY(TableAopCalendar[[#This Row],[Date]])</f>
        <v>24</v>
      </c>
      <c r="F285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57" s="33" t="str">
        <f t="shared" si="151"/>
        <v>Week 4</v>
      </c>
      <c r="H2857" s="33" t="str">
        <f t="shared" si="152"/>
        <v>January 30 Week 4</v>
      </c>
      <c r="I2857" s="33" t="str">
        <f>CONCATENATE(UPPER(TableAopCalendar[[#This Row],[Month]])," ",TableAopCalendar[[#This Row],[Year]])</f>
        <v>JANUARY 30</v>
      </c>
      <c r="J2857" s="8" t="s">
        <v>274</v>
      </c>
      <c r="K2857" s="33" t="str">
        <f>CONCATENATE(TableAopCalendar[[#This Row],[Month for Plan]]," ",TableAopCalendar[[#This Row],[Plan]])</f>
        <v>JANUARY 30 PLANNED</v>
      </c>
    </row>
    <row r="2858" spans="1:11" x14ac:dyDescent="0.25">
      <c r="A2858" s="33">
        <f t="shared" si="150"/>
        <v>4</v>
      </c>
      <c r="B2858" s="34">
        <v>47508</v>
      </c>
      <c r="C2858" s="7" t="s">
        <v>271</v>
      </c>
      <c r="D2858" s="35">
        <v>30</v>
      </c>
      <c r="E2858" s="33">
        <f>DAY(TableAopCalendar[[#This Row],[Date]])</f>
        <v>25</v>
      </c>
      <c r="F285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58" s="33" t="str">
        <f t="shared" si="151"/>
        <v>Week 4</v>
      </c>
      <c r="H2858" s="33" t="str">
        <f t="shared" si="152"/>
        <v>January 30 Week 4</v>
      </c>
      <c r="I2858" s="33" t="str">
        <f>CONCATENATE(UPPER(TableAopCalendar[[#This Row],[Month]])," ",TableAopCalendar[[#This Row],[Year]])</f>
        <v>JANUARY 30</v>
      </c>
      <c r="J2858" s="8" t="s">
        <v>274</v>
      </c>
      <c r="K2858" s="33" t="str">
        <f>CONCATENATE(TableAopCalendar[[#This Row],[Month for Plan]]," ",TableAopCalendar[[#This Row],[Plan]])</f>
        <v>JANUARY 30 PLANNED</v>
      </c>
    </row>
    <row r="2859" spans="1:11" x14ac:dyDescent="0.25">
      <c r="A2859" s="33">
        <f t="shared" si="150"/>
        <v>5</v>
      </c>
      <c r="B2859" s="34">
        <v>47509</v>
      </c>
      <c r="C2859" s="7" t="s">
        <v>271</v>
      </c>
      <c r="D2859" s="35">
        <v>30</v>
      </c>
      <c r="E2859" s="33">
        <f>DAY(TableAopCalendar[[#This Row],[Date]])</f>
        <v>26</v>
      </c>
      <c r="F285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59" s="33" t="str">
        <f t="shared" si="151"/>
        <v>Week 4</v>
      </c>
      <c r="H2859" s="33" t="str">
        <f t="shared" si="152"/>
        <v>January 30 Week 4</v>
      </c>
      <c r="I2859" s="33" t="str">
        <f>CONCATENATE(UPPER(TableAopCalendar[[#This Row],[Month]])," ",TableAopCalendar[[#This Row],[Year]])</f>
        <v>JANUARY 30</v>
      </c>
      <c r="J2859" s="8" t="s">
        <v>274</v>
      </c>
      <c r="K2859" s="33" t="str">
        <f>CONCATENATE(TableAopCalendar[[#This Row],[Month for Plan]]," ",TableAopCalendar[[#This Row],[Plan]])</f>
        <v>JANUARY 30 PLANNED</v>
      </c>
    </row>
    <row r="2860" spans="1:11" x14ac:dyDescent="0.25">
      <c r="A2860" s="33">
        <f t="shared" si="150"/>
        <v>6</v>
      </c>
      <c r="B2860" s="34">
        <v>47510</v>
      </c>
      <c r="C2860" s="7" t="s">
        <v>271</v>
      </c>
      <c r="D2860" s="35">
        <v>30</v>
      </c>
      <c r="E2860" s="33">
        <f>DAY(TableAopCalendar[[#This Row],[Date]])</f>
        <v>27</v>
      </c>
      <c r="F286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60" s="33" t="str">
        <f t="shared" si="151"/>
        <v>Week 4</v>
      </c>
      <c r="H2860" s="33" t="str">
        <f t="shared" si="152"/>
        <v>January 30 Week 4</v>
      </c>
      <c r="I2860" s="33" t="str">
        <f>CONCATENATE(UPPER(TableAopCalendar[[#This Row],[Month]])," ",TableAopCalendar[[#This Row],[Year]])</f>
        <v>JANUARY 30</v>
      </c>
      <c r="J2860" s="8" t="s">
        <v>274</v>
      </c>
      <c r="K2860" s="33" t="str">
        <f>CONCATENATE(TableAopCalendar[[#This Row],[Month for Plan]]," ",TableAopCalendar[[#This Row],[Plan]])</f>
        <v>JANUARY 30 PLANNED</v>
      </c>
    </row>
    <row r="2861" spans="1:11" x14ac:dyDescent="0.25">
      <c r="A2861" s="33">
        <f t="shared" si="150"/>
        <v>7</v>
      </c>
      <c r="B2861" s="34">
        <v>47511</v>
      </c>
      <c r="C2861" s="7" t="s">
        <v>271</v>
      </c>
      <c r="D2861" s="35">
        <v>30</v>
      </c>
      <c r="E2861" s="33">
        <f>DAY(TableAopCalendar[[#This Row],[Date]])</f>
        <v>28</v>
      </c>
      <c r="F286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61" s="33" t="str">
        <f t="shared" si="151"/>
        <v>Week 4</v>
      </c>
      <c r="H2861" s="33" t="str">
        <f t="shared" si="152"/>
        <v>January 30 Week 4</v>
      </c>
      <c r="I2861" s="33" t="str">
        <f>CONCATENATE(UPPER(TableAopCalendar[[#This Row],[Month]])," ",TableAopCalendar[[#This Row],[Year]])</f>
        <v>JANUARY 30</v>
      </c>
      <c r="J2861" s="8" t="s">
        <v>274</v>
      </c>
      <c r="K2861" s="33" t="str">
        <f>CONCATENATE(TableAopCalendar[[#This Row],[Month for Plan]]," ",TableAopCalendar[[#This Row],[Plan]])</f>
        <v>JANUARY 30 PLANNED</v>
      </c>
    </row>
    <row r="2862" spans="1:11" x14ac:dyDescent="0.25">
      <c r="A2862" s="33">
        <f t="shared" si="150"/>
        <v>1</v>
      </c>
      <c r="B2862" s="34">
        <v>47512</v>
      </c>
      <c r="C2862" s="7" t="s">
        <v>271</v>
      </c>
      <c r="D2862" s="35">
        <v>30</v>
      </c>
      <c r="E2862" s="33">
        <f>DAY(TableAopCalendar[[#This Row],[Date]])</f>
        <v>29</v>
      </c>
      <c r="F286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62" s="33" t="str">
        <f t="shared" si="151"/>
        <v>Week 5</v>
      </c>
      <c r="H2862" s="33" t="str">
        <f t="shared" si="152"/>
        <v>January 30 Week 5</v>
      </c>
      <c r="I2862" s="33" t="str">
        <f>CONCATENATE(UPPER(TableAopCalendar[[#This Row],[Month]])," ",TableAopCalendar[[#This Row],[Year]])</f>
        <v>JANUARY 30</v>
      </c>
      <c r="J2862" s="8" t="s">
        <v>274</v>
      </c>
      <c r="K2862" s="33" t="str">
        <f>CONCATENATE(TableAopCalendar[[#This Row],[Month for Plan]]," ",TableAopCalendar[[#This Row],[Plan]])</f>
        <v>JANUARY 30 PLANNED</v>
      </c>
    </row>
    <row r="2863" spans="1:11" x14ac:dyDescent="0.25">
      <c r="A2863" s="33">
        <f t="shared" si="150"/>
        <v>2</v>
      </c>
      <c r="B2863" s="34">
        <v>47513</v>
      </c>
      <c r="C2863" s="7" t="s">
        <v>271</v>
      </c>
      <c r="D2863" s="35">
        <v>30</v>
      </c>
      <c r="E2863" s="33">
        <f>DAY(TableAopCalendar[[#This Row],[Date]])</f>
        <v>30</v>
      </c>
      <c r="F2863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63" s="33" t="str">
        <f t="shared" si="151"/>
        <v>Week 5</v>
      </c>
      <c r="H2863" s="33" t="str">
        <f t="shared" si="152"/>
        <v>January 30 Week 5</v>
      </c>
      <c r="I2863" s="33" t="str">
        <f>CONCATENATE(UPPER(TableAopCalendar[[#This Row],[Month]])," ",TableAopCalendar[[#This Row],[Year]])</f>
        <v>JANUARY 30</v>
      </c>
      <c r="J2863" s="8" t="s">
        <v>274</v>
      </c>
      <c r="K2863" s="33" t="str">
        <f>CONCATENATE(TableAopCalendar[[#This Row],[Month for Plan]]," ",TableAopCalendar[[#This Row],[Plan]])</f>
        <v>JANUARY 30 PLANNED</v>
      </c>
    </row>
    <row r="2864" spans="1:11" x14ac:dyDescent="0.25">
      <c r="A2864" s="33">
        <f t="shared" si="150"/>
        <v>3</v>
      </c>
      <c r="B2864" s="34">
        <v>47514</v>
      </c>
      <c r="C2864" s="7" t="s">
        <v>271</v>
      </c>
      <c r="D2864" s="35">
        <v>30</v>
      </c>
      <c r="E2864" s="33">
        <f>DAY(TableAopCalendar[[#This Row],[Date]])</f>
        <v>31</v>
      </c>
      <c r="F2864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864" s="33" t="str">
        <f t="shared" si="151"/>
        <v>Week 5</v>
      </c>
      <c r="H2864" s="33" t="str">
        <f t="shared" si="152"/>
        <v>January 30 Week 5</v>
      </c>
      <c r="I2864" s="33" t="str">
        <f>CONCATENATE(UPPER(TableAopCalendar[[#This Row],[Month]])," ",TableAopCalendar[[#This Row],[Year]])</f>
        <v>JANUARY 30</v>
      </c>
      <c r="J2864" s="8" t="s">
        <v>274</v>
      </c>
      <c r="K2864" s="33" t="str">
        <f>CONCATENATE(TableAopCalendar[[#This Row],[Month for Plan]]," ",TableAopCalendar[[#This Row],[Plan]])</f>
        <v>JANUARY 30 PLANNED</v>
      </c>
    </row>
    <row r="2865" spans="1:11" x14ac:dyDescent="0.25">
      <c r="A2865" s="33">
        <f t="shared" si="150"/>
        <v>1</v>
      </c>
      <c r="B2865" s="34">
        <v>47515</v>
      </c>
      <c r="C2865" s="7" t="s">
        <v>272</v>
      </c>
      <c r="D2865" s="35">
        <v>30</v>
      </c>
      <c r="E2865" s="33">
        <f>DAY(TableAopCalendar[[#This Row],[Date]])</f>
        <v>1</v>
      </c>
      <c r="F286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65" s="33" t="str">
        <f t="shared" si="151"/>
        <v>Week 1</v>
      </c>
      <c r="H2865" s="33" t="str">
        <f t="shared" si="152"/>
        <v>February 30 Week 1</v>
      </c>
      <c r="I2865" s="33" t="str">
        <f>CONCATENATE(UPPER(TableAopCalendar[[#This Row],[Month]])," ",TableAopCalendar[[#This Row],[Year]])</f>
        <v>FEBRUARY 30</v>
      </c>
      <c r="J2865" s="8" t="s">
        <v>274</v>
      </c>
      <c r="K2865" s="33" t="str">
        <f>CONCATENATE(TableAopCalendar[[#This Row],[Month for Plan]]," ",TableAopCalendar[[#This Row],[Plan]])</f>
        <v>FEBRUARY 30 PLANNED</v>
      </c>
    </row>
    <row r="2866" spans="1:11" x14ac:dyDescent="0.25">
      <c r="A2866" s="33">
        <f t="shared" si="150"/>
        <v>2</v>
      </c>
      <c r="B2866" s="34">
        <v>47516</v>
      </c>
      <c r="C2866" s="7" t="s">
        <v>272</v>
      </c>
      <c r="D2866" s="35">
        <v>30</v>
      </c>
      <c r="E2866" s="33">
        <f>DAY(TableAopCalendar[[#This Row],[Date]])</f>
        <v>2</v>
      </c>
      <c r="F286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66" s="33" t="str">
        <f t="shared" si="151"/>
        <v>Week 1</v>
      </c>
      <c r="H2866" s="33" t="str">
        <f t="shared" si="152"/>
        <v>February 30 Week 1</v>
      </c>
      <c r="I2866" s="33" t="str">
        <f>CONCATENATE(UPPER(TableAopCalendar[[#This Row],[Month]])," ",TableAopCalendar[[#This Row],[Year]])</f>
        <v>FEBRUARY 30</v>
      </c>
      <c r="J2866" s="8" t="s">
        <v>274</v>
      </c>
      <c r="K2866" s="33" t="str">
        <f>CONCATENATE(TableAopCalendar[[#This Row],[Month for Plan]]," ",TableAopCalendar[[#This Row],[Plan]])</f>
        <v>FEBRUARY 30 PLANNED</v>
      </c>
    </row>
    <row r="2867" spans="1:11" x14ac:dyDescent="0.25">
      <c r="A2867" s="33">
        <f t="shared" si="150"/>
        <v>3</v>
      </c>
      <c r="B2867" s="34">
        <v>47517</v>
      </c>
      <c r="C2867" s="7" t="s">
        <v>272</v>
      </c>
      <c r="D2867" s="35">
        <v>30</v>
      </c>
      <c r="E2867" s="33">
        <f>DAY(TableAopCalendar[[#This Row],[Date]])</f>
        <v>3</v>
      </c>
      <c r="F286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67" s="33" t="str">
        <f t="shared" si="151"/>
        <v>Week 1</v>
      </c>
      <c r="H2867" s="33" t="str">
        <f t="shared" si="152"/>
        <v>February 30 Week 1</v>
      </c>
      <c r="I2867" s="33" t="str">
        <f>CONCATENATE(UPPER(TableAopCalendar[[#This Row],[Month]])," ",TableAopCalendar[[#This Row],[Year]])</f>
        <v>FEBRUARY 30</v>
      </c>
      <c r="J2867" s="8" t="s">
        <v>274</v>
      </c>
      <c r="K2867" s="33" t="str">
        <f>CONCATENATE(TableAopCalendar[[#This Row],[Month for Plan]]," ",TableAopCalendar[[#This Row],[Plan]])</f>
        <v>FEBRUARY 30 PLANNED</v>
      </c>
    </row>
    <row r="2868" spans="1:11" x14ac:dyDescent="0.25">
      <c r="A2868" s="33">
        <f t="shared" si="150"/>
        <v>4</v>
      </c>
      <c r="B2868" s="34">
        <v>47518</v>
      </c>
      <c r="C2868" s="7" t="s">
        <v>272</v>
      </c>
      <c r="D2868" s="35">
        <v>30</v>
      </c>
      <c r="E2868" s="33">
        <f>DAY(TableAopCalendar[[#This Row],[Date]])</f>
        <v>4</v>
      </c>
      <c r="F286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68" s="33" t="str">
        <f t="shared" si="151"/>
        <v>Week 1</v>
      </c>
      <c r="H2868" s="33" t="str">
        <f t="shared" si="152"/>
        <v>February 30 Week 1</v>
      </c>
      <c r="I2868" s="33" t="str">
        <f>CONCATENATE(UPPER(TableAopCalendar[[#This Row],[Month]])," ",TableAopCalendar[[#This Row],[Year]])</f>
        <v>FEBRUARY 30</v>
      </c>
      <c r="J2868" s="8" t="s">
        <v>274</v>
      </c>
      <c r="K2868" s="33" t="str">
        <f>CONCATENATE(TableAopCalendar[[#This Row],[Month for Plan]]," ",TableAopCalendar[[#This Row],[Plan]])</f>
        <v>FEBRUARY 30 PLANNED</v>
      </c>
    </row>
    <row r="2869" spans="1:11" x14ac:dyDescent="0.25">
      <c r="A2869" s="33">
        <f t="shared" si="150"/>
        <v>5</v>
      </c>
      <c r="B2869" s="34">
        <v>47519</v>
      </c>
      <c r="C2869" s="7" t="s">
        <v>272</v>
      </c>
      <c r="D2869" s="35">
        <v>30</v>
      </c>
      <c r="E2869" s="33">
        <f>DAY(TableAopCalendar[[#This Row],[Date]])</f>
        <v>5</v>
      </c>
      <c r="F286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69" s="33" t="str">
        <f t="shared" si="151"/>
        <v>Week 1</v>
      </c>
      <c r="H2869" s="33" t="str">
        <f t="shared" si="152"/>
        <v>February 30 Week 1</v>
      </c>
      <c r="I2869" s="33" t="str">
        <f>CONCATENATE(UPPER(TableAopCalendar[[#This Row],[Month]])," ",TableAopCalendar[[#This Row],[Year]])</f>
        <v>FEBRUARY 30</v>
      </c>
      <c r="J2869" s="8" t="s">
        <v>274</v>
      </c>
      <c r="K2869" s="33" t="str">
        <f>CONCATENATE(TableAopCalendar[[#This Row],[Month for Plan]]," ",TableAopCalendar[[#This Row],[Plan]])</f>
        <v>FEBRUARY 30 PLANNED</v>
      </c>
    </row>
    <row r="2870" spans="1:11" x14ac:dyDescent="0.25">
      <c r="A2870" s="33">
        <f t="shared" si="150"/>
        <v>6</v>
      </c>
      <c r="B2870" s="34">
        <v>47520</v>
      </c>
      <c r="C2870" s="7" t="s">
        <v>272</v>
      </c>
      <c r="D2870" s="35">
        <v>30</v>
      </c>
      <c r="E2870" s="33">
        <f>DAY(TableAopCalendar[[#This Row],[Date]])</f>
        <v>6</v>
      </c>
      <c r="F2870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70" s="33" t="str">
        <f t="shared" si="151"/>
        <v>Week 1</v>
      </c>
      <c r="H2870" s="33" t="str">
        <f t="shared" si="152"/>
        <v>February 30 Week 1</v>
      </c>
      <c r="I2870" s="33" t="str">
        <f>CONCATENATE(UPPER(TableAopCalendar[[#This Row],[Month]])," ",TableAopCalendar[[#This Row],[Year]])</f>
        <v>FEBRUARY 30</v>
      </c>
      <c r="J2870" s="8" t="s">
        <v>274</v>
      </c>
      <c r="K2870" s="33" t="str">
        <f>CONCATENATE(TableAopCalendar[[#This Row],[Month for Plan]]," ",TableAopCalendar[[#This Row],[Plan]])</f>
        <v>FEBRUARY 30 PLANNED</v>
      </c>
    </row>
    <row r="2871" spans="1:11" x14ac:dyDescent="0.25">
      <c r="A2871" s="33">
        <f t="shared" si="150"/>
        <v>7</v>
      </c>
      <c r="B2871" s="34">
        <v>47521</v>
      </c>
      <c r="C2871" s="7" t="s">
        <v>272</v>
      </c>
      <c r="D2871" s="35">
        <v>30</v>
      </c>
      <c r="E2871" s="33">
        <f>DAY(TableAopCalendar[[#This Row],[Date]])</f>
        <v>7</v>
      </c>
      <c r="F2871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71" s="33" t="str">
        <f t="shared" si="151"/>
        <v>Week 1</v>
      </c>
      <c r="H2871" s="33" t="str">
        <f t="shared" si="152"/>
        <v>February 30 Week 1</v>
      </c>
      <c r="I2871" s="33" t="str">
        <f>CONCATENATE(UPPER(TableAopCalendar[[#This Row],[Month]])," ",TableAopCalendar[[#This Row],[Year]])</f>
        <v>FEBRUARY 30</v>
      </c>
      <c r="J2871" s="8" t="s">
        <v>274</v>
      </c>
      <c r="K2871" s="33" t="str">
        <f>CONCATENATE(TableAopCalendar[[#This Row],[Month for Plan]]," ",TableAopCalendar[[#This Row],[Plan]])</f>
        <v>FEBRUARY 30 PLANNED</v>
      </c>
    </row>
    <row r="2872" spans="1:11" x14ac:dyDescent="0.25">
      <c r="A2872" s="33">
        <f t="shared" si="150"/>
        <v>1</v>
      </c>
      <c r="B2872" s="34">
        <v>47522</v>
      </c>
      <c r="C2872" s="7" t="s">
        <v>272</v>
      </c>
      <c r="D2872" s="35">
        <v>30</v>
      </c>
      <c r="E2872" s="33">
        <f>DAY(TableAopCalendar[[#This Row],[Date]])</f>
        <v>8</v>
      </c>
      <c r="F287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2" s="33" t="str">
        <f t="shared" si="151"/>
        <v>Week 2</v>
      </c>
      <c r="H2872" s="33" t="str">
        <f t="shared" si="152"/>
        <v>February 30 Week 2</v>
      </c>
      <c r="I2872" s="33" t="str">
        <f>CONCATENATE(UPPER(TableAopCalendar[[#This Row],[Month]])," ",TableAopCalendar[[#This Row],[Year]])</f>
        <v>FEBRUARY 30</v>
      </c>
      <c r="J2872" s="8" t="s">
        <v>274</v>
      </c>
      <c r="K2872" s="33" t="str">
        <f>CONCATENATE(TableAopCalendar[[#This Row],[Month for Plan]]," ",TableAopCalendar[[#This Row],[Plan]])</f>
        <v>FEBRUARY 30 PLANNED</v>
      </c>
    </row>
    <row r="2873" spans="1:11" x14ac:dyDescent="0.25">
      <c r="A2873" s="33">
        <f t="shared" si="150"/>
        <v>2</v>
      </c>
      <c r="B2873" s="34">
        <v>47523</v>
      </c>
      <c r="C2873" s="7" t="s">
        <v>272</v>
      </c>
      <c r="D2873" s="35">
        <v>30</v>
      </c>
      <c r="E2873" s="33">
        <f>DAY(TableAopCalendar[[#This Row],[Date]])</f>
        <v>9</v>
      </c>
      <c r="F287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3" s="33" t="str">
        <f t="shared" si="151"/>
        <v>Week 2</v>
      </c>
      <c r="H2873" s="33" t="str">
        <f t="shared" si="152"/>
        <v>February 30 Week 2</v>
      </c>
      <c r="I2873" s="33" t="str">
        <f>CONCATENATE(UPPER(TableAopCalendar[[#This Row],[Month]])," ",TableAopCalendar[[#This Row],[Year]])</f>
        <v>FEBRUARY 30</v>
      </c>
      <c r="J2873" s="8" t="s">
        <v>274</v>
      </c>
      <c r="K2873" s="33" t="str">
        <f>CONCATENATE(TableAopCalendar[[#This Row],[Month for Plan]]," ",TableAopCalendar[[#This Row],[Plan]])</f>
        <v>FEBRUARY 30 PLANNED</v>
      </c>
    </row>
    <row r="2874" spans="1:11" x14ac:dyDescent="0.25">
      <c r="A2874" s="33">
        <f t="shared" si="150"/>
        <v>3</v>
      </c>
      <c r="B2874" s="34">
        <v>47524</v>
      </c>
      <c r="C2874" s="7" t="s">
        <v>272</v>
      </c>
      <c r="D2874" s="35">
        <v>30</v>
      </c>
      <c r="E2874" s="33">
        <f>DAY(TableAopCalendar[[#This Row],[Date]])</f>
        <v>10</v>
      </c>
      <c r="F287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4" s="33" t="str">
        <f t="shared" si="151"/>
        <v>Week 2</v>
      </c>
      <c r="H2874" s="33" t="str">
        <f t="shared" si="152"/>
        <v>February 30 Week 2</v>
      </c>
      <c r="I2874" s="33" t="str">
        <f>CONCATENATE(UPPER(TableAopCalendar[[#This Row],[Month]])," ",TableAopCalendar[[#This Row],[Year]])</f>
        <v>FEBRUARY 30</v>
      </c>
      <c r="J2874" s="8" t="s">
        <v>274</v>
      </c>
      <c r="K2874" s="33" t="str">
        <f>CONCATENATE(TableAopCalendar[[#This Row],[Month for Plan]]," ",TableAopCalendar[[#This Row],[Plan]])</f>
        <v>FEBRUARY 30 PLANNED</v>
      </c>
    </row>
    <row r="2875" spans="1:11" x14ac:dyDescent="0.25">
      <c r="A2875" s="33">
        <f t="shared" si="150"/>
        <v>4</v>
      </c>
      <c r="B2875" s="34">
        <v>47525</v>
      </c>
      <c r="C2875" s="7" t="s">
        <v>272</v>
      </c>
      <c r="D2875" s="35">
        <v>30</v>
      </c>
      <c r="E2875" s="33">
        <f>DAY(TableAopCalendar[[#This Row],[Date]])</f>
        <v>11</v>
      </c>
      <c r="F287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5" s="33" t="str">
        <f t="shared" si="151"/>
        <v>Week 2</v>
      </c>
      <c r="H2875" s="33" t="str">
        <f t="shared" si="152"/>
        <v>February 30 Week 2</v>
      </c>
      <c r="I2875" s="33" t="str">
        <f>CONCATENATE(UPPER(TableAopCalendar[[#This Row],[Month]])," ",TableAopCalendar[[#This Row],[Year]])</f>
        <v>FEBRUARY 30</v>
      </c>
      <c r="J2875" s="8" t="s">
        <v>274</v>
      </c>
      <c r="K2875" s="33" t="str">
        <f>CONCATENATE(TableAopCalendar[[#This Row],[Month for Plan]]," ",TableAopCalendar[[#This Row],[Plan]])</f>
        <v>FEBRUARY 30 PLANNED</v>
      </c>
    </row>
    <row r="2876" spans="1:11" x14ac:dyDescent="0.25">
      <c r="A2876" s="33">
        <f t="shared" si="150"/>
        <v>5</v>
      </c>
      <c r="B2876" s="34">
        <v>47526</v>
      </c>
      <c r="C2876" s="7" t="s">
        <v>272</v>
      </c>
      <c r="D2876" s="35">
        <v>30</v>
      </c>
      <c r="E2876" s="33">
        <f>DAY(TableAopCalendar[[#This Row],[Date]])</f>
        <v>12</v>
      </c>
      <c r="F287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6" s="33" t="str">
        <f t="shared" si="151"/>
        <v>Week 2</v>
      </c>
      <c r="H2876" s="33" t="str">
        <f t="shared" si="152"/>
        <v>February 30 Week 2</v>
      </c>
      <c r="I2876" s="33" t="str">
        <f>CONCATENATE(UPPER(TableAopCalendar[[#This Row],[Month]])," ",TableAopCalendar[[#This Row],[Year]])</f>
        <v>FEBRUARY 30</v>
      </c>
      <c r="J2876" s="8" t="s">
        <v>274</v>
      </c>
      <c r="K2876" s="33" t="str">
        <f>CONCATENATE(TableAopCalendar[[#This Row],[Month for Plan]]," ",TableAopCalendar[[#This Row],[Plan]])</f>
        <v>FEBRUARY 30 PLANNED</v>
      </c>
    </row>
    <row r="2877" spans="1:11" x14ac:dyDescent="0.25">
      <c r="A2877" s="33">
        <f t="shared" si="150"/>
        <v>6</v>
      </c>
      <c r="B2877" s="34">
        <v>47527</v>
      </c>
      <c r="C2877" s="7" t="s">
        <v>272</v>
      </c>
      <c r="D2877" s="35">
        <v>30</v>
      </c>
      <c r="E2877" s="33">
        <f>DAY(TableAopCalendar[[#This Row],[Date]])</f>
        <v>13</v>
      </c>
      <c r="F2877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7" s="33" t="str">
        <f t="shared" si="151"/>
        <v>Week 2</v>
      </c>
      <c r="H2877" s="33" t="str">
        <f t="shared" si="152"/>
        <v>February 30 Week 2</v>
      </c>
      <c r="I2877" s="33" t="str">
        <f>CONCATENATE(UPPER(TableAopCalendar[[#This Row],[Month]])," ",TableAopCalendar[[#This Row],[Year]])</f>
        <v>FEBRUARY 30</v>
      </c>
      <c r="J2877" s="8" t="s">
        <v>274</v>
      </c>
      <c r="K2877" s="33" t="str">
        <f>CONCATENATE(TableAopCalendar[[#This Row],[Month for Plan]]," ",TableAopCalendar[[#This Row],[Plan]])</f>
        <v>FEBRUARY 30 PLANNED</v>
      </c>
    </row>
    <row r="2878" spans="1:11" x14ac:dyDescent="0.25">
      <c r="A2878" s="33">
        <f t="shared" si="150"/>
        <v>7</v>
      </c>
      <c r="B2878" s="34">
        <v>47528</v>
      </c>
      <c r="C2878" s="7" t="s">
        <v>272</v>
      </c>
      <c r="D2878" s="35">
        <v>30</v>
      </c>
      <c r="E2878" s="33">
        <f>DAY(TableAopCalendar[[#This Row],[Date]])</f>
        <v>14</v>
      </c>
      <c r="F2878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878" s="33" t="str">
        <f t="shared" si="151"/>
        <v>Week 2</v>
      </c>
      <c r="H2878" s="33" t="str">
        <f t="shared" si="152"/>
        <v>February 30 Week 2</v>
      </c>
      <c r="I2878" s="33" t="str">
        <f>CONCATENATE(UPPER(TableAopCalendar[[#This Row],[Month]])," ",TableAopCalendar[[#This Row],[Year]])</f>
        <v>FEBRUARY 30</v>
      </c>
      <c r="J2878" s="8" t="s">
        <v>274</v>
      </c>
      <c r="K2878" s="33" t="str">
        <f>CONCATENATE(TableAopCalendar[[#This Row],[Month for Plan]]," ",TableAopCalendar[[#This Row],[Plan]])</f>
        <v>FEBRUARY 30 PLANNED</v>
      </c>
    </row>
    <row r="2879" spans="1:11" x14ac:dyDescent="0.25">
      <c r="A2879" s="33">
        <f t="shared" si="150"/>
        <v>1</v>
      </c>
      <c r="B2879" s="34">
        <v>47529</v>
      </c>
      <c r="C2879" s="7" t="s">
        <v>272</v>
      </c>
      <c r="D2879" s="35">
        <v>30</v>
      </c>
      <c r="E2879" s="33">
        <f>DAY(TableAopCalendar[[#This Row],[Date]])</f>
        <v>15</v>
      </c>
      <c r="F287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79" s="33" t="str">
        <f t="shared" si="151"/>
        <v>Week 3</v>
      </c>
      <c r="H2879" s="33" t="str">
        <f t="shared" si="152"/>
        <v>February 30 Week 3</v>
      </c>
      <c r="I2879" s="33" t="str">
        <f>CONCATENATE(UPPER(TableAopCalendar[[#This Row],[Month]])," ",TableAopCalendar[[#This Row],[Year]])</f>
        <v>FEBRUARY 30</v>
      </c>
      <c r="J2879" s="8" t="s">
        <v>274</v>
      </c>
      <c r="K2879" s="33" t="str">
        <f>CONCATENATE(TableAopCalendar[[#This Row],[Month for Plan]]," ",TableAopCalendar[[#This Row],[Plan]])</f>
        <v>FEBRUARY 30 PLANNED</v>
      </c>
    </row>
    <row r="2880" spans="1:11" x14ac:dyDescent="0.25">
      <c r="A2880" s="33">
        <f t="shared" si="150"/>
        <v>2</v>
      </c>
      <c r="B2880" s="34">
        <v>47530</v>
      </c>
      <c r="C2880" s="7" t="s">
        <v>272</v>
      </c>
      <c r="D2880" s="35">
        <v>30</v>
      </c>
      <c r="E2880" s="33">
        <f>DAY(TableAopCalendar[[#This Row],[Date]])</f>
        <v>16</v>
      </c>
      <c r="F288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80" s="33" t="str">
        <f t="shared" si="151"/>
        <v>Week 3</v>
      </c>
      <c r="H2880" s="33" t="str">
        <f t="shared" si="152"/>
        <v>February 30 Week 3</v>
      </c>
      <c r="I2880" s="33" t="str">
        <f>CONCATENATE(UPPER(TableAopCalendar[[#This Row],[Month]])," ",TableAopCalendar[[#This Row],[Year]])</f>
        <v>FEBRUARY 30</v>
      </c>
      <c r="J2880" s="8" t="s">
        <v>274</v>
      </c>
      <c r="K2880" s="33" t="str">
        <f>CONCATENATE(TableAopCalendar[[#This Row],[Month for Plan]]," ",TableAopCalendar[[#This Row],[Plan]])</f>
        <v>FEBRUARY 30 PLANNED</v>
      </c>
    </row>
    <row r="2881" spans="1:11" x14ac:dyDescent="0.25">
      <c r="A2881" s="33">
        <f t="shared" si="150"/>
        <v>3</v>
      </c>
      <c r="B2881" s="34">
        <v>47531</v>
      </c>
      <c r="C2881" s="7" t="s">
        <v>272</v>
      </c>
      <c r="D2881" s="35">
        <v>30</v>
      </c>
      <c r="E2881" s="33">
        <f>DAY(TableAopCalendar[[#This Row],[Date]])</f>
        <v>17</v>
      </c>
      <c r="F288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81" s="33" t="str">
        <f t="shared" si="151"/>
        <v>Week 3</v>
      </c>
      <c r="H2881" s="33" t="str">
        <f t="shared" si="152"/>
        <v>February 30 Week 3</v>
      </c>
      <c r="I2881" s="33" t="str">
        <f>CONCATENATE(UPPER(TableAopCalendar[[#This Row],[Month]])," ",TableAopCalendar[[#This Row],[Year]])</f>
        <v>FEBRUARY 30</v>
      </c>
      <c r="J2881" s="8" t="s">
        <v>274</v>
      </c>
      <c r="K2881" s="33" t="str">
        <f>CONCATENATE(TableAopCalendar[[#This Row],[Month for Plan]]," ",TableAopCalendar[[#This Row],[Plan]])</f>
        <v>FEBRUARY 30 PLANNED</v>
      </c>
    </row>
    <row r="2882" spans="1:11" x14ac:dyDescent="0.25">
      <c r="A2882" s="33">
        <f t="shared" si="150"/>
        <v>4</v>
      </c>
      <c r="B2882" s="34">
        <v>47532</v>
      </c>
      <c r="C2882" s="7" t="s">
        <v>272</v>
      </c>
      <c r="D2882" s="35">
        <v>30</v>
      </c>
      <c r="E2882" s="33">
        <f>DAY(TableAopCalendar[[#This Row],[Date]])</f>
        <v>18</v>
      </c>
      <c r="F288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82" s="33" t="str">
        <f t="shared" si="151"/>
        <v>Week 3</v>
      </c>
      <c r="H2882" s="33" t="str">
        <f t="shared" si="152"/>
        <v>February 30 Week 3</v>
      </c>
      <c r="I2882" s="33" t="str">
        <f>CONCATENATE(UPPER(TableAopCalendar[[#This Row],[Month]])," ",TableAopCalendar[[#This Row],[Year]])</f>
        <v>FEBRUARY 30</v>
      </c>
      <c r="J2882" s="8" t="s">
        <v>274</v>
      </c>
      <c r="K2882" s="33" t="str">
        <f>CONCATENATE(TableAopCalendar[[#This Row],[Month for Plan]]," ",TableAopCalendar[[#This Row],[Plan]])</f>
        <v>FEBRUARY 30 PLANNED</v>
      </c>
    </row>
    <row r="2883" spans="1:11" x14ac:dyDescent="0.25">
      <c r="A2883" s="33">
        <f t="shared" si="150"/>
        <v>5</v>
      </c>
      <c r="B2883" s="34">
        <v>47533</v>
      </c>
      <c r="C2883" s="7" t="s">
        <v>272</v>
      </c>
      <c r="D2883" s="35">
        <v>30</v>
      </c>
      <c r="E2883" s="33">
        <f>DAY(TableAopCalendar[[#This Row],[Date]])</f>
        <v>19</v>
      </c>
      <c r="F288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83" s="33" t="str">
        <f t="shared" si="151"/>
        <v>Week 3</v>
      </c>
      <c r="H2883" s="33" t="str">
        <f t="shared" si="152"/>
        <v>February 30 Week 3</v>
      </c>
      <c r="I2883" s="33" t="str">
        <f>CONCATENATE(UPPER(TableAopCalendar[[#This Row],[Month]])," ",TableAopCalendar[[#This Row],[Year]])</f>
        <v>FEBRUARY 30</v>
      </c>
      <c r="J2883" s="8" t="s">
        <v>274</v>
      </c>
      <c r="K2883" s="33" t="str">
        <f>CONCATENATE(TableAopCalendar[[#This Row],[Month for Plan]]," ",TableAopCalendar[[#This Row],[Plan]])</f>
        <v>FEBRUARY 30 PLANNED</v>
      </c>
    </row>
    <row r="2884" spans="1:11" x14ac:dyDescent="0.25">
      <c r="A2884" s="33">
        <f t="shared" si="150"/>
        <v>6</v>
      </c>
      <c r="B2884" s="34">
        <v>47534</v>
      </c>
      <c r="C2884" s="7" t="s">
        <v>272</v>
      </c>
      <c r="D2884" s="35">
        <v>30</v>
      </c>
      <c r="E2884" s="33">
        <f>DAY(TableAopCalendar[[#This Row],[Date]])</f>
        <v>20</v>
      </c>
      <c r="F2884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84" s="33" t="str">
        <f t="shared" si="151"/>
        <v>Week 3</v>
      </c>
      <c r="H2884" s="33" t="str">
        <f t="shared" si="152"/>
        <v>February 30 Week 3</v>
      </c>
      <c r="I2884" s="33" t="str">
        <f>CONCATENATE(UPPER(TableAopCalendar[[#This Row],[Month]])," ",TableAopCalendar[[#This Row],[Year]])</f>
        <v>FEBRUARY 30</v>
      </c>
      <c r="J2884" s="8" t="s">
        <v>274</v>
      </c>
      <c r="K2884" s="33" t="str">
        <f>CONCATENATE(TableAopCalendar[[#This Row],[Month for Plan]]," ",TableAopCalendar[[#This Row],[Plan]])</f>
        <v>FEBRUARY 30 PLANNED</v>
      </c>
    </row>
    <row r="2885" spans="1:11" x14ac:dyDescent="0.25">
      <c r="A2885" s="33">
        <f t="shared" si="150"/>
        <v>7</v>
      </c>
      <c r="B2885" s="34">
        <v>47535</v>
      </c>
      <c r="C2885" s="7" t="s">
        <v>272</v>
      </c>
      <c r="D2885" s="35">
        <v>30</v>
      </c>
      <c r="E2885" s="33">
        <f>DAY(TableAopCalendar[[#This Row],[Date]])</f>
        <v>21</v>
      </c>
      <c r="F2885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885" s="33" t="str">
        <f t="shared" si="151"/>
        <v>Week 3</v>
      </c>
      <c r="H2885" s="33" t="str">
        <f t="shared" si="152"/>
        <v>February 30 Week 3</v>
      </c>
      <c r="I2885" s="33" t="str">
        <f>CONCATENATE(UPPER(TableAopCalendar[[#This Row],[Month]])," ",TableAopCalendar[[#This Row],[Year]])</f>
        <v>FEBRUARY 30</v>
      </c>
      <c r="J2885" s="8" t="s">
        <v>274</v>
      </c>
      <c r="K2885" s="33" t="str">
        <f>CONCATENATE(TableAopCalendar[[#This Row],[Month for Plan]]," ",TableAopCalendar[[#This Row],[Plan]])</f>
        <v>FEBRUARY 30 PLANNED</v>
      </c>
    </row>
    <row r="2886" spans="1:11" x14ac:dyDescent="0.25">
      <c r="A2886" s="33">
        <f t="shared" si="150"/>
        <v>1</v>
      </c>
      <c r="B2886" s="34">
        <v>47536</v>
      </c>
      <c r="C2886" s="7" t="s">
        <v>272</v>
      </c>
      <c r="D2886" s="35">
        <v>30</v>
      </c>
      <c r="E2886" s="33">
        <f>DAY(TableAopCalendar[[#This Row],[Date]])</f>
        <v>22</v>
      </c>
      <c r="F288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86" s="33" t="str">
        <f t="shared" si="151"/>
        <v>Week 4</v>
      </c>
      <c r="H2886" s="33" t="str">
        <f t="shared" si="152"/>
        <v>February 30 Week 4</v>
      </c>
      <c r="I2886" s="33" t="str">
        <f>CONCATENATE(UPPER(TableAopCalendar[[#This Row],[Month]])," ",TableAopCalendar[[#This Row],[Year]])</f>
        <v>FEBRUARY 30</v>
      </c>
      <c r="J2886" s="8" t="s">
        <v>274</v>
      </c>
      <c r="K2886" s="33" t="str">
        <f>CONCATENATE(TableAopCalendar[[#This Row],[Month for Plan]]," ",TableAopCalendar[[#This Row],[Plan]])</f>
        <v>FEBRUARY 30 PLANNED</v>
      </c>
    </row>
    <row r="2887" spans="1:11" x14ac:dyDescent="0.25">
      <c r="A2887" s="33">
        <f t="shared" si="150"/>
        <v>2</v>
      </c>
      <c r="B2887" s="34">
        <v>47537</v>
      </c>
      <c r="C2887" s="7" t="s">
        <v>272</v>
      </c>
      <c r="D2887" s="35">
        <v>30</v>
      </c>
      <c r="E2887" s="33">
        <f>DAY(TableAopCalendar[[#This Row],[Date]])</f>
        <v>23</v>
      </c>
      <c r="F288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87" s="33" t="str">
        <f t="shared" si="151"/>
        <v>Week 4</v>
      </c>
      <c r="H2887" s="33" t="str">
        <f t="shared" si="152"/>
        <v>February 30 Week 4</v>
      </c>
      <c r="I2887" s="33" t="str">
        <f>CONCATENATE(UPPER(TableAopCalendar[[#This Row],[Month]])," ",TableAopCalendar[[#This Row],[Year]])</f>
        <v>FEBRUARY 30</v>
      </c>
      <c r="J2887" s="8" t="s">
        <v>274</v>
      </c>
      <c r="K2887" s="33" t="str">
        <f>CONCATENATE(TableAopCalendar[[#This Row],[Month for Plan]]," ",TableAopCalendar[[#This Row],[Plan]])</f>
        <v>FEBRUARY 30 PLANNED</v>
      </c>
    </row>
    <row r="2888" spans="1:11" x14ac:dyDescent="0.25">
      <c r="A2888" s="33">
        <f t="shared" si="150"/>
        <v>3</v>
      </c>
      <c r="B2888" s="34">
        <v>47538</v>
      </c>
      <c r="C2888" s="7" t="s">
        <v>272</v>
      </c>
      <c r="D2888" s="35">
        <v>30</v>
      </c>
      <c r="E2888" s="33">
        <f>DAY(TableAopCalendar[[#This Row],[Date]])</f>
        <v>24</v>
      </c>
      <c r="F288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88" s="33" t="str">
        <f t="shared" si="151"/>
        <v>Week 4</v>
      </c>
      <c r="H2888" s="33" t="str">
        <f t="shared" si="152"/>
        <v>February 30 Week 4</v>
      </c>
      <c r="I2888" s="33" t="str">
        <f>CONCATENATE(UPPER(TableAopCalendar[[#This Row],[Month]])," ",TableAopCalendar[[#This Row],[Year]])</f>
        <v>FEBRUARY 30</v>
      </c>
      <c r="J2888" s="8" t="s">
        <v>274</v>
      </c>
      <c r="K2888" s="33" t="str">
        <f>CONCATENATE(TableAopCalendar[[#This Row],[Month for Plan]]," ",TableAopCalendar[[#This Row],[Plan]])</f>
        <v>FEBRUARY 30 PLANNED</v>
      </c>
    </row>
    <row r="2889" spans="1:11" x14ac:dyDescent="0.25">
      <c r="A2889" s="33">
        <f t="shared" si="150"/>
        <v>4</v>
      </c>
      <c r="B2889" s="34">
        <v>47539</v>
      </c>
      <c r="C2889" s="7" t="s">
        <v>272</v>
      </c>
      <c r="D2889" s="35">
        <v>30</v>
      </c>
      <c r="E2889" s="33">
        <f>DAY(TableAopCalendar[[#This Row],[Date]])</f>
        <v>25</v>
      </c>
      <c r="F288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89" s="33" t="str">
        <f t="shared" si="151"/>
        <v>Week 4</v>
      </c>
      <c r="H2889" s="33" t="str">
        <f t="shared" si="152"/>
        <v>February 30 Week 4</v>
      </c>
      <c r="I2889" s="33" t="str">
        <f>CONCATENATE(UPPER(TableAopCalendar[[#This Row],[Month]])," ",TableAopCalendar[[#This Row],[Year]])</f>
        <v>FEBRUARY 30</v>
      </c>
      <c r="J2889" s="8" t="s">
        <v>274</v>
      </c>
      <c r="K2889" s="33" t="str">
        <f>CONCATENATE(TableAopCalendar[[#This Row],[Month for Plan]]," ",TableAopCalendar[[#This Row],[Plan]])</f>
        <v>FEBRUARY 30 PLANNED</v>
      </c>
    </row>
    <row r="2890" spans="1:11" x14ac:dyDescent="0.25">
      <c r="A2890" s="33">
        <f t="shared" si="150"/>
        <v>5</v>
      </c>
      <c r="B2890" s="34">
        <v>47540</v>
      </c>
      <c r="C2890" s="7" t="s">
        <v>272</v>
      </c>
      <c r="D2890" s="35">
        <v>30</v>
      </c>
      <c r="E2890" s="33">
        <f>DAY(TableAopCalendar[[#This Row],[Date]])</f>
        <v>26</v>
      </c>
      <c r="F289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90" s="33" t="str">
        <f t="shared" si="151"/>
        <v>Week 4</v>
      </c>
      <c r="H2890" s="33" t="str">
        <f t="shared" si="152"/>
        <v>February 30 Week 4</v>
      </c>
      <c r="I2890" s="33" t="str">
        <f>CONCATENATE(UPPER(TableAopCalendar[[#This Row],[Month]])," ",TableAopCalendar[[#This Row],[Year]])</f>
        <v>FEBRUARY 30</v>
      </c>
      <c r="J2890" s="8" t="s">
        <v>274</v>
      </c>
      <c r="K2890" s="33" t="str">
        <f>CONCATENATE(TableAopCalendar[[#This Row],[Month for Plan]]," ",TableAopCalendar[[#This Row],[Plan]])</f>
        <v>FEBRUARY 30 PLANNED</v>
      </c>
    </row>
    <row r="2891" spans="1:11" x14ac:dyDescent="0.25">
      <c r="A2891" s="33">
        <f t="shared" si="150"/>
        <v>6</v>
      </c>
      <c r="B2891" s="34">
        <v>47541</v>
      </c>
      <c r="C2891" s="7" t="s">
        <v>272</v>
      </c>
      <c r="D2891" s="35">
        <v>30</v>
      </c>
      <c r="E2891" s="33">
        <f>DAY(TableAopCalendar[[#This Row],[Date]])</f>
        <v>27</v>
      </c>
      <c r="F2891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91" s="33" t="str">
        <f t="shared" si="151"/>
        <v>Week 4</v>
      </c>
      <c r="H2891" s="33" t="str">
        <f t="shared" si="152"/>
        <v>February 30 Week 4</v>
      </c>
      <c r="I2891" s="33" t="str">
        <f>CONCATENATE(UPPER(TableAopCalendar[[#This Row],[Month]])," ",TableAopCalendar[[#This Row],[Year]])</f>
        <v>FEBRUARY 30</v>
      </c>
      <c r="J2891" s="8" t="s">
        <v>274</v>
      </c>
      <c r="K2891" s="33" t="str">
        <f>CONCATENATE(TableAopCalendar[[#This Row],[Month for Plan]]," ",TableAopCalendar[[#This Row],[Plan]])</f>
        <v>FEBRUARY 30 PLANNED</v>
      </c>
    </row>
    <row r="2892" spans="1:11" x14ac:dyDescent="0.25">
      <c r="A2892" s="33">
        <f t="shared" si="150"/>
        <v>7</v>
      </c>
      <c r="B2892" s="34">
        <v>47542</v>
      </c>
      <c r="C2892" s="7" t="s">
        <v>272</v>
      </c>
      <c r="D2892" s="35">
        <v>30</v>
      </c>
      <c r="E2892" s="33">
        <f>DAY(TableAopCalendar[[#This Row],[Date]])</f>
        <v>28</v>
      </c>
      <c r="F2892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892" s="33" t="str">
        <f t="shared" si="151"/>
        <v>Week 4</v>
      </c>
      <c r="H2892" s="33" t="str">
        <f t="shared" si="152"/>
        <v>February 30 Week 4</v>
      </c>
      <c r="I2892" s="33" t="str">
        <f>CONCATENATE(UPPER(TableAopCalendar[[#This Row],[Month]])," ",TableAopCalendar[[#This Row],[Year]])</f>
        <v>FEBRUARY 30</v>
      </c>
      <c r="J2892" s="8" t="s">
        <v>274</v>
      </c>
      <c r="K2892" s="33" t="str">
        <f>CONCATENATE(TableAopCalendar[[#This Row],[Month for Plan]]," ",TableAopCalendar[[#This Row],[Plan]])</f>
        <v>FEBRUARY 30 PLANNED</v>
      </c>
    </row>
    <row r="2893" spans="1:11" x14ac:dyDescent="0.25">
      <c r="A2893" s="33">
        <f t="shared" si="150"/>
        <v>1</v>
      </c>
      <c r="B2893" s="34">
        <v>47543</v>
      </c>
      <c r="C2893" s="7" t="s">
        <v>273</v>
      </c>
      <c r="D2893" s="35">
        <v>30</v>
      </c>
      <c r="E2893" s="33">
        <f>DAY(TableAopCalendar[[#This Row],[Date]])</f>
        <v>1</v>
      </c>
      <c r="F2893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93" s="33" t="str">
        <f t="shared" si="151"/>
        <v>Week 1</v>
      </c>
      <c r="H2893" s="33" t="str">
        <f t="shared" si="152"/>
        <v>March 30 Week 1</v>
      </c>
      <c r="I2893" s="33" t="str">
        <f>CONCATENATE(UPPER(TableAopCalendar[[#This Row],[Month]])," ",TableAopCalendar[[#This Row],[Year]])</f>
        <v>MARCH 30</v>
      </c>
      <c r="J2893" s="8" t="s">
        <v>274</v>
      </c>
      <c r="K2893" s="33" t="str">
        <f>CONCATENATE(TableAopCalendar[[#This Row],[Month for Plan]]," ",TableAopCalendar[[#This Row],[Plan]])</f>
        <v>MARCH 30 PLANNED</v>
      </c>
    </row>
    <row r="2894" spans="1:11" x14ac:dyDescent="0.25">
      <c r="A2894" s="33">
        <f t="shared" si="150"/>
        <v>2</v>
      </c>
      <c r="B2894" s="34">
        <v>47544</v>
      </c>
      <c r="C2894" s="7" t="s">
        <v>273</v>
      </c>
      <c r="D2894" s="35">
        <v>30</v>
      </c>
      <c r="E2894" s="33">
        <f>DAY(TableAopCalendar[[#This Row],[Date]])</f>
        <v>2</v>
      </c>
      <c r="F2894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94" s="33" t="str">
        <f t="shared" si="151"/>
        <v>Week 1</v>
      </c>
      <c r="H2894" s="33" t="str">
        <f t="shared" si="152"/>
        <v>March 30 Week 1</v>
      </c>
      <c r="I2894" s="33" t="str">
        <f>CONCATENATE(UPPER(TableAopCalendar[[#This Row],[Month]])," ",TableAopCalendar[[#This Row],[Year]])</f>
        <v>MARCH 30</v>
      </c>
      <c r="J2894" s="8" t="s">
        <v>274</v>
      </c>
      <c r="K2894" s="33" t="str">
        <f>CONCATENATE(TableAopCalendar[[#This Row],[Month for Plan]]," ",TableAopCalendar[[#This Row],[Plan]])</f>
        <v>MARCH 30 PLANNED</v>
      </c>
    </row>
    <row r="2895" spans="1:11" x14ac:dyDescent="0.25">
      <c r="A2895" s="33">
        <f t="shared" si="150"/>
        <v>3</v>
      </c>
      <c r="B2895" s="34">
        <v>47545</v>
      </c>
      <c r="C2895" s="7" t="s">
        <v>273</v>
      </c>
      <c r="D2895" s="35">
        <v>30</v>
      </c>
      <c r="E2895" s="33">
        <f>DAY(TableAopCalendar[[#This Row],[Date]])</f>
        <v>3</v>
      </c>
      <c r="F2895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95" s="33" t="str">
        <f t="shared" si="151"/>
        <v>Week 1</v>
      </c>
      <c r="H2895" s="33" t="str">
        <f t="shared" si="152"/>
        <v>March 30 Week 1</v>
      </c>
      <c r="I2895" s="33" t="str">
        <f>CONCATENATE(UPPER(TableAopCalendar[[#This Row],[Month]])," ",TableAopCalendar[[#This Row],[Year]])</f>
        <v>MARCH 30</v>
      </c>
      <c r="J2895" s="8" t="s">
        <v>274</v>
      </c>
      <c r="K2895" s="33" t="str">
        <f>CONCATENATE(TableAopCalendar[[#This Row],[Month for Plan]]," ",TableAopCalendar[[#This Row],[Plan]])</f>
        <v>MARCH 30 PLANNED</v>
      </c>
    </row>
    <row r="2896" spans="1:11" x14ac:dyDescent="0.25">
      <c r="A2896" s="33">
        <f t="shared" si="150"/>
        <v>4</v>
      </c>
      <c r="B2896" s="34">
        <v>47546</v>
      </c>
      <c r="C2896" s="7" t="s">
        <v>273</v>
      </c>
      <c r="D2896" s="35">
        <v>30</v>
      </c>
      <c r="E2896" s="33">
        <f>DAY(TableAopCalendar[[#This Row],[Date]])</f>
        <v>4</v>
      </c>
      <c r="F2896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96" s="33" t="str">
        <f t="shared" si="151"/>
        <v>Week 1</v>
      </c>
      <c r="H2896" s="33" t="str">
        <f t="shared" si="152"/>
        <v>March 30 Week 1</v>
      </c>
      <c r="I2896" s="33" t="str">
        <f>CONCATENATE(UPPER(TableAopCalendar[[#This Row],[Month]])," ",TableAopCalendar[[#This Row],[Year]])</f>
        <v>MARCH 30</v>
      </c>
      <c r="J2896" s="8" t="s">
        <v>274</v>
      </c>
      <c r="K2896" s="33" t="str">
        <f>CONCATENATE(TableAopCalendar[[#This Row],[Month for Plan]]," ",TableAopCalendar[[#This Row],[Plan]])</f>
        <v>MARCH 30 PLANNED</v>
      </c>
    </row>
    <row r="2897" spans="1:11" x14ac:dyDescent="0.25">
      <c r="A2897" s="33">
        <f t="shared" si="150"/>
        <v>5</v>
      </c>
      <c r="B2897" s="34">
        <v>47547</v>
      </c>
      <c r="C2897" s="7" t="s">
        <v>273</v>
      </c>
      <c r="D2897" s="35">
        <v>30</v>
      </c>
      <c r="E2897" s="33">
        <f>DAY(TableAopCalendar[[#This Row],[Date]])</f>
        <v>5</v>
      </c>
      <c r="F2897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97" s="33" t="str">
        <f t="shared" si="151"/>
        <v>Week 1</v>
      </c>
      <c r="H2897" s="33" t="str">
        <f t="shared" si="152"/>
        <v>March 30 Week 1</v>
      </c>
      <c r="I2897" s="33" t="str">
        <f>CONCATENATE(UPPER(TableAopCalendar[[#This Row],[Month]])," ",TableAopCalendar[[#This Row],[Year]])</f>
        <v>MARCH 30</v>
      </c>
      <c r="J2897" s="8" t="s">
        <v>274</v>
      </c>
      <c r="K2897" s="33" t="str">
        <f>CONCATENATE(TableAopCalendar[[#This Row],[Month for Plan]]," ",TableAopCalendar[[#This Row],[Plan]])</f>
        <v>MARCH 30 PLANNED</v>
      </c>
    </row>
    <row r="2898" spans="1:11" x14ac:dyDescent="0.25">
      <c r="A2898" s="33">
        <f t="shared" si="150"/>
        <v>6</v>
      </c>
      <c r="B2898" s="34">
        <v>47548</v>
      </c>
      <c r="C2898" s="7" t="s">
        <v>273</v>
      </c>
      <c r="D2898" s="35">
        <v>30</v>
      </c>
      <c r="E2898" s="33">
        <f>DAY(TableAopCalendar[[#This Row],[Date]])</f>
        <v>6</v>
      </c>
      <c r="F2898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98" s="33" t="str">
        <f t="shared" si="151"/>
        <v>Week 1</v>
      </c>
      <c r="H2898" s="33" t="str">
        <f t="shared" si="152"/>
        <v>March 30 Week 1</v>
      </c>
      <c r="I2898" s="33" t="str">
        <f>CONCATENATE(UPPER(TableAopCalendar[[#This Row],[Month]])," ",TableAopCalendar[[#This Row],[Year]])</f>
        <v>MARCH 30</v>
      </c>
      <c r="J2898" s="8" t="s">
        <v>274</v>
      </c>
      <c r="K2898" s="33" t="str">
        <f>CONCATENATE(TableAopCalendar[[#This Row],[Month for Plan]]," ",TableAopCalendar[[#This Row],[Plan]])</f>
        <v>MARCH 30 PLANNED</v>
      </c>
    </row>
    <row r="2899" spans="1:11" x14ac:dyDescent="0.25">
      <c r="A2899" s="33">
        <f t="shared" si="150"/>
        <v>7</v>
      </c>
      <c r="B2899" s="34">
        <v>47549</v>
      </c>
      <c r="C2899" s="7" t="s">
        <v>273</v>
      </c>
      <c r="D2899" s="35">
        <v>30</v>
      </c>
      <c r="E2899" s="33">
        <f>DAY(TableAopCalendar[[#This Row],[Date]])</f>
        <v>7</v>
      </c>
      <c r="F2899" s="33">
        <f>IF(TableAopCalendar[[#This Row],[Day]]&lt;8,1,IF(TableAopCalendar[[#This Row],[Day]]&lt;15,2,IF(TableAopCalendar[[#This Row],[Day]]&lt;22,3,IF(TableAopCalendar[[#This Row],[Day]]&lt;29,4,IF(TableAopCalendar[[#This Row],[Day]]&lt;32,5)))))</f>
        <v>1</v>
      </c>
      <c r="G2899" s="33" t="str">
        <f t="shared" si="151"/>
        <v>Week 1</v>
      </c>
      <c r="H2899" s="33" t="str">
        <f t="shared" si="152"/>
        <v>March 30 Week 1</v>
      </c>
      <c r="I2899" s="33" t="str">
        <f>CONCATENATE(UPPER(TableAopCalendar[[#This Row],[Month]])," ",TableAopCalendar[[#This Row],[Year]])</f>
        <v>MARCH 30</v>
      </c>
      <c r="J2899" s="8" t="s">
        <v>274</v>
      </c>
      <c r="K2899" s="33" t="str">
        <f>CONCATENATE(TableAopCalendar[[#This Row],[Month for Plan]]," ",TableAopCalendar[[#This Row],[Plan]])</f>
        <v>MARCH 30 PLANNED</v>
      </c>
    </row>
    <row r="2900" spans="1:11" x14ac:dyDescent="0.25">
      <c r="A2900" s="33">
        <f t="shared" si="150"/>
        <v>1</v>
      </c>
      <c r="B2900" s="34">
        <v>47550</v>
      </c>
      <c r="C2900" s="7" t="s">
        <v>273</v>
      </c>
      <c r="D2900" s="35">
        <v>30</v>
      </c>
      <c r="E2900" s="33">
        <f>DAY(TableAopCalendar[[#This Row],[Date]])</f>
        <v>8</v>
      </c>
      <c r="F2900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0" s="33" t="str">
        <f t="shared" si="151"/>
        <v>Week 2</v>
      </c>
      <c r="H2900" s="33" t="str">
        <f t="shared" si="152"/>
        <v>March 30 Week 2</v>
      </c>
      <c r="I2900" s="33" t="str">
        <f>CONCATENATE(UPPER(TableAopCalendar[[#This Row],[Month]])," ",TableAopCalendar[[#This Row],[Year]])</f>
        <v>MARCH 30</v>
      </c>
      <c r="J2900" s="8" t="s">
        <v>274</v>
      </c>
      <c r="K2900" s="33" t="str">
        <f>CONCATENATE(TableAopCalendar[[#This Row],[Month for Plan]]," ",TableAopCalendar[[#This Row],[Plan]])</f>
        <v>MARCH 30 PLANNED</v>
      </c>
    </row>
    <row r="2901" spans="1:11" x14ac:dyDescent="0.25">
      <c r="A2901" s="33">
        <f t="shared" si="150"/>
        <v>2</v>
      </c>
      <c r="B2901" s="34">
        <v>47551</v>
      </c>
      <c r="C2901" s="7" t="s">
        <v>273</v>
      </c>
      <c r="D2901" s="35">
        <v>30</v>
      </c>
      <c r="E2901" s="33">
        <f>DAY(TableAopCalendar[[#This Row],[Date]])</f>
        <v>9</v>
      </c>
      <c r="F2901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1" s="33" t="str">
        <f t="shared" si="151"/>
        <v>Week 2</v>
      </c>
      <c r="H2901" s="33" t="str">
        <f t="shared" si="152"/>
        <v>March 30 Week 2</v>
      </c>
      <c r="I2901" s="33" t="str">
        <f>CONCATENATE(UPPER(TableAopCalendar[[#This Row],[Month]])," ",TableAopCalendar[[#This Row],[Year]])</f>
        <v>MARCH 30</v>
      </c>
      <c r="J2901" s="8" t="s">
        <v>274</v>
      </c>
      <c r="K2901" s="33" t="str">
        <f>CONCATENATE(TableAopCalendar[[#This Row],[Month for Plan]]," ",TableAopCalendar[[#This Row],[Plan]])</f>
        <v>MARCH 30 PLANNED</v>
      </c>
    </row>
    <row r="2902" spans="1:11" x14ac:dyDescent="0.25">
      <c r="A2902" s="33">
        <f t="shared" si="150"/>
        <v>3</v>
      </c>
      <c r="B2902" s="34">
        <v>47552</v>
      </c>
      <c r="C2902" s="7" t="s">
        <v>273</v>
      </c>
      <c r="D2902" s="35">
        <v>30</v>
      </c>
      <c r="E2902" s="33">
        <f>DAY(TableAopCalendar[[#This Row],[Date]])</f>
        <v>10</v>
      </c>
      <c r="F2902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2" s="33" t="str">
        <f t="shared" si="151"/>
        <v>Week 2</v>
      </c>
      <c r="H2902" s="33" t="str">
        <f t="shared" si="152"/>
        <v>March 30 Week 2</v>
      </c>
      <c r="I2902" s="33" t="str">
        <f>CONCATENATE(UPPER(TableAopCalendar[[#This Row],[Month]])," ",TableAopCalendar[[#This Row],[Year]])</f>
        <v>MARCH 30</v>
      </c>
      <c r="J2902" s="8" t="s">
        <v>274</v>
      </c>
      <c r="K2902" s="33" t="str">
        <f>CONCATENATE(TableAopCalendar[[#This Row],[Month for Plan]]," ",TableAopCalendar[[#This Row],[Plan]])</f>
        <v>MARCH 30 PLANNED</v>
      </c>
    </row>
    <row r="2903" spans="1:11" x14ac:dyDescent="0.25">
      <c r="A2903" s="33">
        <f t="shared" si="150"/>
        <v>4</v>
      </c>
      <c r="B2903" s="34">
        <v>47553</v>
      </c>
      <c r="C2903" s="7" t="s">
        <v>273</v>
      </c>
      <c r="D2903" s="35">
        <v>30</v>
      </c>
      <c r="E2903" s="33">
        <f>DAY(TableAopCalendar[[#This Row],[Date]])</f>
        <v>11</v>
      </c>
      <c r="F2903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3" s="33" t="str">
        <f t="shared" si="151"/>
        <v>Week 2</v>
      </c>
      <c r="H2903" s="33" t="str">
        <f t="shared" si="152"/>
        <v>March 30 Week 2</v>
      </c>
      <c r="I2903" s="33" t="str">
        <f>CONCATENATE(UPPER(TableAopCalendar[[#This Row],[Month]])," ",TableAopCalendar[[#This Row],[Year]])</f>
        <v>MARCH 30</v>
      </c>
      <c r="J2903" s="8" t="s">
        <v>274</v>
      </c>
      <c r="K2903" s="33" t="str">
        <f>CONCATENATE(TableAopCalendar[[#This Row],[Month for Plan]]," ",TableAopCalendar[[#This Row],[Plan]])</f>
        <v>MARCH 30 PLANNED</v>
      </c>
    </row>
    <row r="2904" spans="1:11" x14ac:dyDescent="0.25">
      <c r="A2904" s="33">
        <f t="shared" si="150"/>
        <v>5</v>
      </c>
      <c r="B2904" s="34">
        <v>47554</v>
      </c>
      <c r="C2904" s="7" t="s">
        <v>273</v>
      </c>
      <c r="D2904" s="35">
        <v>30</v>
      </c>
      <c r="E2904" s="33">
        <f>DAY(TableAopCalendar[[#This Row],[Date]])</f>
        <v>12</v>
      </c>
      <c r="F2904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4" s="33" t="str">
        <f t="shared" si="151"/>
        <v>Week 2</v>
      </c>
      <c r="H2904" s="33" t="str">
        <f t="shared" si="152"/>
        <v>March 30 Week 2</v>
      </c>
      <c r="I2904" s="33" t="str">
        <f>CONCATENATE(UPPER(TableAopCalendar[[#This Row],[Month]])," ",TableAopCalendar[[#This Row],[Year]])</f>
        <v>MARCH 30</v>
      </c>
      <c r="J2904" s="8" t="s">
        <v>274</v>
      </c>
      <c r="K2904" s="33" t="str">
        <f>CONCATENATE(TableAopCalendar[[#This Row],[Month for Plan]]," ",TableAopCalendar[[#This Row],[Plan]])</f>
        <v>MARCH 30 PLANNED</v>
      </c>
    </row>
    <row r="2905" spans="1:11" x14ac:dyDescent="0.25">
      <c r="A2905" s="33">
        <f t="shared" si="150"/>
        <v>6</v>
      </c>
      <c r="B2905" s="34">
        <v>47555</v>
      </c>
      <c r="C2905" s="7" t="s">
        <v>273</v>
      </c>
      <c r="D2905" s="35">
        <v>30</v>
      </c>
      <c r="E2905" s="33">
        <f>DAY(TableAopCalendar[[#This Row],[Date]])</f>
        <v>13</v>
      </c>
      <c r="F2905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5" s="33" t="str">
        <f t="shared" si="151"/>
        <v>Week 2</v>
      </c>
      <c r="H2905" s="33" t="str">
        <f t="shared" si="152"/>
        <v>March 30 Week 2</v>
      </c>
      <c r="I2905" s="33" t="str">
        <f>CONCATENATE(UPPER(TableAopCalendar[[#This Row],[Month]])," ",TableAopCalendar[[#This Row],[Year]])</f>
        <v>MARCH 30</v>
      </c>
      <c r="J2905" s="8" t="s">
        <v>274</v>
      </c>
      <c r="K2905" s="33" t="str">
        <f>CONCATENATE(TableAopCalendar[[#This Row],[Month for Plan]]," ",TableAopCalendar[[#This Row],[Plan]])</f>
        <v>MARCH 30 PLANNED</v>
      </c>
    </row>
    <row r="2906" spans="1:11" x14ac:dyDescent="0.25">
      <c r="A2906" s="33">
        <f t="shared" si="150"/>
        <v>7</v>
      </c>
      <c r="B2906" s="34">
        <v>47556</v>
      </c>
      <c r="C2906" s="7" t="s">
        <v>273</v>
      </c>
      <c r="D2906" s="35">
        <v>30</v>
      </c>
      <c r="E2906" s="33">
        <f>DAY(TableAopCalendar[[#This Row],[Date]])</f>
        <v>14</v>
      </c>
      <c r="F2906" s="33">
        <f>IF(TableAopCalendar[[#This Row],[Day]]&lt;8,1,IF(TableAopCalendar[[#This Row],[Day]]&lt;15,2,IF(TableAopCalendar[[#This Row],[Day]]&lt;22,3,IF(TableAopCalendar[[#This Row],[Day]]&lt;29,4,IF(TableAopCalendar[[#This Row],[Day]]&lt;32,5)))))</f>
        <v>2</v>
      </c>
      <c r="G2906" s="33" t="str">
        <f t="shared" si="151"/>
        <v>Week 2</v>
      </c>
      <c r="H2906" s="33" t="str">
        <f t="shared" si="152"/>
        <v>March 30 Week 2</v>
      </c>
      <c r="I2906" s="33" t="str">
        <f>CONCATENATE(UPPER(TableAopCalendar[[#This Row],[Month]])," ",TableAopCalendar[[#This Row],[Year]])</f>
        <v>MARCH 30</v>
      </c>
      <c r="J2906" s="8" t="s">
        <v>274</v>
      </c>
      <c r="K2906" s="33" t="str">
        <f>CONCATENATE(TableAopCalendar[[#This Row],[Month for Plan]]," ",TableAopCalendar[[#This Row],[Plan]])</f>
        <v>MARCH 30 PLANNED</v>
      </c>
    </row>
    <row r="2907" spans="1:11" x14ac:dyDescent="0.25">
      <c r="A2907" s="33">
        <f t="shared" si="150"/>
        <v>1</v>
      </c>
      <c r="B2907" s="34">
        <v>47557</v>
      </c>
      <c r="C2907" s="7" t="s">
        <v>273</v>
      </c>
      <c r="D2907" s="35">
        <v>30</v>
      </c>
      <c r="E2907" s="33">
        <f>DAY(TableAopCalendar[[#This Row],[Date]])</f>
        <v>15</v>
      </c>
      <c r="F2907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07" s="33" t="str">
        <f t="shared" si="151"/>
        <v>Week 3</v>
      </c>
      <c r="H2907" s="33" t="str">
        <f t="shared" si="152"/>
        <v>March 30 Week 3</v>
      </c>
      <c r="I2907" s="33" t="str">
        <f>CONCATENATE(UPPER(TableAopCalendar[[#This Row],[Month]])," ",TableAopCalendar[[#This Row],[Year]])</f>
        <v>MARCH 30</v>
      </c>
      <c r="J2907" s="8" t="s">
        <v>274</v>
      </c>
      <c r="K2907" s="33" t="str">
        <f>CONCATENATE(TableAopCalendar[[#This Row],[Month for Plan]]," ",TableAopCalendar[[#This Row],[Plan]])</f>
        <v>MARCH 30 PLANNED</v>
      </c>
    </row>
    <row r="2908" spans="1:11" x14ac:dyDescent="0.25">
      <c r="A2908" s="33">
        <f t="shared" si="150"/>
        <v>2</v>
      </c>
      <c r="B2908" s="34">
        <v>47558</v>
      </c>
      <c r="C2908" s="7" t="s">
        <v>273</v>
      </c>
      <c r="D2908" s="35">
        <v>30</v>
      </c>
      <c r="E2908" s="33">
        <f>DAY(TableAopCalendar[[#This Row],[Date]])</f>
        <v>16</v>
      </c>
      <c r="F2908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08" s="33" t="str">
        <f t="shared" si="151"/>
        <v>Week 3</v>
      </c>
      <c r="H2908" s="33" t="str">
        <f t="shared" si="152"/>
        <v>March 30 Week 3</v>
      </c>
      <c r="I2908" s="33" t="str">
        <f>CONCATENATE(UPPER(TableAopCalendar[[#This Row],[Month]])," ",TableAopCalendar[[#This Row],[Year]])</f>
        <v>MARCH 30</v>
      </c>
      <c r="J2908" s="8" t="s">
        <v>274</v>
      </c>
      <c r="K2908" s="33" t="str">
        <f>CONCATENATE(TableAopCalendar[[#This Row],[Month for Plan]]," ",TableAopCalendar[[#This Row],[Plan]])</f>
        <v>MARCH 30 PLANNED</v>
      </c>
    </row>
    <row r="2909" spans="1:11" x14ac:dyDescent="0.25">
      <c r="A2909" s="33">
        <f t="shared" si="150"/>
        <v>3</v>
      </c>
      <c r="B2909" s="34">
        <v>47559</v>
      </c>
      <c r="C2909" s="7" t="s">
        <v>273</v>
      </c>
      <c r="D2909" s="35">
        <v>30</v>
      </c>
      <c r="E2909" s="33">
        <f>DAY(TableAopCalendar[[#This Row],[Date]])</f>
        <v>17</v>
      </c>
      <c r="F2909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09" s="33" t="str">
        <f t="shared" si="151"/>
        <v>Week 3</v>
      </c>
      <c r="H2909" s="33" t="str">
        <f t="shared" si="152"/>
        <v>March 30 Week 3</v>
      </c>
      <c r="I2909" s="33" t="str">
        <f>CONCATENATE(UPPER(TableAopCalendar[[#This Row],[Month]])," ",TableAopCalendar[[#This Row],[Year]])</f>
        <v>MARCH 30</v>
      </c>
      <c r="J2909" s="8" t="s">
        <v>274</v>
      </c>
      <c r="K2909" s="33" t="str">
        <f>CONCATENATE(TableAopCalendar[[#This Row],[Month for Plan]]," ",TableAopCalendar[[#This Row],[Plan]])</f>
        <v>MARCH 30 PLANNED</v>
      </c>
    </row>
    <row r="2910" spans="1:11" x14ac:dyDescent="0.25">
      <c r="A2910" s="33">
        <f t="shared" si="150"/>
        <v>4</v>
      </c>
      <c r="B2910" s="34">
        <v>47560</v>
      </c>
      <c r="C2910" s="7" t="s">
        <v>273</v>
      </c>
      <c r="D2910" s="35">
        <v>30</v>
      </c>
      <c r="E2910" s="33">
        <f>DAY(TableAopCalendar[[#This Row],[Date]])</f>
        <v>18</v>
      </c>
      <c r="F2910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10" s="33" t="str">
        <f t="shared" si="151"/>
        <v>Week 3</v>
      </c>
      <c r="H2910" s="33" t="str">
        <f t="shared" si="152"/>
        <v>March 30 Week 3</v>
      </c>
      <c r="I2910" s="33" t="str">
        <f>CONCATENATE(UPPER(TableAopCalendar[[#This Row],[Month]])," ",TableAopCalendar[[#This Row],[Year]])</f>
        <v>MARCH 30</v>
      </c>
      <c r="J2910" s="8" t="s">
        <v>274</v>
      </c>
      <c r="K2910" s="33" t="str">
        <f>CONCATENATE(TableAopCalendar[[#This Row],[Month for Plan]]," ",TableAopCalendar[[#This Row],[Plan]])</f>
        <v>MARCH 30 PLANNED</v>
      </c>
    </row>
    <row r="2911" spans="1:11" x14ac:dyDescent="0.25">
      <c r="A2911" s="33">
        <f t="shared" si="150"/>
        <v>5</v>
      </c>
      <c r="B2911" s="34">
        <v>47561</v>
      </c>
      <c r="C2911" s="7" t="s">
        <v>273</v>
      </c>
      <c r="D2911" s="35">
        <v>30</v>
      </c>
      <c r="E2911" s="33">
        <f>DAY(TableAopCalendar[[#This Row],[Date]])</f>
        <v>19</v>
      </c>
      <c r="F2911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11" s="33" t="str">
        <f t="shared" si="151"/>
        <v>Week 3</v>
      </c>
      <c r="H2911" s="33" t="str">
        <f t="shared" si="152"/>
        <v>March 30 Week 3</v>
      </c>
      <c r="I2911" s="33" t="str">
        <f>CONCATENATE(UPPER(TableAopCalendar[[#This Row],[Month]])," ",TableAopCalendar[[#This Row],[Year]])</f>
        <v>MARCH 30</v>
      </c>
      <c r="J2911" s="8" t="s">
        <v>274</v>
      </c>
      <c r="K2911" s="33" t="str">
        <f>CONCATENATE(TableAopCalendar[[#This Row],[Month for Plan]]," ",TableAopCalendar[[#This Row],[Plan]])</f>
        <v>MARCH 30 PLANNED</v>
      </c>
    </row>
    <row r="2912" spans="1:11" x14ac:dyDescent="0.25">
      <c r="A2912" s="33">
        <f t="shared" si="150"/>
        <v>6</v>
      </c>
      <c r="B2912" s="34">
        <v>47562</v>
      </c>
      <c r="C2912" s="7" t="s">
        <v>273</v>
      </c>
      <c r="D2912" s="35">
        <v>30</v>
      </c>
      <c r="E2912" s="33">
        <f>DAY(TableAopCalendar[[#This Row],[Date]])</f>
        <v>20</v>
      </c>
      <c r="F2912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12" s="33" t="str">
        <f t="shared" si="151"/>
        <v>Week 3</v>
      </c>
      <c r="H2912" s="33" t="str">
        <f t="shared" si="152"/>
        <v>March 30 Week 3</v>
      </c>
      <c r="I2912" s="33" t="str">
        <f>CONCATENATE(UPPER(TableAopCalendar[[#This Row],[Month]])," ",TableAopCalendar[[#This Row],[Year]])</f>
        <v>MARCH 30</v>
      </c>
      <c r="J2912" s="8" t="s">
        <v>274</v>
      </c>
      <c r="K2912" s="33" t="str">
        <f>CONCATENATE(TableAopCalendar[[#This Row],[Month for Plan]]," ",TableAopCalendar[[#This Row],[Plan]])</f>
        <v>MARCH 30 PLANNED</v>
      </c>
    </row>
    <row r="2913" spans="1:11" x14ac:dyDescent="0.25">
      <c r="A2913" s="33">
        <f t="shared" si="150"/>
        <v>7</v>
      </c>
      <c r="B2913" s="34">
        <v>47563</v>
      </c>
      <c r="C2913" s="7" t="s">
        <v>273</v>
      </c>
      <c r="D2913" s="35">
        <v>30</v>
      </c>
      <c r="E2913" s="33">
        <f>DAY(TableAopCalendar[[#This Row],[Date]])</f>
        <v>21</v>
      </c>
      <c r="F2913" s="33">
        <f>IF(TableAopCalendar[[#This Row],[Day]]&lt;8,1,IF(TableAopCalendar[[#This Row],[Day]]&lt;15,2,IF(TableAopCalendar[[#This Row],[Day]]&lt;22,3,IF(TableAopCalendar[[#This Row],[Day]]&lt;29,4,IF(TableAopCalendar[[#This Row],[Day]]&lt;32,5)))))</f>
        <v>3</v>
      </c>
      <c r="G2913" s="33" t="str">
        <f t="shared" si="151"/>
        <v>Week 3</v>
      </c>
      <c r="H2913" s="33" t="str">
        <f t="shared" si="152"/>
        <v>March 30 Week 3</v>
      </c>
      <c r="I2913" s="33" t="str">
        <f>CONCATENATE(UPPER(TableAopCalendar[[#This Row],[Month]])," ",TableAopCalendar[[#This Row],[Year]])</f>
        <v>MARCH 30</v>
      </c>
      <c r="J2913" s="8" t="s">
        <v>274</v>
      </c>
      <c r="K2913" s="33" t="str">
        <f>CONCATENATE(TableAopCalendar[[#This Row],[Month for Plan]]," ",TableAopCalendar[[#This Row],[Plan]])</f>
        <v>MARCH 30 PLANNED</v>
      </c>
    </row>
    <row r="2914" spans="1:11" x14ac:dyDescent="0.25">
      <c r="A2914" s="33">
        <f t="shared" si="150"/>
        <v>1</v>
      </c>
      <c r="B2914" s="34">
        <v>47564</v>
      </c>
      <c r="C2914" s="7" t="s">
        <v>273</v>
      </c>
      <c r="D2914" s="35">
        <v>30</v>
      </c>
      <c r="E2914" s="33">
        <f>DAY(TableAopCalendar[[#This Row],[Date]])</f>
        <v>22</v>
      </c>
      <c r="F2914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14" s="33" t="str">
        <f t="shared" si="151"/>
        <v>Week 4</v>
      </c>
      <c r="H2914" s="33" t="str">
        <f t="shared" si="152"/>
        <v>March 30 Week 4</v>
      </c>
      <c r="I2914" s="33" t="str">
        <f>CONCATENATE(UPPER(TableAopCalendar[[#This Row],[Month]])," ",TableAopCalendar[[#This Row],[Year]])</f>
        <v>MARCH 30</v>
      </c>
      <c r="J2914" s="8" t="s">
        <v>274</v>
      </c>
      <c r="K2914" s="33" t="str">
        <f>CONCATENATE(TableAopCalendar[[#This Row],[Month for Plan]]," ",TableAopCalendar[[#This Row],[Plan]])</f>
        <v>MARCH 30 PLANNED</v>
      </c>
    </row>
    <row r="2915" spans="1:11" x14ac:dyDescent="0.25">
      <c r="A2915" s="33">
        <f t="shared" si="150"/>
        <v>2</v>
      </c>
      <c r="B2915" s="34">
        <v>47565</v>
      </c>
      <c r="C2915" s="7" t="s">
        <v>273</v>
      </c>
      <c r="D2915" s="35">
        <v>30</v>
      </c>
      <c r="E2915" s="33">
        <f>DAY(TableAopCalendar[[#This Row],[Date]])</f>
        <v>23</v>
      </c>
      <c r="F2915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15" s="33" t="str">
        <f t="shared" si="151"/>
        <v>Week 4</v>
      </c>
      <c r="H2915" s="33" t="str">
        <f t="shared" si="152"/>
        <v>March 30 Week 4</v>
      </c>
      <c r="I2915" s="33" t="str">
        <f>CONCATENATE(UPPER(TableAopCalendar[[#This Row],[Month]])," ",TableAopCalendar[[#This Row],[Year]])</f>
        <v>MARCH 30</v>
      </c>
      <c r="J2915" s="8" t="s">
        <v>274</v>
      </c>
      <c r="K2915" s="33" t="str">
        <f>CONCATENATE(TableAopCalendar[[#This Row],[Month for Plan]]," ",TableAopCalendar[[#This Row],[Plan]])</f>
        <v>MARCH 30 PLANNED</v>
      </c>
    </row>
    <row r="2916" spans="1:11" x14ac:dyDescent="0.25">
      <c r="A2916" s="33">
        <f t="shared" ref="A2916:A2921" si="153">IF(G2916=G2915,A2915+1,1)</f>
        <v>3</v>
      </c>
      <c r="B2916" s="34">
        <v>47566</v>
      </c>
      <c r="C2916" s="7" t="s">
        <v>273</v>
      </c>
      <c r="D2916" s="35">
        <v>30</v>
      </c>
      <c r="E2916" s="33">
        <f>DAY(TableAopCalendar[[#This Row],[Date]])</f>
        <v>24</v>
      </c>
      <c r="F2916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16" s="33" t="str">
        <f t="shared" ref="G2916:G2921" si="154">"Week"&amp;" "&amp;F2916</f>
        <v>Week 4</v>
      </c>
      <c r="H2916" s="33" t="str">
        <f t="shared" ref="H2916:H2921" si="155">CONCATENATE(C2916," ",D2916," ",G2916)</f>
        <v>March 30 Week 4</v>
      </c>
      <c r="I2916" s="33" t="str">
        <f>CONCATENATE(UPPER(TableAopCalendar[[#This Row],[Month]])," ",TableAopCalendar[[#This Row],[Year]])</f>
        <v>MARCH 30</v>
      </c>
      <c r="J2916" s="8" t="s">
        <v>274</v>
      </c>
      <c r="K2916" s="33" t="str">
        <f>CONCATENATE(TableAopCalendar[[#This Row],[Month for Plan]]," ",TableAopCalendar[[#This Row],[Plan]])</f>
        <v>MARCH 30 PLANNED</v>
      </c>
    </row>
    <row r="2917" spans="1:11" x14ac:dyDescent="0.25">
      <c r="A2917" s="33">
        <f t="shared" si="153"/>
        <v>4</v>
      </c>
      <c r="B2917" s="34">
        <v>47567</v>
      </c>
      <c r="C2917" s="7" t="s">
        <v>273</v>
      </c>
      <c r="D2917" s="35">
        <v>30</v>
      </c>
      <c r="E2917" s="33">
        <f>DAY(TableAopCalendar[[#This Row],[Date]])</f>
        <v>25</v>
      </c>
      <c r="F2917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17" s="33" t="str">
        <f t="shared" si="154"/>
        <v>Week 4</v>
      </c>
      <c r="H2917" s="33" t="str">
        <f t="shared" si="155"/>
        <v>March 30 Week 4</v>
      </c>
      <c r="I2917" s="33" t="str">
        <f>CONCATENATE(UPPER(TableAopCalendar[[#This Row],[Month]])," ",TableAopCalendar[[#This Row],[Year]])</f>
        <v>MARCH 30</v>
      </c>
      <c r="J2917" s="8" t="s">
        <v>274</v>
      </c>
      <c r="K2917" s="33" t="str">
        <f>CONCATENATE(TableAopCalendar[[#This Row],[Month for Plan]]," ",TableAopCalendar[[#This Row],[Plan]])</f>
        <v>MARCH 30 PLANNED</v>
      </c>
    </row>
    <row r="2918" spans="1:11" x14ac:dyDescent="0.25">
      <c r="A2918" s="33">
        <f t="shared" si="153"/>
        <v>5</v>
      </c>
      <c r="B2918" s="34">
        <v>47568</v>
      </c>
      <c r="C2918" s="7" t="s">
        <v>273</v>
      </c>
      <c r="D2918" s="35">
        <v>30</v>
      </c>
      <c r="E2918" s="33">
        <f>DAY(TableAopCalendar[[#This Row],[Date]])</f>
        <v>26</v>
      </c>
      <c r="F2918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18" s="33" t="str">
        <f t="shared" si="154"/>
        <v>Week 4</v>
      </c>
      <c r="H2918" s="33" t="str">
        <f t="shared" si="155"/>
        <v>March 30 Week 4</v>
      </c>
      <c r="I2918" s="33" t="str">
        <f>CONCATENATE(UPPER(TableAopCalendar[[#This Row],[Month]])," ",TableAopCalendar[[#This Row],[Year]])</f>
        <v>MARCH 30</v>
      </c>
      <c r="J2918" s="8" t="s">
        <v>274</v>
      </c>
      <c r="K2918" s="33" t="str">
        <f>CONCATENATE(TableAopCalendar[[#This Row],[Month for Plan]]," ",TableAopCalendar[[#This Row],[Plan]])</f>
        <v>MARCH 30 PLANNED</v>
      </c>
    </row>
    <row r="2919" spans="1:11" x14ac:dyDescent="0.25">
      <c r="A2919" s="33">
        <f t="shared" si="153"/>
        <v>6</v>
      </c>
      <c r="B2919" s="34">
        <v>47569</v>
      </c>
      <c r="C2919" s="7" t="s">
        <v>273</v>
      </c>
      <c r="D2919" s="35">
        <v>30</v>
      </c>
      <c r="E2919" s="33">
        <f>DAY(TableAopCalendar[[#This Row],[Date]])</f>
        <v>27</v>
      </c>
      <c r="F2919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19" s="33" t="str">
        <f t="shared" si="154"/>
        <v>Week 4</v>
      </c>
      <c r="H2919" s="33" t="str">
        <f t="shared" si="155"/>
        <v>March 30 Week 4</v>
      </c>
      <c r="I2919" s="33" t="str">
        <f>CONCATENATE(UPPER(TableAopCalendar[[#This Row],[Month]])," ",TableAopCalendar[[#This Row],[Year]])</f>
        <v>MARCH 30</v>
      </c>
      <c r="J2919" s="8" t="s">
        <v>274</v>
      </c>
      <c r="K2919" s="33" t="str">
        <f>CONCATENATE(TableAopCalendar[[#This Row],[Month for Plan]]," ",TableAopCalendar[[#This Row],[Plan]])</f>
        <v>MARCH 30 PLANNED</v>
      </c>
    </row>
    <row r="2920" spans="1:11" x14ac:dyDescent="0.25">
      <c r="A2920" s="33">
        <f t="shared" si="153"/>
        <v>7</v>
      </c>
      <c r="B2920" s="34">
        <v>47570</v>
      </c>
      <c r="C2920" s="7" t="s">
        <v>273</v>
      </c>
      <c r="D2920" s="35">
        <v>30</v>
      </c>
      <c r="E2920" s="33">
        <f>DAY(TableAopCalendar[[#This Row],[Date]])</f>
        <v>28</v>
      </c>
      <c r="F2920" s="33">
        <f>IF(TableAopCalendar[[#This Row],[Day]]&lt;8,1,IF(TableAopCalendar[[#This Row],[Day]]&lt;15,2,IF(TableAopCalendar[[#This Row],[Day]]&lt;22,3,IF(TableAopCalendar[[#This Row],[Day]]&lt;29,4,IF(TableAopCalendar[[#This Row],[Day]]&lt;32,5)))))</f>
        <v>4</v>
      </c>
      <c r="G2920" s="33" t="str">
        <f t="shared" si="154"/>
        <v>Week 4</v>
      </c>
      <c r="H2920" s="33" t="str">
        <f t="shared" si="155"/>
        <v>March 30 Week 4</v>
      </c>
      <c r="I2920" s="33" t="str">
        <f>CONCATENATE(UPPER(TableAopCalendar[[#This Row],[Month]])," ",TableAopCalendar[[#This Row],[Year]])</f>
        <v>MARCH 30</v>
      </c>
      <c r="J2920" s="8" t="s">
        <v>274</v>
      </c>
      <c r="K2920" s="33" t="str">
        <f>CONCATENATE(TableAopCalendar[[#This Row],[Month for Plan]]," ",TableAopCalendar[[#This Row],[Plan]])</f>
        <v>MARCH 30 PLANNED</v>
      </c>
    </row>
    <row r="2921" spans="1:11" x14ac:dyDescent="0.25">
      <c r="A2921" s="33">
        <f t="shared" si="153"/>
        <v>1</v>
      </c>
      <c r="B2921" s="34">
        <v>47571</v>
      </c>
      <c r="C2921" s="7" t="s">
        <v>273</v>
      </c>
      <c r="D2921" s="35">
        <v>30</v>
      </c>
      <c r="E2921" s="33">
        <f>DAY(TableAopCalendar[[#This Row],[Date]])</f>
        <v>29</v>
      </c>
      <c r="F2921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921" s="33" t="str">
        <f t="shared" si="154"/>
        <v>Week 5</v>
      </c>
      <c r="H2921" s="33" t="str">
        <f t="shared" si="155"/>
        <v>March 30 Week 5</v>
      </c>
      <c r="I2921" s="33" t="str">
        <f>CONCATENATE(UPPER(TableAopCalendar[[#This Row],[Month]])," ",TableAopCalendar[[#This Row],[Year]])</f>
        <v>MARCH 30</v>
      </c>
      <c r="J2921" s="8" t="s">
        <v>274</v>
      </c>
      <c r="K2921" s="33" t="str">
        <f>CONCATENATE(TableAopCalendar[[#This Row],[Month for Plan]]," ",TableAopCalendar[[#This Row],[Plan]])</f>
        <v>MARCH 30 PLANNED</v>
      </c>
    </row>
    <row r="2922" spans="1:11" x14ac:dyDescent="0.25">
      <c r="A2922" s="33">
        <f>IF(G2922=G2921,A2921+1,1)</f>
        <v>2</v>
      </c>
      <c r="B2922" s="34">
        <v>47572</v>
      </c>
      <c r="C2922" s="7" t="s">
        <v>273</v>
      </c>
      <c r="D2922" s="35">
        <v>30</v>
      </c>
      <c r="E2922" s="33">
        <f>DAY(TableAopCalendar[[#This Row],[Date]])</f>
        <v>30</v>
      </c>
      <c r="F2922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922" s="33" t="str">
        <f>"Week"&amp;" "&amp;F2922</f>
        <v>Week 5</v>
      </c>
      <c r="H2922" s="33" t="str">
        <f>CONCATENATE(C2922," ",D2922," ",G2922)</f>
        <v>March 30 Week 5</v>
      </c>
      <c r="I2922" s="33" t="str">
        <f>CONCATENATE(UPPER(TableAopCalendar[[#This Row],[Month]])," ",TableAopCalendar[[#This Row],[Year]])</f>
        <v>MARCH 30</v>
      </c>
      <c r="J2922" s="8" t="s">
        <v>274</v>
      </c>
      <c r="K2922" s="33" t="str">
        <f>CONCATENATE(TableAopCalendar[[#This Row],[Month for Plan]]," ",TableAopCalendar[[#This Row],[Plan]])</f>
        <v>MARCH 30 PLANNED</v>
      </c>
    </row>
    <row r="2923" spans="1:11" x14ac:dyDescent="0.25">
      <c r="A2923" s="33">
        <f>IF(G2923=G2922,A2922+1,1)</f>
        <v>3</v>
      </c>
      <c r="B2923" s="34">
        <v>47573</v>
      </c>
      <c r="C2923" s="7" t="s">
        <v>273</v>
      </c>
      <c r="D2923" s="35">
        <v>30</v>
      </c>
      <c r="E2923" s="33">
        <f>DAY(TableAopCalendar[[#This Row],[Date]])</f>
        <v>31</v>
      </c>
      <c r="F2923" s="33">
        <f>IF(TableAopCalendar[[#This Row],[Day]]&lt;8,1,IF(TableAopCalendar[[#This Row],[Day]]&lt;15,2,IF(TableAopCalendar[[#This Row],[Day]]&lt;22,3,IF(TableAopCalendar[[#This Row],[Day]]&lt;29,4,IF(TableAopCalendar[[#This Row],[Day]]&lt;32,5)))))</f>
        <v>5</v>
      </c>
      <c r="G2923" s="33" t="str">
        <f>"Week"&amp;" "&amp;F2923</f>
        <v>Week 5</v>
      </c>
      <c r="H2923" s="33" t="str">
        <f>CONCATENATE(C2923," ",D2923," ",G2923)</f>
        <v>March 30 Week 5</v>
      </c>
      <c r="I2923" s="33" t="str">
        <f>CONCATENATE(UPPER(TableAopCalendar[[#This Row],[Month]])," ",TableAopCalendar[[#This Row],[Year]])</f>
        <v>MARCH 30</v>
      </c>
      <c r="J2923" s="8" t="s">
        <v>274</v>
      </c>
      <c r="K2923" s="33" t="str">
        <f>CONCATENATE(TableAopCalendar[[#This Row],[Month for Plan]]," ",TableAopCalendar[[#This Row],[Plan]])</f>
        <v>MARCH 30 PLANNED</v>
      </c>
    </row>
  </sheetData>
  <sheetProtection autoFilter="0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7AEC46-56B6-4266-9691-4202310AC74A}">
  <dimension ref="A1:AP110"/>
  <sheetViews>
    <sheetView tabSelected="1" topLeftCell="B1" zoomScale="52" zoomScaleNormal="40" workbookViewId="0">
      <pane xSplit="10" ySplit="1" topLeftCell="Y4" activePane="bottomRight" state="frozen"/>
      <selection activeCell="B1" sqref="B1"/>
      <selection pane="topRight" activeCell="L1" sqref="L1"/>
      <selection pane="bottomLeft" activeCell="B2" sqref="B2"/>
      <selection pane="bottomRight" activeCell="AE4" sqref="AE4"/>
    </sheetView>
  </sheetViews>
  <sheetFormatPr defaultColWidth="8.7109375" defaultRowHeight="15.75" x14ac:dyDescent="0.25"/>
  <cols>
    <col min="1" max="1" width="15.28515625" hidden="1" customWidth="1"/>
    <col min="2" max="2" width="15" style="146" customWidth="1"/>
    <col min="3" max="3" width="6.85546875" customWidth="1"/>
    <col min="4" max="4" width="21" hidden="1" customWidth="1"/>
    <col min="5" max="5" width="19.5703125" hidden="1" customWidth="1"/>
    <col min="6" max="6" width="17.42578125" style="143" customWidth="1"/>
    <col min="7" max="7" width="8" style="143" customWidth="1"/>
    <col min="8" max="8" width="11" customWidth="1"/>
    <col min="9" max="9" width="9.140625"/>
    <col min="10" max="10" width="16.7109375" style="143" customWidth="1"/>
    <col min="11" max="11" width="37.140625" style="143" customWidth="1"/>
    <col min="12" max="12" width="17.5703125" style="48" customWidth="1"/>
    <col min="13" max="13" width="15.5703125" style="48" customWidth="1"/>
    <col min="14" max="14" width="15.7109375" style="48" customWidth="1"/>
    <col min="15" max="15" width="27.5703125" style="48" customWidth="1"/>
    <col min="16" max="16" width="14.28515625" style="48" customWidth="1"/>
    <col min="17" max="17" width="25.28515625" style="48" customWidth="1"/>
    <col min="18" max="18" width="21" style="48" customWidth="1"/>
    <col min="19" max="19" width="25.85546875" style="48" customWidth="1"/>
    <col min="20" max="20" width="10.42578125" style="48" customWidth="1"/>
    <col min="21" max="21" width="23.42578125" style="48" customWidth="1"/>
    <col min="22" max="22" width="28.140625" style="48" customWidth="1"/>
    <col min="23" max="23" width="22" style="48" customWidth="1"/>
    <col min="24" max="24" width="26.7109375" style="48" customWidth="1"/>
    <col min="25" max="25" width="25.85546875" style="48" customWidth="1"/>
    <col min="26" max="26" width="30.7109375" style="48" customWidth="1"/>
    <col min="27" max="27" width="19.28515625" style="48" customWidth="1"/>
    <col min="28" max="28" width="27.28515625" style="48" customWidth="1"/>
    <col min="29" max="31" width="23.140625" style="48" customWidth="1"/>
    <col min="32" max="32" width="38.85546875" style="102" customWidth="1"/>
    <col min="33" max="33" width="27" hidden="1" customWidth="1"/>
    <col min="34" max="34" width="26.140625" hidden="1" customWidth="1"/>
    <col min="35" max="35" width="30.85546875" hidden="1" customWidth="1"/>
    <col min="36" max="36" width="22.5703125" hidden="1" customWidth="1"/>
    <col min="37" max="37" width="16.28515625" hidden="1" customWidth="1"/>
    <col min="38" max="38" width="12" hidden="1" customWidth="1"/>
    <col min="39" max="39" width="17" hidden="1" customWidth="1"/>
    <col min="40" max="41" width="8.7109375" style="97"/>
    <col min="42" max="42" width="12.42578125" style="97" hidden="1" customWidth="1"/>
    <col min="43" max="16384" width="8.7109375" style="97"/>
  </cols>
  <sheetData>
    <row r="1" spans="1:42" s="96" customFormat="1" ht="31.5" x14ac:dyDescent="0.25">
      <c r="A1" s="57" t="s">
        <v>287</v>
      </c>
      <c r="B1" s="58" t="s">
        <v>334</v>
      </c>
      <c r="C1" s="58" t="s">
        <v>86</v>
      </c>
      <c r="D1" s="58" t="s">
        <v>103</v>
      </c>
      <c r="E1" s="58" t="s">
        <v>11</v>
      </c>
      <c r="F1" s="58" t="s">
        <v>101</v>
      </c>
      <c r="G1" s="58" t="s">
        <v>89</v>
      </c>
      <c r="H1" s="58" t="s">
        <v>9</v>
      </c>
      <c r="I1" s="58" t="s">
        <v>0</v>
      </c>
      <c r="J1" s="58" t="s">
        <v>10</v>
      </c>
      <c r="K1" s="58" t="s">
        <v>12</v>
      </c>
      <c r="L1" s="58" t="s">
        <v>285</v>
      </c>
      <c r="M1" s="58" t="s">
        <v>286</v>
      </c>
      <c r="N1" s="58" t="s">
        <v>287</v>
      </c>
      <c r="O1" s="58" t="s">
        <v>111</v>
      </c>
      <c r="P1" s="59" t="s">
        <v>105</v>
      </c>
      <c r="Q1" s="58" t="s">
        <v>106</v>
      </c>
      <c r="R1" s="58" t="s">
        <v>278</v>
      </c>
      <c r="S1" s="58" t="s">
        <v>107</v>
      </c>
      <c r="T1" s="58" t="s">
        <v>110</v>
      </c>
      <c r="U1" s="60" t="s">
        <v>279</v>
      </c>
      <c r="V1" s="60" t="s">
        <v>280</v>
      </c>
      <c r="W1" s="61" t="s">
        <v>281</v>
      </c>
      <c r="X1" s="61" t="s">
        <v>282</v>
      </c>
      <c r="Y1" s="58" t="s">
        <v>283</v>
      </c>
      <c r="Z1" s="58" t="s">
        <v>213</v>
      </c>
      <c r="AA1" s="58" t="s">
        <v>36</v>
      </c>
      <c r="AB1" s="60" t="s">
        <v>284</v>
      </c>
      <c r="AC1" s="60" t="s">
        <v>290</v>
      </c>
      <c r="AD1" s="99" t="s">
        <v>560</v>
      </c>
      <c r="AE1" s="99" t="s">
        <v>561</v>
      </c>
      <c r="AF1" s="145" t="s">
        <v>102</v>
      </c>
      <c r="AG1" s="61" t="s">
        <v>415</v>
      </c>
      <c r="AH1" s="61" t="s">
        <v>418</v>
      </c>
      <c r="AI1" s="62" t="s">
        <v>411</v>
      </c>
      <c r="AJ1" s="62" t="s">
        <v>419</v>
      </c>
      <c r="AK1" s="63" t="s">
        <v>416</v>
      </c>
      <c r="AL1" s="64" t="s">
        <v>417</v>
      </c>
      <c r="AM1" s="91" t="s">
        <v>421</v>
      </c>
      <c r="AP1" s="161">
        <f ca="1">TODAY()</f>
        <v>46174</v>
      </c>
    </row>
    <row r="2" spans="1:42" ht="30" hidden="1" x14ac:dyDescent="0.25">
      <c r="A2" s="1" t="s">
        <v>356</v>
      </c>
      <c r="B2" s="193" t="s">
        <v>524</v>
      </c>
      <c r="C2" s="50">
        <v>19</v>
      </c>
      <c r="D2" s="51" t="s">
        <v>39</v>
      </c>
      <c r="E2" s="49" t="s">
        <v>50</v>
      </c>
      <c r="F2" s="53" t="s">
        <v>478</v>
      </c>
      <c r="G2" s="52" t="s">
        <v>340</v>
      </c>
      <c r="H2" s="52" t="s">
        <v>341</v>
      </c>
      <c r="I2" s="46" t="s">
        <v>345</v>
      </c>
      <c r="J2" s="46" t="s">
        <v>350</v>
      </c>
      <c r="K2" s="53" t="s">
        <v>519</v>
      </c>
      <c r="L2" s="45" t="s">
        <v>423</v>
      </c>
      <c r="M2" s="80">
        <v>3390</v>
      </c>
      <c r="N2" s="55"/>
      <c r="O2" s="65" t="s">
        <v>435</v>
      </c>
      <c r="P2" s="54"/>
      <c r="Q2" s="55" t="str">
        <f>IFERROR(VLOOKUP(TableAOPTarget[[#This Row],[RFC Date]],TableAopCalendar[[Date]:[Concatenate Month &amp; Week]],7,FALSE),"")</f>
        <v/>
      </c>
      <c r="R2" s="69">
        <v>45805</v>
      </c>
      <c r="S2" s="55" t="str">
        <f>IFERROR(VLOOKUP(TableAOPTarget[[#This Row],[Actual Start Date]],TableAopCalendar[[Date]:[Concatenate Month &amp; Week]],7,FALSE),"")</f>
        <v>May 25 Week 4</v>
      </c>
      <c r="T2" s="65">
        <v>30</v>
      </c>
      <c r="U2" s="54">
        <f>TableAOPTarget[[#This Row],[Actual Start Date]]+TableAOPTarget[[#This Row],[Standard Duration]]</f>
        <v>45835</v>
      </c>
      <c r="V2" s="55" t="str">
        <f>IFERROR(VLOOKUP(TableAOPTarget[[#This Row],[Planned Finish Date]],TableAopCalendar[[Date]:[Concatenate Month &amp; Week]],7,FALSE),"")</f>
        <v>June 25 Week 4</v>
      </c>
      <c r="W2" s="69">
        <v>45847</v>
      </c>
      <c r="X2" s="55" t="str">
        <f>IFERROR(VLOOKUP(TableAOPTarget[[#This Row],[Actual Finish Date]],TableAopCalendar[[Date]:[Concatenate Month &amp; Week]],7,FALSE),"")</f>
        <v>July 25 Week 2</v>
      </c>
      <c r="Y2" s="54"/>
      <c r="Z2" s="55" t="str">
        <f>IFERROR(VLOOKUP(TableAOPTarget[[#This Row],[Forecasted Finish Date]],TableAopCalendar[[Date]:[Concatenate Month &amp; Week]],7,FALSE),"")</f>
        <v/>
      </c>
      <c r="AA2" s="54"/>
      <c r="AB2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JUNE 25 PLANNED</v>
      </c>
      <c r="AC2" s="55" t="str">
        <f>IF(TableAOPTarget[[#This Row],[EPC Status]]="EPC Ready",INDEX(TableAopCalendar[Month for Plan],MATCH(TableAOPTarget[[#This Row],[Actual Finish Date]],TableAopCalendar[Date],0))," ")</f>
        <v>JULY 25</v>
      </c>
      <c r="AD2" s="100">
        <v>1</v>
      </c>
      <c r="AE2" s="100">
        <v>1</v>
      </c>
      <c r="AF2" s="49" t="s">
        <v>408</v>
      </c>
      <c r="AG2" s="51"/>
      <c r="AH2" s="51"/>
      <c r="AI2" s="51"/>
      <c r="AJ2" s="51" t="e">
        <f>VLOOKUP(TableAOPTarget[[#This Row],[Apex ID]],'[17]Main Backup'!$A:$I,9,0)</f>
        <v>#N/A</v>
      </c>
      <c r="AK2" s="56" t="str">
        <f>IF(TableAOPTarget[[#This Row],[RFC Date]]="","",(TableAOPTarget[[#This Row],[RFC Date]]+3))</f>
        <v/>
      </c>
      <c r="AL2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2" s="92"/>
    </row>
    <row r="3" spans="1:42" ht="30" hidden="1" x14ac:dyDescent="0.25">
      <c r="A3" s="1" t="s">
        <v>357</v>
      </c>
      <c r="B3" s="162" t="s">
        <v>581</v>
      </c>
      <c r="C3" s="50">
        <v>20</v>
      </c>
      <c r="D3" s="51" t="s">
        <v>39</v>
      </c>
      <c r="E3" s="49" t="s">
        <v>50</v>
      </c>
      <c r="F3" s="53" t="s">
        <v>478</v>
      </c>
      <c r="G3" s="52" t="s">
        <v>340</v>
      </c>
      <c r="H3" s="52" t="s">
        <v>341</v>
      </c>
      <c r="I3" s="52" t="s">
        <v>345</v>
      </c>
      <c r="J3" s="52" t="s">
        <v>350</v>
      </c>
      <c r="K3" s="53" t="s">
        <v>448</v>
      </c>
      <c r="L3" s="53" t="s">
        <v>423</v>
      </c>
      <c r="M3" s="80">
        <v>20000</v>
      </c>
      <c r="N3" s="53"/>
      <c r="O3" s="111" t="s">
        <v>435</v>
      </c>
      <c r="P3" s="54"/>
      <c r="Q3" s="55" t="str">
        <f>IFERROR(VLOOKUP(TableAOPTarget[[#This Row],[RFC Date]],TableAopCalendar[[Date]:[Concatenate Month &amp; Week]],7,FALSE),"")</f>
        <v/>
      </c>
      <c r="R3" s="54">
        <v>45754</v>
      </c>
      <c r="S3" s="55" t="str">
        <f>IFERROR(VLOOKUP(TableAOPTarget[[#This Row],[Actual Start Date]],TableAopCalendar[[Date]:[Concatenate Month &amp; Week]],7,FALSE),"")</f>
        <v>April 25 Week 1</v>
      </c>
      <c r="T3" s="53">
        <v>60</v>
      </c>
      <c r="U3" s="54">
        <f>TableAOPTarget[[#This Row],[Actual Start Date]]+TableAOPTarget[[#This Row],[Standard Duration]]</f>
        <v>45814</v>
      </c>
      <c r="V3" s="53" t="str">
        <f>IFERROR(VLOOKUP(TableAOPTarget[[#This Row],[Planned Finish Date]],TableAopCalendar[[Date]:[Concatenate Month &amp; Week]],7,FALSE),"")</f>
        <v>June 25 Week 1</v>
      </c>
      <c r="W3" s="89">
        <v>45889</v>
      </c>
      <c r="X3" s="53" t="str">
        <f>IFERROR(VLOOKUP(TableAOPTarget[[#This Row],[Actual Finish Date]],TableAopCalendar[[Date]:[Concatenate Month &amp; Week]],7,FALSE),"")</f>
        <v>August 25 Week 3</v>
      </c>
      <c r="Y3" s="54">
        <v>45894</v>
      </c>
      <c r="Z3" s="55" t="str">
        <f>IFERROR(VLOOKUP(TableAOPTarget[[#This Row],[Forecasted Finish Date]],TableAopCalendar[[Date]:[Concatenate Month &amp; Week]],7,FALSE),"")</f>
        <v>August 25 Week 4</v>
      </c>
      <c r="AA3" s="54"/>
      <c r="AB3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JUNE 25 PLANNED</v>
      </c>
      <c r="AC3" s="53" t="str">
        <f>IF(TableAOPTarget[[#This Row],[EPC Status]]="EPC Ready",INDEX(TableAopCalendar[Month for Plan],MATCH(TableAOPTarget[[#This Row],[Actual Finish Date]],TableAopCalendar[Date],0))," ")</f>
        <v>AUGUST 25</v>
      </c>
      <c r="AD3" s="100">
        <v>1</v>
      </c>
      <c r="AE3" s="100">
        <v>1</v>
      </c>
      <c r="AF3" s="49" t="s">
        <v>408</v>
      </c>
      <c r="AG3" s="49"/>
      <c r="AH3" s="49"/>
      <c r="AI3" s="49"/>
      <c r="AJ3" s="49"/>
      <c r="AK3" s="56" t="str">
        <f>IF(TableAOPTarget[[#This Row],[RFC Date]]="","",(TableAOPTarget[[#This Row],[RFC Date]]+3))</f>
        <v/>
      </c>
      <c r="AL3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3" s="92"/>
    </row>
    <row r="4" spans="1:42" ht="30" x14ac:dyDescent="0.25">
      <c r="A4" s="1" t="s">
        <v>358</v>
      </c>
      <c r="B4" s="49" t="s">
        <v>487</v>
      </c>
      <c r="C4" s="50">
        <v>21</v>
      </c>
      <c r="D4" s="51" t="s">
        <v>39</v>
      </c>
      <c r="E4" s="49" t="s">
        <v>50</v>
      </c>
      <c r="F4" s="53" t="s">
        <v>478</v>
      </c>
      <c r="G4" s="52" t="s">
        <v>340</v>
      </c>
      <c r="H4" s="52" t="s">
        <v>341</v>
      </c>
      <c r="I4" s="52" t="s">
        <v>345</v>
      </c>
      <c r="J4" s="52" t="s">
        <v>350</v>
      </c>
      <c r="K4" s="53" t="s">
        <v>527</v>
      </c>
      <c r="L4" s="53" t="s">
        <v>423</v>
      </c>
      <c r="M4" s="80">
        <v>20000</v>
      </c>
      <c r="N4" s="53"/>
      <c r="O4" s="112" t="s">
        <v>435</v>
      </c>
      <c r="P4" s="54"/>
      <c r="Q4" s="55" t="str">
        <f>IFERROR(VLOOKUP(TableAOPTarget[[#This Row],[RFC Date]],TableAopCalendar[[Date]:[Concatenate Month &amp; Week]],7,FALSE),"")</f>
        <v/>
      </c>
      <c r="R4" s="54">
        <v>46049</v>
      </c>
      <c r="S4" s="55" t="str">
        <f>IFERROR(VLOOKUP(TableAOPTarget[[#This Row],[Actual Start Date]],TableAopCalendar[[Date]:[Concatenate Month &amp; Week]],7,FALSE),"")</f>
        <v>January 26 Week 4</v>
      </c>
      <c r="T4" s="55">
        <v>120</v>
      </c>
      <c r="U4" s="115">
        <f>TableAOPTarget[[#This Row],[Actual Start Date]]+TableAOPTarget[[#This Row],[Standard Duration]]</f>
        <v>46169</v>
      </c>
      <c r="V4" s="53" t="str">
        <f>IFERROR(VLOOKUP(TableAOPTarget[[#This Row],[Planned Finish Date]],TableAopCalendar[[Date]:[Concatenate Month &amp; Week]],7,FALSE),"")</f>
        <v>May 26 Week 4</v>
      </c>
      <c r="W4" s="54">
        <v>46202</v>
      </c>
      <c r="X4" s="53" t="str">
        <f>IFERROR(VLOOKUP(TableAOPTarget[[#This Row],[Actual Finish Date]],TableAopCalendar[[Date]:[Concatenate Month &amp; Week]],7,FALSE),"")</f>
        <v>June 26 Week 5</v>
      </c>
      <c r="Y4" s="54">
        <v>46173</v>
      </c>
      <c r="Z4" s="55" t="str">
        <f>IFERROR(VLOOKUP(TableAOPTarget[[#This Row],[Forecasted Finish Date]],TableAopCalendar[[Date]:[Concatenate Month &amp; Week]],7,FALSE),"")</f>
        <v>May 26 Week 5</v>
      </c>
      <c r="AA4" s="54"/>
      <c r="AB4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MAY 26 PLANNED</v>
      </c>
      <c r="AC4" s="53"/>
      <c r="AD4" s="101">
        <v>1</v>
      </c>
      <c r="AE4" s="101">
        <v>1</v>
      </c>
      <c r="AF4" s="49" t="s">
        <v>408</v>
      </c>
      <c r="AG4" s="49"/>
      <c r="AH4" s="49"/>
      <c r="AI4" s="49"/>
      <c r="AJ4" s="49" t="e">
        <f>VLOOKUP(TableAOPTarget[[#This Row],[Apex ID]],'[17]Main Backup'!$A:$I,9,0)</f>
        <v>#N/A</v>
      </c>
      <c r="AK4" s="56" t="str">
        <f>IF(TableAOPTarget[[#This Row],[RFC Date]]="","",(TableAOPTarget[[#This Row],[RFC Date]]+3))</f>
        <v/>
      </c>
      <c r="AL4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4" s="92"/>
    </row>
    <row r="5" spans="1:42" ht="30" hidden="1" x14ac:dyDescent="0.25">
      <c r="A5" s="1" t="s">
        <v>359</v>
      </c>
      <c r="B5" s="49" t="s">
        <v>454</v>
      </c>
      <c r="C5" s="50">
        <v>22</v>
      </c>
      <c r="D5" s="51" t="s">
        <v>39</v>
      </c>
      <c r="E5" s="49" t="s">
        <v>50</v>
      </c>
      <c r="F5" s="53" t="s">
        <v>478</v>
      </c>
      <c r="G5" s="52" t="s">
        <v>340</v>
      </c>
      <c r="H5" s="52" t="s">
        <v>341</v>
      </c>
      <c r="I5" s="52" t="s">
        <v>345</v>
      </c>
      <c r="J5" s="52" t="s">
        <v>350</v>
      </c>
      <c r="K5" s="53" t="s">
        <v>450</v>
      </c>
      <c r="L5" s="53" t="s">
        <v>423</v>
      </c>
      <c r="M5" s="80">
        <v>20000</v>
      </c>
      <c r="N5" s="53"/>
      <c r="O5" s="65" t="s">
        <v>435</v>
      </c>
      <c r="P5" s="54"/>
      <c r="Q5" s="55" t="str">
        <f>IFERROR(VLOOKUP(TableAOPTarget[[#This Row],[RFC Date]],TableAopCalendar[[Date]:[Concatenate Month &amp; Week]],7,FALSE),"")</f>
        <v/>
      </c>
      <c r="R5" s="54">
        <v>45700</v>
      </c>
      <c r="S5" s="55" t="str">
        <f>IFERROR(VLOOKUP(TableAOPTarget[[#This Row],[Actual Start Date]],TableAopCalendar[[Date]:[Concatenate Month &amp; Week]],7,FALSE),"")</f>
        <v>February 25 Week 2</v>
      </c>
      <c r="T5" s="55">
        <v>120</v>
      </c>
      <c r="U5" s="54">
        <f>TableAOPTarget[[#This Row],[Actual Start Date]]+TableAOPTarget[[#This Row],[Standard Duration]]</f>
        <v>45820</v>
      </c>
      <c r="V5" s="53" t="str">
        <f>IFERROR(VLOOKUP(TableAOPTarget[[#This Row],[Planned Finish Date]],TableAopCalendar[[Date]:[Concatenate Month &amp; Week]],7,FALSE),"")</f>
        <v>June 25 Week 2</v>
      </c>
      <c r="W5" s="54">
        <v>45838</v>
      </c>
      <c r="X5" s="53" t="str">
        <f>IFERROR(VLOOKUP(TableAOPTarget[[#This Row],[Actual Finish Date]],TableAopCalendar[[Date]:[Concatenate Month &amp; Week]],7,FALSE),"")</f>
        <v>June 25 Week 5</v>
      </c>
      <c r="Y5" s="54">
        <v>45820</v>
      </c>
      <c r="Z5" s="55" t="str">
        <f>IFERROR(VLOOKUP(TableAOPTarget[[#This Row],[Forecasted Finish Date]],TableAopCalendar[[Date]:[Concatenate Month &amp; Week]],7,FALSE),"")</f>
        <v>June 25 Week 2</v>
      </c>
      <c r="AA5" s="54"/>
      <c r="AB5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JUNE 25 PLANNED</v>
      </c>
      <c r="AC5" s="53" t="str">
        <f>IF(TableAOPTarget[[#This Row],[EPC Status]]="EPC Ready",INDEX(TableAopCalendar[Month for Plan],MATCH(TableAOPTarget[[#This Row],[Actual Finish Date]],TableAopCalendar[Date],0))," ")</f>
        <v>JUNE 25</v>
      </c>
      <c r="AD5" s="100">
        <v>1</v>
      </c>
      <c r="AE5" s="100">
        <v>1</v>
      </c>
      <c r="AF5" s="49" t="s">
        <v>408</v>
      </c>
      <c r="AG5" s="49"/>
      <c r="AH5" s="49"/>
      <c r="AI5" s="49"/>
      <c r="AJ5" s="49"/>
      <c r="AK5" s="56" t="str">
        <f>IF(TableAOPTarget[[#This Row],[RFC Date]]="","",(TableAOPTarget[[#This Row],[RFC Date]]+3))</f>
        <v/>
      </c>
      <c r="AL5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5" s="92"/>
    </row>
    <row r="6" spans="1:42" ht="60" hidden="1" x14ac:dyDescent="0.25">
      <c r="A6" s="1" t="s">
        <v>360</v>
      </c>
      <c r="B6" s="49" t="s">
        <v>488</v>
      </c>
      <c r="C6" s="50">
        <v>23</v>
      </c>
      <c r="D6" s="51" t="s">
        <v>39</v>
      </c>
      <c r="E6" s="49" t="s">
        <v>50</v>
      </c>
      <c r="F6" s="53" t="s">
        <v>478</v>
      </c>
      <c r="G6" s="52" t="s">
        <v>340</v>
      </c>
      <c r="H6" s="52" t="s">
        <v>341</v>
      </c>
      <c r="I6" s="52" t="s">
        <v>345</v>
      </c>
      <c r="J6" s="52" t="s">
        <v>350</v>
      </c>
      <c r="K6" s="53" t="s">
        <v>457</v>
      </c>
      <c r="L6" s="53" t="s">
        <v>423</v>
      </c>
      <c r="M6" s="80">
        <v>5000</v>
      </c>
      <c r="N6" s="53"/>
      <c r="O6" s="53" t="s">
        <v>435</v>
      </c>
      <c r="P6" s="54"/>
      <c r="Q6" s="55" t="str">
        <f>IFERROR(VLOOKUP(TableAOPTarget[[#This Row],[RFC Date]],TableAopCalendar[[Date]:[Concatenate Month &amp; Week]],7,FALSE),"")</f>
        <v/>
      </c>
      <c r="R6" s="54">
        <v>45971</v>
      </c>
      <c r="S6" s="55" t="str">
        <f>IFERROR(VLOOKUP(TableAOPTarget[[#This Row],[Actual Start Date]],TableAopCalendar[[Date]:[Concatenate Month &amp; Week]],7,FALSE),"")</f>
        <v>November 25 Week 2</v>
      </c>
      <c r="T6" s="55">
        <v>90</v>
      </c>
      <c r="U6" s="54">
        <f>TableAOPTarget[[#This Row],[Actual Start Date]]+TableAOPTarget[[#This Row],[Standard Duration]]</f>
        <v>46061</v>
      </c>
      <c r="V6" s="53" t="str">
        <f>IFERROR(VLOOKUP(TableAOPTarget[[#This Row],[Planned Finish Date]],TableAopCalendar[[Date]:[Concatenate Month &amp; Week]],7,FALSE),"")</f>
        <v>February 26 Week 2</v>
      </c>
      <c r="W6" s="54"/>
      <c r="X6" s="53" t="str">
        <f>IFERROR(VLOOKUP(TableAOPTarget[[#This Row],[Actual Finish Date]],TableAopCalendar[[Date]:[Concatenate Month &amp; Week]],7,FALSE),"")</f>
        <v/>
      </c>
      <c r="Y6" s="54">
        <f>TableAOPTarget[[#This Row],[Actual Start Date]]+TableAOPTarget[[#This Row],[Standard Duration]]</f>
        <v>46061</v>
      </c>
      <c r="Z6" s="55" t="str">
        <f>IFERROR(VLOOKUP(TableAOPTarget[[#This Row],[Forecasted Finish Date]],TableAopCalendar[[Date]:[Concatenate Month &amp; Week]],7,FALSE),"")</f>
        <v>February 26 Week 2</v>
      </c>
      <c r="AA6" s="54"/>
      <c r="AB6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FEBRUARY 26 PLANNED</v>
      </c>
      <c r="AC6" s="53"/>
      <c r="AD6" s="148">
        <v>1</v>
      </c>
      <c r="AE6" s="148">
        <v>1</v>
      </c>
      <c r="AF6" s="49" t="s">
        <v>408</v>
      </c>
      <c r="AG6" s="49"/>
      <c r="AH6" s="49"/>
      <c r="AI6" s="49"/>
      <c r="AJ6" s="49" t="e">
        <f>VLOOKUP(TableAOPTarget[[#This Row],[Apex ID]],'[17]Main Backup'!$A:$I,9,0)</f>
        <v>#N/A</v>
      </c>
      <c r="AK6" s="56" t="str">
        <f>IF(TableAOPTarget[[#This Row],[RFC Date]]="","",(TableAOPTarget[[#This Row],[RFC Date]]+3))</f>
        <v/>
      </c>
      <c r="AL6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6" s="92"/>
    </row>
    <row r="7" spans="1:42" ht="30" hidden="1" customHeight="1" x14ac:dyDescent="0.25">
      <c r="A7" s="1" t="s">
        <v>361</v>
      </c>
      <c r="B7" s="193" t="s">
        <v>517</v>
      </c>
      <c r="C7" s="50">
        <v>24</v>
      </c>
      <c r="D7" s="51" t="s">
        <v>39</v>
      </c>
      <c r="E7" s="49" t="s">
        <v>50</v>
      </c>
      <c r="F7" s="53" t="s">
        <v>478</v>
      </c>
      <c r="G7" s="52" t="s">
        <v>340</v>
      </c>
      <c r="H7" s="52" t="s">
        <v>344</v>
      </c>
      <c r="I7" s="110" t="s">
        <v>686</v>
      </c>
      <c r="J7" s="52" t="s">
        <v>352</v>
      </c>
      <c r="K7" s="53" t="s">
        <v>516</v>
      </c>
      <c r="L7" s="53" t="s">
        <v>422</v>
      </c>
      <c r="M7" s="80"/>
      <c r="N7" s="55"/>
      <c r="O7" s="90" t="s">
        <v>428</v>
      </c>
      <c r="P7" s="54"/>
      <c r="Q7" s="55" t="str">
        <f>IFERROR(VLOOKUP(TableAOPTarget[[#This Row],[RFC Date]],TableAopCalendar[[Date]:[Concatenate Month &amp; Week]],7,FALSE),"")</f>
        <v/>
      </c>
      <c r="R7" s="66">
        <v>45782</v>
      </c>
      <c r="S7" s="55" t="str">
        <f>IFERROR(VLOOKUP(TableAOPTarget[[#This Row],[Actual Start Date]],TableAopCalendar[[Date]:[Concatenate Month &amp; Week]],7,FALSE),"")</f>
        <v>May 25 Week 1</v>
      </c>
      <c r="T7" s="65">
        <v>30</v>
      </c>
      <c r="U7" s="54">
        <f>TableAOPTarget[[#This Row],[Actual Start Date]]+TableAOPTarget[[#This Row],[Standard Duration]]</f>
        <v>45812</v>
      </c>
      <c r="V7" s="55" t="str">
        <f>IFERROR(VLOOKUP(TableAOPTarget[[#This Row],[Planned Finish Date]],TableAopCalendar[[Date]:[Concatenate Month &amp; Week]],7,FALSE),"")</f>
        <v>June 25 Week 1</v>
      </c>
      <c r="W7" s="69">
        <v>45824</v>
      </c>
      <c r="X7" s="55" t="str">
        <f>IFERROR(VLOOKUP(TableAOPTarget[[#This Row],[Actual Finish Date]],TableAopCalendar[[Date]:[Concatenate Month &amp; Week]],7,FALSE),"")</f>
        <v>June 25 Week 3</v>
      </c>
      <c r="Y7" s="69">
        <v>45812</v>
      </c>
      <c r="Z7" s="55" t="str">
        <f>IFERROR(VLOOKUP(TableAOPTarget[[#This Row],[Forecasted Finish Date]],TableAopCalendar[[Date]:[Concatenate Month &amp; Week]],7,FALSE),"")</f>
        <v>June 25 Week 1</v>
      </c>
      <c r="AA7" s="54"/>
      <c r="AB7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JUNE 25 PLANNED</v>
      </c>
      <c r="AC7" s="53" t="str">
        <f>IF(TableAOPTarget[[#This Row],[EPC Status]]="EPC Ready",INDEX(TableAopCalendar[Month for Plan],MATCH(TableAOPTarget[[#This Row],[Actual Finish Date]],TableAopCalendar[Date],0))," ")</f>
        <v>JUNE 25</v>
      </c>
      <c r="AD7" s="100">
        <v>1</v>
      </c>
      <c r="AE7" s="100">
        <v>1</v>
      </c>
      <c r="AF7" s="49" t="s">
        <v>408</v>
      </c>
      <c r="AG7" s="51"/>
      <c r="AH7" s="51"/>
      <c r="AI7" s="51"/>
      <c r="AJ7" s="51" t="e">
        <f>VLOOKUP(TableAOPTarget[[#This Row],[Apex ID]],'[17]Main Backup'!$A:$I,9,0)</f>
        <v>#N/A</v>
      </c>
      <c r="AK7" s="56" t="str">
        <f>IF(TableAOPTarget[[#This Row],[RFC Date]]="","",(TableAOPTarget[[#This Row],[RFC Date]]+3))</f>
        <v/>
      </c>
      <c r="AL7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7" s="92"/>
    </row>
    <row r="8" spans="1:42" ht="30" hidden="1" x14ac:dyDescent="0.25">
      <c r="A8" s="1" t="s">
        <v>362</v>
      </c>
      <c r="B8" s="49" t="s">
        <v>490</v>
      </c>
      <c r="C8" s="50">
        <v>28</v>
      </c>
      <c r="D8" s="51" t="s">
        <v>39</v>
      </c>
      <c r="E8" s="49" t="s">
        <v>50</v>
      </c>
      <c r="F8" s="53" t="s">
        <v>478</v>
      </c>
      <c r="G8" s="52" t="s">
        <v>340</v>
      </c>
      <c r="H8" s="52" t="s">
        <v>344</v>
      </c>
      <c r="I8" s="110" t="s">
        <v>686</v>
      </c>
      <c r="J8" s="52" t="s">
        <v>352</v>
      </c>
      <c r="K8" s="53" t="s">
        <v>506</v>
      </c>
      <c r="L8" s="53" t="s">
        <v>422</v>
      </c>
      <c r="M8" s="80"/>
      <c r="N8" s="53"/>
      <c r="O8" s="53" t="s">
        <v>428</v>
      </c>
      <c r="P8" s="54"/>
      <c r="Q8" s="55" t="str">
        <f>IFERROR(VLOOKUP(TableAOPTarget[[#This Row],[RFC Date]],TableAopCalendar[[Date]:[Concatenate Month &amp; Week]],7,FALSE),"")</f>
        <v/>
      </c>
      <c r="R8" s="54"/>
      <c r="S8" s="55" t="str">
        <f>IFERROR(VLOOKUP(TableAOPTarget[[#This Row],[Actual Start Date]],TableAopCalendar[[Date]:[Concatenate Month &amp; Week]],7,FALSE),"")</f>
        <v/>
      </c>
      <c r="T8" s="55"/>
      <c r="U8" s="54"/>
      <c r="V8" s="53" t="str">
        <f>IFERROR(VLOOKUP(TableAOPTarget[[#This Row],[Planned Finish Date]],TableAopCalendar[[Date]:[Concatenate Month &amp; Week]],7,FALSE),"")</f>
        <v/>
      </c>
      <c r="W8" s="54"/>
      <c r="X8" s="53" t="str">
        <f>IFERROR(VLOOKUP(TableAOPTarget[[#This Row],[Actual Finish Date]],TableAopCalendar[[Date]:[Concatenate Month &amp; Week]],7,FALSE),"")</f>
        <v/>
      </c>
      <c r="Y8" s="54"/>
      <c r="Z8" s="55" t="str">
        <f>IFERROR(VLOOKUP(TableAOPTarget[[#This Row],[Forecasted Finish Date]],TableAopCalendar[[Date]:[Concatenate Month &amp; Week]],7,FALSE),"")</f>
        <v/>
      </c>
      <c r="AA8" s="54"/>
      <c r="AB8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8" s="53"/>
      <c r="AD8" s="53"/>
      <c r="AE8" s="53"/>
      <c r="AF8" s="49" t="s">
        <v>583</v>
      </c>
      <c r="AG8" s="49"/>
      <c r="AH8" s="49"/>
      <c r="AI8" s="49"/>
      <c r="AJ8" s="49" t="e">
        <f>VLOOKUP(TableAOPTarget[[#This Row],[Apex ID]],'[17]Main Backup'!$A:$I,9,0)</f>
        <v>#N/A</v>
      </c>
      <c r="AK8" s="56" t="str">
        <f>IF(TableAOPTarget[[#This Row],[RFC Date]]="","",(TableAOPTarget[[#This Row],[RFC Date]]+3))</f>
        <v/>
      </c>
      <c r="AL8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8" s="92"/>
    </row>
    <row r="9" spans="1:42" ht="45" hidden="1" x14ac:dyDescent="0.25">
      <c r="A9" s="1" t="s">
        <v>363</v>
      </c>
      <c r="B9" s="49" t="s">
        <v>489</v>
      </c>
      <c r="C9" s="50">
        <v>26</v>
      </c>
      <c r="D9" s="51" t="s">
        <v>39</v>
      </c>
      <c r="E9" s="49" t="s">
        <v>50</v>
      </c>
      <c r="F9" s="53" t="s">
        <v>478</v>
      </c>
      <c r="G9" s="52" t="s">
        <v>340</v>
      </c>
      <c r="H9" s="52" t="s">
        <v>344</v>
      </c>
      <c r="I9" s="110" t="s">
        <v>686</v>
      </c>
      <c r="J9" s="52" t="s">
        <v>352</v>
      </c>
      <c r="K9" s="53" t="s">
        <v>458</v>
      </c>
      <c r="L9" s="53" t="s">
        <v>422</v>
      </c>
      <c r="M9" s="80">
        <v>20000</v>
      </c>
      <c r="N9" s="53"/>
      <c r="O9" s="53" t="s">
        <v>428</v>
      </c>
      <c r="P9" s="54"/>
      <c r="Q9" s="55" t="str">
        <f>IFERROR(VLOOKUP(TableAOPTarget[[#This Row],[RFC Date]],TableAopCalendar[[Date]:[Concatenate Month &amp; Week]],7,FALSE),"")</f>
        <v/>
      </c>
      <c r="R9" s="69">
        <v>45796</v>
      </c>
      <c r="S9" s="55" t="str">
        <f>IFERROR(VLOOKUP(TableAOPTarget[[#This Row],[Actual Start Date]],TableAopCalendar[[Date]:[Concatenate Month &amp; Week]],7,FALSE),"")</f>
        <v>May 25 Week 3</v>
      </c>
      <c r="T9" s="67">
        <v>120</v>
      </c>
      <c r="U9" s="54">
        <f>TableAOPTarget[[#This Row],[Actual Start Date]]+TableAOPTarget[[#This Row],[Standard Duration]]</f>
        <v>45916</v>
      </c>
      <c r="V9" s="53" t="str">
        <f>IFERROR(VLOOKUP(TableAOPTarget[[#This Row],[Planned Finish Date]],TableAopCalendar[[Date]:[Concatenate Month &amp; Week]],7,FALSE),"")</f>
        <v>September 25 Week 3</v>
      </c>
      <c r="W9" s="54">
        <v>46153</v>
      </c>
      <c r="X9" s="53" t="str">
        <f>IFERROR(VLOOKUP(TableAOPTarget[[#This Row],[Actual Finish Date]],TableAopCalendar[[Date]:[Concatenate Month &amp; Week]],7,FALSE),"")</f>
        <v>May 26 Week 2</v>
      </c>
      <c r="Y9" s="147">
        <v>46157</v>
      </c>
      <c r="Z9" s="55" t="str">
        <f>IFERROR(VLOOKUP(TableAOPTarget[[#This Row],[Forecasted Finish Date]],TableAopCalendar[[Date]:[Concatenate Month &amp; Week]],7,FALSE),"")</f>
        <v>May 26 Week 3</v>
      </c>
      <c r="AA9" s="54"/>
      <c r="AB9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SEPTEMBER 25 PLANNED</v>
      </c>
      <c r="AC9" s="53"/>
      <c r="AD9" s="101">
        <v>1</v>
      </c>
      <c r="AE9" s="101">
        <v>1</v>
      </c>
      <c r="AF9" s="49" t="s">
        <v>408</v>
      </c>
      <c r="AG9" s="49"/>
      <c r="AH9" s="49"/>
      <c r="AI9" s="49"/>
      <c r="AJ9" s="49" t="e">
        <f>VLOOKUP(TableAOPTarget[[#This Row],[Apex ID]],'[17]Main Backup'!$A:$I,9,0)</f>
        <v>#N/A</v>
      </c>
      <c r="AK9" s="56" t="str">
        <f>IF(TableAOPTarget[[#This Row],[RFC Date]]="","",(TableAOPTarget[[#This Row],[RFC Date]]+3))</f>
        <v/>
      </c>
      <c r="AL9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9" s="92"/>
    </row>
    <row r="10" spans="1:42" ht="35.1" hidden="1" customHeight="1" x14ac:dyDescent="0.25">
      <c r="A10" s="1" t="s">
        <v>364</v>
      </c>
      <c r="B10" s="193" t="s">
        <v>543</v>
      </c>
      <c r="C10" s="50">
        <v>49</v>
      </c>
      <c r="D10" s="51" t="s">
        <v>39</v>
      </c>
      <c r="E10" s="49" t="s">
        <v>50</v>
      </c>
      <c r="F10" s="67" t="s">
        <v>478</v>
      </c>
      <c r="G10" s="52" t="s">
        <v>340</v>
      </c>
      <c r="H10" s="52" t="s">
        <v>344</v>
      </c>
      <c r="I10" s="110" t="s">
        <v>686</v>
      </c>
      <c r="J10" s="68" t="s">
        <v>352</v>
      </c>
      <c r="K10" s="53" t="s">
        <v>539</v>
      </c>
      <c r="L10" s="68" t="s">
        <v>422</v>
      </c>
      <c r="M10" s="80">
        <v>20000</v>
      </c>
      <c r="N10" s="71"/>
      <c r="O10" s="68" t="s">
        <v>428</v>
      </c>
      <c r="P10" s="70"/>
      <c r="Q10" s="71" t="str">
        <f>IFERROR(VLOOKUP(TableAOPTarget[[#This Row],[RFC Date]],TableAopCalendar[[Date]:[Concatenate Month &amp; Week]],7,FALSE),"")</f>
        <v/>
      </c>
      <c r="R10" s="69">
        <v>45848</v>
      </c>
      <c r="S10" s="71" t="str">
        <f>IFERROR(VLOOKUP(TableAOPTarget[[#This Row],[Actual Start Date]],TableAopCalendar[[Date]:[Concatenate Month &amp; Week]],7,FALSE),"")</f>
        <v>July 25 Week 2</v>
      </c>
      <c r="T10" s="67">
        <v>45</v>
      </c>
      <c r="U10" s="70">
        <f>TableAOPTarget[[#This Row],[Actual Start Date]]+TableAOPTarget[[#This Row],[Standard Duration]]</f>
        <v>45893</v>
      </c>
      <c r="V10" s="71" t="str">
        <f>IFERROR(VLOOKUP(TableAOPTarget[[#This Row],[Planned Finish Date]],TableAopCalendar[[Date]:[Concatenate Month &amp; Week]],7,FALSE),"")</f>
        <v>August 25 Week 4</v>
      </c>
      <c r="W10" s="89">
        <v>45913</v>
      </c>
      <c r="X10" s="71" t="str">
        <f>IFERROR(VLOOKUP(TableAOPTarget[[#This Row],[Actual Finish Date]],TableAopCalendar[[Date]:[Concatenate Month &amp; Week]],7,FALSE),"")</f>
        <v>September 25 Week 2</v>
      </c>
      <c r="Y10" s="89">
        <v>45893</v>
      </c>
      <c r="Z10" s="71" t="str">
        <f>IFERROR(VLOOKUP(TableAOPTarget[[#This Row],[Forecasted Finish Date]],TableAopCalendar[[Date]:[Concatenate Month &amp; Week]],7,FALSE),"")</f>
        <v>August 25 Week 4</v>
      </c>
      <c r="AA10" s="70"/>
      <c r="AB10" s="71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AUGUST 25 PLANNED</v>
      </c>
      <c r="AC10" s="71" t="str">
        <f>IF(TableAOPTarget[[#This Row],[EPC Status]]="EPC Ready",INDEX(TableAopCalendar[Month for Plan],MATCH(TableAOPTarget[[#This Row],[Actual Finish Date]],TableAopCalendar[Date],0))," ")</f>
        <v>SEPTEMBER 25</v>
      </c>
      <c r="AD10" s="100">
        <v>1</v>
      </c>
      <c r="AE10" s="100">
        <v>1</v>
      </c>
      <c r="AF10" s="72" t="s">
        <v>408</v>
      </c>
      <c r="AG10" s="72"/>
      <c r="AH10" s="72"/>
      <c r="AI10" s="72" t="e">
        <f>VLOOKUP(TableAOPTarget[[#This Row],[PD]],[18]Backup!$C:$F,4,0)</f>
        <v>#N/A</v>
      </c>
      <c r="AJ10" s="72" t="e">
        <f>VLOOKUP(TableAOPTarget[[#This Row],[Apex ID]],'[17]Main Backup'!$A:$I,9,0)</f>
        <v>#N/A</v>
      </c>
      <c r="AK10" s="73" t="str">
        <f>IF(TableAOPTarget[[#This Row],[RFC Date]]="","",(TableAOPTarget[[#This Row],[RFC Date]]+3))</f>
        <v/>
      </c>
      <c r="AL10" s="74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0" s="95"/>
    </row>
    <row r="11" spans="1:42" ht="30" hidden="1" x14ac:dyDescent="0.25">
      <c r="A11" s="1" t="s">
        <v>365</v>
      </c>
      <c r="B11" s="193" t="s">
        <v>523</v>
      </c>
      <c r="C11" s="50">
        <v>30</v>
      </c>
      <c r="D11" s="51" t="s">
        <v>39</v>
      </c>
      <c r="E11" s="49" t="s">
        <v>50</v>
      </c>
      <c r="F11" s="53" t="s">
        <v>478</v>
      </c>
      <c r="G11" s="52" t="s">
        <v>340</v>
      </c>
      <c r="H11" s="52" t="s">
        <v>344</v>
      </c>
      <c r="I11" s="110" t="s">
        <v>686</v>
      </c>
      <c r="J11" s="46" t="s">
        <v>352</v>
      </c>
      <c r="K11" s="53" t="s">
        <v>518</v>
      </c>
      <c r="L11" s="45" t="s">
        <v>422</v>
      </c>
      <c r="M11" s="80">
        <v>20000</v>
      </c>
      <c r="N11" s="55"/>
      <c r="O11" s="68" t="s">
        <v>428</v>
      </c>
      <c r="P11" s="54"/>
      <c r="Q11" s="55" t="str">
        <f>IFERROR(VLOOKUP(TableAOPTarget[[#This Row],[RFC Date]],TableAopCalendar[[Date]:[Concatenate Month &amp; Week]],7,FALSE),"")</f>
        <v/>
      </c>
      <c r="R11" s="54"/>
      <c r="S11" s="55" t="str">
        <f>IFERROR(VLOOKUP(TableAOPTarget[[#This Row],[Actual Start Date]],TableAopCalendar[[Date]:[Concatenate Month &amp; Week]],7,FALSE),"")</f>
        <v/>
      </c>
      <c r="T11" s="55"/>
      <c r="U11" s="54"/>
      <c r="V11" s="55" t="str">
        <f>IFERROR(VLOOKUP(TableAOPTarget[[#This Row],[Planned Finish Date]],TableAopCalendar[[Date]:[Concatenate Month &amp; Week]],7,FALSE),"")</f>
        <v/>
      </c>
      <c r="W11" s="54"/>
      <c r="X11" s="55" t="str">
        <f>IFERROR(VLOOKUP(TableAOPTarget[[#This Row],[Actual Finish Date]],TableAopCalendar[[Date]:[Concatenate Month &amp; Week]],7,FALSE),"")</f>
        <v/>
      </c>
      <c r="Y11" s="54"/>
      <c r="Z11" s="55" t="str">
        <f>IFERROR(VLOOKUP(TableAOPTarget[[#This Row],[Forecasted Finish Date]],TableAopCalendar[[Date]:[Concatenate Month &amp; Week]],7,FALSE),"")</f>
        <v/>
      </c>
      <c r="AA11" s="54"/>
      <c r="AB11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11" s="55" t="str">
        <f>IF(TableAOPTarget[[#This Row],[EPC Status]]="EPC Ready",INDEX(TableAopCalendar[Month for Plan],MATCH(TableAOPTarget[[#This Row],[Actual Finish Date]],TableAopCalendar[Date],0))," ")</f>
        <v xml:space="preserve"> </v>
      </c>
      <c r="AD11" s="55"/>
      <c r="AE11" s="55"/>
      <c r="AF11" s="49" t="s">
        <v>436</v>
      </c>
      <c r="AG11" s="51"/>
      <c r="AH11" s="51"/>
      <c r="AI11" s="51"/>
      <c r="AJ11" s="51" t="e">
        <f>VLOOKUP(TableAOPTarget[[#This Row],[Apex ID]],'[17]Main Backup'!$A:$I,9,0)</f>
        <v>#N/A</v>
      </c>
      <c r="AK11" s="56" t="str">
        <f>IF(TableAOPTarget[[#This Row],[RFC Date]]="","",(TableAOPTarget[[#This Row],[RFC Date]]+3))</f>
        <v/>
      </c>
      <c r="AL11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1" s="92"/>
    </row>
    <row r="12" spans="1:42" ht="60" x14ac:dyDescent="0.25">
      <c r="A12" s="1" t="s">
        <v>366</v>
      </c>
      <c r="B12" s="49" t="s">
        <v>491</v>
      </c>
      <c r="C12" s="50">
        <v>27</v>
      </c>
      <c r="D12" s="51" t="s">
        <v>39</v>
      </c>
      <c r="E12" s="49" t="s">
        <v>50</v>
      </c>
      <c r="F12" s="53" t="s">
        <v>478</v>
      </c>
      <c r="G12" s="52" t="s">
        <v>340</v>
      </c>
      <c r="H12" s="52" t="s">
        <v>344</v>
      </c>
      <c r="I12" s="110" t="s">
        <v>686</v>
      </c>
      <c r="J12" s="52" t="s">
        <v>352</v>
      </c>
      <c r="K12" s="53" t="s">
        <v>459</v>
      </c>
      <c r="L12" s="53" t="s">
        <v>422</v>
      </c>
      <c r="M12" s="80">
        <v>5000</v>
      </c>
      <c r="N12" s="53"/>
      <c r="O12" s="53" t="s">
        <v>428</v>
      </c>
      <c r="P12" s="54"/>
      <c r="Q12" s="55" t="str">
        <f>IFERROR(VLOOKUP(TableAOPTarget[[#This Row],[RFC Date]],TableAopCalendar[[Date]:[Concatenate Month &amp; Week]],7,FALSE),"")</f>
        <v/>
      </c>
      <c r="R12" s="54">
        <v>45880</v>
      </c>
      <c r="S12" s="55" t="str">
        <f>IFERROR(VLOOKUP(TableAOPTarget[[#This Row],[Actual Start Date]],TableAopCalendar[[Date]:[Concatenate Month &amp; Week]],7,FALSE),"")</f>
        <v>August 25 Week 2</v>
      </c>
      <c r="T12" s="55">
        <v>45</v>
      </c>
      <c r="U12" s="54">
        <f>TableAOPTarget[[#This Row],[Actual Start Date]]+TableAOPTarget[[#This Row],[Standard Duration]]</f>
        <v>45925</v>
      </c>
      <c r="V12" s="53" t="str">
        <f>IFERROR(VLOOKUP(TableAOPTarget[[#This Row],[Planned Finish Date]],TableAopCalendar[[Date]:[Concatenate Month &amp; Week]],7,FALSE),"")</f>
        <v>September 25 Week 4</v>
      </c>
      <c r="W12" s="54"/>
      <c r="X12" s="53" t="str">
        <f>IFERROR(VLOOKUP(TableAOPTarget[[#This Row],[Actual Finish Date]],TableAopCalendar[[Date]:[Concatenate Month &amp; Week]],7,FALSE),"")</f>
        <v/>
      </c>
      <c r="Y12" s="147">
        <v>46167</v>
      </c>
      <c r="Z12" s="55" t="str">
        <f>IFERROR(VLOOKUP(TableAOPTarget[[#This Row],[Forecasted Finish Date]],TableAopCalendar[[Date]:[Concatenate Month &amp; Week]],7,FALSE),"")</f>
        <v>May 26 Week 4</v>
      </c>
      <c r="AA12" s="54"/>
      <c r="AB12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12" s="71"/>
      <c r="AD12" s="101">
        <v>1</v>
      </c>
      <c r="AE12" s="101">
        <v>0.88</v>
      </c>
      <c r="AF12" s="49" t="s">
        <v>410</v>
      </c>
      <c r="AG12" s="49"/>
      <c r="AH12" s="49"/>
      <c r="AI12" s="49"/>
      <c r="AJ12" s="49" t="e">
        <f>VLOOKUP(TableAOPTarget[[#This Row],[Apex ID]],'[17]Main Backup'!$A:$I,9,0)</f>
        <v>#N/A</v>
      </c>
      <c r="AK12" s="56" t="str">
        <f>IF(TableAOPTarget[[#This Row],[RFC Date]]="","",(TableAOPTarget[[#This Row],[RFC Date]]+3))</f>
        <v/>
      </c>
      <c r="AL12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2" s="92"/>
    </row>
    <row r="13" spans="1:42" ht="45" hidden="1" x14ac:dyDescent="0.25">
      <c r="A13" s="1" t="s">
        <v>367</v>
      </c>
      <c r="B13" s="49" t="s">
        <v>444</v>
      </c>
      <c r="C13" s="50">
        <v>1</v>
      </c>
      <c r="D13" s="51" t="s">
        <v>39</v>
      </c>
      <c r="E13" s="49" t="s">
        <v>50</v>
      </c>
      <c r="F13" s="53" t="s">
        <v>445</v>
      </c>
      <c r="G13" s="52" t="s">
        <v>340</v>
      </c>
      <c r="H13" s="52" t="s">
        <v>342</v>
      </c>
      <c r="I13" s="52" t="s">
        <v>345</v>
      </c>
      <c r="J13" s="52" t="s">
        <v>347</v>
      </c>
      <c r="K13" s="53" t="s">
        <v>438</v>
      </c>
      <c r="L13" s="53" t="s">
        <v>439</v>
      </c>
      <c r="M13" s="80"/>
      <c r="N13" s="53"/>
      <c r="O13" s="53"/>
      <c r="P13" s="54"/>
      <c r="Q13" s="55" t="str">
        <f>IFERROR(VLOOKUP(TableAOPTarget[[#This Row],[RFC Date]],TableAopCalendar[[Date]:[Concatenate Month &amp; Week]],7,FALSE),"")</f>
        <v/>
      </c>
      <c r="R13" s="54"/>
      <c r="S13" s="55" t="str">
        <f>IFERROR(VLOOKUP(TableAOPTarget[[#This Row],[Actual Start Date]],TableAopCalendar[[Date]:[Concatenate Month &amp; Week]],7,FALSE),"")</f>
        <v/>
      </c>
      <c r="T13" s="55"/>
      <c r="U13" s="54"/>
      <c r="V13" s="53" t="str">
        <f>IFERROR(VLOOKUP(TableAOPTarget[[#This Row],[Planned Finish Date]],TableAopCalendar[[Date]:[Concatenate Month &amp; Week]],7,FALSE),"")</f>
        <v/>
      </c>
      <c r="W13" s="54"/>
      <c r="X13" s="53" t="str">
        <f>IFERROR(VLOOKUP(TableAOPTarget[[#This Row],[Actual Finish Date]],TableAopCalendar[[Date]:[Concatenate Month &amp; Week]],7,FALSE),"")</f>
        <v/>
      </c>
      <c r="Y13" s="54"/>
      <c r="Z13" s="55" t="str">
        <f>IFERROR(VLOOKUP(TableAOPTarget[[#This Row],[Forecasted Finish Date]],TableAopCalendar[[Date]:[Concatenate Month &amp; Week]],7,FALSE),"")</f>
        <v/>
      </c>
      <c r="AA13" s="54"/>
      <c r="AB13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13" s="53" t="str">
        <f>IF(TableAOPTarget[[#This Row],[EPC Status]]="EPC Ready",INDEX(TableAopCalendar[Month for Plan],MATCH(TableAOPTarget[[#This Row],[Actual Finish Date]],TableAopCalendar[Date],0))," ")</f>
        <v xml:space="preserve"> </v>
      </c>
      <c r="AD13" s="53"/>
      <c r="AE13" s="53"/>
      <c r="AF13" s="49" t="s">
        <v>436</v>
      </c>
      <c r="AG13" s="49"/>
      <c r="AH13" s="49"/>
      <c r="AI13" s="49"/>
      <c r="AJ13" s="49"/>
      <c r="AK13" s="56" t="str">
        <f>IF(TableAOPTarget[[#This Row],[RFC Date]]="","",(TableAOPTarget[[#This Row],[RFC Date]]+3))</f>
        <v/>
      </c>
      <c r="AL13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3" s="92"/>
    </row>
    <row r="14" spans="1:42" ht="30" hidden="1" x14ac:dyDescent="0.25">
      <c r="A14" s="1" t="s">
        <v>368</v>
      </c>
      <c r="B14" s="193" t="s">
        <v>526</v>
      </c>
      <c r="C14" s="50">
        <v>2</v>
      </c>
      <c r="D14" s="51" t="s">
        <v>39</v>
      </c>
      <c r="E14" s="49" t="s">
        <v>50</v>
      </c>
      <c r="F14" s="53" t="s">
        <v>445</v>
      </c>
      <c r="G14" s="52" t="s">
        <v>340</v>
      </c>
      <c r="H14" s="52" t="s">
        <v>343</v>
      </c>
      <c r="I14" s="110" t="s">
        <v>686</v>
      </c>
      <c r="J14" s="50" t="s">
        <v>353</v>
      </c>
      <c r="K14" s="53" t="s">
        <v>520</v>
      </c>
      <c r="L14" s="53" t="s">
        <v>521</v>
      </c>
      <c r="M14" s="80">
        <v>6725</v>
      </c>
      <c r="N14" s="55"/>
      <c r="O14" s="88" t="s">
        <v>407</v>
      </c>
      <c r="P14" s="54"/>
      <c r="Q14" s="55" t="str">
        <f>IFERROR(VLOOKUP(TableAOPTarget[[#This Row],[RFC Date]],TableAopCalendar[[Date]:[Concatenate Month &amp; Week]],7,FALSE),"")</f>
        <v/>
      </c>
      <c r="R14" s="54">
        <v>45761</v>
      </c>
      <c r="S14" s="55" t="str">
        <f>IFERROR(VLOOKUP(TableAOPTarget[[#This Row],[Actual Start Date]],TableAopCalendar[[Date]:[Concatenate Month &amp; Week]],7,FALSE),"")</f>
        <v>April 25 Week 2</v>
      </c>
      <c r="T14" s="53">
        <v>60</v>
      </c>
      <c r="U14" s="54">
        <f>TableAOPTarget[[#This Row],[Actual Start Date]]+TableAOPTarget[[#This Row],[Standard Duration]]</f>
        <v>45821</v>
      </c>
      <c r="V14" s="55" t="str">
        <f>IFERROR(VLOOKUP(TableAOPTarget[[#This Row],[Planned Finish Date]],TableAopCalendar[[Date]:[Concatenate Month &amp; Week]],7,FALSE),"")</f>
        <v>June 25 Week 2</v>
      </c>
      <c r="W14" s="54">
        <v>45811</v>
      </c>
      <c r="X14" s="55" t="str">
        <f>IFERROR(VLOOKUP(TableAOPTarget[[#This Row],[Actual Finish Date]],TableAopCalendar[[Date]:[Concatenate Month &amp; Week]],7,FALSE),"")</f>
        <v>June 25 Week 1</v>
      </c>
      <c r="Y14" s="54">
        <v>45821</v>
      </c>
      <c r="Z14" s="55" t="str">
        <f>IFERROR(VLOOKUP(TableAOPTarget[[#This Row],[Forecasted Finish Date]],TableAopCalendar[[Date]:[Concatenate Month &amp; Week]],7,FALSE),"")</f>
        <v>June 25 Week 2</v>
      </c>
      <c r="AA14" s="54"/>
      <c r="AB14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JUNE 25 PLANNED</v>
      </c>
      <c r="AC14" s="55" t="str">
        <f>IF(TableAOPTarget[[#This Row],[EPC Status]]="EPC Ready",INDEX(TableAopCalendar[Month for Plan],MATCH(TableAOPTarget[[#This Row],[Actual Finish Date]],TableAopCalendar[Date],0))," ")</f>
        <v>JUNE 25</v>
      </c>
      <c r="AD14" s="100">
        <v>1</v>
      </c>
      <c r="AE14" s="100">
        <v>1</v>
      </c>
      <c r="AF14" s="49" t="s">
        <v>408</v>
      </c>
      <c r="AG14" s="51"/>
      <c r="AH14" s="51"/>
      <c r="AI14" s="51"/>
      <c r="AJ14" s="51" t="e">
        <f>VLOOKUP(TableAOPTarget[[#This Row],[Apex ID]],'[17]Main Backup'!$A:$I,9,0)</f>
        <v>#N/A</v>
      </c>
      <c r="AK14" s="56" t="str">
        <f>IF(TableAOPTarget[[#This Row],[RFC Date]]="","",(TableAOPTarget[[#This Row],[RFC Date]]+3))</f>
        <v/>
      </c>
      <c r="AL14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4" s="92"/>
    </row>
    <row r="15" spans="1:42" ht="30" hidden="1" x14ac:dyDescent="0.25">
      <c r="A15" s="1" t="s">
        <v>369</v>
      </c>
      <c r="B15" s="163" t="s">
        <v>484</v>
      </c>
      <c r="C15" s="50">
        <v>8</v>
      </c>
      <c r="D15" s="51" t="s">
        <v>39</v>
      </c>
      <c r="E15" s="49" t="s">
        <v>50</v>
      </c>
      <c r="F15" s="53" t="s">
        <v>445</v>
      </c>
      <c r="G15" s="52" t="s">
        <v>340</v>
      </c>
      <c r="H15" s="52" t="s">
        <v>342</v>
      </c>
      <c r="I15" s="52" t="s">
        <v>345</v>
      </c>
      <c r="J15" s="52" t="s">
        <v>349</v>
      </c>
      <c r="K15" s="53" t="s">
        <v>532</v>
      </c>
      <c r="L15" s="53" t="s">
        <v>437</v>
      </c>
      <c r="M15" s="80"/>
      <c r="N15" s="53" t="s">
        <v>473</v>
      </c>
      <c r="O15" s="53" t="s">
        <v>477</v>
      </c>
      <c r="P15" s="54"/>
      <c r="Q15" s="55" t="str">
        <f>IFERROR(VLOOKUP(TableAOPTarget[[#This Row],[RFC Date]],TableAopCalendar[[Date]:[Concatenate Month &amp; Week]],7,FALSE),"")</f>
        <v/>
      </c>
      <c r="R15" s="54"/>
      <c r="S15" s="55" t="str">
        <f>IFERROR(VLOOKUP(TableAOPTarget[[#This Row],[Actual Start Date]],TableAopCalendar[[Date]:[Concatenate Month &amp; Week]],7,FALSE),"")</f>
        <v/>
      </c>
      <c r="T15" s="55"/>
      <c r="U15" s="54"/>
      <c r="V15" s="53" t="str">
        <f>IFERROR(VLOOKUP(TableAOPTarget[[#This Row],[Planned Finish Date]],TableAopCalendar[[Date]:[Concatenate Month &amp; Week]],7,FALSE),"")</f>
        <v/>
      </c>
      <c r="W15" s="54"/>
      <c r="X15" s="53" t="str">
        <f>IFERROR(VLOOKUP(TableAOPTarget[[#This Row],[Actual Finish Date]],TableAopCalendar[[Date]:[Concatenate Month &amp; Week]],7,FALSE),"")</f>
        <v/>
      </c>
      <c r="Y15" s="54"/>
      <c r="Z15" s="55" t="str">
        <f>IFERROR(VLOOKUP(TableAOPTarget[[#This Row],[Forecasted Finish Date]],TableAopCalendar[[Date]:[Concatenate Month &amp; Week]],7,FALSE),"")</f>
        <v/>
      </c>
      <c r="AA15" s="54"/>
      <c r="AB15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15" s="53" t="str">
        <f>IF(TableAOPTarget[[#This Row],[EPC Status]]="EPC Ready",INDEX(TableAopCalendar[Month for Plan],MATCH(TableAOPTarget[[#This Row],[Actual Finish Date]],TableAopCalendar[Date],0))," ")</f>
        <v xml:space="preserve"> </v>
      </c>
      <c r="AD15" s="53"/>
      <c r="AE15" s="53"/>
      <c r="AF15" s="49" t="s">
        <v>436</v>
      </c>
      <c r="AG15" s="49"/>
      <c r="AH15" s="49"/>
      <c r="AI15" s="49"/>
      <c r="AJ15" s="49" t="e">
        <f>VLOOKUP(TableAOPTarget[[#This Row],[Apex ID]],'[17]Main Backup'!$A:$I,9,0)</f>
        <v>#N/A</v>
      </c>
      <c r="AK15" s="56" t="str">
        <f>IF(TableAOPTarget[[#This Row],[RFC Date]]="","",(TableAOPTarget[[#This Row],[RFC Date]]+3))</f>
        <v/>
      </c>
      <c r="AL15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5" s="92"/>
    </row>
    <row r="16" spans="1:42" ht="30" hidden="1" x14ac:dyDescent="0.25">
      <c r="A16" s="1" t="s">
        <v>370</v>
      </c>
      <c r="B16" s="164" t="s">
        <v>548</v>
      </c>
      <c r="C16" s="50">
        <v>13</v>
      </c>
      <c r="D16" s="76" t="s">
        <v>39</v>
      </c>
      <c r="E16" s="79" t="s">
        <v>50</v>
      </c>
      <c r="F16" s="67" t="s">
        <v>445</v>
      </c>
      <c r="G16" s="52" t="s">
        <v>340</v>
      </c>
      <c r="H16" s="52" t="s">
        <v>341</v>
      </c>
      <c r="I16" s="68" t="s">
        <v>345</v>
      </c>
      <c r="J16" s="68" t="s">
        <v>347</v>
      </c>
      <c r="K16" s="144" t="s">
        <v>546</v>
      </c>
      <c r="L16" s="68" t="s">
        <v>547</v>
      </c>
      <c r="M16" s="80"/>
      <c r="N16" s="75"/>
      <c r="O16" s="75"/>
      <c r="P16" s="83"/>
      <c r="Q16" s="75" t="str">
        <f>IFERROR(VLOOKUP(TableAOPTarget[[#This Row],[RFC Date]],TableAopCalendar[[Date]:[Concatenate Month &amp; Week]],7,FALSE),"")</f>
        <v/>
      </c>
      <c r="R16" s="83"/>
      <c r="S16" s="75" t="str">
        <f>IFERROR(VLOOKUP(TableAOPTarget[[#This Row],[Actual Start Date]],TableAopCalendar[[Date]:[Concatenate Month &amp; Week]],7,FALSE),"")</f>
        <v/>
      </c>
      <c r="T16" s="75"/>
      <c r="U16" s="83"/>
      <c r="V16" s="75" t="str">
        <f>IFERROR(VLOOKUP(TableAOPTarget[[#This Row],[Planned Finish Date]],TableAopCalendar[[Date]:[Concatenate Month &amp; Week]],7,FALSE),"")</f>
        <v/>
      </c>
      <c r="W16" s="83"/>
      <c r="X16" s="75" t="str">
        <f>IFERROR(VLOOKUP(TableAOPTarget[[#This Row],[Actual Finish Date]],TableAopCalendar[[Date]:[Concatenate Month &amp; Week]],7,FALSE),"")</f>
        <v/>
      </c>
      <c r="Y16" s="83"/>
      <c r="Z16" s="75" t="str">
        <f>IFERROR(VLOOKUP(TableAOPTarget[[#This Row],[Forecasted Finish Date]],TableAopCalendar[[Date]:[Concatenate Month &amp; Week]],7,FALSE),"")</f>
        <v/>
      </c>
      <c r="AA16" s="83"/>
      <c r="AB16" s="7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16" s="75" t="str">
        <f>IF(TableAOPTarget[[#This Row],[EPC Status]]="EPC Ready",INDEX(TableAopCalendar[Month for Plan],MATCH(TableAOPTarget[[#This Row],[Actual Finish Date]],TableAopCalendar[Date],0))," ")</f>
        <v xml:space="preserve"> </v>
      </c>
      <c r="AD16" s="75"/>
      <c r="AE16" s="75"/>
      <c r="AF16" s="51" t="s">
        <v>436</v>
      </c>
      <c r="AG16" s="76"/>
      <c r="AH16" s="76"/>
      <c r="AI16" s="76" t="e">
        <f>VLOOKUP(TableAOPTarget[[#This Row],[PD]],[18]Backup!$C:$F,4,0)</f>
        <v>#N/A</v>
      </c>
      <c r="AJ16" s="76" t="e">
        <f>VLOOKUP(TableAOPTarget[[#This Row],[Apex ID]],'[17]Main Backup'!$A:$I,9,0)</f>
        <v>#N/A</v>
      </c>
      <c r="AK16" s="85" t="str">
        <f>IF(TableAOPTarget[[#This Row],[RFC Date]]="","",(TableAOPTarget[[#This Row],[RFC Date]]+3))</f>
        <v/>
      </c>
      <c r="AL16" s="87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6" s="93"/>
    </row>
    <row r="17" spans="1:39" ht="30" hidden="1" x14ac:dyDescent="0.25">
      <c r="A17" s="1" t="s">
        <v>371</v>
      </c>
      <c r="B17" s="49" t="s">
        <v>513</v>
      </c>
      <c r="C17" s="50">
        <v>3</v>
      </c>
      <c r="D17" s="51" t="s">
        <v>39</v>
      </c>
      <c r="E17" s="49" t="s">
        <v>50</v>
      </c>
      <c r="F17" s="53" t="s">
        <v>445</v>
      </c>
      <c r="G17" s="52" t="s">
        <v>340</v>
      </c>
      <c r="H17" s="52" t="s">
        <v>341</v>
      </c>
      <c r="I17" s="52" t="s">
        <v>345</v>
      </c>
      <c r="J17" s="52" t="s">
        <v>348</v>
      </c>
      <c r="K17" s="53" t="s">
        <v>511</v>
      </c>
      <c r="L17" s="53" t="s">
        <v>446</v>
      </c>
      <c r="M17" s="80">
        <v>4304</v>
      </c>
      <c r="N17" s="53"/>
      <c r="O17" s="53" t="s">
        <v>430</v>
      </c>
      <c r="P17" s="54"/>
      <c r="Q17" s="55" t="str">
        <f>IFERROR(VLOOKUP(TableAOPTarget[[#This Row],[RFC Date]],TableAopCalendar[[Date]:[Concatenate Month &amp; Week]],7,FALSE),"")</f>
        <v/>
      </c>
      <c r="R17" s="66">
        <v>45758</v>
      </c>
      <c r="S17" s="55" t="str">
        <f>IFERROR(VLOOKUP(TableAOPTarget[[#This Row],[Actual Start Date]],TableAopCalendar[[Date]:[Concatenate Month &amp; Week]],7,FALSE),"")</f>
        <v>April 25 Week 2</v>
      </c>
      <c r="T17" s="55">
        <v>30</v>
      </c>
      <c r="U17" s="54">
        <f>TableAOPTarget[[#This Row],[Actual Start Date]]+TableAOPTarget[[#This Row],[Standard Duration]]</f>
        <v>45788</v>
      </c>
      <c r="V17" s="53" t="str">
        <f>IFERROR(VLOOKUP(TableAOPTarget[[#This Row],[Planned Finish Date]],TableAopCalendar[[Date]:[Concatenate Month &amp; Week]],7,FALSE),"")</f>
        <v>May 25 Week 2</v>
      </c>
      <c r="W17" s="66">
        <v>45788</v>
      </c>
      <c r="X17" s="53" t="str">
        <f>IFERROR(VLOOKUP(TableAOPTarget[[#This Row],[Actual Finish Date]],TableAopCalendar[[Date]:[Concatenate Month &amp; Week]],7,FALSE),"")</f>
        <v>May 25 Week 2</v>
      </c>
      <c r="Y17" s="54">
        <v>45788</v>
      </c>
      <c r="Z17" s="55" t="str">
        <f>IFERROR(VLOOKUP(TableAOPTarget[[#This Row],[Forecasted Finish Date]],TableAopCalendar[[Date]:[Concatenate Month &amp; Week]],7,FALSE),"")</f>
        <v>May 25 Week 2</v>
      </c>
      <c r="AA17" s="54"/>
      <c r="AB17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MAY 25 PLANNED</v>
      </c>
      <c r="AC17" s="53" t="str">
        <f>IF(TableAOPTarget[[#This Row],[EPC Status]]="EPC Ready",INDEX(TableAopCalendar[Month for Plan],MATCH(TableAOPTarget[[#This Row],[Actual Finish Date]],TableAopCalendar[Date],0))," ")</f>
        <v>MAY 25</v>
      </c>
      <c r="AD17" s="100">
        <v>1</v>
      </c>
      <c r="AE17" s="100">
        <v>1</v>
      </c>
      <c r="AF17" s="49" t="s">
        <v>408</v>
      </c>
      <c r="AG17" s="49"/>
      <c r="AH17" s="49"/>
      <c r="AI17" s="49"/>
      <c r="AJ17" s="49" t="e">
        <f>VLOOKUP(TableAOPTarget[[#This Row],[Apex ID]],'[17]Main Backup'!$A:$I,9,0)</f>
        <v>#N/A</v>
      </c>
      <c r="AK17" s="56" t="str">
        <f>IF(TableAOPTarget[[#This Row],[RFC Date]]="","",(TableAOPTarget[[#This Row],[RFC Date]]+3))</f>
        <v/>
      </c>
      <c r="AL17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7" s="92"/>
    </row>
    <row r="18" spans="1:39" ht="30" hidden="1" x14ac:dyDescent="0.25">
      <c r="A18" s="1" t="s">
        <v>372</v>
      </c>
      <c r="B18" s="49" t="s">
        <v>486</v>
      </c>
      <c r="C18" s="50">
        <v>10</v>
      </c>
      <c r="D18" s="51" t="s">
        <v>39</v>
      </c>
      <c r="E18" s="49" t="s">
        <v>50</v>
      </c>
      <c r="F18" s="53" t="s">
        <v>445</v>
      </c>
      <c r="G18" s="52" t="s">
        <v>340</v>
      </c>
      <c r="H18" s="52" t="s">
        <v>342</v>
      </c>
      <c r="I18" s="52" t="s">
        <v>345</v>
      </c>
      <c r="J18" s="52" t="s">
        <v>349</v>
      </c>
      <c r="K18" s="53" t="s">
        <v>534</v>
      </c>
      <c r="L18" s="53" t="s">
        <v>437</v>
      </c>
      <c r="M18" s="80">
        <v>3000</v>
      </c>
      <c r="N18" s="53" t="s">
        <v>475</v>
      </c>
      <c r="O18" s="53" t="s">
        <v>477</v>
      </c>
      <c r="P18" s="54"/>
      <c r="Q18" s="55" t="str">
        <f>IFERROR(VLOOKUP(TableAOPTarget[[#This Row],[RFC Date]],TableAopCalendar[[Date]:[Concatenate Month &amp; Week]],7,FALSE),"")</f>
        <v/>
      </c>
      <c r="R18" s="54">
        <v>45898</v>
      </c>
      <c r="S18" s="55" t="str">
        <f>IFERROR(VLOOKUP(TableAOPTarget[[#This Row],[Actual Start Date]],TableAopCalendar[[Date]:[Concatenate Month &amp; Week]],7,FALSE),"")</f>
        <v>August 25 Week 5</v>
      </c>
      <c r="T18" s="55">
        <v>16</v>
      </c>
      <c r="U18" s="54">
        <f>TableAOPTarget[[#This Row],[Actual Start Date]]+TableAOPTarget[[#This Row],[Standard Duration]]</f>
        <v>45914</v>
      </c>
      <c r="V18" s="53" t="str">
        <f>IFERROR(VLOOKUP(TableAOPTarget[[#This Row],[Planned Finish Date]],TableAopCalendar[[Date]:[Concatenate Month &amp; Week]],7,FALSE),"")</f>
        <v>September 25 Week 2</v>
      </c>
      <c r="W18" s="54">
        <v>45919</v>
      </c>
      <c r="X18" s="53" t="str">
        <f>IFERROR(VLOOKUP(TableAOPTarget[[#This Row],[Actual Finish Date]],TableAopCalendar[[Date]:[Concatenate Month &amp; Week]],7,FALSE),"")</f>
        <v>September 25 Week 3</v>
      </c>
      <c r="Y18" s="54">
        <v>45914</v>
      </c>
      <c r="Z18" s="55" t="str">
        <f>IFERROR(VLOOKUP(TableAOPTarget[[#This Row],[Forecasted Finish Date]],TableAopCalendar[[Date]:[Concatenate Month &amp; Week]],7,FALSE),"")</f>
        <v>September 25 Week 2</v>
      </c>
      <c r="AA18" s="54"/>
      <c r="AB18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SEPTEMBER 25 PLANNED</v>
      </c>
      <c r="AC18" s="53" t="str">
        <f>IF(TableAOPTarget[[#This Row],[EPC Status]]="EPC Ready",INDEX(TableAopCalendar[Month for Plan],MATCH(TableAOPTarget[[#This Row],[Actual Finish Date]],TableAopCalendar[Date],0))," ")</f>
        <v>SEPTEMBER 25</v>
      </c>
      <c r="AD18" s="101">
        <v>1</v>
      </c>
      <c r="AE18" s="101">
        <v>1</v>
      </c>
      <c r="AF18" s="49" t="s">
        <v>408</v>
      </c>
      <c r="AG18" s="49"/>
      <c r="AH18" s="49"/>
      <c r="AI18" s="49"/>
      <c r="AJ18" s="49" t="e">
        <f>VLOOKUP(TableAOPTarget[[#This Row],[Apex ID]],'[17]Main Backup'!$A:$I,9,0)</f>
        <v>#N/A</v>
      </c>
      <c r="AK18" s="56" t="str">
        <f>IF(TableAOPTarget[[#This Row],[RFC Date]]="","",(TableAOPTarget[[#This Row],[RFC Date]]+3))</f>
        <v/>
      </c>
      <c r="AL18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8" s="92"/>
    </row>
    <row r="19" spans="1:39" ht="30" hidden="1" x14ac:dyDescent="0.25">
      <c r="A19" s="1" t="s">
        <v>373</v>
      </c>
      <c r="B19" s="49" t="s">
        <v>485</v>
      </c>
      <c r="C19" s="50">
        <v>9</v>
      </c>
      <c r="D19" s="51" t="s">
        <v>39</v>
      </c>
      <c r="E19" s="49" t="s">
        <v>50</v>
      </c>
      <c r="F19" s="53" t="s">
        <v>445</v>
      </c>
      <c r="G19" s="52" t="s">
        <v>340</v>
      </c>
      <c r="H19" s="52" t="s">
        <v>342</v>
      </c>
      <c r="I19" s="52" t="s">
        <v>345</v>
      </c>
      <c r="J19" s="52" t="s">
        <v>349</v>
      </c>
      <c r="K19" s="53" t="s">
        <v>533</v>
      </c>
      <c r="L19" s="53" t="s">
        <v>437</v>
      </c>
      <c r="M19" s="80">
        <v>8000</v>
      </c>
      <c r="N19" s="53" t="s">
        <v>474</v>
      </c>
      <c r="O19" s="53" t="s">
        <v>477</v>
      </c>
      <c r="P19" s="54"/>
      <c r="Q19" s="55" t="str">
        <f>IFERROR(VLOOKUP(TableAOPTarget[[#This Row],[RFC Date]],TableAopCalendar[[Date]:[Concatenate Month &amp; Week]],7,FALSE),"")</f>
        <v/>
      </c>
      <c r="R19" s="69">
        <v>45831</v>
      </c>
      <c r="S19" s="55" t="str">
        <f>IFERROR(VLOOKUP(TableAOPTarget[[#This Row],[Actual Start Date]],TableAopCalendar[[Date]:[Concatenate Month &amp; Week]],7,FALSE),"")</f>
        <v>June 25 Week 4</v>
      </c>
      <c r="T19" s="55">
        <v>70</v>
      </c>
      <c r="U19" s="54">
        <f>TableAOPTarget[[#This Row],[Actual Start Date]]+TableAOPTarget[[#This Row],[Standard Duration]]</f>
        <v>45901</v>
      </c>
      <c r="V19" s="53" t="str">
        <f>IFERROR(VLOOKUP(TableAOPTarget[[#This Row],[Planned Finish Date]],TableAopCalendar[[Date]:[Concatenate Month &amp; Week]],7,FALSE),"")</f>
        <v>September 25 Week 1</v>
      </c>
      <c r="W19" s="54">
        <v>45901</v>
      </c>
      <c r="X19" s="53" t="str">
        <f>IFERROR(VLOOKUP(TableAOPTarget[[#This Row],[Actual Finish Date]],TableAopCalendar[[Date]:[Concatenate Month &amp; Week]],7,FALSE),"")</f>
        <v>September 25 Week 1</v>
      </c>
      <c r="Y19" s="66">
        <v>45870</v>
      </c>
      <c r="Z19" s="55" t="str">
        <f>IFERROR(VLOOKUP(TableAOPTarget[[#This Row],[Forecasted Finish Date]],TableAopCalendar[[Date]:[Concatenate Month &amp; Week]],7,FALSE),"")</f>
        <v>August 25 Week 1</v>
      </c>
      <c r="AA19" s="54"/>
      <c r="AB19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SEPTEMBER 25 PLANNED</v>
      </c>
      <c r="AC19" s="53" t="str">
        <f>IF(TableAOPTarget[[#This Row],[EPC Status]]="EPC Ready",INDEX(TableAopCalendar[Month for Plan],MATCH(TableAOPTarget[[#This Row],[Actual Finish Date]],TableAopCalendar[Date],0))," ")</f>
        <v>SEPTEMBER 25</v>
      </c>
      <c r="AD19" s="100">
        <v>1</v>
      </c>
      <c r="AE19" s="100">
        <v>1</v>
      </c>
      <c r="AF19" s="49" t="s">
        <v>408</v>
      </c>
      <c r="AG19" s="49"/>
      <c r="AH19" s="49"/>
      <c r="AI19" s="49"/>
      <c r="AJ19" s="49" t="e">
        <f>VLOOKUP(TableAOPTarget[[#This Row],[Apex ID]],'[17]Main Backup'!$A:$I,9,0)</f>
        <v>#N/A</v>
      </c>
      <c r="AK19" s="56" t="str">
        <f>IF(TableAOPTarget[[#This Row],[RFC Date]]="","",(TableAOPTarget[[#This Row],[RFC Date]]+3))</f>
        <v/>
      </c>
      <c r="AL19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9" s="92"/>
    </row>
    <row r="20" spans="1:39" ht="30" hidden="1" x14ac:dyDescent="0.25">
      <c r="A20" s="1" t="s">
        <v>374</v>
      </c>
      <c r="B20" s="49" t="s">
        <v>514</v>
      </c>
      <c r="C20" s="50">
        <v>12</v>
      </c>
      <c r="D20" s="51" t="s">
        <v>39</v>
      </c>
      <c r="E20" s="49" t="s">
        <v>50</v>
      </c>
      <c r="F20" s="53" t="s">
        <v>445</v>
      </c>
      <c r="G20" s="52" t="s">
        <v>340</v>
      </c>
      <c r="H20" s="52" t="s">
        <v>341</v>
      </c>
      <c r="I20" s="52" t="s">
        <v>345</v>
      </c>
      <c r="J20" s="52" t="s">
        <v>348</v>
      </c>
      <c r="K20" s="53" t="s">
        <v>512</v>
      </c>
      <c r="L20" s="53" t="s">
        <v>515</v>
      </c>
      <c r="M20" s="80"/>
      <c r="N20" s="53"/>
      <c r="O20" s="53"/>
      <c r="P20" s="54"/>
      <c r="Q20" s="55" t="str">
        <f>IFERROR(VLOOKUP(TableAOPTarget[[#This Row],[RFC Date]],TableAopCalendar[[Date]:[Concatenate Month &amp; Week]],7,FALSE),"")</f>
        <v/>
      </c>
      <c r="R20" s="54"/>
      <c r="S20" s="55" t="str">
        <f>IFERROR(VLOOKUP(TableAOPTarget[[#This Row],[Actual Start Date]],TableAopCalendar[[Date]:[Concatenate Month &amp; Week]],7,FALSE),"")</f>
        <v/>
      </c>
      <c r="T20" s="55"/>
      <c r="U20" s="54"/>
      <c r="V20" s="53" t="str">
        <f>IFERROR(VLOOKUP(TableAOPTarget[[#This Row],[Planned Finish Date]],TableAopCalendar[[Date]:[Concatenate Month &amp; Week]],7,FALSE),"")</f>
        <v/>
      </c>
      <c r="W20" s="54"/>
      <c r="X20" s="53" t="str">
        <f>IFERROR(VLOOKUP(TableAOPTarget[[#This Row],[Actual Finish Date]],TableAopCalendar[[Date]:[Concatenate Month &amp; Week]],7,FALSE),"")</f>
        <v/>
      </c>
      <c r="Y20" s="54"/>
      <c r="Z20" s="55" t="str">
        <f>IFERROR(VLOOKUP(TableAOPTarget[[#This Row],[Forecasted Finish Date]],TableAopCalendar[[Date]:[Concatenate Month &amp; Week]],7,FALSE),"")</f>
        <v/>
      </c>
      <c r="AA20" s="54"/>
      <c r="AB20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20" s="53" t="str">
        <f>IF(TableAOPTarget[[#This Row],[EPC Status]]="EPC Ready",INDEX(TableAopCalendar[Month for Plan],MATCH(TableAOPTarget[[#This Row],[Actual Finish Date]],TableAopCalendar[Date],0))," ")</f>
        <v xml:space="preserve"> </v>
      </c>
      <c r="AD20" s="53"/>
      <c r="AE20" s="53"/>
      <c r="AF20" s="49" t="s">
        <v>436</v>
      </c>
      <c r="AG20" s="49"/>
      <c r="AH20" s="49"/>
      <c r="AI20" s="49"/>
      <c r="AJ20" s="49" t="e">
        <f>VLOOKUP(TableAOPTarget[[#This Row],[Apex ID]],'[17]Main Backup'!$A:$I,9,0)</f>
        <v>#N/A</v>
      </c>
      <c r="AK20" s="56" t="str">
        <f>IF(TableAOPTarget[[#This Row],[RFC Date]]="","",(TableAOPTarget[[#This Row],[RFC Date]]+3))</f>
        <v/>
      </c>
      <c r="AL20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20" s="92"/>
    </row>
    <row r="21" spans="1:39" ht="30" hidden="1" x14ac:dyDescent="0.25">
      <c r="A21" s="1" t="s">
        <v>375</v>
      </c>
      <c r="B21" s="49" t="s">
        <v>483</v>
      </c>
      <c r="C21" s="50">
        <v>11</v>
      </c>
      <c r="D21" s="51" t="s">
        <v>39</v>
      </c>
      <c r="E21" s="49" t="s">
        <v>50</v>
      </c>
      <c r="F21" s="53" t="s">
        <v>445</v>
      </c>
      <c r="G21" s="52" t="s">
        <v>340</v>
      </c>
      <c r="H21" s="52" t="s">
        <v>342</v>
      </c>
      <c r="I21" s="52" t="s">
        <v>345</v>
      </c>
      <c r="J21" s="52" t="s">
        <v>349</v>
      </c>
      <c r="K21" s="53" t="s">
        <v>531</v>
      </c>
      <c r="L21" s="53" t="s">
        <v>437</v>
      </c>
      <c r="M21" s="80">
        <v>8000</v>
      </c>
      <c r="N21" s="53" t="s">
        <v>472</v>
      </c>
      <c r="O21" s="53" t="s">
        <v>477</v>
      </c>
      <c r="P21" s="54"/>
      <c r="Q21" s="55" t="str">
        <f>IFERROR(VLOOKUP(TableAOPTarget[[#This Row],[RFC Date]],TableAopCalendar[[Date]:[Concatenate Month &amp; Week]],7,FALSE),"")</f>
        <v/>
      </c>
      <c r="R21" s="69">
        <v>45831</v>
      </c>
      <c r="S21" s="55" t="str">
        <f>IFERROR(VLOOKUP(TableAOPTarget[[#This Row],[Actual Start Date]],TableAopCalendar[[Date]:[Concatenate Month &amp; Week]],7,FALSE),"")</f>
        <v>June 25 Week 4</v>
      </c>
      <c r="T21" s="55">
        <v>70</v>
      </c>
      <c r="U21" s="54">
        <f>TableAOPTarget[[#This Row],[Actual Start Date]]+TableAOPTarget[[#This Row],[Standard Duration]]</f>
        <v>45901</v>
      </c>
      <c r="V21" s="53" t="str">
        <f>IFERROR(VLOOKUP(TableAOPTarget[[#This Row],[Planned Finish Date]],TableAopCalendar[[Date]:[Concatenate Month &amp; Week]],7,FALSE),"")</f>
        <v>September 25 Week 1</v>
      </c>
      <c r="W21" s="54">
        <v>45901</v>
      </c>
      <c r="X21" s="53" t="str">
        <f>IFERROR(VLOOKUP(TableAOPTarget[[#This Row],[Actual Finish Date]],TableAopCalendar[[Date]:[Concatenate Month &amp; Week]],7,FALSE),"")</f>
        <v>September 25 Week 1</v>
      </c>
      <c r="Y21" s="66">
        <v>45870</v>
      </c>
      <c r="Z21" s="55" t="str">
        <f>IFERROR(VLOOKUP(TableAOPTarget[[#This Row],[Forecasted Finish Date]],TableAopCalendar[[Date]:[Concatenate Month &amp; Week]],7,FALSE),"")</f>
        <v>August 25 Week 1</v>
      </c>
      <c r="AA21" s="54"/>
      <c r="AB21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SEPTEMBER 25 PLANNED</v>
      </c>
      <c r="AC21" s="53" t="str">
        <f>IF(TableAOPTarget[[#This Row],[EPC Status]]="EPC Ready",INDEX(TableAopCalendar[Month for Plan],MATCH(TableAOPTarget[[#This Row],[Actual Finish Date]],TableAopCalendar[Date],0))," ")</f>
        <v>SEPTEMBER 25</v>
      </c>
      <c r="AD21" s="100">
        <v>1</v>
      </c>
      <c r="AE21" s="100">
        <v>1</v>
      </c>
      <c r="AF21" s="49" t="s">
        <v>408</v>
      </c>
      <c r="AG21" s="49"/>
      <c r="AH21" s="49"/>
      <c r="AI21" s="49"/>
      <c r="AJ21" s="49" t="e">
        <f>VLOOKUP(TableAOPTarget[[#This Row],[Apex ID]],'[17]Main Backup'!$A:$I,9,0)</f>
        <v>#N/A</v>
      </c>
      <c r="AK21" s="56" t="str">
        <f>IF(TableAOPTarget[[#This Row],[RFC Date]]="","",(TableAOPTarget[[#This Row],[RFC Date]]+3))</f>
        <v/>
      </c>
      <c r="AL21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21" s="92"/>
    </row>
    <row r="22" spans="1:39" ht="30" hidden="1" x14ac:dyDescent="0.25">
      <c r="A22" s="1" t="s">
        <v>376</v>
      </c>
      <c r="B22" s="192" t="s">
        <v>557</v>
      </c>
      <c r="C22" s="50">
        <v>14</v>
      </c>
      <c r="D22" s="76" t="s">
        <v>39</v>
      </c>
      <c r="E22" s="79" t="s">
        <v>50</v>
      </c>
      <c r="F22" s="67" t="s">
        <v>445</v>
      </c>
      <c r="G22" s="52" t="s">
        <v>340</v>
      </c>
      <c r="H22" s="52" t="s">
        <v>343</v>
      </c>
      <c r="I22" s="110" t="s">
        <v>686</v>
      </c>
      <c r="J22" s="68" t="s">
        <v>354</v>
      </c>
      <c r="K22" s="53" t="s">
        <v>549</v>
      </c>
      <c r="L22" s="68" t="s">
        <v>551</v>
      </c>
      <c r="M22" s="80">
        <v>1892</v>
      </c>
      <c r="N22" s="67" t="s">
        <v>550</v>
      </c>
      <c r="O22" s="68" t="s">
        <v>406</v>
      </c>
      <c r="P22" s="82"/>
      <c r="Q22" s="81" t="str">
        <f>IFERROR(VLOOKUP(TableAOPTarget[[#This Row],[RFC Date]],TableAopCalendar[[Date]:[Concatenate Month &amp; Week]],7,FALSE),"")</f>
        <v/>
      </c>
      <c r="R22" s="82">
        <v>45894</v>
      </c>
      <c r="S22" s="81" t="str">
        <f>IFERROR(VLOOKUP(TableAOPTarget[[#This Row],[Actual Start Date]],TableAopCalendar[[Date]:[Concatenate Month &amp; Week]],7,FALSE),"")</f>
        <v>August 25 Week 4</v>
      </c>
      <c r="T22" s="81">
        <v>45</v>
      </c>
      <c r="U22" s="82">
        <f>TableAOPTarget[[#This Row],[Actual Start Date]]+TableAOPTarget[[#This Row],[Standard Duration]]</f>
        <v>45939</v>
      </c>
      <c r="V22" s="81" t="str">
        <f>IFERROR(VLOOKUP(TableAOPTarget[[#This Row],[Planned Finish Date]],TableAopCalendar[[Date]:[Concatenate Month &amp; Week]],7,FALSE),"")</f>
        <v>October 25 Week 2</v>
      </c>
      <c r="W22" s="82">
        <v>46013</v>
      </c>
      <c r="X22" s="81" t="str">
        <f>IFERROR(VLOOKUP(TableAOPTarget[[#This Row],[Actual Finish Date]],TableAopCalendar[[Date]:[Concatenate Month &amp; Week]],7,FALSE),"")</f>
        <v>December 25 Week 4</v>
      </c>
      <c r="Y22" s="82">
        <v>45920</v>
      </c>
      <c r="Z22" s="81" t="str">
        <f>IFERROR(VLOOKUP(TableAOPTarget[[#This Row],[Forecasted Finish Date]],TableAopCalendar[[Date]:[Concatenate Month &amp; Week]],7,FALSE),"")</f>
        <v>September 25 Week 3</v>
      </c>
      <c r="AA22" s="82"/>
      <c r="AB22" s="81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OCTOBER 25 PLANNED</v>
      </c>
      <c r="AC22" s="81" t="str">
        <f>IF(TableAOPTarget[[#This Row],[EPC Status]]="EPC Ready",INDEX(TableAopCalendar[Month for Plan],MATCH(TableAOPTarget[[#This Row],[Actual Finish Date]],TableAopCalendar[Date],0))," ")</f>
        <v>DECEMBER 25</v>
      </c>
      <c r="AD22" s="100">
        <v>1</v>
      </c>
      <c r="AE22" s="100">
        <v>1</v>
      </c>
      <c r="AF22" s="51" t="s">
        <v>408</v>
      </c>
      <c r="AG22" s="77"/>
      <c r="AH22" s="77"/>
      <c r="AI22" s="77" t="e">
        <f>VLOOKUP(TableAOPTarget[[#This Row],[PD]],[18]Backup!$C:$F,4,0)</f>
        <v>#N/A</v>
      </c>
      <c r="AJ22" s="77" t="e">
        <f>VLOOKUP(TableAOPTarget[[#This Row],[Apex ID]],'[17]Main Backup'!$A:$I,9,0)</f>
        <v>#N/A</v>
      </c>
      <c r="AK22" s="84" t="str">
        <f>IF(TableAOPTarget[[#This Row],[RFC Date]]="","",(TableAOPTarget[[#This Row],[RFC Date]]+3))</f>
        <v/>
      </c>
      <c r="AL22" s="86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22" s="94"/>
    </row>
    <row r="23" spans="1:39" ht="30" hidden="1" x14ac:dyDescent="0.25">
      <c r="A23" s="1" t="s">
        <v>377</v>
      </c>
      <c r="B23" s="49" t="s">
        <v>482</v>
      </c>
      <c r="C23" s="50">
        <v>7</v>
      </c>
      <c r="D23" s="51" t="s">
        <v>39</v>
      </c>
      <c r="E23" s="49" t="s">
        <v>50</v>
      </c>
      <c r="F23" s="53" t="s">
        <v>445</v>
      </c>
      <c r="G23" s="52" t="s">
        <v>340</v>
      </c>
      <c r="H23" s="52" t="s">
        <v>342</v>
      </c>
      <c r="I23" s="52" t="s">
        <v>345</v>
      </c>
      <c r="J23" s="52" t="s">
        <v>349</v>
      </c>
      <c r="K23" s="53" t="s">
        <v>530</v>
      </c>
      <c r="L23" s="53" t="s">
        <v>437</v>
      </c>
      <c r="M23" s="80"/>
      <c r="N23" s="53" t="s">
        <v>471</v>
      </c>
      <c r="O23" s="53" t="s">
        <v>477</v>
      </c>
      <c r="P23" s="54"/>
      <c r="Q23" s="55" t="str">
        <f>IFERROR(VLOOKUP(TableAOPTarget[[#This Row],[RFC Date]],TableAopCalendar[[Date]:[Concatenate Month &amp; Week]],7,FALSE),"")</f>
        <v/>
      </c>
      <c r="R23" s="54"/>
      <c r="S23" s="55" t="str">
        <f>IFERROR(VLOOKUP(TableAOPTarget[[#This Row],[Actual Start Date]],TableAopCalendar[[Date]:[Concatenate Month &amp; Week]],7,FALSE),"")</f>
        <v/>
      </c>
      <c r="T23" s="55"/>
      <c r="U23" s="54"/>
      <c r="V23" s="53" t="str">
        <f>IFERROR(VLOOKUP(TableAOPTarget[[#This Row],[Planned Finish Date]],TableAopCalendar[[Date]:[Concatenate Month &amp; Week]],7,FALSE),"")</f>
        <v/>
      </c>
      <c r="W23" s="54"/>
      <c r="X23" s="53" t="str">
        <f>IFERROR(VLOOKUP(TableAOPTarget[[#This Row],[Actual Finish Date]],TableAopCalendar[[Date]:[Concatenate Month &amp; Week]],7,FALSE),"")</f>
        <v/>
      </c>
      <c r="Y23" s="54"/>
      <c r="Z23" s="55" t="str">
        <f>IFERROR(VLOOKUP(TableAOPTarget[[#This Row],[Forecasted Finish Date]],TableAopCalendar[[Date]:[Concatenate Month &amp; Week]],7,FALSE),"")</f>
        <v/>
      </c>
      <c r="AA23" s="54"/>
      <c r="AB23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23" s="53" t="str">
        <f>IF(TableAOPTarget[[#This Row],[EPC Status]]="EPC Ready",INDEX(TableAopCalendar[Month for Plan],MATCH(TableAOPTarget[[#This Row],[Actual Finish Date]],TableAopCalendar[Date],0))," ")</f>
        <v xml:space="preserve"> </v>
      </c>
      <c r="AD23" s="53"/>
      <c r="AE23" s="53"/>
      <c r="AF23" s="49" t="s">
        <v>436</v>
      </c>
      <c r="AG23" s="49"/>
      <c r="AH23" s="49"/>
      <c r="AI23" s="49"/>
      <c r="AJ23" s="49" t="e">
        <f>VLOOKUP(TableAOPTarget[[#This Row],[Apex ID]],'[17]Main Backup'!$A:$I,9,0)</f>
        <v>#N/A</v>
      </c>
      <c r="AK23" s="56" t="str">
        <f>IF(TableAOPTarget[[#This Row],[RFC Date]]="","",(TableAOPTarget[[#This Row],[RFC Date]]+3))</f>
        <v/>
      </c>
      <c r="AL23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23" s="92"/>
    </row>
    <row r="24" spans="1:39" ht="30" hidden="1" x14ac:dyDescent="0.25">
      <c r="A24" s="1" t="s">
        <v>378</v>
      </c>
      <c r="B24" s="49" t="s">
        <v>480</v>
      </c>
      <c r="C24" s="50">
        <v>5</v>
      </c>
      <c r="D24" s="51" t="s">
        <v>39</v>
      </c>
      <c r="E24" s="49" t="s">
        <v>50</v>
      </c>
      <c r="F24" s="53" t="s">
        <v>445</v>
      </c>
      <c r="G24" s="52" t="s">
        <v>340</v>
      </c>
      <c r="H24" s="52" t="s">
        <v>342</v>
      </c>
      <c r="I24" s="52" t="s">
        <v>345</v>
      </c>
      <c r="J24" s="52" t="s">
        <v>349</v>
      </c>
      <c r="K24" s="53" t="s">
        <v>528</v>
      </c>
      <c r="L24" s="53" t="s">
        <v>437</v>
      </c>
      <c r="M24" s="80"/>
      <c r="N24" s="53" t="s">
        <v>469</v>
      </c>
      <c r="O24" s="53" t="s">
        <v>477</v>
      </c>
      <c r="P24" s="54"/>
      <c r="Q24" s="55" t="str">
        <f>IFERROR(VLOOKUP(TableAOPTarget[[#This Row],[RFC Date]],TableAopCalendar[[Date]:[Concatenate Month &amp; Week]],7,FALSE),"")</f>
        <v/>
      </c>
      <c r="R24" s="54"/>
      <c r="S24" s="55" t="str">
        <f>IFERROR(VLOOKUP(TableAOPTarget[[#This Row],[Actual Start Date]],TableAopCalendar[[Date]:[Concatenate Month &amp; Week]],7,FALSE),"")</f>
        <v/>
      </c>
      <c r="T24" s="55"/>
      <c r="U24" s="54"/>
      <c r="V24" s="53" t="str">
        <f>IFERROR(VLOOKUP(TableAOPTarget[[#This Row],[Planned Finish Date]],TableAopCalendar[[Date]:[Concatenate Month &amp; Week]],7,FALSE),"")</f>
        <v/>
      </c>
      <c r="W24" s="54"/>
      <c r="X24" s="53" t="str">
        <f>IFERROR(VLOOKUP(TableAOPTarget[[#This Row],[Actual Finish Date]],TableAopCalendar[[Date]:[Concatenate Month &amp; Week]],7,FALSE),"")</f>
        <v/>
      </c>
      <c r="Y24" s="54"/>
      <c r="Z24" s="55" t="str">
        <f>IFERROR(VLOOKUP(TableAOPTarget[[#This Row],[Forecasted Finish Date]],TableAopCalendar[[Date]:[Concatenate Month &amp; Week]],7,FALSE),"")</f>
        <v/>
      </c>
      <c r="AA24" s="54"/>
      <c r="AB24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24" s="53" t="str">
        <f>IF(TableAOPTarget[[#This Row],[EPC Status]]="EPC Ready",INDEX(TableAopCalendar[Month for Plan],MATCH(TableAOPTarget[[#This Row],[Actual Finish Date]],TableAopCalendar[Date],0))," ")</f>
        <v xml:space="preserve"> </v>
      </c>
      <c r="AD24" s="53"/>
      <c r="AE24" s="53"/>
      <c r="AF24" s="49" t="s">
        <v>436</v>
      </c>
      <c r="AG24" s="49"/>
      <c r="AH24" s="49"/>
      <c r="AI24" s="49"/>
      <c r="AJ24" s="49" t="e">
        <f>VLOOKUP(TableAOPTarget[[#This Row],[Apex ID]],'[17]Main Backup'!$A:$I,9,0)</f>
        <v>#N/A</v>
      </c>
      <c r="AK24" s="56" t="str">
        <f>IF(TableAOPTarget[[#This Row],[RFC Date]]="","",(TableAOPTarget[[#This Row],[RFC Date]]+3))</f>
        <v/>
      </c>
      <c r="AL24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24" s="92"/>
    </row>
    <row r="25" spans="1:39" ht="30" hidden="1" x14ac:dyDescent="0.25">
      <c r="A25" s="1" t="s">
        <v>379</v>
      </c>
      <c r="B25" s="49" t="s">
        <v>481</v>
      </c>
      <c r="C25" s="50">
        <v>6</v>
      </c>
      <c r="D25" s="51" t="s">
        <v>39</v>
      </c>
      <c r="E25" s="49" t="s">
        <v>50</v>
      </c>
      <c r="F25" s="53" t="s">
        <v>445</v>
      </c>
      <c r="G25" s="52" t="s">
        <v>340</v>
      </c>
      <c r="H25" s="52" t="s">
        <v>342</v>
      </c>
      <c r="I25" s="52" t="s">
        <v>345</v>
      </c>
      <c r="J25" s="52" t="s">
        <v>349</v>
      </c>
      <c r="K25" s="53" t="s">
        <v>529</v>
      </c>
      <c r="L25" s="53" t="s">
        <v>437</v>
      </c>
      <c r="M25" s="80"/>
      <c r="N25" s="53" t="s">
        <v>470</v>
      </c>
      <c r="O25" s="113" t="s">
        <v>477</v>
      </c>
      <c r="P25" s="54"/>
      <c r="Q25" s="55" t="str">
        <f>IFERROR(VLOOKUP(TableAOPTarget[[#This Row],[RFC Date]],TableAopCalendar[[Date]:[Concatenate Month &amp; Week]],7,FALSE),"")</f>
        <v/>
      </c>
      <c r="R25" s="54"/>
      <c r="S25" s="55" t="str">
        <f>IFERROR(VLOOKUP(TableAOPTarget[[#This Row],[Actual Start Date]],TableAopCalendar[[Date]:[Concatenate Month &amp; Week]],7,FALSE),"")</f>
        <v/>
      </c>
      <c r="T25" s="55"/>
      <c r="U25" s="54"/>
      <c r="V25" s="53" t="str">
        <f>IFERROR(VLOOKUP(TableAOPTarget[[#This Row],[Planned Finish Date]],TableAopCalendar[[Date]:[Concatenate Month &amp; Week]],7,FALSE),"")</f>
        <v/>
      </c>
      <c r="W25" s="54"/>
      <c r="X25" s="53" t="str">
        <f>IFERROR(VLOOKUP(TableAOPTarget[[#This Row],[Actual Finish Date]],TableAopCalendar[[Date]:[Concatenate Month &amp; Week]],7,FALSE),"")</f>
        <v/>
      </c>
      <c r="Y25" s="54"/>
      <c r="Z25" s="55" t="str">
        <f>IFERROR(VLOOKUP(TableAOPTarget[[#This Row],[Forecasted Finish Date]],TableAopCalendar[[Date]:[Concatenate Month &amp; Week]],7,FALSE),"")</f>
        <v/>
      </c>
      <c r="AA25" s="54"/>
      <c r="AB25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25" s="53" t="str">
        <f>IF(TableAOPTarget[[#This Row],[EPC Status]]="EPC Ready",INDEX(TableAopCalendar[Month for Plan],MATCH(TableAOPTarget[[#This Row],[Actual Finish Date]],TableAopCalendar[Date],0))," ")</f>
        <v xml:space="preserve"> </v>
      </c>
      <c r="AD25" s="53"/>
      <c r="AE25" s="53"/>
      <c r="AF25" s="49" t="s">
        <v>436</v>
      </c>
      <c r="AG25" s="49"/>
      <c r="AH25" s="49"/>
      <c r="AI25" s="49"/>
      <c r="AJ25" s="49" t="e">
        <f>VLOOKUP(TableAOPTarget[[#This Row],[Apex ID]],'[17]Main Backup'!$A:$I,9,0)</f>
        <v>#N/A</v>
      </c>
      <c r="AK25" s="56" t="str">
        <f>IF(TableAOPTarget[[#This Row],[RFC Date]]="","",(TableAOPTarget[[#This Row],[RFC Date]]+3))</f>
        <v/>
      </c>
      <c r="AL25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25" s="92"/>
    </row>
    <row r="26" spans="1:39" ht="45" hidden="1" x14ac:dyDescent="0.25">
      <c r="A26" s="1" t="s">
        <v>380</v>
      </c>
      <c r="B26" s="49" t="s">
        <v>504</v>
      </c>
      <c r="C26" s="50">
        <v>32</v>
      </c>
      <c r="D26" s="51" t="s">
        <v>39</v>
      </c>
      <c r="E26" s="49" t="s">
        <v>50</v>
      </c>
      <c r="F26" s="53" t="s">
        <v>478</v>
      </c>
      <c r="G26" s="52" t="s">
        <v>340</v>
      </c>
      <c r="H26" s="52" t="s">
        <v>343</v>
      </c>
      <c r="I26" s="110" t="s">
        <v>686</v>
      </c>
      <c r="J26" s="52" t="s">
        <v>351</v>
      </c>
      <c r="K26" s="53" t="s">
        <v>503</v>
      </c>
      <c r="L26" s="53" t="s">
        <v>476</v>
      </c>
      <c r="M26" s="80">
        <v>8000</v>
      </c>
      <c r="N26" s="53"/>
      <c r="O26" s="53" t="s">
        <v>429</v>
      </c>
      <c r="P26" s="54"/>
      <c r="Q26" s="55" t="str">
        <f>IFERROR(VLOOKUP(TableAOPTarget[[#This Row],[RFC Date]],TableAopCalendar[[Date]:[Concatenate Month &amp; Week]],7,FALSE),"")</f>
        <v/>
      </c>
      <c r="R26" s="54">
        <v>45713</v>
      </c>
      <c r="S26" s="55" t="str">
        <f>IFERROR(VLOOKUP(TableAOPTarget[[#This Row],[Actual Start Date]],TableAopCalendar[[Date]:[Concatenate Month &amp; Week]],7,FALSE),"")</f>
        <v>February 25 Week 4</v>
      </c>
      <c r="T26" s="55">
        <v>60</v>
      </c>
      <c r="U26" s="54">
        <f>TableAOPTarget[[#This Row],[Actual Start Date]]+TableAOPTarget[[#This Row],[Standard Duration]]</f>
        <v>45773</v>
      </c>
      <c r="V26" s="53" t="str">
        <f>IFERROR(VLOOKUP(TableAOPTarget[[#This Row],[Planned Finish Date]],TableAopCalendar[[Date]:[Concatenate Month &amp; Week]],7,FALSE),"")</f>
        <v>April 25 Week 4</v>
      </c>
      <c r="W26" s="89">
        <v>45854</v>
      </c>
      <c r="X26" s="53" t="str">
        <f>IFERROR(VLOOKUP(TableAOPTarget[[#This Row],[Actual Finish Date]],TableAopCalendar[[Date]:[Concatenate Month &amp; Week]],7,FALSE),"")</f>
        <v>July 25 Week 3</v>
      </c>
      <c r="Y26" s="69">
        <v>45863</v>
      </c>
      <c r="Z26" s="55" t="str">
        <f>IFERROR(VLOOKUP(TableAOPTarget[[#This Row],[Forecasted Finish Date]],TableAopCalendar[[Date]:[Concatenate Month &amp; Week]],7,FALSE),"")</f>
        <v>July 25 Week 4</v>
      </c>
      <c r="AA26" s="54"/>
      <c r="AB26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APRIL 25 PLANNED</v>
      </c>
      <c r="AC26" s="53" t="str">
        <f>IF(TableAOPTarget[[#This Row],[EPC Status]]="EPC Ready",INDEX(TableAopCalendar[Month for Plan],MATCH(TableAOPTarget[[#This Row],[Actual Finish Date]],TableAopCalendar[Date],0))," ")</f>
        <v>JULY 25</v>
      </c>
      <c r="AD26" s="100">
        <v>1</v>
      </c>
      <c r="AE26" s="100">
        <v>1</v>
      </c>
      <c r="AF26" s="49" t="s">
        <v>408</v>
      </c>
      <c r="AG26" s="49"/>
      <c r="AH26" s="49"/>
      <c r="AI26" s="49"/>
      <c r="AJ26" s="49" t="e">
        <f>VLOOKUP(TableAOPTarget[[#This Row],[Apex ID]],'[17]Main Backup'!$A:$I,9,0)</f>
        <v>#N/A</v>
      </c>
      <c r="AK26" s="56" t="str">
        <f>IF(TableAOPTarget[[#This Row],[RFC Date]]="","",(TableAOPTarget[[#This Row],[RFC Date]]+3))</f>
        <v/>
      </c>
      <c r="AL26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26" s="92"/>
    </row>
    <row r="27" spans="1:39" ht="30" hidden="1" x14ac:dyDescent="0.25">
      <c r="A27" s="1" t="s">
        <v>381</v>
      </c>
      <c r="B27" s="49" t="s">
        <v>495</v>
      </c>
      <c r="C27" s="50">
        <v>31</v>
      </c>
      <c r="D27" s="51" t="s">
        <v>39</v>
      </c>
      <c r="E27" s="49" t="s">
        <v>50</v>
      </c>
      <c r="F27" s="53" t="s">
        <v>478</v>
      </c>
      <c r="G27" s="52" t="s">
        <v>340</v>
      </c>
      <c r="H27" s="52" t="s">
        <v>343</v>
      </c>
      <c r="I27" s="110" t="s">
        <v>686</v>
      </c>
      <c r="J27" s="52" t="s">
        <v>351</v>
      </c>
      <c r="K27" s="53" t="s">
        <v>535</v>
      </c>
      <c r="L27" s="53" t="s">
        <v>476</v>
      </c>
      <c r="M27" s="80"/>
      <c r="N27" s="53"/>
      <c r="O27" s="53" t="s">
        <v>429</v>
      </c>
      <c r="P27" s="54"/>
      <c r="Q27" s="55" t="str">
        <f>IFERROR(VLOOKUP(TableAOPTarget[[#This Row],[RFC Date]],TableAopCalendar[[Date]:[Concatenate Month &amp; Week]],7,FALSE),"")</f>
        <v/>
      </c>
      <c r="R27" s="54"/>
      <c r="S27" s="55" t="str">
        <f>IFERROR(VLOOKUP(TableAOPTarget[[#This Row],[Actual Start Date]],TableAopCalendar[[Date]:[Concatenate Month &amp; Week]],7,FALSE),"")</f>
        <v/>
      </c>
      <c r="T27" s="55"/>
      <c r="U27" s="54"/>
      <c r="V27" s="53" t="str">
        <f>IFERROR(VLOOKUP(TableAOPTarget[[#This Row],[Planned Finish Date]],TableAopCalendar[[Date]:[Concatenate Month &amp; Week]],7,FALSE),"")</f>
        <v/>
      </c>
      <c r="W27" s="54"/>
      <c r="X27" s="53" t="str">
        <f>IFERROR(VLOOKUP(TableAOPTarget[[#This Row],[Actual Finish Date]],TableAopCalendar[[Date]:[Concatenate Month &amp; Week]],7,FALSE),"")</f>
        <v/>
      </c>
      <c r="Y27" s="54"/>
      <c r="Z27" s="55" t="str">
        <f>IFERROR(VLOOKUP(TableAOPTarget[[#This Row],[Forecasted Finish Date]],TableAopCalendar[[Date]:[Concatenate Month &amp; Week]],7,FALSE),"")</f>
        <v/>
      </c>
      <c r="AA27" s="54"/>
      <c r="AB27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27" s="53" t="str">
        <f>IF(TableAOPTarget[[#This Row],[EPC Status]]="EPC Ready",INDEX(TableAopCalendar[Month for Plan],MATCH(TableAOPTarget[[#This Row],[Actual Finish Date]],TableAopCalendar[Date],0))," ")</f>
        <v xml:space="preserve"> </v>
      </c>
      <c r="AD27" s="53"/>
      <c r="AE27" s="53"/>
      <c r="AF27" s="49" t="s">
        <v>436</v>
      </c>
      <c r="AG27" s="49"/>
      <c r="AH27" s="49"/>
      <c r="AI27" s="49"/>
      <c r="AJ27" s="49" t="e">
        <f>VLOOKUP(TableAOPTarget[[#This Row],[Apex ID]],'[17]Main Backup'!$A:$I,9,0)</f>
        <v>#N/A</v>
      </c>
      <c r="AK27" s="56" t="str">
        <f>IF(TableAOPTarget[[#This Row],[RFC Date]]="","",(TableAOPTarget[[#This Row],[RFC Date]]+3))</f>
        <v/>
      </c>
      <c r="AL27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27" s="92"/>
    </row>
    <row r="28" spans="1:39" ht="45" hidden="1" x14ac:dyDescent="0.25">
      <c r="A28" s="1" t="s">
        <v>382</v>
      </c>
      <c r="B28" s="49" t="s">
        <v>492</v>
      </c>
      <c r="C28" s="50">
        <v>33</v>
      </c>
      <c r="D28" s="51" t="s">
        <v>39</v>
      </c>
      <c r="E28" s="49" t="s">
        <v>50</v>
      </c>
      <c r="F28" s="53" t="s">
        <v>478</v>
      </c>
      <c r="G28" s="52" t="s">
        <v>340</v>
      </c>
      <c r="H28" s="52" t="s">
        <v>343</v>
      </c>
      <c r="I28" s="110" t="s">
        <v>686</v>
      </c>
      <c r="J28" s="52" t="s">
        <v>351</v>
      </c>
      <c r="K28" s="53" t="s">
        <v>460</v>
      </c>
      <c r="L28" s="53" t="s">
        <v>476</v>
      </c>
      <c r="M28" s="80">
        <v>5000</v>
      </c>
      <c r="N28" s="53"/>
      <c r="O28" s="53" t="s">
        <v>429</v>
      </c>
      <c r="P28" s="54"/>
      <c r="Q28" s="55" t="str">
        <f>IFERROR(VLOOKUP(TableAOPTarget[[#This Row],[RFC Date]],TableAopCalendar[[Date]:[Concatenate Month &amp; Week]],7,FALSE),"")</f>
        <v/>
      </c>
      <c r="R28" s="69">
        <v>45792</v>
      </c>
      <c r="S28" s="55" t="str">
        <f>IFERROR(VLOOKUP(TableAOPTarget[[#This Row],[Actual Start Date]],TableAopCalendar[[Date]:[Concatenate Month &amp; Week]],7,FALSE),"")</f>
        <v>May 25 Week 3</v>
      </c>
      <c r="T28" s="67">
        <v>120</v>
      </c>
      <c r="U28" s="54">
        <f>TableAOPTarget[[#This Row],[Actual Start Date]]+TableAOPTarget[[#This Row],[Standard Duration]]</f>
        <v>45912</v>
      </c>
      <c r="V28" s="53" t="str">
        <f>IFERROR(VLOOKUP(TableAOPTarget[[#This Row],[Planned Finish Date]],TableAopCalendar[[Date]:[Concatenate Month &amp; Week]],7,FALSE),"")</f>
        <v>September 25 Week 2</v>
      </c>
      <c r="W28" s="54">
        <v>46057</v>
      </c>
      <c r="X28" s="53" t="str">
        <f>IFERROR(VLOOKUP(TableAOPTarget[[#This Row],[Actual Finish Date]],TableAopCalendar[[Date]:[Concatenate Month &amp; Week]],7,FALSE),"")</f>
        <v>February 26 Week 1</v>
      </c>
      <c r="Y28" s="147">
        <v>45967</v>
      </c>
      <c r="Z28" s="55" t="str">
        <f>IFERROR(VLOOKUP(TableAOPTarget[[#This Row],[Forecasted Finish Date]],TableAopCalendar[[Date]:[Concatenate Month &amp; Week]],7,FALSE),"")</f>
        <v>November 25 Week 1</v>
      </c>
      <c r="AA28" s="54"/>
      <c r="AB28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SEPTEMBER 25 PLANNED</v>
      </c>
      <c r="AC28" s="53" t="str">
        <f>IF(TableAOPTarget[[#This Row],[EPC Status]]="EPC Ready",INDEX(TableAopCalendar[Month for Plan],MATCH(TableAOPTarget[[#This Row],[Actual Finish Date]],TableAopCalendar[Date],0))," ")</f>
        <v>FEBRUARY 26</v>
      </c>
      <c r="AD28" s="101">
        <v>1</v>
      </c>
      <c r="AE28" s="100">
        <v>1</v>
      </c>
      <c r="AF28" s="49" t="s">
        <v>408</v>
      </c>
      <c r="AG28" s="49"/>
      <c r="AH28" s="49"/>
      <c r="AI28" s="49"/>
      <c r="AJ28" s="49" t="e">
        <f>VLOOKUP(TableAOPTarget[[#This Row],[Apex ID]],'[17]Main Backup'!$A:$I,9,0)</f>
        <v>#N/A</v>
      </c>
      <c r="AK28" s="56" t="str">
        <f>IF(TableAOPTarget[[#This Row],[RFC Date]]="","",(TableAOPTarget[[#This Row],[RFC Date]]+3))</f>
        <v/>
      </c>
      <c r="AL28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28" s="92"/>
    </row>
    <row r="29" spans="1:39" ht="45" hidden="1" x14ac:dyDescent="0.25">
      <c r="A29" s="1" t="s">
        <v>383</v>
      </c>
      <c r="B29" s="49" t="s">
        <v>494</v>
      </c>
      <c r="C29" s="50">
        <v>41</v>
      </c>
      <c r="D29" s="51" t="s">
        <v>39</v>
      </c>
      <c r="E29" s="49" t="s">
        <v>50</v>
      </c>
      <c r="F29" s="53" t="s">
        <v>478</v>
      </c>
      <c r="G29" s="52" t="s">
        <v>340</v>
      </c>
      <c r="H29" s="52" t="s">
        <v>343</v>
      </c>
      <c r="I29" s="110" t="s">
        <v>686</v>
      </c>
      <c r="J29" s="52" t="s">
        <v>351</v>
      </c>
      <c r="K29" s="53" t="s">
        <v>462</v>
      </c>
      <c r="L29" s="53" t="s">
        <v>476</v>
      </c>
      <c r="M29" s="80">
        <v>6350</v>
      </c>
      <c r="N29" s="53"/>
      <c r="O29" s="53" t="s">
        <v>429</v>
      </c>
      <c r="P29" s="54"/>
      <c r="Q29" s="55" t="str">
        <f>IFERROR(VLOOKUP(TableAOPTarget[[#This Row],[RFC Date]],TableAopCalendar[[Date]:[Concatenate Month &amp; Week]],7,FALSE),"")</f>
        <v/>
      </c>
      <c r="R29" s="54">
        <v>45873</v>
      </c>
      <c r="S29" s="55" t="str">
        <f>IFERROR(VLOOKUP(TableAOPTarget[[#This Row],[Actual Start Date]],TableAopCalendar[[Date]:[Concatenate Month &amp; Week]],7,FALSE),"")</f>
        <v>August 25 Week 1</v>
      </c>
      <c r="T29" s="55">
        <v>90</v>
      </c>
      <c r="U29" s="54">
        <f>TableAOPTarget[[#This Row],[Actual Start Date]]+TableAOPTarget[[#This Row],[Standard Duration]]</f>
        <v>45963</v>
      </c>
      <c r="V29" s="53" t="str">
        <f>IFERROR(VLOOKUP(TableAOPTarget[[#This Row],[Planned Finish Date]],TableAopCalendar[[Date]:[Concatenate Month &amp; Week]],7,FALSE),"")</f>
        <v>November 25 Week 1</v>
      </c>
      <c r="W29" s="54">
        <v>46008</v>
      </c>
      <c r="X29" s="53" t="str">
        <f>IFERROR(VLOOKUP(TableAOPTarget[[#This Row],[Actual Finish Date]],TableAopCalendar[[Date]:[Concatenate Month &amp; Week]],7,FALSE),"")</f>
        <v>December 25 Week 3</v>
      </c>
      <c r="Y29" s="54">
        <v>45975</v>
      </c>
      <c r="Z29" s="55" t="str">
        <f>IFERROR(VLOOKUP(TableAOPTarget[[#This Row],[Forecasted Finish Date]],TableAopCalendar[[Date]:[Concatenate Month &amp; Week]],7,FALSE),"")</f>
        <v>November 25 Week 2</v>
      </c>
      <c r="AA29" s="54"/>
      <c r="AB29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NOVEMBER 25 PLANNED</v>
      </c>
      <c r="AC29" s="53" t="str">
        <f>IF(TableAOPTarget[[#This Row],[EPC Status]]="EPC Ready",INDEX(TableAopCalendar[Month for Plan],MATCH(TableAOPTarget[[#This Row],[Actual Finish Date]],TableAopCalendar[Date],0))," ")</f>
        <v>DECEMBER 25</v>
      </c>
      <c r="AD29" s="100">
        <v>1</v>
      </c>
      <c r="AE29" s="100">
        <v>1</v>
      </c>
      <c r="AF29" s="49" t="s">
        <v>408</v>
      </c>
      <c r="AG29" s="49"/>
      <c r="AH29" s="49"/>
      <c r="AI29" s="49"/>
      <c r="AJ29" s="49" t="e">
        <f>VLOOKUP(TableAOPTarget[[#This Row],[Apex ID]],'[17]Main Backup'!$A:$I,9,0)</f>
        <v>#N/A</v>
      </c>
      <c r="AK29" s="56" t="str">
        <f>IF(TableAOPTarget[[#This Row],[RFC Date]]="","",(TableAOPTarget[[#This Row],[RFC Date]]+3))</f>
        <v/>
      </c>
      <c r="AL29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29" s="92"/>
    </row>
    <row r="30" spans="1:39" ht="30" hidden="1" customHeight="1" x14ac:dyDescent="0.25">
      <c r="A30" s="1" t="s">
        <v>384</v>
      </c>
      <c r="B30" s="193" t="s">
        <v>544</v>
      </c>
      <c r="C30" s="50">
        <v>37</v>
      </c>
      <c r="D30" s="51" t="s">
        <v>39</v>
      </c>
      <c r="E30" s="49" t="s">
        <v>50</v>
      </c>
      <c r="F30" s="67" t="s">
        <v>478</v>
      </c>
      <c r="G30" s="52" t="s">
        <v>340</v>
      </c>
      <c r="H30" s="52" t="s">
        <v>343</v>
      </c>
      <c r="I30" s="110" t="s">
        <v>686</v>
      </c>
      <c r="J30" s="68" t="s">
        <v>351</v>
      </c>
      <c r="K30" s="140" t="s">
        <v>540</v>
      </c>
      <c r="L30" s="68" t="s">
        <v>476</v>
      </c>
      <c r="M30" s="80">
        <v>5000</v>
      </c>
      <c r="N30" s="71"/>
      <c r="O30" s="68" t="s">
        <v>429</v>
      </c>
      <c r="P30" s="70"/>
      <c r="Q30" s="71" t="str">
        <f>IFERROR(VLOOKUP(TableAOPTarget[[#This Row],[RFC Date]],TableAopCalendar[[Date]:[Concatenate Month &amp; Week]],7,FALSE),"")</f>
        <v/>
      </c>
      <c r="R30" s="69">
        <v>45810</v>
      </c>
      <c r="S30" s="71" t="str">
        <f>IFERROR(VLOOKUP(TableAOPTarget[[#This Row],[Actual Start Date]],TableAopCalendar[[Date]:[Concatenate Month &amp; Week]],7,FALSE),"")</f>
        <v>June 25 Week 1</v>
      </c>
      <c r="T30" s="67">
        <v>45</v>
      </c>
      <c r="U30" s="70">
        <f>TableAOPTarget[[#This Row],[Actual Start Date]]+TableAOPTarget[[#This Row],[Standard Duration]]</f>
        <v>45855</v>
      </c>
      <c r="V30" s="71" t="str">
        <f>IFERROR(VLOOKUP(TableAOPTarget[[#This Row],[Planned Finish Date]],TableAopCalendar[[Date]:[Concatenate Month &amp; Week]],7,FALSE),"")</f>
        <v>July 25 Week 3</v>
      </c>
      <c r="W30" s="70">
        <v>45861</v>
      </c>
      <c r="X30" s="71" t="str">
        <f>IFERROR(VLOOKUP(TableAOPTarget[[#This Row],[Actual Finish Date]],TableAopCalendar[[Date]:[Concatenate Month &amp; Week]],7,FALSE),"")</f>
        <v>July 25 Week 4</v>
      </c>
      <c r="Y30" s="69">
        <v>45854</v>
      </c>
      <c r="Z30" s="71" t="str">
        <f>IFERROR(VLOOKUP(TableAOPTarget[[#This Row],[Forecasted Finish Date]],TableAopCalendar[[Date]:[Concatenate Month &amp; Week]],7,FALSE),"")</f>
        <v>July 25 Week 3</v>
      </c>
      <c r="AA30" s="70"/>
      <c r="AB30" s="71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JULY 25 PLANNED</v>
      </c>
      <c r="AC30" s="71" t="str">
        <f>IF(TableAOPTarget[[#This Row],[EPC Status]]="EPC Ready",INDEX(TableAopCalendar[Month for Plan],MATCH(TableAOPTarget[[#This Row],[Actual Finish Date]],TableAopCalendar[Date],0))," ")</f>
        <v>JULY 25</v>
      </c>
      <c r="AD30" s="100">
        <v>1</v>
      </c>
      <c r="AE30" s="100">
        <v>1</v>
      </c>
      <c r="AF30" s="72" t="s">
        <v>408</v>
      </c>
      <c r="AG30" s="72"/>
      <c r="AH30" s="72"/>
      <c r="AI30" s="72" t="e">
        <f>VLOOKUP(TableAOPTarget[[#This Row],[PD]],[18]Backup!$C:$F,4,0)</f>
        <v>#N/A</v>
      </c>
      <c r="AJ30" s="72" t="e">
        <f>VLOOKUP(TableAOPTarget[[#This Row],[Apex ID]],'[17]Main Backup'!$A:$I,9,0)</f>
        <v>#N/A</v>
      </c>
      <c r="AK30" s="73" t="str">
        <f>IF(TableAOPTarget[[#This Row],[RFC Date]]="","",(TableAOPTarget[[#This Row],[RFC Date]]+3))</f>
        <v/>
      </c>
      <c r="AL30" s="74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30" s="95"/>
    </row>
    <row r="31" spans="1:39" ht="27.95" customHeight="1" x14ac:dyDescent="0.25">
      <c r="A31" s="1" t="s">
        <v>385</v>
      </c>
      <c r="B31" s="49" t="s">
        <v>493</v>
      </c>
      <c r="C31" s="50">
        <v>29</v>
      </c>
      <c r="D31" s="51" t="s">
        <v>39</v>
      </c>
      <c r="E31" s="49" t="s">
        <v>50</v>
      </c>
      <c r="F31" s="53" t="s">
        <v>478</v>
      </c>
      <c r="G31" s="52" t="s">
        <v>340</v>
      </c>
      <c r="H31" s="52" t="s">
        <v>343</v>
      </c>
      <c r="I31" s="110" t="s">
        <v>686</v>
      </c>
      <c r="J31" s="52" t="s">
        <v>351</v>
      </c>
      <c r="K31" s="53" t="s">
        <v>461</v>
      </c>
      <c r="L31" s="53" t="s">
        <v>476</v>
      </c>
      <c r="M31" s="80">
        <v>4250</v>
      </c>
      <c r="N31" s="53"/>
      <c r="O31" s="53" t="s">
        <v>429</v>
      </c>
      <c r="P31" s="54"/>
      <c r="Q31" s="55" t="str">
        <f>IFERROR(VLOOKUP(TableAOPTarget[[#This Row],[RFC Date]],TableAopCalendar[[Date]:[Concatenate Month &amp; Week]],7,FALSE),"")</f>
        <v/>
      </c>
      <c r="R31" s="66">
        <v>45922</v>
      </c>
      <c r="S31" s="55" t="str">
        <f>IFERROR(VLOOKUP(TableAOPTarget[[#This Row],[Actual Start Date]],TableAopCalendar[[Date]:[Concatenate Month &amp; Week]],7,FALSE),"")</f>
        <v>September 25 Week 4</v>
      </c>
      <c r="T31" s="55">
        <v>120</v>
      </c>
      <c r="U31" s="54">
        <f>TableAOPTarget[[#This Row],[Actual Start Date]]+TableAOPTarget[[#This Row],[Standard Duration]]</f>
        <v>46042</v>
      </c>
      <c r="V31" s="53" t="str">
        <f>IFERROR(VLOOKUP(TableAOPTarget[[#This Row],[Planned Finish Date]],TableAopCalendar[[Date]:[Concatenate Month &amp; Week]],7,FALSE),"")</f>
        <v>January 26 Week 3</v>
      </c>
      <c r="W31" s="54"/>
      <c r="X31" s="53" t="str">
        <f>IFERROR(VLOOKUP(TableAOPTarget[[#This Row],[Actual Finish Date]],TableAopCalendar[[Date]:[Concatenate Month &amp; Week]],7,FALSE),"")</f>
        <v/>
      </c>
      <c r="Y31" s="147">
        <v>46179</v>
      </c>
      <c r="Z31" s="55" t="str">
        <f>IFERROR(VLOOKUP(TableAOPTarget[[#This Row],[Forecasted Finish Date]],TableAopCalendar[[Date]:[Concatenate Month &amp; Week]],7,FALSE),"")</f>
        <v>June 26 Week 1</v>
      </c>
      <c r="AA31" s="54"/>
      <c r="AB31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JANUARY 26 PLANNED</v>
      </c>
      <c r="AC31" s="53" t="str">
        <f>IF(TableAOPTarget[[#This Row],[EPC Status]]="EPC Ready",INDEX(TableAopCalendar[Month for Plan],MATCH(TableAOPTarget[[#This Row],[Actual Finish Date]],TableAopCalendar[Date],0))," ")</f>
        <v xml:space="preserve"> </v>
      </c>
      <c r="AD31" s="100">
        <v>1</v>
      </c>
      <c r="AE31" s="100">
        <v>0.91</v>
      </c>
      <c r="AF31" s="49" t="s">
        <v>409</v>
      </c>
      <c r="AG31" s="49"/>
      <c r="AH31" s="49"/>
      <c r="AI31" s="49"/>
      <c r="AJ31" s="49" t="e">
        <f>VLOOKUP(TableAOPTarget[[#This Row],[Apex ID]],'[17]Main Backup'!$A:$I,9,0)</f>
        <v>#N/A</v>
      </c>
      <c r="AK31" s="56" t="str">
        <f>IF(TableAOPTarget[[#This Row],[RFC Date]]="","",(TableAOPTarget[[#This Row],[RFC Date]]+3))</f>
        <v/>
      </c>
      <c r="AL31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31" s="92"/>
    </row>
    <row r="32" spans="1:39" ht="45" hidden="1" x14ac:dyDescent="0.25">
      <c r="A32" s="1" t="s">
        <v>386</v>
      </c>
      <c r="B32" s="49" t="s">
        <v>509</v>
      </c>
      <c r="C32" s="50">
        <v>38</v>
      </c>
      <c r="D32" s="51" t="s">
        <v>39</v>
      </c>
      <c r="E32" s="49" t="s">
        <v>50</v>
      </c>
      <c r="F32" s="53" t="s">
        <v>478</v>
      </c>
      <c r="G32" s="52" t="s">
        <v>340</v>
      </c>
      <c r="H32" s="52" t="s">
        <v>343</v>
      </c>
      <c r="I32" s="110" t="s">
        <v>686</v>
      </c>
      <c r="J32" s="52" t="s">
        <v>351</v>
      </c>
      <c r="K32" s="53" t="s">
        <v>505</v>
      </c>
      <c r="L32" s="53" t="s">
        <v>476</v>
      </c>
      <c r="M32" s="80">
        <v>5000</v>
      </c>
      <c r="N32" s="53"/>
      <c r="O32" s="53" t="s">
        <v>429</v>
      </c>
      <c r="P32" s="54"/>
      <c r="Q32" s="55" t="str">
        <f>IFERROR(VLOOKUP(TableAOPTarget[[#This Row],[RFC Date]],TableAopCalendar[[Date]:[Concatenate Month &amp; Week]],7,FALSE),"")</f>
        <v/>
      </c>
      <c r="R32" s="69">
        <v>45820</v>
      </c>
      <c r="S32" s="55" t="str">
        <f>IFERROR(VLOOKUP(TableAOPTarget[[#This Row],[Actual Start Date]],TableAopCalendar[[Date]:[Concatenate Month &amp; Week]],7,FALSE),"")</f>
        <v>June 25 Week 2</v>
      </c>
      <c r="T32" s="67">
        <v>152</v>
      </c>
      <c r="U32" s="54">
        <f>TableAOPTarget[[#This Row],[Actual Start Date]]+TableAOPTarget[[#This Row],[Standard Duration]]</f>
        <v>45972</v>
      </c>
      <c r="V32" s="53" t="str">
        <f>IFERROR(VLOOKUP(TableAOPTarget[[#This Row],[Planned Finish Date]],TableAopCalendar[[Date]:[Concatenate Month &amp; Week]],7,FALSE),"")</f>
        <v>November 25 Week 2</v>
      </c>
      <c r="W32" s="54">
        <v>46160</v>
      </c>
      <c r="X32" s="53" t="str">
        <f>IFERROR(VLOOKUP(TableAOPTarget[[#This Row],[Actual Finish Date]],TableAopCalendar[[Date]:[Concatenate Month &amp; Week]],7,FALSE),"")</f>
        <v>May 26 Week 3</v>
      </c>
      <c r="Y32" s="147">
        <v>46142</v>
      </c>
      <c r="Z32" s="55" t="str">
        <f>IFERROR(VLOOKUP(TableAOPTarget[[#This Row],[Forecasted Finish Date]],TableAopCalendar[[Date]:[Concatenate Month &amp; Week]],7,FALSE),"")</f>
        <v>April 26 Week 5</v>
      </c>
      <c r="AA32" s="54"/>
      <c r="AB32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NOVEMBER 25 PLANNED</v>
      </c>
      <c r="AC32" s="53" t="str">
        <f>IF(TableAOPTarget[[#This Row],[EPC Status]]="EPC Ready",INDEX(TableAopCalendar[Month for Plan],MATCH(TableAOPTarget[[#This Row],[Actual Finish Date]],TableAopCalendar[Date],0))," ")</f>
        <v>MAY 26</v>
      </c>
      <c r="AD32" s="100">
        <v>1</v>
      </c>
      <c r="AE32" s="100">
        <v>1</v>
      </c>
      <c r="AF32" s="49" t="s">
        <v>408</v>
      </c>
      <c r="AG32" s="49"/>
      <c r="AH32" s="49"/>
      <c r="AI32" s="49"/>
      <c r="AJ32" s="49" t="e">
        <f>VLOOKUP(TableAOPTarget[[#This Row],[Apex ID]],'[17]Main Backup'!$A:$I,9,0)</f>
        <v>#N/A</v>
      </c>
      <c r="AK32" s="56" t="str">
        <f>IF(TableAOPTarget[[#This Row],[RFC Date]]="","",(TableAOPTarget[[#This Row],[RFC Date]]+3))</f>
        <v/>
      </c>
      <c r="AL32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32" s="92"/>
    </row>
    <row r="33" spans="1:39" ht="60" hidden="1" x14ac:dyDescent="0.25">
      <c r="A33" s="1" t="s">
        <v>387</v>
      </c>
      <c r="B33" s="49" t="s">
        <v>496</v>
      </c>
      <c r="C33" s="50">
        <v>39</v>
      </c>
      <c r="D33" s="51" t="s">
        <v>39</v>
      </c>
      <c r="E33" s="49" t="s">
        <v>50</v>
      </c>
      <c r="F33" s="53" t="s">
        <v>478</v>
      </c>
      <c r="G33" s="52" t="s">
        <v>340</v>
      </c>
      <c r="H33" s="52" t="s">
        <v>343</v>
      </c>
      <c r="I33" s="110" t="s">
        <v>686</v>
      </c>
      <c r="J33" s="52" t="s">
        <v>351</v>
      </c>
      <c r="K33" s="53" t="s">
        <v>463</v>
      </c>
      <c r="L33" s="53" t="s">
        <v>476</v>
      </c>
      <c r="M33" s="80">
        <v>5000</v>
      </c>
      <c r="N33" s="53"/>
      <c r="O33" s="53" t="s">
        <v>429</v>
      </c>
      <c r="P33" s="54">
        <v>45768</v>
      </c>
      <c r="Q33" s="55" t="str">
        <f>IFERROR(VLOOKUP(TableAOPTarget[[#This Row],[RFC Date]],TableAopCalendar[[Date]:[Concatenate Month &amp; Week]],7,FALSE),"")</f>
        <v>April 25 Week 3</v>
      </c>
      <c r="R33" s="54">
        <v>45768</v>
      </c>
      <c r="S33" s="55" t="str">
        <f>IFERROR(VLOOKUP(TableAOPTarget[[#This Row],[Actual Start Date]],TableAopCalendar[[Date]:[Concatenate Month &amp; Week]],7,FALSE),"")</f>
        <v>April 25 Week 3</v>
      </c>
      <c r="T33" s="55">
        <v>45</v>
      </c>
      <c r="U33" s="54">
        <f>TableAOPTarget[[#This Row],[Actual Start Date]]+TableAOPTarget[[#This Row],[Standard Duration]]</f>
        <v>45813</v>
      </c>
      <c r="V33" s="53" t="str">
        <f>IFERROR(VLOOKUP(TableAOPTarget[[#This Row],[Planned Finish Date]],TableAopCalendar[[Date]:[Concatenate Month &amp; Week]],7,FALSE),"")</f>
        <v>June 25 Week 1</v>
      </c>
      <c r="W33" s="54">
        <v>45887</v>
      </c>
      <c r="X33" s="53" t="str">
        <f>IFERROR(VLOOKUP(TableAOPTarget[[#This Row],[Actual Finish Date]],TableAopCalendar[[Date]:[Concatenate Month &amp; Week]],7,FALSE),"")</f>
        <v>August 25 Week 3</v>
      </c>
      <c r="Y33" s="69">
        <v>45863</v>
      </c>
      <c r="Z33" s="55" t="str">
        <f>IFERROR(VLOOKUP(TableAOPTarget[[#This Row],[Forecasted Finish Date]],TableAopCalendar[[Date]:[Concatenate Month &amp; Week]],7,FALSE),"")</f>
        <v>July 25 Week 4</v>
      </c>
      <c r="AA33" s="54"/>
      <c r="AB33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JUNE 25 PLANNED</v>
      </c>
      <c r="AC33" s="53" t="str">
        <f>IF(TableAOPTarget[[#This Row],[EPC Status]]="EPC Ready",INDEX(TableAopCalendar[Month for Plan],MATCH(TableAOPTarget[[#This Row],[Actual Finish Date]],TableAopCalendar[Date],0))," ")</f>
        <v>AUGUST 25</v>
      </c>
      <c r="AD33" s="100">
        <v>1</v>
      </c>
      <c r="AE33" s="100">
        <v>1</v>
      </c>
      <c r="AF33" s="49" t="s">
        <v>408</v>
      </c>
      <c r="AG33" s="49"/>
      <c r="AH33" s="49"/>
      <c r="AI33" s="49"/>
      <c r="AJ33" s="49" t="e">
        <f>VLOOKUP(TableAOPTarget[[#This Row],[Apex ID]],'[17]Main Backup'!$A:$I,9,0)</f>
        <v>#N/A</v>
      </c>
      <c r="AK33" s="56">
        <f>IF(TableAOPTarget[[#This Row],[RFC Date]]="","",(TableAOPTarget[[#This Row],[RFC Date]]+3))</f>
        <v>45771</v>
      </c>
      <c r="AL33" s="52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>-3</v>
      </c>
      <c r="AM33" s="92"/>
    </row>
    <row r="34" spans="1:39" ht="30" hidden="1" x14ac:dyDescent="0.25">
      <c r="A34" s="1" t="s">
        <v>388</v>
      </c>
      <c r="B34" s="49" t="s">
        <v>452</v>
      </c>
      <c r="C34" s="50">
        <v>16</v>
      </c>
      <c r="D34" s="51" t="s">
        <v>39</v>
      </c>
      <c r="E34" s="49" t="s">
        <v>50</v>
      </c>
      <c r="F34" s="53" t="s">
        <v>441</v>
      </c>
      <c r="G34" s="52" t="s">
        <v>340</v>
      </c>
      <c r="H34" s="52" t="s">
        <v>343</v>
      </c>
      <c r="I34" s="110" t="s">
        <v>686</v>
      </c>
      <c r="J34" s="52" t="s">
        <v>354</v>
      </c>
      <c r="K34" s="53" t="s">
        <v>447</v>
      </c>
      <c r="L34" s="53" t="s">
        <v>355</v>
      </c>
      <c r="M34" s="80">
        <v>20000</v>
      </c>
      <c r="N34" s="53" t="s">
        <v>451</v>
      </c>
      <c r="O34" s="88" t="s">
        <v>406</v>
      </c>
      <c r="P34" s="54"/>
      <c r="Q34" s="55" t="str">
        <f>IFERROR(VLOOKUP(TableAOPTarget[[#This Row],[RFC Date]],TableAopCalendar[[Date]:[Concatenate Month &amp; Week]],7,FALSE),"")</f>
        <v/>
      </c>
      <c r="R34" s="54">
        <v>45733</v>
      </c>
      <c r="S34" s="55" t="str">
        <f>IFERROR(VLOOKUP(TableAOPTarget[[#This Row],[Actual Start Date]],TableAopCalendar[[Date]:[Concatenate Month &amp; Week]],7,FALSE),"")</f>
        <v>March 25 Week 3</v>
      </c>
      <c r="T34" s="55">
        <v>180</v>
      </c>
      <c r="U34" s="54">
        <f>TableAOPTarget[[#This Row],[Actual Start Date]]+TableAOPTarget[[#This Row],[Standard Duration]]</f>
        <v>45913</v>
      </c>
      <c r="V34" s="53" t="str">
        <f>IFERROR(VLOOKUP(TableAOPTarget[[#This Row],[Planned Finish Date]],TableAopCalendar[[Date]:[Concatenate Month &amp; Week]],7,FALSE),"")</f>
        <v>September 25 Week 2</v>
      </c>
      <c r="W34" s="54">
        <v>46101</v>
      </c>
      <c r="X34" s="53" t="str">
        <f>IFERROR(VLOOKUP(TableAOPTarget[[#This Row],[Actual Finish Date]],TableAopCalendar[[Date]:[Concatenate Month &amp; Week]],7,FALSE),"")</f>
        <v>March 26 Week 3</v>
      </c>
      <c r="Y34" s="147">
        <v>46112</v>
      </c>
      <c r="Z34" s="55" t="str">
        <f>IFERROR(VLOOKUP(TableAOPTarget[[#This Row],[Forecasted Finish Date]],TableAopCalendar[[Date]:[Concatenate Month &amp; Week]],7,FALSE),"")</f>
        <v>March 26 Week 5</v>
      </c>
      <c r="AA34" s="54"/>
      <c r="AB34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SEPTEMBER 25 PLANNED</v>
      </c>
      <c r="AC34" s="53" t="str">
        <f>IF(TableAOPTarget[[#This Row],[EPC Status]]="EPC Ready",INDEX(TableAopCalendar[Month for Plan],MATCH(TableAOPTarget[[#This Row],[Actual Finish Date]],TableAopCalendar[Date],0))," ")</f>
        <v>MARCH 26</v>
      </c>
      <c r="AD34" s="100">
        <v>1</v>
      </c>
      <c r="AE34" s="100">
        <v>1</v>
      </c>
      <c r="AF34" s="49" t="s">
        <v>408</v>
      </c>
      <c r="AG34" s="49"/>
      <c r="AH34" s="49"/>
      <c r="AI34" s="49"/>
      <c r="AJ34" s="49"/>
      <c r="AK34" s="56" t="str">
        <f>IF(TableAOPTarget[[#This Row],[RFC Date]]="","",(TableAOPTarget[[#This Row],[RFC Date]]+3))</f>
        <v/>
      </c>
      <c r="AL34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34" s="92"/>
    </row>
    <row r="35" spans="1:39" ht="30" x14ac:dyDescent="0.25">
      <c r="A35" s="1" t="s">
        <v>389</v>
      </c>
      <c r="B35" s="192" t="s">
        <v>558</v>
      </c>
      <c r="C35" s="50">
        <v>15</v>
      </c>
      <c r="D35" s="51" t="s">
        <v>137</v>
      </c>
      <c r="E35" s="49" t="s">
        <v>432</v>
      </c>
      <c r="F35" s="53" t="s">
        <v>441</v>
      </c>
      <c r="G35" s="52" t="s">
        <v>340</v>
      </c>
      <c r="H35" s="52" t="s">
        <v>343</v>
      </c>
      <c r="I35" s="110" t="s">
        <v>686</v>
      </c>
      <c r="J35" s="68" t="s">
        <v>354</v>
      </c>
      <c r="K35" s="67" t="s">
        <v>552</v>
      </c>
      <c r="L35" s="68" t="s">
        <v>355</v>
      </c>
      <c r="M35" s="80">
        <v>20000</v>
      </c>
      <c r="N35" s="67" t="s">
        <v>553</v>
      </c>
      <c r="O35" s="88" t="s">
        <v>406</v>
      </c>
      <c r="P35" s="82"/>
      <c r="Q35" s="81" t="str">
        <f>IFERROR(VLOOKUP(TableAOPTarget[[#This Row],[RFC Date]],TableAopCalendar[[Date]:[Concatenate Month &amp; Week]],7,FALSE),"")</f>
        <v/>
      </c>
      <c r="R35" s="82">
        <v>45922</v>
      </c>
      <c r="S35" s="81" t="str">
        <f>IFERROR(VLOOKUP(TableAOPTarget[[#This Row],[Actual Start Date]],TableAopCalendar[[Date]:[Concatenate Month &amp; Week]],7,FALSE),"")</f>
        <v>September 25 Week 4</v>
      </c>
      <c r="T35" s="81">
        <v>120</v>
      </c>
      <c r="U35" s="82">
        <f>TableAOPTarget[[#This Row],[Actual Start Date]]+TableAOPTarget[[#This Row],[Standard Duration]]</f>
        <v>46042</v>
      </c>
      <c r="V35" s="81" t="str">
        <f>IFERROR(VLOOKUP(TableAOPTarget[[#This Row],[Planned Finish Date]],TableAopCalendar[[Date]:[Concatenate Month &amp; Week]],7,FALSE),"")</f>
        <v>January 26 Week 3</v>
      </c>
      <c r="W35" s="82"/>
      <c r="X35" s="81" t="str">
        <f>IFERROR(VLOOKUP(TableAOPTarget[[#This Row],[Actual Finish Date]],TableAopCalendar[[Date]:[Concatenate Month &amp; Week]],7,FALSE),"")</f>
        <v/>
      </c>
      <c r="Y35" s="54">
        <v>46158</v>
      </c>
      <c r="Z35" s="81" t="str">
        <f>IFERROR(VLOOKUP(TableAOPTarget[[#This Row],[Forecasted Finish Date]],TableAopCalendar[[Date]:[Concatenate Month &amp; Week]],7,FALSE),"")</f>
        <v>May 26 Week 3</v>
      </c>
      <c r="AA35" s="82"/>
      <c r="AB35" s="81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JANUARY 26 PLANNED</v>
      </c>
      <c r="AC35" s="81" t="str">
        <f>IF(TableAOPTarget[[#This Row],[EPC Status]]="EPC Ready",INDEX(TableAopCalendar[Month for Plan],MATCH(TableAOPTarget[[#This Row],[Actual Finish Date]],TableAopCalendar[Date],0))," ")</f>
        <v xml:space="preserve"> </v>
      </c>
      <c r="AD35" s="138">
        <v>1</v>
      </c>
      <c r="AE35" s="138">
        <v>0.89</v>
      </c>
      <c r="AF35" s="49" t="s">
        <v>409</v>
      </c>
      <c r="AG35" s="77"/>
      <c r="AH35" s="77"/>
      <c r="AI35" s="77" t="e">
        <f>VLOOKUP(TableAOPTarget[[#This Row],[PD]],[18]Backup!$C:$F,4,0)</f>
        <v>#N/A</v>
      </c>
      <c r="AJ35" s="77" t="e">
        <f>VLOOKUP(TableAOPTarget[[#This Row],[Apex ID]],'[17]Main Backup'!$A:$I,9,0)</f>
        <v>#N/A</v>
      </c>
      <c r="AK35" s="84" t="str">
        <f>IF(TableAOPTarget[[#This Row],[RFC Date]]="","",(TableAOPTarget[[#This Row],[RFC Date]]+3))</f>
        <v/>
      </c>
      <c r="AL35" s="86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35" s="94"/>
    </row>
    <row r="36" spans="1:39" ht="30" hidden="1" x14ac:dyDescent="0.25">
      <c r="A36" s="1" t="s">
        <v>390</v>
      </c>
      <c r="B36" s="49" t="s">
        <v>453</v>
      </c>
      <c r="C36" s="50">
        <v>36</v>
      </c>
      <c r="D36" s="51" t="s">
        <v>39</v>
      </c>
      <c r="E36" s="49" t="s">
        <v>50</v>
      </c>
      <c r="F36" s="53" t="s">
        <v>478</v>
      </c>
      <c r="G36" s="52" t="s">
        <v>340</v>
      </c>
      <c r="H36" s="52" t="s">
        <v>342</v>
      </c>
      <c r="I36" s="52" t="s">
        <v>345</v>
      </c>
      <c r="J36" s="52" t="s">
        <v>349</v>
      </c>
      <c r="K36" s="53" t="s">
        <v>449</v>
      </c>
      <c r="L36" s="53" t="s">
        <v>437</v>
      </c>
      <c r="M36" s="80">
        <v>20000</v>
      </c>
      <c r="N36" s="53"/>
      <c r="O36" s="88" t="s">
        <v>477</v>
      </c>
      <c r="P36" s="54"/>
      <c r="Q36" s="55" t="str">
        <f>IFERROR(VLOOKUP(TableAOPTarget[[#This Row],[RFC Date]],TableAopCalendar[[Date]:[Concatenate Month &amp; Week]],7,FALSE),"")</f>
        <v/>
      </c>
      <c r="R36" s="54">
        <v>45679</v>
      </c>
      <c r="S36" s="55" t="str">
        <f>IFERROR(VLOOKUP(TableAOPTarget[[#This Row],[Actual Start Date]],TableAopCalendar[[Date]:[Concatenate Month &amp; Week]],7,FALSE),"")</f>
        <v>January 25 Week 4</v>
      </c>
      <c r="T36" s="55">
        <v>60</v>
      </c>
      <c r="U36" s="54">
        <f>TableAOPTarget[[#This Row],[Actual Start Date]]+TableAOPTarget[[#This Row],[Standard Duration]]</f>
        <v>45739</v>
      </c>
      <c r="V36" s="53" t="str">
        <f>IFERROR(VLOOKUP(TableAOPTarget[[#This Row],[Planned Finish Date]],TableAopCalendar[[Date]:[Concatenate Month &amp; Week]],7,FALSE),"")</f>
        <v>March 25 Week 4</v>
      </c>
      <c r="W36" s="54">
        <v>45763</v>
      </c>
      <c r="X36" s="53" t="str">
        <f>IFERROR(VLOOKUP(TableAOPTarget[[#This Row],[Actual Finish Date]],TableAopCalendar[[Date]:[Concatenate Month &amp; Week]],7,FALSE),"")</f>
        <v>April 25 Week 3</v>
      </c>
      <c r="Y36" s="54">
        <v>45763</v>
      </c>
      <c r="Z36" s="55" t="str">
        <f>IFERROR(VLOOKUP(TableAOPTarget[[#This Row],[Forecasted Finish Date]],TableAopCalendar[[Date]:[Concatenate Month &amp; Week]],7,FALSE),"")</f>
        <v>April 25 Week 3</v>
      </c>
      <c r="AA36" s="54"/>
      <c r="AB36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MARCH 25 PLANNED</v>
      </c>
      <c r="AC36" s="53" t="str">
        <f>IF(TableAOPTarget[[#This Row],[EPC Status]]="EPC Ready",INDEX(TableAopCalendar[Month for Plan],MATCH(TableAOPTarget[[#This Row],[Actual Finish Date]],TableAopCalendar[Date],0))," ")</f>
        <v>APRIL 25</v>
      </c>
      <c r="AD36" s="100">
        <v>1</v>
      </c>
      <c r="AE36" s="100">
        <v>1</v>
      </c>
      <c r="AF36" s="49" t="s">
        <v>408</v>
      </c>
      <c r="AG36" s="49"/>
      <c r="AH36" s="49"/>
      <c r="AI36" s="49"/>
      <c r="AJ36" s="49"/>
      <c r="AK36" s="56" t="str">
        <f>IF(TableAOPTarget[[#This Row],[RFC Date]]="","",(TableAOPTarget[[#This Row],[RFC Date]]+3))</f>
        <v/>
      </c>
      <c r="AL36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36" s="92"/>
    </row>
    <row r="37" spans="1:39" ht="30" hidden="1" x14ac:dyDescent="0.25">
      <c r="A37" s="1" t="s">
        <v>391</v>
      </c>
      <c r="B37" s="49" t="s">
        <v>499</v>
      </c>
      <c r="C37" s="50">
        <v>40</v>
      </c>
      <c r="D37" s="51" t="s">
        <v>39</v>
      </c>
      <c r="E37" s="49" t="s">
        <v>50</v>
      </c>
      <c r="F37" s="53" t="s">
        <v>478</v>
      </c>
      <c r="G37" s="52" t="s">
        <v>340</v>
      </c>
      <c r="H37" s="52" t="s">
        <v>342</v>
      </c>
      <c r="I37" s="52" t="s">
        <v>345</v>
      </c>
      <c r="J37" s="52" t="s">
        <v>349</v>
      </c>
      <c r="K37" s="53" t="s">
        <v>466</v>
      </c>
      <c r="L37" s="53" t="s">
        <v>437</v>
      </c>
      <c r="M37" s="80">
        <v>8000</v>
      </c>
      <c r="N37" s="53"/>
      <c r="O37" s="53" t="s">
        <v>477</v>
      </c>
      <c r="P37" s="54"/>
      <c r="Q37" s="55" t="str">
        <f>IFERROR(VLOOKUP(TableAOPTarget[[#This Row],[RFC Date]],TableAopCalendar[[Date]:[Concatenate Month &amp; Week]],7,FALSE),"")</f>
        <v/>
      </c>
      <c r="R37" s="66">
        <v>45905</v>
      </c>
      <c r="S37" s="55" t="str">
        <f>IFERROR(VLOOKUP(TableAOPTarget[[#This Row],[Actual Start Date]],TableAopCalendar[[Date]:[Concatenate Month &amp; Week]],7,FALSE),"")</f>
        <v>September 25 Week 1</v>
      </c>
      <c r="T37" s="65">
        <v>45</v>
      </c>
      <c r="U37" s="54">
        <f>TableAOPTarget[[#This Row],[Actual Start Date]]+TableAOPTarget[[#This Row],[Standard Duration]]</f>
        <v>45950</v>
      </c>
      <c r="V37" s="53" t="str">
        <f>IFERROR(VLOOKUP(TableAOPTarget[[#This Row],[Planned Finish Date]],TableAopCalendar[[Date]:[Concatenate Month &amp; Week]],7,FALSE),"")</f>
        <v>October 25 Week 3</v>
      </c>
      <c r="W37" s="54">
        <v>45969</v>
      </c>
      <c r="X37" s="53" t="str">
        <f>IFERROR(VLOOKUP(TableAOPTarget[[#This Row],[Actual Finish Date]],TableAopCalendar[[Date]:[Concatenate Month &amp; Week]],7,FALSE),"")</f>
        <v>November 25 Week 2</v>
      </c>
      <c r="Y37" s="82">
        <v>45955</v>
      </c>
      <c r="Z37" s="55" t="str">
        <f>IFERROR(VLOOKUP(TableAOPTarget[[#This Row],[Forecasted Finish Date]],TableAopCalendar[[Date]:[Concatenate Month &amp; Week]],7,FALSE),"")</f>
        <v>October 25 Week 4</v>
      </c>
      <c r="AA37" s="54"/>
      <c r="AB37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OCTOBER 25 PLANNED</v>
      </c>
      <c r="AC37" s="53" t="str">
        <f>IF(TableAOPTarget[[#This Row],[EPC Status]]="EPC Ready",INDEX(TableAopCalendar[Month for Plan],MATCH(TableAOPTarget[[#This Row],[Actual Finish Date]],TableAopCalendar[Date],0))," ")</f>
        <v>NOVEMBER 25</v>
      </c>
      <c r="AD37" s="101">
        <v>1</v>
      </c>
      <c r="AE37" s="101">
        <v>1</v>
      </c>
      <c r="AF37" s="49" t="s">
        <v>408</v>
      </c>
      <c r="AG37" s="49"/>
      <c r="AH37" s="49"/>
      <c r="AI37" s="49"/>
      <c r="AJ37" s="49" t="e">
        <f>VLOOKUP(TableAOPTarget[[#This Row],[Apex ID]],'[17]Main Backup'!$A:$I,9,0)</f>
        <v>#N/A</v>
      </c>
      <c r="AK37" s="56" t="str">
        <f>IF(TableAOPTarget[[#This Row],[RFC Date]]="","",(TableAOPTarget[[#This Row],[RFC Date]]+3))</f>
        <v/>
      </c>
      <c r="AL37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37" s="92"/>
    </row>
    <row r="38" spans="1:39" ht="30" hidden="1" x14ac:dyDescent="0.25">
      <c r="A38" s="1" t="s">
        <v>392</v>
      </c>
      <c r="B38" s="102" t="s">
        <v>682</v>
      </c>
      <c r="C38" s="50">
        <v>34</v>
      </c>
      <c r="D38" s="51" t="s">
        <v>39</v>
      </c>
      <c r="E38" s="49" t="s">
        <v>50</v>
      </c>
      <c r="F38" s="53" t="s">
        <v>478</v>
      </c>
      <c r="G38" s="52" t="s">
        <v>340</v>
      </c>
      <c r="H38" s="52" t="s">
        <v>342</v>
      </c>
      <c r="I38" s="52" t="s">
        <v>345</v>
      </c>
      <c r="J38" s="52" t="s">
        <v>349</v>
      </c>
      <c r="K38" s="53" t="s">
        <v>554</v>
      </c>
      <c r="L38" s="53" t="s">
        <v>437</v>
      </c>
      <c r="M38" s="80"/>
      <c r="N38" s="53"/>
      <c r="O38" s="53" t="s">
        <v>477</v>
      </c>
      <c r="P38" s="54"/>
      <c r="Q38" s="55" t="str">
        <f>IFERROR(VLOOKUP(TableAOPTarget[[#This Row],[RFC Date]],TableAopCalendar[[Date]:[Concatenate Month &amp; Week]],7,FALSE),"")</f>
        <v/>
      </c>
      <c r="R38" s="54"/>
      <c r="S38" s="55" t="str">
        <f>IFERROR(VLOOKUP(TableAOPTarget[[#This Row],[Actual Start Date]],TableAopCalendar[[Date]:[Concatenate Month &amp; Week]],7,FALSE),"")</f>
        <v/>
      </c>
      <c r="T38" s="55"/>
      <c r="U38" s="54"/>
      <c r="V38" s="53" t="str">
        <f>IFERROR(VLOOKUP(TableAOPTarget[[#This Row],[Planned Finish Date]],TableAopCalendar[[Date]:[Concatenate Month &amp; Week]],7,FALSE),"")</f>
        <v/>
      </c>
      <c r="W38" s="54"/>
      <c r="X38" s="53" t="str">
        <f>IFERROR(VLOOKUP(TableAOPTarget[[#This Row],[Actual Finish Date]],TableAopCalendar[[Date]:[Concatenate Month &amp; Week]],7,FALSE),"")</f>
        <v/>
      </c>
      <c r="Y38" s="82"/>
      <c r="Z38" s="55" t="str">
        <f>IFERROR(VLOOKUP(TableAOPTarget[[#This Row],[Forecasted Finish Date]],TableAopCalendar[[Date]:[Concatenate Month &amp; Week]],7,FALSE),"")</f>
        <v/>
      </c>
      <c r="AA38" s="54"/>
      <c r="AB38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38" s="53" t="str">
        <f>IF(TableAOPTarget[[#This Row],[EPC Status]]="EPC Ready",INDEX(TableAopCalendar[Month for Plan],MATCH(TableAOPTarget[[#This Row],[Actual Finish Date]],TableAopCalendar[Date],0))," ")</f>
        <v xml:space="preserve"> </v>
      </c>
      <c r="AD38" s="53"/>
      <c r="AE38" s="53"/>
      <c r="AF38" s="49" t="s">
        <v>436</v>
      </c>
      <c r="AG38" s="49"/>
      <c r="AH38" s="49"/>
      <c r="AI38" s="49"/>
      <c r="AJ38" s="49" t="e">
        <f>VLOOKUP(TableAOPTarget[[#This Row],[Apex ID]],'[17]Main Backup'!$A:$I,9,0)</f>
        <v>#N/A</v>
      </c>
      <c r="AK38" s="56" t="str">
        <f>IF(TableAOPTarget[[#This Row],[RFC Date]]="","",(TableAOPTarget[[#This Row],[RFC Date]]+3))</f>
        <v/>
      </c>
      <c r="AL38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38" s="92"/>
    </row>
    <row r="39" spans="1:39" ht="45" hidden="1" x14ac:dyDescent="0.25">
      <c r="A39" s="1" t="s">
        <v>393</v>
      </c>
      <c r="B39" s="49" t="s">
        <v>497</v>
      </c>
      <c r="C39" s="50">
        <v>42</v>
      </c>
      <c r="D39" s="51" t="s">
        <v>39</v>
      </c>
      <c r="E39" s="49" t="s">
        <v>50</v>
      </c>
      <c r="F39" s="53" t="s">
        <v>478</v>
      </c>
      <c r="G39" s="52" t="s">
        <v>340</v>
      </c>
      <c r="H39" s="52" t="s">
        <v>342</v>
      </c>
      <c r="I39" s="52" t="s">
        <v>345</v>
      </c>
      <c r="J39" s="52" t="s">
        <v>349</v>
      </c>
      <c r="K39" s="53" t="s">
        <v>464</v>
      </c>
      <c r="L39" s="53" t="s">
        <v>437</v>
      </c>
      <c r="M39" s="80">
        <v>20000</v>
      </c>
      <c r="N39" s="53"/>
      <c r="O39" s="53" t="s">
        <v>477</v>
      </c>
      <c r="P39" s="54"/>
      <c r="Q39" s="55" t="str">
        <f>IFERROR(VLOOKUP(TableAOPTarget[[#This Row],[RFC Date]],TableAopCalendar[[Date]:[Concatenate Month &amp; Week]],7,FALSE),"")</f>
        <v/>
      </c>
      <c r="R39" s="47">
        <v>45751</v>
      </c>
      <c r="S39" s="55" t="str">
        <f>IFERROR(VLOOKUP(TableAOPTarget[[#This Row],[Actual Start Date]],TableAopCalendar[[Date]:[Concatenate Month &amp; Week]],7,FALSE),"")</f>
        <v>April 25 Week 1</v>
      </c>
      <c r="T39" s="45">
        <v>120</v>
      </c>
      <c r="U39" s="54">
        <f>TableAOPTarget[[#This Row],[Actual Start Date]]+TableAOPTarget[[#This Row],[Standard Duration]]</f>
        <v>45871</v>
      </c>
      <c r="V39" s="53" t="str">
        <f>IFERROR(VLOOKUP(TableAOPTarget[[#This Row],[Planned Finish Date]],TableAopCalendar[[Date]:[Concatenate Month &amp; Week]],7,FALSE),"")</f>
        <v>August 25 Week 1</v>
      </c>
      <c r="W39" s="54">
        <v>46112</v>
      </c>
      <c r="X39" s="53" t="str">
        <f>IFERROR(VLOOKUP(TableAOPTarget[[#This Row],[Actual Finish Date]],TableAopCalendar[[Date]:[Concatenate Month &amp; Week]],7,FALSE),"")</f>
        <v>March 26 Week 5</v>
      </c>
      <c r="Y39" s="147">
        <v>46112</v>
      </c>
      <c r="Z39" s="55" t="str">
        <f>IFERROR(VLOOKUP(TableAOPTarget[[#This Row],[Forecasted Finish Date]],TableAopCalendar[[Date]:[Concatenate Month &amp; Week]],7,FALSE),"")</f>
        <v>March 26 Week 5</v>
      </c>
      <c r="AA39" s="54"/>
      <c r="AB39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AUGUST 25 PLANNED</v>
      </c>
      <c r="AC39" s="53" t="str">
        <f>IF(TableAOPTarget[[#This Row],[EPC Status]]="EPC Ready",INDEX(TableAopCalendar[Month for Plan],MATCH(TableAOPTarget[[#This Row],[Actual Finish Date]],TableAopCalendar[Date],0))," ")</f>
        <v>MARCH 26</v>
      </c>
      <c r="AD39" s="100">
        <v>1</v>
      </c>
      <c r="AE39" s="100">
        <v>1</v>
      </c>
      <c r="AF39" s="49" t="s">
        <v>408</v>
      </c>
      <c r="AG39" s="49"/>
      <c r="AH39" s="49"/>
      <c r="AI39" s="49"/>
      <c r="AJ39" s="49" t="e">
        <f>VLOOKUP(TableAOPTarget[[#This Row],[Apex ID]],'[17]Main Backup'!$A:$I,9,0)</f>
        <v>#N/A</v>
      </c>
      <c r="AK39" s="56" t="str">
        <f>IF(TableAOPTarget[[#This Row],[RFC Date]]="","",(TableAOPTarget[[#This Row],[RFC Date]]+3))</f>
        <v/>
      </c>
      <c r="AL39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39" s="92"/>
    </row>
    <row r="40" spans="1:39" ht="37.5" hidden="1" customHeight="1" x14ac:dyDescent="0.25">
      <c r="A40" s="1" t="s">
        <v>394</v>
      </c>
      <c r="B40" s="192" t="s">
        <v>559</v>
      </c>
      <c r="C40" s="103"/>
      <c r="D40" s="105"/>
      <c r="E40" s="107"/>
      <c r="F40" s="45" t="s">
        <v>478</v>
      </c>
      <c r="G40" s="52" t="s">
        <v>340</v>
      </c>
      <c r="H40" s="52" t="s">
        <v>342</v>
      </c>
      <c r="I40" s="52" t="s">
        <v>345</v>
      </c>
      <c r="J40" s="98" t="s">
        <v>349</v>
      </c>
      <c r="K40" s="139" t="s">
        <v>556</v>
      </c>
      <c r="L40" s="88" t="s">
        <v>437</v>
      </c>
      <c r="M40" s="80">
        <v>20000</v>
      </c>
      <c r="N40" s="109"/>
      <c r="O40" s="90" t="s">
        <v>477</v>
      </c>
      <c r="P40" s="114"/>
      <c r="Q40" s="109" t="str">
        <f>IFERROR(VLOOKUP(TableAOPTarget[[#This Row],[RFC Date]],TableAopCalendar[[Date]:[Concatenate Month &amp; Week]],7,FALSE),"")</f>
        <v/>
      </c>
      <c r="R40" s="66">
        <v>45930</v>
      </c>
      <c r="S40" s="109" t="str">
        <f>IFERROR(VLOOKUP(TableAOPTarget[[#This Row],[Actual Start Date]],TableAopCalendar[[Date]:[Concatenate Month &amp; Week]],7,FALSE),"")</f>
        <v>September 25 Week 5</v>
      </c>
      <c r="T40" s="109">
        <v>60</v>
      </c>
      <c r="U40" s="114">
        <f>TableAOPTarget[[#This Row],[Actual Start Date]]+TableAOPTarget[[#This Row],[Standard Duration]]</f>
        <v>45990</v>
      </c>
      <c r="V40" s="109" t="str">
        <f>IFERROR(VLOOKUP(TableAOPTarget[[#This Row],[Planned Finish Date]],TableAopCalendar[[Date]:[Concatenate Month &amp; Week]],7,FALSE),"")</f>
        <v>November 25 Week 5</v>
      </c>
      <c r="W40" s="114">
        <v>46015</v>
      </c>
      <c r="X40" s="109" t="str">
        <f>IFERROR(VLOOKUP(TableAOPTarget[[#This Row],[Actual Finish Date]],TableAopCalendar[[Date]:[Concatenate Month &amp; Week]],7,FALSE),"")</f>
        <v>December 25 Week 4</v>
      </c>
      <c r="Y40" s="82">
        <v>45990</v>
      </c>
      <c r="Z40" s="109" t="str">
        <f>IFERROR(VLOOKUP(TableAOPTarget[[#This Row],[Forecasted Finish Date]],TableAopCalendar[[Date]:[Concatenate Month &amp; Week]],7,FALSE),"")</f>
        <v>November 25 Week 5</v>
      </c>
      <c r="AA40" s="114"/>
      <c r="AB40" s="109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NOVEMBER 25 PLANNED</v>
      </c>
      <c r="AC40" s="109" t="str">
        <f>IF(TableAOPTarget[[#This Row],[EPC Status]]="EPC Ready",INDEX(TableAopCalendar[Month for Plan],MATCH(TableAOPTarget[[#This Row],[Actual Finish Date]],TableAopCalendar[Date],0))," ")</f>
        <v>DECEMBER 25</v>
      </c>
      <c r="AD40" s="101">
        <v>1</v>
      </c>
      <c r="AE40" s="101">
        <v>1</v>
      </c>
      <c r="AF40" s="49" t="s">
        <v>408</v>
      </c>
      <c r="AG40" s="105"/>
      <c r="AH40" s="105"/>
      <c r="AI40" s="105" t="e">
        <f>VLOOKUP(TableAOPTarget[[#This Row],[PD]],[18]Backup!$C:$F,4,0)</f>
        <v>#N/A</v>
      </c>
      <c r="AJ40" s="105" t="e">
        <f>VLOOKUP(TableAOPTarget[[#This Row],[Apex ID]],'[17]Main Backup'!$A:$I,9,0)</f>
        <v>#N/A</v>
      </c>
      <c r="AK40" s="117" t="str">
        <f>IF(TableAOPTarget[[#This Row],[RFC Date]]="","",(TableAOPTarget[[#This Row],[RFC Date]]+3))</f>
        <v/>
      </c>
      <c r="AL40" s="119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40" s="121"/>
    </row>
    <row r="41" spans="1:39" ht="30" hidden="1" x14ac:dyDescent="0.25">
      <c r="A41" s="1" t="s">
        <v>395</v>
      </c>
      <c r="B41" s="193" t="s">
        <v>542</v>
      </c>
      <c r="C41" s="50">
        <v>48</v>
      </c>
      <c r="D41" s="72" t="s">
        <v>39</v>
      </c>
      <c r="E41" s="78" t="s">
        <v>50</v>
      </c>
      <c r="F41" s="140" t="s">
        <v>478</v>
      </c>
      <c r="G41" s="52" t="s">
        <v>340</v>
      </c>
      <c r="H41" s="52" t="s">
        <v>342</v>
      </c>
      <c r="I41" s="65" t="s">
        <v>345</v>
      </c>
      <c r="J41" s="65" t="s">
        <v>349</v>
      </c>
      <c r="K41" s="140" t="s">
        <v>538</v>
      </c>
      <c r="L41" s="65" t="s">
        <v>437</v>
      </c>
      <c r="M41" s="80">
        <v>20000</v>
      </c>
      <c r="N41" s="71"/>
      <c r="O41" s="53" t="s">
        <v>477</v>
      </c>
      <c r="P41" s="70"/>
      <c r="Q41" s="71" t="str">
        <f>IFERROR(VLOOKUP(TableAOPTarget[[#This Row],[RFC Date]],TableAopCalendar[[Date]:[Concatenate Month &amp; Week]],7,FALSE),"")</f>
        <v/>
      </c>
      <c r="R41" s="70"/>
      <c r="S41" s="71" t="str">
        <f>IFERROR(VLOOKUP(TableAOPTarget[[#This Row],[Actual Start Date]],TableAopCalendar[[Date]:[Concatenate Month &amp; Week]],7,FALSE),"")</f>
        <v/>
      </c>
      <c r="T41" s="71"/>
      <c r="U41" s="70"/>
      <c r="V41" s="71" t="str">
        <f>IFERROR(VLOOKUP(TableAOPTarget[[#This Row],[Planned Finish Date]],TableAopCalendar[[Date]:[Concatenate Month &amp; Week]],7,FALSE),"")</f>
        <v/>
      </c>
      <c r="W41" s="70"/>
      <c r="X41" s="71" t="str">
        <f>IFERROR(VLOOKUP(TableAOPTarget[[#This Row],[Actual Finish Date]],TableAopCalendar[[Date]:[Concatenate Month &amp; Week]],7,FALSE),"")</f>
        <v/>
      </c>
      <c r="Y41" s="82"/>
      <c r="Z41" s="71" t="str">
        <f>IFERROR(VLOOKUP(TableAOPTarget[[#This Row],[Forecasted Finish Date]],TableAopCalendar[[Date]:[Concatenate Month &amp; Week]],7,FALSE),"")</f>
        <v/>
      </c>
      <c r="AA41" s="70"/>
      <c r="AB41" s="71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41" s="71" t="str">
        <f>IF(TableAOPTarget[[#This Row],[EPC Status]]="EPC Ready",INDEX(TableAopCalendar[Month for Plan],MATCH(TableAOPTarget[[#This Row],[Actual Finish Date]],TableAopCalendar[Date],0))," ")</f>
        <v xml:space="preserve"> </v>
      </c>
      <c r="AD41" s="71"/>
      <c r="AE41" s="71"/>
      <c r="AF41" s="49" t="s">
        <v>436</v>
      </c>
      <c r="AG41" s="72"/>
      <c r="AH41" s="72"/>
      <c r="AI41" s="72" t="e">
        <f>VLOOKUP(TableAOPTarget[[#This Row],[PD]],[18]Backup!$C:$F,4,0)</f>
        <v>#N/A</v>
      </c>
      <c r="AJ41" s="72" t="e">
        <f>VLOOKUP(TableAOPTarget[[#This Row],[Apex ID]],'[17]Main Backup'!$A:$I,9,0)</f>
        <v>#N/A</v>
      </c>
      <c r="AK41" s="73" t="str">
        <f>IF(TableAOPTarget[[#This Row],[RFC Date]]="","",(TableAOPTarget[[#This Row],[RFC Date]]+3))</f>
        <v/>
      </c>
      <c r="AL41" s="74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41" s="95"/>
    </row>
    <row r="42" spans="1:39" ht="60" hidden="1" x14ac:dyDescent="0.25">
      <c r="A42" s="1" t="s">
        <v>396</v>
      </c>
      <c r="B42" s="49" t="s">
        <v>498</v>
      </c>
      <c r="C42" s="50">
        <v>35</v>
      </c>
      <c r="D42" s="51" t="s">
        <v>39</v>
      </c>
      <c r="E42" s="49" t="s">
        <v>50</v>
      </c>
      <c r="F42" s="53" t="s">
        <v>478</v>
      </c>
      <c r="G42" s="52" t="s">
        <v>340</v>
      </c>
      <c r="H42" s="52" t="s">
        <v>342</v>
      </c>
      <c r="I42" s="52" t="s">
        <v>345</v>
      </c>
      <c r="J42" s="52" t="s">
        <v>349</v>
      </c>
      <c r="K42" s="53" t="s">
        <v>465</v>
      </c>
      <c r="L42" s="53" t="s">
        <v>437</v>
      </c>
      <c r="M42" s="80">
        <v>5000</v>
      </c>
      <c r="N42" s="53"/>
      <c r="O42" s="53" t="s">
        <v>477</v>
      </c>
      <c r="P42" s="54"/>
      <c r="Q42" s="55" t="str">
        <f>IFERROR(VLOOKUP(TableAOPTarget[[#This Row],[RFC Date]],TableAopCalendar[[Date]:[Concatenate Month &amp; Week]],7,FALSE),"")</f>
        <v/>
      </c>
      <c r="R42" s="54"/>
      <c r="S42" s="55" t="str">
        <f>IFERROR(VLOOKUP(TableAOPTarget[[#This Row],[Actual Start Date]],TableAopCalendar[[Date]:[Concatenate Month &amp; Week]],7,FALSE),"")</f>
        <v/>
      </c>
      <c r="T42" s="55"/>
      <c r="U42" s="54"/>
      <c r="V42" s="53" t="str">
        <f>IFERROR(VLOOKUP(TableAOPTarget[[#This Row],[Planned Finish Date]],TableAopCalendar[[Date]:[Concatenate Month &amp; Week]],7,FALSE),"")</f>
        <v/>
      </c>
      <c r="W42" s="54"/>
      <c r="X42" s="53" t="str">
        <f>IFERROR(VLOOKUP(TableAOPTarget[[#This Row],[Actual Finish Date]],TableAopCalendar[[Date]:[Concatenate Month &amp; Week]],7,FALSE),"")</f>
        <v/>
      </c>
      <c r="Y42" s="82"/>
      <c r="Z42" s="55" t="str">
        <f>IFERROR(VLOOKUP(TableAOPTarget[[#This Row],[Forecasted Finish Date]],TableAopCalendar[[Date]:[Concatenate Month &amp; Week]],7,FALSE),"")</f>
        <v/>
      </c>
      <c r="AA42" s="54"/>
      <c r="AB42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42" s="53" t="str">
        <f>IF(TableAOPTarget[[#This Row],[EPC Status]]="EPC Ready",INDEX(TableAopCalendar[Month for Plan],MATCH(TableAOPTarget[[#This Row],[Actual Finish Date]],TableAopCalendar[Date],0))," ")</f>
        <v xml:space="preserve"> </v>
      </c>
      <c r="AD42" s="53"/>
      <c r="AE42" s="53"/>
      <c r="AF42" s="124" t="s">
        <v>420</v>
      </c>
      <c r="AG42" s="49"/>
      <c r="AH42" s="49"/>
      <c r="AI42" s="49"/>
      <c r="AJ42" s="49" t="e">
        <f>VLOOKUP(TableAOPTarget[[#This Row],[Apex ID]],'[17]Main Backup'!$A:$I,9,0)</f>
        <v>#N/A</v>
      </c>
      <c r="AK42" s="56" t="str">
        <f>IF(TableAOPTarget[[#This Row],[RFC Date]]="","",(TableAOPTarget[[#This Row],[RFC Date]]+3))</f>
        <v/>
      </c>
      <c r="AL42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42" s="92"/>
    </row>
    <row r="43" spans="1:39" ht="30" hidden="1" x14ac:dyDescent="0.25">
      <c r="A43" s="1" t="s">
        <v>397</v>
      </c>
      <c r="B43" s="193" t="s">
        <v>525</v>
      </c>
      <c r="C43" s="50">
        <v>45</v>
      </c>
      <c r="D43" s="51" t="s">
        <v>39</v>
      </c>
      <c r="E43" s="49" t="s">
        <v>50</v>
      </c>
      <c r="F43" s="53" t="s">
        <v>478</v>
      </c>
      <c r="G43" s="52" t="s">
        <v>340</v>
      </c>
      <c r="H43" s="52" t="s">
        <v>342</v>
      </c>
      <c r="I43" s="50" t="s">
        <v>345</v>
      </c>
      <c r="J43" s="50" t="s">
        <v>349</v>
      </c>
      <c r="K43" s="53" t="s">
        <v>522</v>
      </c>
      <c r="L43" s="53" t="s">
        <v>437</v>
      </c>
      <c r="M43" s="80"/>
      <c r="N43" s="55"/>
      <c r="O43" s="53" t="s">
        <v>477</v>
      </c>
      <c r="P43" s="54"/>
      <c r="Q43" s="55" t="str">
        <f>IFERROR(VLOOKUP(TableAOPTarget[[#This Row],[RFC Date]],TableAopCalendar[[Date]:[Concatenate Month &amp; Week]],7,FALSE),"")</f>
        <v/>
      </c>
      <c r="R43" s="66">
        <v>45782</v>
      </c>
      <c r="S43" s="55" t="str">
        <f>IFERROR(VLOOKUP(TableAOPTarget[[#This Row],[Actual Start Date]],TableAopCalendar[[Date]:[Concatenate Month &amp; Week]],7,FALSE),"")</f>
        <v>May 25 Week 1</v>
      </c>
      <c r="T43" s="65">
        <v>45</v>
      </c>
      <c r="U43" s="54">
        <f>TableAOPTarget[[#This Row],[Actual Start Date]]+TableAOPTarget[[#This Row],[Standard Duration]]</f>
        <v>45827</v>
      </c>
      <c r="V43" s="55" t="str">
        <f>IFERROR(VLOOKUP(TableAOPTarget[[#This Row],[Planned Finish Date]],TableAopCalendar[[Date]:[Concatenate Month &amp; Week]],7,FALSE),"")</f>
        <v>June 25 Week 3</v>
      </c>
      <c r="W43" s="54">
        <v>45819</v>
      </c>
      <c r="X43" s="55" t="str">
        <f>IFERROR(VLOOKUP(TableAOPTarget[[#This Row],[Actual Finish Date]],TableAopCalendar[[Date]:[Concatenate Month &amp; Week]],7,FALSE),"")</f>
        <v>June 25 Week 2</v>
      </c>
      <c r="Y43" s="82">
        <v>45814</v>
      </c>
      <c r="Z43" s="55" t="str">
        <f>IFERROR(VLOOKUP(TableAOPTarget[[#This Row],[Forecasted Finish Date]],TableAopCalendar[[Date]:[Concatenate Month &amp; Week]],7,FALSE),"")</f>
        <v>June 25 Week 1</v>
      </c>
      <c r="AA43" s="54"/>
      <c r="AB43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JUNE 25 PLANNED</v>
      </c>
      <c r="AC43" s="55" t="str">
        <f>IF(TableAOPTarget[[#This Row],[EPC Status]]="EPC Ready",INDEX(TableAopCalendar[Month for Plan],MATCH(TableAOPTarget[[#This Row],[Actual Finish Date]],TableAopCalendar[Date],0))," ")</f>
        <v>JUNE 25</v>
      </c>
      <c r="AD43" s="100">
        <v>1</v>
      </c>
      <c r="AE43" s="100">
        <v>1</v>
      </c>
      <c r="AF43" s="49" t="s">
        <v>408</v>
      </c>
      <c r="AG43" s="51"/>
      <c r="AH43" s="51"/>
      <c r="AI43" s="51"/>
      <c r="AJ43" s="51" t="e">
        <f>VLOOKUP(TableAOPTarget[[#This Row],[Apex ID]],'[17]Main Backup'!$A:$I,9,0)</f>
        <v>#N/A</v>
      </c>
      <c r="AK43" s="56" t="str">
        <f>IF(TableAOPTarget[[#This Row],[RFC Date]]="","",(TableAOPTarget[[#This Row],[RFC Date]]+3))</f>
        <v/>
      </c>
      <c r="AL43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43" s="92"/>
    </row>
    <row r="44" spans="1:39" ht="30" hidden="1" x14ac:dyDescent="0.25">
      <c r="A44" s="1" t="s">
        <v>398</v>
      </c>
      <c r="B44" s="49" t="s">
        <v>510</v>
      </c>
      <c r="C44" s="50">
        <v>44</v>
      </c>
      <c r="D44" s="51" t="s">
        <v>39</v>
      </c>
      <c r="E44" s="49" t="s">
        <v>50</v>
      </c>
      <c r="F44" s="53" t="s">
        <v>478</v>
      </c>
      <c r="G44" s="52" t="s">
        <v>340</v>
      </c>
      <c r="H44" s="52" t="s">
        <v>342</v>
      </c>
      <c r="I44" s="52" t="s">
        <v>345</v>
      </c>
      <c r="J44" s="52" t="s">
        <v>433</v>
      </c>
      <c r="K44" s="53" t="s">
        <v>507</v>
      </c>
      <c r="L44" s="53" t="s">
        <v>434</v>
      </c>
      <c r="M44" s="80">
        <v>20000</v>
      </c>
      <c r="N44" s="53"/>
      <c r="O44" s="53" t="s">
        <v>431</v>
      </c>
      <c r="P44" s="54"/>
      <c r="Q44" s="55" t="str">
        <f>IFERROR(VLOOKUP(TableAOPTarget[[#This Row],[RFC Date]],TableAopCalendar[[Date]:[Concatenate Month &amp; Week]],7,FALSE),"")</f>
        <v/>
      </c>
      <c r="R44" s="69">
        <v>45800</v>
      </c>
      <c r="S44" s="55" t="str">
        <f>IFERROR(VLOOKUP(TableAOPTarget[[#This Row],[Actual Start Date]],TableAopCalendar[[Date]:[Concatenate Month &amp; Week]],7,FALSE),"")</f>
        <v>May 25 Week 4</v>
      </c>
      <c r="T44" s="67">
        <v>135</v>
      </c>
      <c r="U44" s="54">
        <f>TableAOPTarget[[#This Row],[Actual Start Date]]+TableAOPTarget[[#This Row],[Standard Duration]]</f>
        <v>45935</v>
      </c>
      <c r="V44" s="53" t="str">
        <f>IFERROR(VLOOKUP(TableAOPTarget[[#This Row],[Planned Finish Date]],TableAopCalendar[[Date]:[Concatenate Month &amp; Week]],7,FALSE),"")</f>
        <v>October 25 Week 1</v>
      </c>
      <c r="W44" s="54">
        <v>45932</v>
      </c>
      <c r="X44" s="53" t="str">
        <f>IFERROR(VLOOKUP(TableAOPTarget[[#This Row],[Actual Finish Date]],TableAopCalendar[[Date]:[Concatenate Month &amp; Week]],7,FALSE),"")</f>
        <v>October 25 Week 1</v>
      </c>
      <c r="Y44" s="82">
        <v>45935</v>
      </c>
      <c r="Z44" s="55" t="str">
        <f>IFERROR(VLOOKUP(TableAOPTarget[[#This Row],[Forecasted Finish Date]],TableAopCalendar[[Date]:[Concatenate Month &amp; Week]],7,FALSE),"")</f>
        <v>October 25 Week 1</v>
      </c>
      <c r="AA44" s="54"/>
      <c r="AB44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OCTOBER 25 PLANNED</v>
      </c>
      <c r="AC44" s="53" t="str">
        <f>IF(TableAOPTarget[[#This Row],[EPC Status]]="EPC Ready",INDEX(TableAopCalendar[Month for Plan],MATCH(TableAOPTarget[[#This Row],[Actual Finish Date]],TableAopCalendar[Date],0))," ")</f>
        <v>OCTOBER 25</v>
      </c>
      <c r="AD44" s="101">
        <v>1</v>
      </c>
      <c r="AE44" s="101">
        <v>1</v>
      </c>
      <c r="AF44" s="49" t="s">
        <v>408</v>
      </c>
      <c r="AG44" s="49"/>
      <c r="AH44" s="49"/>
      <c r="AI44" s="49"/>
      <c r="AJ44" s="49" t="e">
        <f>VLOOKUP(TableAOPTarget[[#This Row],[Apex ID]],'[17]Main Backup'!$A:$I,9,0)</f>
        <v>#N/A</v>
      </c>
      <c r="AK44" s="56" t="str">
        <f>IF(TableAOPTarget[[#This Row],[RFC Date]]="","",(TableAOPTarget[[#This Row],[RFC Date]]+3))</f>
        <v/>
      </c>
      <c r="AL44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44" s="92"/>
    </row>
    <row r="45" spans="1:39" ht="36.6" hidden="1" customHeight="1" x14ac:dyDescent="0.25">
      <c r="A45" s="1" t="s">
        <v>399</v>
      </c>
      <c r="B45" s="49" t="s">
        <v>500</v>
      </c>
      <c r="C45" s="50">
        <v>46</v>
      </c>
      <c r="D45" s="51" t="s">
        <v>39</v>
      </c>
      <c r="E45" s="49" t="s">
        <v>50</v>
      </c>
      <c r="F45" s="53" t="s">
        <v>478</v>
      </c>
      <c r="G45" s="52" t="s">
        <v>340</v>
      </c>
      <c r="H45" s="52" t="s">
        <v>342</v>
      </c>
      <c r="I45" s="52" t="s">
        <v>345</v>
      </c>
      <c r="J45" s="52" t="s">
        <v>433</v>
      </c>
      <c r="K45" s="53" t="s">
        <v>467</v>
      </c>
      <c r="L45" s="53" t="s">
        <v>434</v>
      </c>
      <c r="M45" s="80">
        <v>7825</v>
      </c>
      <c r="N45" s="53"/>
      <c r="O45" s="53" t="s">
        <v>431</v>
      </c>
      <c r="P45" s="54"/>
      <c r="Q45" s="55" t="str">
        <f>IFERROR(VLOOKUP(TableAOPTarget[[#This Row],[RFC Date]],TableAopCalendar[[Date]:[Concatenate Month &amp; Week]],7,FALSE),"")</f>
        <v/>
      </c>
      <c r="R45" s="69">
        <v>45805</v>
      </c>
      <c r="S45" s="55" t="str">
        <f>IFERROR(VLOOKUP(TableAOPTarget[[#This Row],[Actual Start Date]],TableAopCalendar[[Date]:[Concatenate Month &amp; Week]],7,FALSE),"")</f>
        <v>May 25 Week 4</v>
      </c>
      <c r="T45" s="67">
        <v>90</v>
      </c>
      <c r="U45" s="54">
        <f>TableAOPTarget[[#This Row],[Actual Start Date]]+TableAOPTarget[[#This Row],[Standard Duration]]</f>
        <v>45895</v>
      </c>
      <c r="V45" s="53" t="str">
        <f>IFERROR(VLOOKUP(TableAOPTarget[[#This Row],[Planned Finish Date]],TableAopCalendar[[Date]:[Concatenate Month &amp; Week]],7,FALSE),"")</f>
        <v>August 25 Week 4</v>
      </c>
      <c r="W45" s="54">
        <v>45932</v>
      </c>
      <c r="X45" s="53" t="str">
        <f>IFERROR(VLOOKUP(TableAOPTarget[[#This Row],[Actual Finish Date]],TableAopCalendar[[Date]:[Concatenate Month &amp; Week]],7,FALSE),"")</f>
        <v>October 25 Week 1</v>
      </c>
      <c r="Y45" s="82">
        <v>45895</v>
      </c>
      <c r="Z45" s="55" t="str">
        <f>IFERROR(VLOOKUP(TableAOPTarget[[#This Row],[Forecasted Finish Date]],TableAopCalendar[[Date]:[Concatenate Month &amp; Week]],7,FALSE),"")</f>
        <v>August 25 Week 4</v>
      </c>
      <c r="AA45" s="54"/>
      <c r="AB45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AUGUST 25 PLANNED</v>
      </c>
      <c r="AC45" s="53" t="str">
        <f>IF(TableAOPTarget[[#This Row],[EPC Status]]="EPC Ready",INDEX(TableAopCalendar[Month for Plan],MATCH(TableAOPTarget[[#This Row],[Actual Finish Date]],TableAopCalendar[Date],0))," ")</f>
        <v>OCTOBER 25</v>
      </c>
      <c r="AD45" s="100">
        <v>1</v>
      </c>
      <c r="AE45" s="100">
        <v>1</v>
      </c>
      <c r="AF45" s="49" t="s">
        <v>408</v>
      </c>
      <c r="AG45" s="49"/>
      <c r="AH45" s="49"/>
      <c r="AI45" s="49"/>
      <c r="AJ45" s="49" t="e">
        <f>VLOOKUP(TableAOPTarget[[#This Row],[Apex ID]],'[17]Main Backup'!$A:$I,9,0)</f>
        <v>#N/A</v>
      </c>
      <c r="AK45" s="56" t="str">
        <f>IF(TableAOPTarget[[#This Row],[RFC Date]]="","",(TableAOPTarget[[#This Row],[RFC Date]]+3))</f>
        <v/>
      </c>
      <c r="AL45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45" s="92"/>
    </row>
    <row r="46" spans="1:39" ht="30" x14ac:dyDescent="0.25">
      <c r="A46" s="1" t="s">
        <v>400</v>
      </c>
      <c r="B46" s="49" t="s">
        <v>501</v>
      </c>
      <c r="C46" s="50">
        <v>43</v>
      </c>
      <c r="D46" s="51" t="s">
        <v>39</v>
      </c>
      <c r="E46" s="49" t="s">
        <v>50</v>
      </c>
      <c r="F46" s="53" t="s">
        <v>478</v>
      </c>
      <c r="G46" s="52" t="s">
        <v>340</v>
      </c>
      <c r="H46" s="52" t="s">
        <v>342</v>
      </c>
      <c r="I46" s="52" t="s">
        <v>345</v>
      </c>
      <c r="J46" s="52" t="s">
        <v>433</v>
      </c>
      <c r="K46" s="53" t="s">
        <v>508</v>
      </c>
      <c r="L46" s="53" t="s">
        <v>434</v>
      </c>
      <c r="M46" s="80">
        <v>2500</v>
      </c>
      <c r="N46" s="53"/>
      <c r="O46" s="53" t="s">
        <v>431</v>
      </c>
      <c r="P46" s="54"/>
      <c r="Q46" s="55" t="str">
        <f>IFERROR(VLOOKUP(TableAOPTarget[[#This Row],[RFC Date]],TableAopCalendar[[Date]:[Concatenate Month &amp; Week]],7,FALSE),"")</f>
        <v/>
      </c>
      <c r="R46" s="66">
        <v>46099</v>
      </c>
      <c r="S46" s="55" t="str">
        <f>IFERROR(VLOOKUP(TableAOPTarget[[#This Row],[Actual Start Date]],TableAopCalendar[[Date]:[Concatenate Month &amp; Week]],7,FALSE),"")</f>
        <v>March 26 Week 3</v>
      </c>
      <c r="T46" s="55">
        <v>90</v>
      </c>
      <c r="U46" s="54">
        <f>TableAOPTarget[[#This Row],[Actual Start Date]]+TableAOPTarget[[#This Row],[Standard Duration]]</f>
        <v>46189</v>
      </c>
      <c r="V46" s="53" t="str">
        <f>IFERROR(VLOOKUP(TableAOPTarget[[#This Row],[Planned Finish Date]],TableAopCalendar[[Date]:[Concatenate Month &amp; Week]],7,FALSE),"")</f>
        <v>June 26 Week 3</v>
      </c>
      <c r="W46" s="54"/>
      <c r="X46" s="53" t="str">
        <f>IFERROR(VLOOKUP(TableAOPTarget[[#This Row],[Actual Finish Date]],TableAopCalendar[[Date]:[Concatenate Month &amp; Week]],7,FALSE),"")</f>
        <v/>
      </c>
      <c r="Y46" s="82">
        <f>TableAOPTarget[[#This Row],[Planned Finish Date]]</f>
        <v>46189</v>
      </c>
      <c r="Z46" s="55" t="str">
        <f>IFERROR(VLOOKUP(TableAOPTarget[[#This Row],[Forecasted Finish Date]],TableAopCalendar[[Date]:[Concatenate Month &amp; Week]],7,FALSE),"")</f>
        <v>June 26 Week 3</v>
      </c>
      <c r="AA46" s="54"/>
      <c r="AB46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JUNE 26 PLANNED</v>
      </c>
      <c r="AC46" s="53" t="str">
        <f>IF(TableAOPTarget[[#This Row],[EPC Status]]="EPC Ready",INDEX(TableAopCalendar[Month for Plan],MATCH(TableAOPTarget[[#This Row],[Actual Finish Date]],TableAopCalendar[Date],0))," ")</f>
        <v xml:space="preserve"> </v>
      </c>
      <c r="AD46" s="101">
        <v>0.64</v>
      </c>
      <c r="AE46" s="101">
        <v>0.46</v>
      </c>
      <c r="AF46" s="49" t="s">
        <v>409</v>
      </c>
      <c r="AG46" s="49"/>
      <c r="AH46" s="49"/>
      <c r="AI46" s="49"/>
      <c r="AJ46" s="49" t="e">
        <f>VLOOKUP(TableAOPTarget[[#This Row],[Apex ID]],'[17]Main Backup'!$A:$I,9,0)</f>
        <v>#N/A</v>
      </c>
      <c r="AK46" s="56" t="str">
        <f>IF(TableAOPTarget[[#This Row],[RFC Date]]="","",(TableAOPTarget[[#This Row],[RFC Date]]+3))</f>
        <v/>
      </c>
      <c r="AL46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46" s="92"/>
    </row>
    <row r="47" spans="1:39" ht="30" hidden="1" x14ac:dyDescent="0.25">
      <c r="A47" s="1" t="s">
        <v>401</v>
      </c>
      <c r="B47" s="193" t="s">
        <v>545</v>
      </c>
      <c r="C47" s="50">
        <v>51</v>
      </c>
      <c r="D47" s="51" t="s">
        <v>39</v>
      </c>
      <c r="E47" s="49" t="s">
        <v>50</v>
      </c>
      <c r="F47" s="67" t="s">
        <v>478</v>
      </c>
      <c r="G47" s="52" t="s">
        <v>340</v>
      </c>
      <c r="H47" s="52" t="s">
        <v>342</v>
      </c>
      <c r="I47" s="68" t="s">
        <v>345</v>
      </c>
      <c r="J47" s="68" t="s">
        <v>433</v>
      </c>
      <c r="K47" s="140" t="s">
        <v>541</v>
      </c>
      <c r="L47" s="68" t="s">
        <v>434</v>
      </c>
      <c r="M47" s="80">
        <v>5500</v>
      </c>
      <c r="N47" s="71"/>
      <c r="O47" s="68" t="s">
        <v>431</v>
      </c>
      <c r="P47" s="70"/>
      <c r="Q47" s="71" t="str">
        <f>IFERROR(VLOOKUP(TableAOPTarget[[#This Row],[RFC Date]],TableAopCalendar[[Date]:[Concatenate Month &amp; Week]],7,FALSE),"")</f>
        <v/>
      </c>
      <c r="R47" s="66">
        <v>45859</v>
      </c>
      <c r="S47" s="71" t="str">
        <f>IFERROR(VLOOKUP(TableAOPTarget[[#This Row],[Actual Start Date]],TableAopCalendar[[Date]:[Concatenate Month &amp; Week]],7,FALSE),"")</f>
        <v>July 25 Week 3</v>
      </c>
      <c r="T47" s="71">
        <v>60</v>
      </c>
      <c r="U47" s="70">
        <f>TableAOPTarget[[#This Row],[Actual Start Date]]+TableAOPTarget[[#This Row],[Standard Duration]]</f>
        <v>45919</v>
      </c>
      <c r="V47" s="71" t="str">
        <f>IFERROR(VLOOKUP(TableAOPTarget[[#This Row],[Planned Finish Date]],TableAopCalendar[[Date]:[Concatenate Month &amp; Week]],7,FALSE),"")</f>
        <v>September 25 Week 3</v>
      </c>
      <c r="W47" s="82">
        <v>45948</v>
      </c>
      <c r="X47" s="71" t="str">
        <f>IFERROR(VLOOKUP(TableAOPTarget[[#This Row],[Actual Finish Date]],TableAopCalendar[[Date]:[Concatenate Month &amp; Week]],7,FALSE),"")</f>
        <v>October 25 Week 3</v>
      </c>
      <c r="Y47" s="82">
        <v>45948</v>
      </c>
      <c r="Z47" s="71" t="str">
        <f>IFERROR(VLOOKUP(TableAOPTarget[[#This Row],[Forecasted Finish Date]],TableAopCalendar[[Date]:[Concatenate Month &amp; Week]],7,FALSE),"")</f>
        <v>October 25 Week 3</v>
      </c>
      <c r="AA47" s="70"/>
      <c r="AB47" s="71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SEPTEMBER 25 PLANNED</v>
      </c>
      <c r="AC47" s="71" t="str">
        <f>IF(TableAOPTarget[[#This Row],[EPC Status]]="EPC Ready",INDEX(TableAopCalendar[Month for Plan],MATCH(TableAOPTarget[[#This Row],[Actual Finish Date]],TableAopCalendar[Date],0))," ")</f>
        <v>OCTOBER 25</v>
      </c>
      <c r="AD47" s="100">
        <v>1</v>
      </c>
      <c r="AE47" s="100">
        <v>1</v>
      </c>
      <c r="AF47" s="72" t="s">
        <v>408</v>
      </c>
      <c r="AG47" s="72"/>
      <c r="AH47" s="72"/>
      <c r="AI47" s="72" t="e">
        <f>VLOOKUP(TableAOPTarget[[#This Row],[PD]],[18]Backup!$C:$F,4,0)</f>
        <v>#N/A</v>
      </c>
      <c r="AJ47" s="72" t="e">
        <f>VLOOKUP(TableAOPTarget[[#This Row],[Apex ID]],'[17]Main Backup'!$A:$I,9,0)</f>
        <v>#N/A</v>
      </c>
      <c r="AK47" s="73" t="str">
        <f>IF(TableAOPTarget[[#This Row],[RFC Date]]="","",(TableAOPTarget[[#This Row],[RFC Date]]+3))</f>
        <v/>
      </c>
      <c r="AL47" s="74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47" s="95"/>
    </row>
    <row r="48" spans="1:39" ht="30" hidden="1" x14ac:dyDescent="0.25">
      <c r="A48" s="1" t="s">
        <v>402</v>
      </c>
      <c r="B48" s="193" t="s">
        <v>537</v>
      </c>
      <c r="C48" s="50">
        <v>47</v>
      </c>
      <c r="D48" s="51" t="s">
        <v>39</v>
      </c>
      <c r="E48" s="49" t="s">
        <v>50</v>
      </c>
      <c r="F48" s="53" t="s">
        <v>478</v>
      </c>
      <c r="G48" s="52" t="s">
        <v>340</v>
      </c>
      <c r="H48" s="52" t="s">
        <v>342</v>
      </c>
      <c r="I48" s="52" t="s">
        <v>345</v>
      </c>
      <c r="J48" s="52" t="s">
        <v>433</v>
      </c>
      <c r="K48" s="140" t="s">
        <v>536</v>
      </c>
      <c r="L48" s="53" t="s">
        <v>434</v>
      </c>
      <c r="M48" s="80">
        <v>5500</v>
      </c>
      <c r="N48" s="71"/>
      <c r="O48" s="53" t="s">
        <v>431</v>
      </c>
      <c r="P48" s="70"/>
      <c r="Q48" s="71" t="str">
        <f>IFERROR(VLOOKUP(TableAOPTarget[[#This Row],[RFC Date]],TableAopCalendar[[Date]:[Concatenate Month &amp; Week]],7,FALSE),"")</f>
        <v/>
      </c>
      <c r="R48" s="70"/>
      <c r="S48" s="71" t="str">
        <f>IFERROR(VLOOKUP(TableAOPTarget[[#This Row],[Actual Start Date]],TableAopCalendar[[Date]:[Concatenate Month &amp; Week]],7,FALSE),"")</f>
        <v/>
      </c>
      <c r="T48" s="71"/>
      <c r="U48" s="70"/>
      <c r="V48" s="71" t="str">
        <f>IFERROR(VLOOKUP(TableAOPTarget[[#This Row],[Planned Finish Date]],TableAopCalendar[[Date]:[Concatenate Month &amp; Week]],7,FALSE),"")</f>
        <v/>
      </c>
      <c r="W48" s="70"/>
      <c r="X48" s="71" t="str">
        <f>IFERROR(VLOOKUP(TableAOPTarget[[#This Row],[Actual Finish Date]],TableAopCalendar[[Date]:[Concatenate Month &amp; Week]],7,FALSE),"")</f>
        <v/>
      </c>
      <c r="Y48" s="82"/>
      <c r="Z48" s="71" t="str">
        <f>IFERROR(VLOOKUP(TableAOPTarget[[#This Row],[Forecasted Finish Date]],TableAopCalendar[[Date]:[Concatenate Month &amp; Week]],7,FALSE),"")</f>
        <v/>
      </c>
      <c r="AA48" s="70"/>
      <c r="AB48" s="71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48" s="71" t="str">
        <f>IF(TableAOPTarget[[#This Row],[EPC Status]]="EPC Ready",INDEX(TableAopCalendar[Month for Plan],MATCH(TableAOPTarget[[#This Row],[Actual Finish Date]],TableAopCalendar[Date],0))," ")</f>
        <v xml:space="preserve"> </v>
      </c>
      <c r="AD48" s="71"/>
      <c r="AE48" s="71"/>
      <c r="AF48" s="124" t="s">
        <v>420</v>
      </c>
      <c r="AG48" s="72"/>
      <c r="AH48" s="72"/>
      <c r="AI48" s="72" t="e">
        <f>VLOOKUP(TableAOPTarget[[#This Row],[PD]],[18]Backup!$C:$F,4,0)</f>
        <v>#N/A</v>
      </c>
      <c r="AJ48" s="72" t="e">
        <f>VLOOKUP(TableAOPTarget[[#This Row],[Apex ID]],'[17]Main Backup'!$A:$I,9,0)</f>
        <v>#N/A</v>
      </c>
      <c r="AK48" s="73" t="str">
        <f>IF(TableAOPTarget[[#This Row],[RFC Date]]="","",(TableAOPTarget[[#This Row],[RFC Date]]+3))</f>
        <v/>
      </c>
      <c r="AL48" s="74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48" s="95"/>
    </row>
    <row r="49" spans="1:39" ht="60" hidden="1" x14ac:dyDescent="0.25">
      <c r="A49" s="1" t="s">
        <v>403</v>
      </c>
      <c r="B49" s="49" t="s">
        <v>502</v>
      </c>
      <c r="C49" s="50">
        <v>50</v>
      </c>
      <c r="D49" s="51" t="s">
        <v>39</v>
      </c>
      <c r="E49" s="49" t="s">
        <v>50</v>
      </c>
      <c r="F49" s="53" t="s">
        <v>478</v>
      </c>
      <c r="G49" s="52" t="s">
        <v>340</v>
      </c>
      <c r="H49" s="52" t="s">
        <v>342</v>
      </c>
      <c r="I49" s="52" t="s">
        <v>345</v>
      </c>
      <c r="J49" s="52" t="s">
        <v>433</v>
      </c>
      <c r="K49" s="53" t="s">
        <v>468</v>
      </c>
      <c r="L49" s="53" t="s">
        <v>434</v>
      </c>
      <c r="M49" s="80">
        <v>5500</v>
      </c>
      <c r="N49" s="53"/>
      <c r="O49" s="53" t="s">
        <v>431</v>
      </c>
      <c r="P49" s="54"/>
      <c r="Q49" s="55" t="str">
        <f>IFERROR(VLOOKUP(TableAOPTarget[[#This Row],[RFC Date]],TableAopCalendar[[Date]:[Concatenate Month &amp; Week]],7,FALSE),"")</f>
        <v/>
      </c>
      <c r="R49" s="66">
        <v>45826</v>
      </c>
      <c r="S49" s="55" t="str">
        <f>IFERROR(VLOOKUP(TableAOPTarget[[#This Row],[Actual Start Date]],TableAopCalendar[[Date]:[Concatenate Month &amp; Week]],7,FALSE),"")</f>
        <v>June 25 Week 3</v>
      </c>
      <c r="T49" s="65">
        <v>60</v>
      </c>
      <c r="U49" s="54">
        <f>TableAOPTarget[[#This Row],[Actual Start Date]]+TableAOPTarget[[#This Row],[Standard Duration]]</f>
        <v>45886</v>
      </c>
      <c r="V49" s="53" t="str">
        <f>IFERROR(VLOOKUP(TableAOPTarget[[#This Row],[Planned Finish Date]],TableAopCalendar[[Date]:[Concatenate Month &amp; Week]],7,FALSE),"")</f>
        <v>August 25 Week 3</v>
      </c>
      <c r="W49" s="54">
        <v>45883</v>
      </c>
      <c r="X49" s="53" t="str">
        <f>IFERROR(VLOOKUP(TableAOPTarget[[#This Row],[Actual Finish Date]],TableAopCalendar[[Date]:[Concatenate Month &amp; Week]],7,FALSE),"")</f>
        <v>August 25 Week 2</v>
      </c>
      <c r="Y49" s="82">
        <v>45886</v>
      </c>
      <c r="Z49" s="55" t="str">
        <f>IFERROR(VLOOKUP(TableAOPTarget[[#This Row],[Forecasted Finish Date]],TableAopCalendar[[Date]:[Concatenate Month &amp; Week]],7,FALSE),"")</f>
        <v>August 25 Week 3</v>
      </c>
      <c r="AA49" s="54"/>
      <c r="AB49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AUGUST 25 PLANNED</v>
      </c>
      <c r="AC49" s="53" t="str">
        <f>IF(TableAOPTarget[[#This Row],[EPC Status]]="EPC Ready",INDEX(TableAopCalendar[Month for Plan],MATCH(TableAOPTarget[[#This Row],[Actual Finish Date]],TableAopCalendar[Date],0))," ")</f>
        <v>AUGUST 25</v>
      </c>
      <c r="AD49" s="100">
        <v>1</v>
      </c>
      <c r="AE49" s="100">
        <v>1</v>
      </c>
      <c r="AF49" s="49" t="s">
        <v>408</v>
      </c>
      <c r="AG49" s="49"/>
      <c r="AH49" s="49"/>
      <c r="AI49" s="49"/>
      <c r="AJ49" s="49" t="e">
        <f>VLOOKUP(TableAOPTarget[[#This Row],[Apex ID]],'[17]Main Backup'!$A:$I,9,0)</f>
        <v>#N/A</v>
      </c>
      <c r="AK49" s="56" t="str">
        <f>IF(TableAOPTarget[[#This Row],[RFC Date]]="","",(TableAOPTarget[[#This Row],[RFC Date]]+3))</f>
        <v/>
      </c>
      <c r="AL49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49" s="92"/>
    </row>
    <row r="50" spans="1:39" ht="30" hidden="1" x14ac:dyDescent="0.25">
      <c r="A50" s="1" t="s">
        <v>404</v>
      </c>
      <c r="B50" s="49" t="s">
        <v>479</v>
      </c>
      <c r="C50" s="50">
        <v>4</v>
      </c>
      <c r="D50" s="51" t="s">
        <v>39</v>
      </c>
      <c r="E50" s="49" t="s">
        <v>50</v>
      </c>
      <c r="F50" s="53" t="s">
        <v>445</v>
      </c>
      <c r="G50" s="52" t="s">
        <v>340</v>
      </c>
      <c r="H50" s="52" t="s">
        <v>343</v>
      </c>
      <c r="I50" s="52" t="s">
        <v>686</v>
      </c>
      <c r="J50" s="52" t="s">
        <v>351</v>
      </c>
      <c r="K50" s="53" t="s">
        <v>455</v>
      </c>
      <c r="L50" s="53" t="s">
        <v>456</v>
      </c>
      <c r="M50" s="80"/>
      <c r="N50" s="53"/>
      <c r="O50" s="53"/>
      <c r="P50" s="54"/>
      <c r="Q50" s="55" t="str">
        <f>IFERROR(VLOOKUP(TableAOPTarget[[#This Row],[RFC Date]],TableAopCalendar[[Date]:[Concatenate Month &amp; Week]],7,FALSE),"")</f>
        <v/>
      </c>
      <c r="R50" s="54"/>
      <c r="S50" s="55" t="str">
        <f>IFERROR(VLOOKUP(TableAOPTarget[[#This Row],[Actual Start Date]],TableAopCalendar[[Date]:[Concatenate Month &amp; Week]],7,FALSE),"")</f>
        <v/>
      </c>
      <c r="T50" s="55"/>
      <c r="U50" s="54"/>
      <c r="V50" s="53" t="str">
        <f>IFERROR(VLOOKUP(TableAOPTarget[[#This Row],[Planned Finish Date]],TableAopCalendar[[Date]:[Concatenate Month &amp; Week]],7,FALSE),"")</f>
        <v/>
      </c>
      <c r="W50" s="54"/>
      <c r="X50" s="53" t="str">
        <f>IFERROR(VLOOKUP(TableAOPTarget[[#This Row],[Actual Finish Date]],TableAopCalendar[[Date]:[Concatenate Month &amp; Week]],7,FALSE),"")</f>
        <v/>
      </c>
      <c r="Y50" s="82"/>
      <c r="Z50" s="55" t="str">
        <f>IFERROR(VLOOKUP(TableAOPTarget[[#This Row],[Forecasted Finish Date]],TableAopCalendar[[Date]:[Concatenate Month &amp; Week]],7,FALSE),"")</f>
        <v/>
      </c>
      <c r="AA50" s="54"/>
      <c r="AB50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50" s="53" t="str">
        <f>IF(TableAOPTarget[[#This Row],[EPC Status]]="EPC Ready",INDEX(TableAopCalendar[Month for Plan],MATCH(TableAOPTarget[[#This Row],[Actual Finish Date]],TableAopCalendar[Date],0))," ")</f>
        <v xml:space="preserve"> </v>
      </c>
      <c r="AD50" s="53"/>
      <c r="AE50" s="53"/>
      <c r="AF50" s="49" t="s">
        <v>436</v>
      </c>
      <c r="AG50" s="49"/>
      <c r="AH50" s="49"/>
      <c r="AI50" s="49"/>
      <c r="AJ50" s="49" t="e">
        <f>VLOOKUP(TableAOPTarget[[#This Row],[Apex ID]],'[17]Main Backup'!$A:$I,9,0)</f>
        <v>#N/A</v>
      </c>
      <c r="AK50" s="56" t="str">
        <f>IF(TableAOPTarget[[#This Row],[RFC Date]]="","",(TableAOPTarget[[#This Row],[RFC Date]]+3))</f>
        <v/>
      </c>
      <c r="AL50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50" s="92"/>
    </row>
    <row r="51" spans="1:39" ht="45" x14ac:dyDescent="0.25">
      <c r="A51" s="1" t="s">
        <v>405</v>
      </c>
      <c r="B51" s="49" t="s">
        <v>443</v>
      </c>
      <c r="C51" s="50">
        <v>17</v>
      </c>
      <c r="D51" s="51" t="s">
        <v>39</v>
      </c>
      <c r="E51" s="49" t="s">
        <v>50</v>
      </c>
      <c r="F51" s="53" t="s">
        <v>441</v>
      </c>
      <c r="G51" s="52" t="s">
        <v>346</v>
      </c>
      <c r="H51" s="52" t="s">
        <v>342</v>
      </c>
      <c r="I51" s="52" t="s">
        <v>345</v>
      </c>
      <c r="J51" s="52" t="s">
        <v>349</v>
      </c>
      <c r="K51" s="53" t="s">
        <v>440</v>
      </c>
      <c r="L51" s="53" t="s">
        <v>591</v>
      </c>
      <c r="M51" s="80">
        <v>8000</v>
      </c>
      <c r="N51" s="53" t="s">
        <v>442</v>
      </c>
      <c r="O51" s="53" t="s">
        <v>427</v>
      </c>
      <c r="P51" s="54">
        <v>45600</v>
      </c>
      <c r="Q51" s="55" t="str">
        <f>IFERROR(VLOOKUP(TableAOPTarget[[#This Row],[RFC Date]],TableAopCalendar[[Date]:[Concatenate Month &amp; Week]],7,FALSE),"")</f>
        <v>November 24 Week 1</v>
      </c>
      <c r="R51" s="54">
        <v>45600</v>
      </c>
      <c r="S51" s="55" t="str">
        <f>IFERROR(VLOOKUP(TableAOPTarget[[#This Row],[Actual Start Date]],TableAopCalendar[[Date]:[Concatenate Month &amp; Week]],7,FALSE),"")</f>
        <v>November 24 Week 1</v>
      </c>
      <c r="T51" s="55">
        <v>30</v>
      </c>
      <c r="U51" s="54">
        <f>TableAOPTarget[[#This Row],[Actual Start Date]]+TableAOPTarget[[#This Row],[Standard Duration]]</f>
        <v>45630</v>
      </c>
      <c r="V51" s="53" t="str">
        <f>IFERROR(VLOOKUP(TableAOPTarget[[#This Row],[Planned Finish Date]],TableAopCalendar[[Date]:[Concatenate Month &amp; Week]],7,FALSE),"")</f>
        <v>December 24 Week 1</v>
      </c>
      <c r="W51" s="54"/>
      <c r="X51" s="53" t="str">
        <f>IFERROR(VLOOKUP(TableAOPTarget[[#This Row],[Actual Finish Date]],TableAopCalendar[[Date]:[Concatenate Month &amp; Week]],7,FALSE),"")</f>
        <v/>
      </c>
      <c r="Y51" s="82">
        <v>45777</v>
      </c>
      <c r="Z51" s="55" t="str">
        <f>IFERROR(VLOOKUP(TableAOPTarget[[#This Row],[Forecasted Finish Date]],TableAopCalendar[[Date]:[Concatenate Month &amp; Week]],7,FALSE),"")</f>
        <v>April 25 Week 5</v>
      </c>
      <c r="AA51" s="54"/>
      <c r="AB51" s="5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51" s="53" t="str">
        <f>IF(TableAOPTarget[[#This Row],[EPC Status]]="EPC Ready",INDEX(TableAopCalendar[Month for Plan],MATCH(TableAOPTarget[[#This Row],[Actual Finish Date]],TableAopCalendar[Date],0))," ")</f>
        <v xml:space="preserve"> </v>
      </c>
      <c r="AD51" s="100">
        <v>1</v>
      </c>
      <c r="AE51" s="100">
        <v>0.9</v>
      </c>
      <c r="AF51" s="49" t="s">
        <v>410</v>
      </c>
      <c r="AG51" s="49"/>
      <c r="AH51" s="49"/>
      <c r="AI51" s="49"/>
      <c r="AJ51" s="49"/>
      <c r="AK51" s="56">
        <v>45600</v>
      </c>
      <c r="AL51" s="52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>0</v>
      </c>
      <c r="AM51" s="92"/>
    </row>
    <row r="52" spans="1:39" ht="30" hidden="1" x14ac:dyDescent="0.25">
      <c r="B52" s="163" t="s">
        <v>424</v>
      </c>
      <c r="C52" s="104">
        <v>18</v>
      </c>
      <c r="D52" s="106" t="s">
        <v>39</v>
      </c>
      <c r="E52" s="108" t="s">
        <v>50</v>
      </c>
      <c r="F52" s="53" t="s">
        <v>441</v>
      </c>
      <c r="G52" s="52" t="s">
        <v>346</v>
      </c>
      <c r="H52" s="52" t="s">
        <v>342</v>
      </c>
      <c r="I52" s="52" t="s">
        <v>345</v>
      </c>
      <c r="J52" s="52" t="s">
        <v>349</v>
      </c>
      <c r="K52" s="110" t="s">
        <v>425</v>
      </c>
      <c r="L52" s="53" t="s">
        <v>591</v>
      </c>
      <c r="M52" s="80">
        <v>1500</v>
      </c>
      <c r="N52" s="110" t="s">
        <v>426</v>
      </c>
      <c r="O52" s="53" t="s">
        <v>427</v>
      </c>
      <c r="P52" s="115">
        <v>45383</v>
      </c>
      <c r="Q52" s="116" t="str">
        <f>IFERROR(VLOOKUP(TableAOPTarget[[#This Row],[RFC Date]],TableAopCalendar[[Date]:[Concatenate Month &amp; Week]],7,FALSE),"")</f>
        <v>April 24 Week 1</v>
      </c>
      <c r="R52" s="115">
        <v>45411</v>
      </c>
      <c r="S52" s="116" t="str">
        <f>IFERROR(VLOOKUP(TableAOPTarget[[#This Row],[Actual Start Date]],TableAopCalendar[[Date]:[Concatenate Month &amp; Week]],7,FALSE),"")</f>
        <v>April 24 Week 5</v>
      </c>
      <c r="T52" s="116">
        <v>60</v>
      </c>
      <c r="U52" s="115">
        <f>TableAOPTarget[[#This Row],[Actual Start Date]]+TableAOPTarget[[#This Row],[Standard Duration]]</f>
        <v>45471</v>
      </c>
      <c r="V52" s="110" t="str">
        <f>IFERROR(VLOOKUP(TableAOPTarget[[#This Row],[Planned Finish Date]],TableAopCalendar[[Date]:[Concatenate Month &amp; Week]],7,FALSE),"")</f>
        <v>June 24 Week 4</v>
      </c>
      <c r="W52" s="115">
        <v>45807</v>
      </c>
      <c r="X52" s="110" t="str">
        <f>IFERROR(VLOOKUP(TableAOPTarget[[#This Row],[Actual Finish Date]],TableAopCalendar[[Date]:[Concatenate Month &amp; Week]],7,FALSE),"")</f>
        <v>May 25 Week 5</v>
      </c>
      <c r="Y52" s="82">
        <v>45792</v>
      </c>
      <c r="Z52" s="116" t="str">
        <f>IFERROR(VLOOKUP(TableAOPTarget[[#This Row],[Forecasted Finish Date]],TableAopCalendar[[Date]:[Concatenate Month &amp; Week]],7,FALSE),"")</f>
        <v>May 25 Week 3</v>
      </c>
      <c r="AA52" s="115"/>
      <c r="AB52" s="110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JUNE 24 PLANNED</v>
      </c>
      <c r="AC52" s="110" t="str">
        <f>IF(TableAOPTarget[[#This Row],[EPC Status]]="EPC Ready",INDEX(TableAopCalendar[Month for Plan],MATCH(TableAOPTarget[[#This Row],[Actual Finish Date]],TableAopCalendar[Date],0))," ")</f>
        <v>MAY 25</v>
      </c>
      <c r="AD52" s="100">
        <v>1</v>
      </c>
      <c r="AE52" s="100">
        <v>1</v>
      </c>
      <c r="AF52" s="49" t="s">
        <v>408</v>
      </c>
      <c r="AG52" s="108"/>
      <c r="AH52" s="108"/>
      <c r="AI52" s="108"/>
      <c r="AJ52" s="108"/>
      <c r="AK52" s="118">
        <f>IF(TableAOPTarget[[#This Row],[RFC Date]]="","",(TableAOPTarget[[#This Row],[RFC Date]]+3))</f>
        <v>45386</v>
      </c>
      <c r="AL52" s="120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>25</v>
      </c>
      <c r="AM52" s="106"/>
    </row>
    <row r="53" spans="1:39" ht="30" hidden="1" x14ac:dyDescent="0.25">
      <c r="B53" s="162" t="s">
        <v>576</v>
      </c>
      <c r="C53" s="123"/>
      <c r="D53" s="124"/>
      <c r="E53" s="122"/>
      <c r="F53" s="88" t="s">
        <v>445</v>
      </c>
      <c r="G53" s="52" t="s">
        <v>340</v>
      </c>
      <c r="H53" s="52" t="s">
        <v>343</v>
      </c>
      <c r="I53" s="110" t="s">
        <v>686</v>
      </c>
      <c r="J53" s="65" t="s">
        <v>354</v>
      </c>
      <c r="K53" s="141" t="s">
        <v>562</v>
      </c>
      <c r="L53" s="65" t="s">
        <v>565</v>
      </c>
      <c r="M53" s="80">
        <v>1892</v>
      </c>
      <c r="N53" s="126"/>
      <c r="O53" s="55" t="s">
        <v>580</v>
      </c>
      <c r="P53" s="127">
        <v>45931</v>
      </c>
      <c r="Q53" s="126" t="str">
        <f>IFERROR(VLOOKUP(TableAOPTarget[[#This Row],[RFC Date]],TableAopCalendar[[Date]:[Concatenate Month &amp; Week]],7,FALSE),"")</f>
        <v>October 25 Week 1</v>
      </c>
      <c r="R53" s="127">
        <v>45935</v>
      </c>
      <c r="S53" s="126" t="str">
        <f>IFERROR(VLOOKUP(TableAOPTarget[[#This Row],[Actual Start Date]],TableAopCalendar[[Date]:[Concatenate Month &amp; Week]],7,FALSE),"")</f>
        <v>October 25 Week 1</v>
      </c>
      <c r="T53" s="126">
        <v>45</v>
      </c>
      <c r="U53" s="115">
        <f>TableAOPTarget[[#This Row],[Actual Start Date]]+TableAOPTarget[[#This Row],[Standard Duration]]</f>
        <v>45980</v>
      </c>
      <c r="V53" s="126" t="str">
        <f>IFERROR(VLOOKUP(TableAOPTarget[[#This Row],[Planned Finish Date]],TableAopCalendar[[Date]:[Concatenate Month &amp; Week]],7,FALSE),"")</f>
        <v>November 25 Week 3</v>
      </c>
      <c r="W53" s="127">
        <v>45974</v>
      </c>
      <c r="X53" s="126" t="str">
        <f>IFERROR(VLOOKUP(TableAOPTarget[[#This Row],[Actual Finish Date]],TableAopCalendar[[Date]:[Concatenate Month &amp; Week]],7,FALSE),"")</f>
        <v>November 25 Week 2</v>
      </c>
      <c r="Y53" s="82">
        <v>45980</v>
      </c>
      <c r="Z53" s="126" t="str">
        <f>IFERROR(VLOOKUP(TableAOPTarget[[#This Row],[Forecasted Finish Date]],TableAopCalendar[[Date]:[Concatenate Month &amp; Week]],7,FALSE),"")</f>
        <v>November 25 Week 3</v>
      </c>
      <c r="AA53" s="127"/>
      <c r="AB53" s="12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NOVEMBER 25 PLANNED</v>
      </c>
      <c r="AC53" s="110" t="str">
        <f>IF(TableAOPTarget[[#This Row],[EPC Status]]="EPC Ready",INDEX(TableAopCalendar[Month for Plan],MATCH(TableAOPTarget[[#This Row],[Actual Finish Date]],TableAopCalendar[Date],0))," ")</f>
        <v>NOVEMBER 25</v>
      </c>
      <c r="AD53" s="100">
        <v>1</v>
      </c>
      <c r="AE53" s="100">
        <v>1</v>
      </c>
      <c r="AF53" s="51" t="s">
        <v>408</v>
      </c>
      <c r="AG53" s="124"/>
      <c r="AH53" s="124"/>
      <c r="AI53" s="124" t="e">
        <f>VLOOKUP(TableAOPTarget[[#This Row],[PD]],[18]Backup!$C:$F,4,0)</f>
        <v>#N/A</v>
      </c>
      <c r="AJ53" s="124" t="e">
        <f>VLOOKUP(TableAOPTarget[[#This Row],[Apex ID]],'[17]Main Backup'!$A:$I,9,0)</f>
        <v>#N/A</v>
      </c>
      <c r="AK53" s="128">
        <f>IF(TableAOPTarget[[#This Row],[RFC Date]]="","",(TableAOPTarget[[#This Row],[RFC Date]]+3))</f>
        <v>45934</v>
      </c>
      <c r="AL53" s="125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>1</v>
      </c>
      <c r="AM53" s="124"/>
    </row>
    <row r="54" spans="1:39" ht="30" hidden="1" x14ac:dyDescent="0.25">
      <c r="B54" s="162" t="s">
        <v>577</v>
      </c>
      <c r="C54" s="123"/>
      <c r="D54" s="124"/>
      <c r="E54" s="122"/>
      <c r="F54" s="88" t="s">
        <v>445</v>
      </c>
      <c r="G54" s="52" t="s">
        <v>340</v>
      </c>
      <c r="H54" s="52" t="s">
        <v>343</v>
      </c>
      <c r="I54" s="110" t="s">
        <v>686</v>
      </c>
      <c r="J54" s="65" t="s">
        <v>354</v>
      </c>
      <c r="K54" s="141" t="s">
        <v>563</v>
      </c>
      <c r="L54" s="65" t="s">
        <v>565</v>
      </c>
      <c r="M54" s="80">
        <v>1892</v>
      </c>
      <c r="N54" s="126"/>
      <c r="O54" s="55" t="s">
        <v>580</v>
      </c>
      <c r="P54" s="127">
        <v>45931</v>
      </c>
      <c r="Q54" s="126" t="str">
        <f>IFERROR(VLOOKUP(TableAOPTarget[[#This Row],[RFC Date]],TableAopCalendar[[Date]:[Concatenate Month &amp; Week]],7,FALSE),"")</f>
        <v>October 25 Week 1</v>
      </c>
      <c r="R54" s="127">
        <v>45966</v>
      </c>
      <c r="S54" s="126" t="str">
        <f>IFERROR(VLOOKUP(TableAOPTarget[[#This Row],[Actual Start Date]],TableAopCalendar[[Date]:[Concatenate Month &amp; Week]],7,FALSE),"")</f>
        <v>November 25 Week 1</v>
      </c>
      <c r="T54" s="126">
        <v>45</v>
      </c>
      <c r="U54" s="127">
        <f>TableAOPTarget[[#This Row],[Actual Start Date]]+TableAOPTarget[[#This Row],[Standard Duration]]</f>
        <v>46011</v>
      </c>
      <c r="V54" s="126" t="str">
        <f>IFERROR(VLOOKUP(TableAOPTarget[[#This Row],[Planned Finish Date]],TableAopCalendar[[Date]:[Concatenate Month &amp; Week]],7,FALSE),"")</f>
        <v>December 25 Week 3</v>
      </c>
      <c r="W54" s="127">
        <v>45982</v>
      </c>
      <c r="X54" s="126" t="str">
        <f>IFERROR(VLOOKUP(TableAOPTarget[[#This Row],[Actual Finish Date]],TableAopCalendar[[Date]:[Concatenate Month &amp; Week]],7,FALSE),"")</f>
        <v>November 25 Week 3</v>
      </c>
      <c r="Y54" s="82">
        <v>46016</v>
      </c>
      <c r="Z54" s="126" t="str">
        <f>IFERROR(VLOOKUP(TableAOPTarget[[#This Row],[Forecasted Finish Date]],TableAopCalendar[[Date]:[Concatenate Month &amp; Week]],7,FALSE),"")</f>
        <v>December 25 Week 4</v>
      </c>
      <c r="AA54" s="127"/>
      <c r="AB54" s="12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DECEMBER 25 PLANNED</v>
      </c>
      <c r="AC54" s="110" t="str">
        <f>IF(TableAOPTarget[[#This Row],[EPC Status]]="EPC Ready",INDEX(TableAopCalendar[Month for Plan],MATCH(TableAOPTarget[[#This Row],[Actual Finish Date]],TableAopCalendar[Date],0))," ")</f>
        <v>NOVEMBER 25</v>
      </c>
      <c r="AD54" s="100">
        <v>1</v>
      </c>
      <c r="AE54" s="100">
        <v>1</v>
      </c>
      <c r="AF54" s="51" t="s">
        <v>408</v>
      </c>
      <c r="AG54" s="124"/>
      <c r="AH54" s="124"/>
      <c r="AI54" s="124" t="e">
        <f>VLOOKUP(TableAOPTarget[[#This Row],[PD]],[18]Backup!$C:$F,4,0)</f>
        <v>#N/A</v>
      </c>
      <c r="AJ54" s="124" t="e">
        <f>VLOOKUP(TableAOPTarget[[#This Row],[Apex ID]],'[17]Main Backup'!$A:$I,9,0)</f>
        <v>#N/A</v>
      </c>
      <c r="AK54" s="128">
        <f>IF(TableAOPTarget[[#This Row],[RFC Date]]="","",(TableAOPTarget[[#This Row],[RFC Date]]+3))</f>
        <v>45934</v>
      </c>
      <c r="AL54" s="125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>32</v>
      </c>
      <c r="AM54" s="124"/>
    </row>
    <row r="55" spans="1:39" ht="30" hidden="1" x14ac:dyDescent="0.25">
      <c r="B55" s="162" t="s">
        <v>578</v>
      </c>
      <c r="C55" s="130"/>
      <c r="D55" s="131"/>
      <c r="E55" s="129"/>
      <c r="F55" s="88" t="s">
        <v>445</v>
      </c>
      <c r="G55" s="52" t="s">
        <v>340</v>
      </c>
      <c r="H55" s="52" t="s">
        <v>343</v>
      </c>
      <c r="I55" s="110" t="s">
        <v>686</v>
      </c>
      <c r="J55" s="65" t="s">
        <v>354</v>
      </c>
      <c r="K55" s="142" t="s">
        <v>564</v>
      </c>
      <c r="L55" s="65" t="s">
        <v>565</v>
      </c>
      <c r="M55" s="80">
        <v>1892</v>
      </c>
      <c r="N55" s="133"/>
      <c r="O55" s="55" t="s">
        <v>580</v>
      </c>
      <c r="P55" s="127">
        <v>45931</v>
      </c>
      <c r="Q55" s="133" t="str">
        <f>IFERROR(VLOOKUP(TableAOPTarget[[#This Row],[RFC Date]],TableAopCalendar[[Date]:[Concatenate Month &amp; Week]],7,FALSE),"")</f>
        <v>October 25 Week 1</v>
      </c>
      <c r="R55" s="134">
        <v>45940</v>
      </c>
      <c r="S55" s="133" t="str">
        <f>IFERROR(VLOOKUP(TableAOPTarget[[#This Row],[Actual Start Date]],TableAopCalendar[[Date]:[Concatenate Month &amp; Week]],7,FALSE),"")</f>
        <v>October 25 Week 2</v>
      </c>
      <c r="T55" s="133">
        <v>45</v>
      </c>
      <c r="U55" s="115">
        <f>TableAOPTarget[[#This Row],[Actual Start Date]]+TableAOPTarget[[#This Row],[Standard Duration]]</f>
        <v>45985</v>
      </c>
      <c r="V55" s="133" t="str">
        <f>IFERROR(VLOOKUP(TableAOPTarget[[#This Row],[Planned Finish Date]],TableAopCalendar[[Date]:[Concatenate Month &amp; Week]],7,FALSE),"")</f>
        <v>November 25 Week 4</v>
      </c>
      <c r="W55" s="134">
        <v>45974</v>
      </c>
      <c r="X55" s="133" t="str">
        <f>IFERROR(VLOOKUP(TableAOPTarget[[#This Row],[Actual Finish Date]],TableAopCalendar[[Date]:[Concatenate Month &amp; Week]],7,FALSE),"")</f>
        <v>November 25 Week 2</v>
      </c>
      <c r="Y55" s="82">
        <v>45985</v>
      </c>
      <c r="Z55" s="133" t="str">
        <f>IFERROR(VLOOKUP(TableAOPTarget[[#This Row],[Forecasted Finish Date]],TableAopCalendar[[Date]:[Concatenate Month &amp; Week]],7,FALSE),"")</f>
        <v>November 25 Week 4</v>
      </c>
      <c r="AA55" s="134"/>
      <c r="AB55" s="133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NOVEMBER 25 PLANNED</v>
      </c>
      <c r="AC55" s="110" t="str">
        <f>IF(TableAOPTarget[[#This Row],[EPC Status]]="EPC Ready",INDEX(TableAopCalendar[Month for Plan],MATCH(TableAOPTarget[[#This Row],[Actual Finish Date]],TableAopCalendar[Date],0))," ")</f>
        <v>NOVEMBER 25</v>
      </c>
      <c r="AD55" s="100">
        <v>1</v>
      </c>
      <c r="AE55" s="100">
        <v>1</v>
      </c>
      <c r="AF55" s="51" t="s">
        <v>408</v>
      </c>
      <c r="AG55" s="131"/>
      <c r="AH55" s="131"/>
      <c r="AI55" s="131" t="e">
        <f>VLOOKUP(TableAOPTarget[[#This Row],[PD]],[18]Backup!$C:$F,4,0)</f>
        <v>#N/A</v>
      </c>
      <c r="AJ55" s="131" t="e">
        <f>VLOOKUP(TableAOPTarget[[#This Row],[Apex ID]],'[17]Main Backup'!$A:$I,9,0)</f>
        <v>#N/A</v>
      </c>
      <c r="AK55" s="135">
        <f>IF(TableAOPTarget[[#This Row],[RFC Date]]="","",(TableAOPTarget[[#This Row],[RFC Date]]+3))</f>
        <v>45934</v>
      </c>
      <c r="AL55" s="132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>6</v>
      </c>
      <c r="AM55" s="131"/>
    </row>
    <row r="56" spans="1:39" ht="36.950000000000003" hidden="1" customHeight="1" x14ac:dyDescent="0.25">
      <c r="B56" s="193" t="s">
        <v>571</v>
      </c>
      <c r="C56" s="123"/>
      <c r="D56" s="131"/>
      <c r="E56" s="150"/>
      <c r="F56" s="67" t="s">
        <v>478</v>
      </c>
      <c r="G56" s="52" t="s">
        <v>340</v>
      </c>
      <c r="H56" s="52" t="s">
        <v>341</v>
      </c>
      <c r="I56" s="52" t="s">
        <v>345</v>
      </c>
      <c r="J56" s="65" t="s">
        <v>350</v>
      </c>
      <c r="K56" s="141" t="s">
        <v>566</v>
      </c>
      <c r="L56" s="88" t="s">
        <v>423</v>
      </c>
      <c r="M56" s="80">
        <v>5500</v>
      </c>
      <c r="N56" s="157"/>
      <c r="O56" s="158" t="s">
        <v>435</v>
      </c>
      <c r="P56" s="127">
        <v>45931</v>
      </c>
      <c r="Q56" s="126" t="str">
        <f>IFERROR(VLOOKUP(TableAOPTarget[[#This Row],[RFC Date]],TableAopCalendar[[Date]:[Concatenate Month &amp; Week]],7,FALSE),"")</f>
        <v>October 25 Week 1</v>
      </c>
      <c r="R56" s="127">
        <v>45964</v>
      </c>
      <c r="S56" s="126" t="str">
        <f>IFERROR(VLOOKUP(TableAOPTarget[[#This Row],[Actual Start Date]],TableAopCalendar[[Date]:[Concatenate Month &amp; Week]],7,FALSE),"")</f>
        <v>November 25 Week 1</v>
      </c>
      <c r="T56" s="126">
        <v>75</v>
      </c>
      <c r="U56" s="127">
        <f>TableAOPTarget[[#This Row],[Actual Start Date]]+TableAOPTarget[[#This Row],[Standard Duration]]</f>
        <v>46039</v>
      </c>
      <c r="V56" s="126" t="str">
        <f>IFERROR(VLOOKUP(TableAOPTarget[[#This Row],[Planned Finish Date]],TableAopCalendar[[Date]:[Concatenate Month &amp; Week]],7,FALSE),"")</f>
        <v>January 26 Week 3</v>
      </c>
      <c r="W56" s="127">
        <v>46031</v>
      </c>
      <c r="X56" s="126" t="str">
        <f>IFERROR(VLOOKUP(TableAOPTarget[[#This Row],[Actual Finish Date]],TableAopCalendar[[Date]:[Concatenate Month &amp; Week]],7,FALSE),"")</f>
        <v>January 26 Week 2</v>
      </c>
      <c r="Y56" s="82">
        <v>46039</v>
      </c>
      <c r="Z56" s="126" t="str">
        <f>IFERROR(VLOOKUP(TableAOPTarget[[#This Row],[Forecasted Finish Date]],TableAopCalendar[[Date]:[Concatenate Month &amp; Week]],7,FALSE),"")</f>
        <v>January 26 Week 3</v>
      </c>
      <c r="AA56" s="127"/>
      <c r="AB56" s="12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JANUARY 26 PLANNED</v>
      </c>
      <c r="AC56" s="110" t="str">
        <f>IF(TableAOPTarget[[#This Row],[EPC Status]]="EPC Ready",INDEX(TableAopCalendar[Month for Plan],MATCH(TableAOPTarget[[#This Row],[Actual Finish Date]],TableAopCalendar[Date],0))," ")</f>
        <v>JANUARY 26</v>
      </c>
      <c r="AD56" s="100">
        <v>1</v>
      </c>
      <c r="AE56" s="100">
        <v>1</v>
      </c>
      <c r="AF56" s="124" t="s">
        <v>408</v>
      </c>
      <c r="AG56" s="131"/>
      <c r="AH56" s="131"/>
      <c r="AI56" s="131" t="e">
        <f>VLOOKUP(TableAOPTarget[[#This Row],[PD]],[18]Backup!$C:$F,4,0)</f>
        <v>#N/A</v>
      </c>
      <c r="AJ56" s="131" t="e">
        <f>VLOOKUP(TableAOPTarget[[#This Row],[Apex ID]],'[17]Main Backup'!$A:$I,9,0)</f>
        <v>#N/A</v>
      </c>
      <c r="AK56" s="135">
        <f>IF(TableAOPTarget[[#This Row],[RFC Date]]="","",(TableAOPTarget[[#This Row],[RFC Date]]+3))</f>
        <v>45934</v>
      </c>
      <c r="AL56" s="132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>30</v>
      </c>
      <c r="AM56" s="131"/>
    </row>
    <row r="57" spans="1:39" ht="45" hidden="1" x14ac:dyDescent="0.25">
      <c r="B57" s="195" t="s">
        <v>572</v>
      </c>
      <c r="C57" s="151"/>
      <c r="D57" s="106"/>
      <c r="E57" s="108"/>
      <c r="F57" s="113" t="s">
        <v>478</v>
      </c>
      <c r="G57" s="152" t="s">
        <v>340</v>
      </c>
      <c r="H57" s="152" t="s">
        <v>344</v>
      </c>
      <c r="I57" s="153" t="s">
        <v>686</v>
      </c>
      <c r="J57" s="152" t="s">
        <v>352</v>
      </c>
      <c r="K57" s="153" t="s">
        <v>567</v>
      </c>
      <c r="L57" s="153" t="s">
        <v>422</v>
      </c>
      <c r="M57" s="80">
        <v>5000</v>
      </c>
      <c r="N57" s="154"/>
      <c r="O57" s="154" t="s">
        <v>579</v>
      </c>
      <c r="P57" s="155"/>
      <c r="Q57" s="154" t="str">
        <f>IFERROR(VLOOKUP(TableAOPTarget[[#This Row],[RFC Date]],TableAopCalendar[[Date]:[Concatenate Month &amp; Week]],7,FALSE),"")</f>
        <v/>
      </c>
      <c r="R57" s="155"/>
      <c r="S57" s="154" t="str">
        <f>IFERROR(VLOOKUP(TableAOPTarget[[#This Row],[Actual Start Date]],TableAopCalendar[[Date]:[Concatenate Month &amp; Week]],7,FALSE),"")</f>
        <v/>
      </c>
      <c r="T57" s="154"/>
      <c r="U57" s="155"/>
      <c r="V57" s="154" t="str">
        <f>IFERROR(VLOOKUP(TableAOPTarget[[#This Row],[Planned Finish Date]],TableAopCalendar[[Date]:[Concatenate Month &amp; Week]],7,FALSE),"")</f>
        <v/>
      </c>
      <c r="W57" s="155"/>
      <c r="X57" s="154" t="str">
        <f>IFERROR(VLOOKUP(TableAOPTarget[[#This Row],[Actual Finish Date]],TableAopCalendar[[Date]:[Concatenate Month &amp; Week]],7,FALSE),"")</f>
        <v/>
      </c>
      <c r="Y57" s="155"/>
      <c r="Z57" s="154" t="str">
        <f>IFERROR(VLOOKUP(TableAOPTarget[[#This Row],[Forecasted Finish Date]],TableAopCalendar[[Date]:[Concatenate Month &amp; Week]],7,FALSE),"")</f>
        <v/>
      </c>
      <c r="AA57" s="155"/>
      <c r="AB57" s="154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57" s="154" t="str">
        <f>IF(TableAOPTarget[[#This Row],[EPC Status]]="EPC Ready",INDEX(TableAopCalendar[Month for Plan],MATCH(TableAOPTarget[[#This Row],[Actual Finish Date]],TableAopCalendar[Date],0))," ")</f>
        <v xml:space="preserve"> </v>
      </c>
      <c r="AD57" s="154"/>
      <c r="AE57" s="154"/>
      <c r="AF57" s="156" t="s">
        <v>583</v>
      </c>
      <c r="AG57" s="106"/>
      <c r="AH57" s="106"/>
      <c r="AI57" s="106" t="e">
        <f>VLOOKUP(TableAOPTarget[[#This Row],[PD]],[18]Backup!$C:$F,4,0)</f>
        <v>#N/A</v>
      </c>
      <c r="AJ57" s="106" t="e">
        <f>VLOOKUP(TableAOPTarget[[#This Row],[Apex ID]],'[17]Main Backup'!$A:$I,9,0)</f>
        <v>#N/A</v>
      </c>
      <c r="AK57" s="118" t="str">
        <f>IF(TableAOPTarget[[#This Row],[RFC Date]]="","",(TableAOPTarget[[#This Row],[RFC Date]]+3))</f>
        <v/>
      </c>
      <c r="AL57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57" s="106"/>
    </row>
    <row r="58" spans="1:39" ht="60" hidden="1" x14ac:dyDescent="0.25">
      <c r="B58" s="196" t="s">
        <v>573</v>
      </c>
      <c r="C58" s="104"/>
      <c r="D58" s="106"/>
      <c r="E58" s="108"/>
      <c r="F58" s="53" t="s">
        <v>478</v>
      </c>
      <c r="G58" s="52" t="s">
        <v>340</v>
      </c>
      <c r="H58" s="52" t="s">
        <v>344</v>
      </c>
      <c r="I58" s="110" t="s">
        <v>686</v>
      </c>
      <c r="J58" s="52" t="s">
        <v>352</v>
      </c>
      <c r="K58" s="110" t="s">
        <v>568</v>
      </c>
      <c r="L58" s="110" t="s">
        <v>422</v>
      </c>
      <c r="M58" s="80"/>
      <c r="N58" s="116"/>
      <c r="O58" s="116" t="s">
        <v>579</v>
      </c>
      <c r="P58" s="115"/>
      <c r="Q58" s="116" t="str">
        <f>IFERROR(VLOOKUP(TableAOPTarget[[#This Row],[RFC Date]],TableAopCalendar[[Date]:[Concatenate Month &amp; Week]],7,FALSE),"")</f>
        <v/>
      </c>
      <c r="R58" s="115"/>
      <c r="S58" s="116" t="str">
        <f>IFERROR(VLOOKUP(TableAOPTarget[[#This Row],[Actual Start Date]],TableAopCalendar[[Date]:[Concatenate Month &amp; Week]],7,FALSE),"")</f>
        <v/>
      </c>
      <c r="T58" s="116"/>
      <c r="U58" s="115"/>
      <c r="V58" s="116" t="str">
        <f>IFERROR(VLOOKUP(TableAOPTarget[[#This Row],[Planned Finish Date]],TableAopCalendar[[Date]:[Concatenate Month &amp; Week]],7,FALSE),"")</f>
        <v/>
      </c>
      <c r="W58" s="115"/>
      <c r="X58" s="116" t="str">
        <f>IFERROR(VLOOKUP(TableAOPTarget[[#This Row],[Actual Finish Date]],TableAopCalendar[[Date]:[Concatenate Month &amp; Week]],7,FALSE),"")</f>
        <v/>
      </c>
      <c r="Y58" s="115"/>
      <c r="Z58" s="116" t="str">
        <f>IFERROR(VLOOKUP(TableAOPTarget[[#This Row],[Forecasted Finish Date]],TableAopCalendar[[Date]:[Concatenate Month &amp; Week]],7,FALSE),"")</f>
        <v/>
      </c>
      <c r="AA58" s="115"/>
      <c r="AB58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58" s="116" t="str">
        <f>IF(TableAOPTarget[[#This Row],[EPC Status]]="EPC Ready",INDEX(TableAopCalendar[Month for Plan],MATCH(TableAOPTarget[[#This Row],[Actual Finish Date]],TableAopCalendar[Date],0))," ")</f>
        <v xml:space="preserve"> </v>
      </c>
      <c r="AD58" s="116"/>
      <c r="AE58" s="116"/>
      <c r="AF58" s="106" t="s">
        <v>583</v>
      </c>
      <c r="AG58" s="106"/>
      <c r="AH58" s="106"/>
      <c r="AI58" s="106" t="e">
        <f>VLOOKUP(TableAOPTarget[[#This Row],[PD]],[18]Backup!$C:$F,4,0)</f>
        <v>#N/A</v>
      </c>
      <c r="AJ58" s="106" t="e">
        <f>VLOOKUP(TableAOPTarget[[#This Row],[Apex ID]],'[17]Main Backup'!$A:$I,9,0)</f>
        <v>#N/A</v>
      </c>
      <c r="AK58" s="118" t="str">
        <f>IF(TableAOPTarget[[#This Row],[RFC Date]]="","",(TableAOPTarget[[#This Row],[RFC Date]]+3))</f>
        <v/>
      </c>
      <c r="AL58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58" s="106"/>
    </row>
    <row r="59" spans="1:39" ht="30" hidden="1" x14ac:dyDescent="0.25">
      <c r="B59" s="196" t="s">
        <v>574</v>
      </c>
      <c r="C59" s="104"/>
      <c r="D59" s="106"/>
      <c r="E59" s="108"/>
      <c r="F59" s="53" t="s">
        <v>441</v>
      </c>
      <c r="G59" s="52" t="s">
        <v>340</v>
      </c>
      <c r="H59" s="52" t="s">
        <v>343</v>
      </c>
      <c r="I59" s="110" t="s">
        <v>686</v>
      </c>
      <c r="J59" s="68" t="s">
        <v>354</v>
      </c>
      <c r="K59" s="110" t="s">
        <v>569</v>
      </c>
      <c r="L59" s="110" t="s">
        <v>355</v>
      </c>
      <c r="M59" s="80">
        <v>20000</v>
      </c>
      <c r="N59" s="116"/>
      <c r="O59" s="116" t="s">
        <v>406</v>
      </c>
      <c r="P59" s="115"/>
      <c r="Q59" s="116" t="str">
        <f>IFERROR(VLOOKUP(TableAOPTarget[[#This Row],[RFC Date]],TableAopCalendar[[Date]:[Concatenate Month &amp; Week]],7,FALSE),"")</f>
        <v/>
      </c>
      <c r="R59" s="115"/>
      <c r="S59" s="116" t="str">
        <f>IFERROR(VLOOKUP(TableAOPTarget[[#This Row],[Actual Start Date]],TableAopCalendar[[Date]:[Concatenate Month &amp; Week]],7,FALSE),"")</f>
        <v/>
      </c>
      <c r="T59" s="116"/>
      <c r="U59" s="115"/>
      <c r="V59" s="116" t="str">
        <f>IFERROR(VLOOKUP(TableAOPTarget[[#This Row],[Planned Finish Date]],TableAopCalendar[[Date]:[Concatenate Month &amp; Week]],7,FALSE),"")</f>
        <v/>
      </c>
      <c r="W59" s="115"/>
      <c r="X59" s="116" t="str">
        <f>IFERROR(VLOOKUP(TableAOPTarget[[#This Row],[Actual Finish Date]],TableAopCalendar[[Date]:[Concatenate Month &amp; Week]],7,FALSE),"")</f>
        <v/>
      </c>
      <c r="Y59" s="115"/>
      <c r="Z59" s="116" t="str">
        <f>IFERROR(VLOOKUP(TableAOPTarget[[#This Row],[Forecasted Finish Date]],TableAopCalendar[[Date]:[Concatenate Month &amp; Week]],7,FALSE),"")</f>
        <v/>
      </c>
      <c r="AA59" s="115"/>
      <c r="AB59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59" s="116" t="str">
        <f>IF(TableAOPTarget[[#This Row],[EPC Status]]="EPC Ready",INDEX(TableAopCalendar[Month for Plan],MATCH(TableAOPTarget[[#This Row],[Actual Finish Date]],TableAopCalendar[Date],0))," ")</f>
        <v xml:space="preserve"> </v>
      </c>
      <c r="AD59" s="116"/>
      <c r="AE59" s="116"/>
      <c r="AF59" s="49" t="s">
        <v>436</v>
      </c>
      <c r="AG59" s="106"/>
      <c r="AH59" s="106"/>
      <c r="AI59" s="106" t="e">
        <f>VLOOKUP(TableAOPTarget[[#This Row],[PD]],[18]Backup!$C:$F,4,0)</f>
        <v>#N/A</v>
      </c>
      <c r="AJ59" s="106" t="e">
        <f>VLOOKUP(TableAOPTarget[[#This Row],[Apex ID]],'[17]Main Backup'!$A:$I,9,0)</f>
        <v>#N/A</v>
      </c>
      <c r="AK59" s="118" t="str">
        <f>IF(TableAOPTarget[[#This Row],[RFC Date]]="","",(TableAOPTarget[[#This Row],[RFC Date]]+3))</f>
        <v/>
      </c>
      <c r="AL59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59" s="106"/>
    </row>
    <row r="60" spans="1:39" ht="30" hidden="1" x14ac:dyDescent="0.25">
      <c r="B60" s="196" t="s">
        <v>575</v>
      </c>
      <c r="C60" s="104"/>
      <c r="D60" s="106"/>
      <c r="E60" s="108"/>
      <c r="F60" s="53" t="s">
        <v>478</v>
      </c>
      <c r="G60" s="52" t="s">
        <v>340</v>
      </c>
      <c r="H60" s="52" t="s">
        <v>343</v>
      </c>
      <c r="I60" s="110" t="s">
        <v>686</v>
      </c>
      <c r="J60" s="52" t="s">
        <v>351</v>
      </c>
      <c r="K60" s="110" t="s">
        <v>570</v>
      </c>
      <c r="L60" s="110" t="s">
        <v>476</v>
      </c>
      <c r="M60" s="80"/>
      <c r="N60" s="116"/>
      <c r="O60" s="116" t="s">
        <v>429</v>
      </c>
      <c r="P60" s="115"/>
      <c r="Q60" s="116" t="str">
        <f>IFERROR(VLOOKUP(TableAOPTarget[[#This Row],[RFC Date]],TableAopCalendar[[Date]:[Concatenate Month &amp; Week]],7,FALSE),"")</f>
        <v/>
      </c>
      <c r="R60" s="115"/>
      <c r="S60" s="116" t="str">
        <f>IFERROR(VLOOKUP(TableAOPTarget[[#This Row],[Actual Start Date]],TableAopCalendar[[Date]:[Concatenate Month &amp; Week]],7,FALSE),"")</f>
        <v/>
      </c>
      <c r="T60" s="116"/>
      <c r="U60" s="115"/>
      <c r="V60" s="116" t="str">
        <f>IFERROR(VLOOKUP(TableAOPTarget[[#This Row],[Planned Finish Date]],TableAopCalendar[[Date]:[Concatenate Month &amp; Week]],7,FALSE),"")</f>
        <v/>
      </c>
      <c r="W60" s="115"/>
      <c r="X60" s="116" t="str">
        <f>IFERROR(VLOOKUP(TableAOPTarget[[#This Row],[Actual Finish Date]],TableAopCalendar[[Date]:[Concatenate Month &amp; Week]],7,FALSE),"")</f>
        <v/>
      </c>
      <c r="Y60" s="115"/>
      <c r="Z60" s="116" t="str">
        <f>IFERROR(VLOOKUP(TableAOPTarget[[#This Row],[Forecasted Finish Date]],TableAopCalendar[[Date]:[Concatenate Month &amp; Week]],7,FALSE),"")</f>
        <v/>
      </c>
      <c r="AA60" s="115"/>
      <c r="AB60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60" s="116" t="str">
        <f>IF(TableAOPTarget[[#This Row],[EPC Status]]="EPC Ready",INDEX(TableAopCalendar[Month for Plan],MATCH(TableAOPTarget[[#This Row],[Actual Finish Date]],TableAopCalendar[Date],0))," ")</f>
        <v xml:space="preserve"> </v>
      </c>
      <c r="AD60" s="116"/>
      <c r="AE60" s="116"/>
      <c r="AF60" s="49" t="s">
        <v>436</v>
      </c>
      <c r="AG60" s="106"/>
      <c r="AH60" s="106"/>
      <c r="AI60" s="106" t="e">
        <f>VLOOKUP(TableAOPTarget[[#This Row],[PD]],[18]Backup!$C:$F,4,0)</f>
        <v>#N/A</v>
      </c>
      <c r="AJ60" s="106" t="e">
        <f>VLOOKUP(TableAOPTarget[[#This Row],[Apex ID]],'[17]Main Backup'!$A:$I,9,0)</f>
        <v>#N/A</v>
      </c>
      <c r="AK60" s="118" t="str">
        <f>IF(TableAOPTarget[[#This Row],[RFC Date]]="","",(TableAOPTarget[[#This Row],[RFC Date]]+3))</f>
        <v/>
      </c>
      <c r="AL60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60" s="106"/>
    </row>
    <row r="61" spans="1:39" ht="30" hidden="1" x14ac:dyDescent="0.25">
      <c r="B61" s="162" t="s">
        <v>584</v>
      </c>
      <c r="C61" s="104"/>
      <c r="D61" s="106"/>
      <c r="E61" s="108"/>
      <c r="F61" s="53" t="s">
        <v>478</v>
      </c>
      <c r="G61" s="52" t="s">
        <v>340</v>
      </c>
      <c r="H61" s="52" t="s">
        <v>344</v>
      </c>
      <c r="I61" s="110" t="s">
        <v>686</v>
      </c>
      <c r="J61" s="52" t="s">
        <v>352</v>
      </c>
      <c r="K61" s="110" t="s">
        <v>582</v>
      </c>
      <c r="L61" s="110" t="s">
        <v>422</v>
      </c>
      <c r="M61" s="80"/>
      <c r="N61" s="116"/>
      <c r="O61" s="116" t="s">
        <v>579</v>
      </c>
      <c r="P61" s="115"/>
      <c r="Q61" s="116" t="str">
        <f>IFERROR(VLOOKUP(TableAOPTarget[[#This Row],[RFC Date]],TableAopCalendar[[Date]:[Concatenate Month &amp; Week]],7,FALSE),"")</f>
        <v/>
      </c>
      <c r="R61" s="115"/>
      <c r="S61" s="116" t="str">
        <f>IFERROR(VLOOKUP(TableAOPTarget[[#This Row],[Actual Start Date]],TableAopCalendar[[Date]:[Concatenate Month &amp; Week]],7,FALSE),"")</f>
        <v/>
      </c>
      <c r="T61" s="116"/>
      <c r="U61" s="115"/>
      <c r="V61" s="116" t="str">
        <f>IFERROR(VLOOKUP(TableAOPTarget[[#This Row],[Planned Finish Date]],TableAopCalendar[[Date]:[Concatenate Month &amp; Week]],7,FALSE),"")</f>
        <v/>
      </c>
      <c r="W61" s="115"/>
      <c r="X61" s="116" t="str">
        <f>IFERROR(VLOOKUP(TableAOPTarget[[#This Row],[Actual Finish Date]],TableAopCalendar[[Date]:[Concatenate Month &amp; Week]],7,FALSE),"")</f>
        <v/>
      </c>
      <c r="Y61" s="115"/>
      <c r="Z61" s="116" t="str">
        <f>IFERROR(VLOOKUP(TableAOPTarget[[#This Row],[Forecasted Finish Date]],TableAopCalendar[[Date]:[Concatenate Month &amp; Week]],7,FALSE),"")</f>
        <v/>
      </c>
      <c r="AA61" s="115"/>
      <c r="AB61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61" s="116" t="str">
        <f>IF(TableAOPTarget[[#This Row],[EPC Status]]="EPC Ready",INDEX(TableAopCalendar[Month for Plan],MATCH(TableAOPTarget[[#This Row],[Actual Finish Date]],TableAopCalendar[Date],0))," ")</f>
        <v xml:space="preserve"> </v>
      </c>
      <c r="AD61" s="116"/>
      <c r="AE61" s="116"/>
      <c r="AF61" s="106" t="s">
        <v>583</v>
      </c>
      <c r="AG61" s="106"/>
      <c r="AH61" s="106"/>
      <c r="AI61" s="106" t="e">
        <f>VLOOKUP(TableAOPTarget[[#This Row],[PD]],[18]Backup!$C:$F,4,0)</f>
        <v>#N/A</v>
      </c>
      <c r="AJ61" s="106" t="e">
        <f>VLOOKUP(TableAOPTarget[[#This Row],[Apex ID]],'[17]Main Backup'!$A:$I,9,0)</f>
        <v>#N/A</v>
      </c>
      <c r="AK61" s="118" t="str">
        <f>IF(TableAOPTarget[[#This Row],[RFC Date]]="","",(TableAOPTarget[[#This Row],[RFC Date]]+3))</f>
        <v/>
      </c>
      <c r="AL61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61" s="106"/>
    </row>
    <row r="62" spans="1:39" ht="27.95" customHeight="1" x14ac:dyDescent="0.25">
      <c r="B62" s="196" t="s">
        <v>592</v>
      </c>
      <c r="C62" s="104"/>
      <c r="D62" s="106"/>
      <c r="E62" s="108"/>
      <c r="F62" s="53" t="s">
        <v>478</v>
      </c>
      <c r="G62" s="52" t="s">
        <v>340</v>
      </c>
      <c r="H62" s="120" t="s">
        <v>341</v>
      </c>
      <c r="I62" s="52" t="s">
        <v>345</v>
      </c>
      <c r="J62" s="136" t="s">
        <v>350</v>
      </c>
      <c r="K62" s="149" t="s">
        <v>585</v>
      </c>
      <c r="L62" s="110" t="s">
        <v>423</v>
      </c>
      <c r="M62" s="80">
        <v>5500</v>
      </c>
      <c r="N62" s="116"/>
      <c r="O62" s="137" t="s">
        <v>435</v>
      </c>
      <c r="P62" s="115">
        <v>45992</v>
      </c>
      <c r="Q62" s="116" t="str">
        <f>IFERROR(VLOOKUP(TableAOPTarget[[#This Row],[RFC Date]],TableAopCalendar[[Date]:[Concatenate Month &amp; Week]],7,FALSE),"")</f>
        <v>December 25 Week 1</v>
      </c>
      <c r="R62" s="115">
        <v>46049</v>
      </c>
      <c r="S62" s="116" t="str">
        <f>IFERROR(VLOOKUP(TableAOPTarget[[#This Row],[Actual Start Date]],TableAopCalendar[[Date]:[Concatenate Month &amp; Week]],7,FALSE),"")</f>
        <v>January 26 Week 4</v>
      </c>
      <c r="T62" s="116">
        <v>75</v>
      </c>
      <c r="U62" s="115">
        <f>TableAOPTarget[[#This Row],[Actual Start Date]]+TableAOPTarget[[#This Row],[Standard Duration]]</f>
        <v>46124</v>
      </c>
      <c r="V62" s="116" t="str">
        <f>IFERROR(VLOOKUP(TableAOPTarget[[#This Row],[Planned Finish Date]],TableAopCalendar[[Date]:[Concatenate Month &amp; Week]],7,FALSE),"")</f>
        <v>April 26 Week 2</v>
      </c>
      <c r="W62" s="115"/>
      <c r="X62" s="116" t="str">
        <f>IFERROR(VLOOKUP(TableAOPTarget[[#This Row],[Actual Finish Date]],TableAopCalendar[[Date]:[Concatenate Month &amp; Week]],7,FALSE),"")</f>
        <v/>
      </c>
      <c r="Y62" s="54">
        <v>46188</v>
      </c>
      <c r="Z62" s="116" t="str">
        <f>IFERROR(VLOOKUP(TableAOPTarget[[#This Row],[Forecasted Finish Date]],TableAopCalendar[[Date]:[Concatenate Month &amp; Week]],7,FALSE),"")</f>
        <v>June 26 Week 3</v>
      </c>
      <c r="AA62" s="115"/>
      <c r="AB62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APRIL 26 PLANNED</v>
      </c>
      <c r="AC62" s="116" t="str">
        <f>IF(TableAOPTarget[[#This Row],[EPC Status]]="EPC Ready",INDEX(TableAopCalendar[Month for Plan],MATCH(TableAOPTarget[[#This Row],[Actual Finish Date]],TableAopCalendar[Date],0))," ")</f>
        <v xml:space="preserve"> </v>
      </c>
      <c r="AD62" s="101">
        <v>1</v>
      </c>
      <c r="AE62" s="101">
        <v>1</v>
      </c>
      <c r="AF62" s="49" t="s">
        <v>409</v>
      </c>
      <c r="AG62" s="106"/>
      <c r="AH62" s="106"/>
      <c r="AI62" s="106" t="e">
        <f>VLOOKUP(TableAOPTarget[[#This Row],[PD]],[18]Backup!$C:$F,4,0)</f>
        <v>#N/A</v>
      </c>
      <c r="AJ62" s="106" t="e">
        <f>VLOOKUP(TableAOPTarget[[#This Row],[Apex ID]],'[17]Main Backup'!$A:$I,9,0)</f>
        <v>#N/A</v>
      </c>
      <c r="AK62" s="118">
        <f>IF(TableAOPTarget[[#This Row],[RFC Date]]="","",(TableAOPTarget[[#This Row],[RFC Date]]+3))</f>
        <v>45995</v>
      </c>
      <c r="AL62" s="120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>54</v>
      </c>
      <c r="AM62" s="106"/>
    </row>
    <row r="63" spans="1:39" ht="30" hidden="1" x14ac:dyDescent="0.25">
      <c r="B63" s="196" t="s">
        <v>593</v>
      </c>
      <c r="C63" s="104"/>
      <c r="D63" s="106"/>
      <c r="E63" s="108"/>
      <c r="F63" s="110" t="s">
        <v>445</v>
      </c>
      <c r="G63" s="110" t="s">
        <v>340</v>
      </c>
      <c r="H63" s="110" t="s">
        <v>343</v>
      </c>
      <c r="I63" s="110" t="s">
        <v>686</v>
      </c>
      <c r="J63" s="110" t="s">
        <v>590</v>
      </c>
      <c r="K63" s="110" t="s">
        <v>586</v>
      </c>
      <c r="L63" s="110" t="s">
        <v>588</v>
      </c>
      <c r="M63" s="80"/>
      <c r="N63" s="116"/>
      <c r="O63" s="116" t="s">
        <v>580</v>
      </c>
      <c r="P63" s="115">
        <v>45977</v>
      </c>
      <c r="Q63" s="116" t="str">
        <f>IFERROR(VLOOKUP(TableAOPTarget[[#This Row],[RFC Date]],TableAopCalendar[[Date]:[Concatenate Month &amp; Week]],7,FALSE),"")</f>
        <v>November 25 Week 3</v>
      </c>
      <c r="R63" s="115"/>
      <c r="S63" s="116" t="str">
        <f>IFERROR(VLOOKUP(TableAOPTarget[[#This Row],[Actual Start Date]],TableAopCalendar[[Date]:[Concatenate Month &amp; Week]],7,FALSE),"")</f>
        <v/>
      </c>
      <c r="T63" s="116"/>
      <c r="U63" s="115">
        <f>TableAOPTarget[[#This Row],[Actual Start Date]]+TableAOPTarget[[#This Row],[Standard Duration]]</f>
        <v>0</v>
      </c>
      <c r="V63" s="116" t="str">
        <f>IFERROR(VLOOKUP(TableAOPTarget[[#This Row],[Planned Finish Date]],TableAopCalendar[[Date]:[Concatenate Month &amp; Week]],7,FALSE),"")</f>
        <v/>
      </c>
      <c r="W63" s="115"/>
      <c r="X63" s="116" t="str">
        <f>IFERROR(VLOOKUP(TableAOPTarget[[#This Row],[Actual Finish Date]],TableAopCalendar[[Date]:[Concatenate Month &amp; Week]],7,FALSE),"")</f>
        <v/>
      </c>
      <c r="Y63" s="115"/>
      <c r="Z63" s="116" t="str">
        <f>IFERROR(VLOOKUP(TableAOPTarget[[#This Row],[Forecasted Finish Date]],TableAopCalendar[[Date]:[Concatenate Month &amp; Week]],7,FALSE),"")</f>
        <v/>
      </c>
      <c r="AA63" s="115"/>
      <c r="AB63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63" s="116" t="str">
        <f>IF(TableAOPTarget[[#This Row],[EPC Status]]="EPC Ready",INDEX(TableAopCalendar[Month for Plan],MATCH(TableAOPTarget[[#This Row],[Actual Finish Date]],TableAopCalendar[Date],0))," ")</f>
        <v xml:space="preserve"> </v>
      </c>
      <c r="AD63" s="116"/>
      <c r="AE63" s="116"/>
      <c r="AF63" s="106" t="s">
        <v>679</v>
      </c>
      <c r="AG63" s="106"/>
      <c r="AH63" s="106"/>
      <c r="AI63" s="106" t="e">
        <f>VLOOKUP(TableAOPTarget[[#This Row],[PD]],[18]Backup!$C:$F,4,0)</f>
        <v>#N/A</v>
      </c>
      <c r="AJ63" s="106" t="e">
        <f>VLOOKUP(TableAOPTarget[[#This Row],[Apex ID]],'[17]Main Backup'!$A:$I,9,0)</f>
        <v>#N/A</v>
      </c>
      <c r="AK63" s="118">
        <f>IF(TableAOPTarget[[#This Row],[RFC Date]]="","",(TableAOPTarget[[#This Row],[RFC Date]]+3))</f>
        <v>45980</v>
      </c>
      <c r="AL63" s="120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>-45980</v>
      </c>
      <c r="AM63" s="106"/>
    </row>
    <row r="64" spans="1:39" ht="30" hidden="1" x14ac:dyDescent="0.25">
      <c r="B64" s="197" t="s">
        <v>594</v>
      </c>
      <c r="C64" s="50"/>
      <c r="D64" s="51"/>
      <c r="E64" s="49"/>
      <c r="F64" s="88" t="s">
        <v>445</v>
      </c>
      <c r="G64" s="52" t="s">
        <v>340</v>
      </c>
      <c r="H64" s="52" t="s">
        <v>341</v>
      </c>
      <c r="I64" s="52" t="s">
        <v>345</v>
      </c>
      <c r="J64" s="52" t="s">
        <v>347</v>
      </c>
      <c r="K64" s="160" t="s">
        <v>587</v>
      </c>
      <c r="L64" s="53" t="s">
        <v>589</v>
      </c>
      <c r="M64" s="80">
        <v>1892</v>
      </c>
      <c r="N64" s="55"/>
      <c r="O64" s="55" t="s">
        <v>677</v>
      </c>
      <c r="P64" s="54">
        <v>45977</v>
      </c>
      <c r="Q64" s="55" t="str">
        <f>IFERROR(VLOOKUP(TableAOPTarget[[#This Row],[RFC Date]],TableAopCalendar[[Date]:[Concatenate Month &amp; Week]],7,FALSE),"")</f>
        <v>November 25 Week 3</v>
      </c>
      <c r="R64" s="54">
        <v>46006</v>
      </c>
      <c r="S64" s="55" t="str">
        <f>IFERROR(VLOOKUP(TableAOPTarget[[#This Row],[Actual Start Date]],TableAopCalendar[[Date]:[Concatenate Month &amp; Week]],7,FALSE),"")</f>
        <v>December 25 Week 3</v>
      </c>
      <c r="T64" s="55">
        <v>45</v>
      </c>
      <c r="U64" s="54">
        <f>TableAOPTarget[[#This Row],[Actual Start Date]]+TableAOPTarget[[#This Row],[Standard Duration]]</f>
        <v>46051</v>
      </c>
      <c r="V64" s="55" t="str">
        <f>IFERROR(VLOOKUP(TableAOPTarget[[#This Row],[Planned Finish Date]],TableAopCalendar[[Date]:[Concatenate Month &amp; Week]],7,FALSE),"")</f>
        <v>January 26 Week 5</v>
      </c>
      <c r="W64" s="54">
        <v>46094</v>
      </c>
      <c r="X64" s="55" t="str">
        <f>IFERROR(VLOOKUP(TableAOPTarget[[#This Row],[Actual Finish Date]],TableAopCalendar[[Date]:[Concatenate Month &amp; Week]],7,FALSE),"")</f>
        <v>March 26 Week 2</v>
      </c>
      <c r="Y64" s="54">
        <v>46094</v>
      </c>
      <c r="Z64" s="55" t="str">
        <f>IFERROR(VLOOKUP(TableAOPTarget[[#This Row],[Forecasted Finish Date]],TableAopCalendar[[Date]:[Concatenate Month &amp; Week]],7,FALSE),"")</f>
        <v>March 26 Week 2</v>
      </c>
      <c r="AA64" s="54"/>
      <c r="AB64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JANUARY 26 PLANNED</v>
      </c>
      <c r="AC64" s="55" t="str">
        <f>IF(TableAOPTarget[[#This Row],[EPC Status]]="EPC Ready",INDEX(TableAopCalendar[Month for Plan],MATCH(TableAOPTarget[[#This Row],[Actual Finish Date]],TableAopCalendar[Date],0))," ")</f>
        <v>MARCH 26</v>
      </c>
      <c r="AD64" s="100">
        <v>1</v>
      </c>
      <c r="AE64" s="100">
        <v>1</v>
      </c>
      <c r="AF64" s="51" t="s">
        <v>408</v>
      </c>
      <c r="AG64" s="51"/>
      <c r="AH64" s="51"/>
      <c r="AI64" s="51" t="e">
        <f>VLOOKUP(TableAOPTarget[[#This Row],[PD]],[18]Backup!$C:$F,4,0)</f>
        <v>#N/A</v>
      </c>
      <c r="AJ64" s="51" t="e">
        <f>VLOOKUP(TableAOPTarget[[#This Row],[Apex ID]],'[17]Main Backup'!$A:$I,9,0)</f>
        <v>#N/A</v>
      </c>
      <c r="AK64" s="56">
        <f>IF(TableAOPTarget[[#This Row],[RFC Date]]="","",(TableAOPTarget[[#This Row],[RFC Date]]+3))</f>
        <v>45980</v>
      </c>
      <c r="AL64" s="52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>26</v>
      </c>
      <c r="AM64" s="51"/>
    </row>
    <row r="65" spans="2:39" ht="30" hidden="1" x14ac:dyDescent="0.25">
      <c r="B65" s="195" t="s">
        <v>640</v>
      </c>
      <c r="C65" s="151"/>
      <c r="D65" s="106"/>
      <c r="E65" s="108"/>
      <c r="F65" s="113" t="s">
        <v>445</v>
      </c>
      <c r="G65" s="152" t="s">
        <v>340</v>
      </c>
      <c r="H65" s="152" t="s">
        <v>343</v>
      </c>
      <c r="I65" s="110" t="s">
        <v>686</v>
      </c>
      <c r="J65" s="50" t="s">
        <v>353</v>
      </c>
      <c r="K65" s="110" t="s">
        <v>595</v>
      </c>
      <c r="L65" s="53" t="s">
        <v>596</v>
      </c>
      <c r="M65" s="80">
        <v>4525</v>
      </c>
      <c r="N65" s="116"/>
      <c r="O65" s="116" t="s">
        <v>407</v>
      </c>
      <c r="P65" s="115"/>
      <c r="Q65" s="116" t="str">
        <f>IFERROR(VLOOKUP(TableAOPTarget[[#This Row],[RFC Date]],TableAopCalendar[[Date]:[Concatenate Month &amp; Week]],7,FALSE),"")</f>
        <v/>
      </c>
      <c r="R65" s="115">
        <v>46078</v>
      </c>
      <c r="S65" s="116" t="str">
        <f>IFERROR(VLOOKUP(TableAOPTarget[[#This Row],[Actual Start Date]],TableAopCalendar[[Date]:[Concatenate Month &amp; Week]],7,FALSE),"")</f>
        <v>February 26 Week 4</v>
      </c>
      <c r="T65" s="116">
        <v>15</v>
      </c>
      <c r="U65" s="115">
        <f>TableAOPTarget[[#This Row],[Actual Start Date]]+TableAOPTarget[[#This Row],[Standard Duration]]</f>
        <v>46093</v>
      </c>
      <c r="V65" s="116" t="str">
        <f>IFERROR(VLOOKUP(TableAOPTarget[[#This Row],[Planned Finish Date]],TableAopCalendar[[Date]:[Concatenate Month &amp; Week]],7,FALSE),"")</f>
        <v>March 26 Week 2</v>
      </c>
      <c r="W65" s="115">
        <v>46092</v>
      </c>
      <c r="X65" s="116" t="str">
        <f>IFERROR(VLOOKUP(TableAOPTarget[[#This Row],[Actual Finish Date]],TableAopCalendar[[Date]:[Concatenate Month &amp; Week]],7,FALSE),"")</f>
        <v>March 26 Week 2</v>
      </c>
      <c r="Y65" s="115"/>
      <c r="Z65" s="116" t="str">
        <f>IFERROR(VLOOKUP(TableAOPTarget[[#This Row],[Forecasted Finish Date]],TableAopCalendar[[Date]:[Concatenate Month &amp; Week]],7,FALSE),"")</f>
        <v/>
      </c>
      <c r="AA65" s="115"/>
      <c r="AB65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MARCH 26 PLANNED</v>
      </c>
      <c r="AC65" s="116" t="str">
        <f>IF(TableAOPTarget[[#This Row],[EPC Status]]="EPC Ready",INDEX(TableAopCalendar[Month for Plan],MATCH(TableAOPTarget[[#This Row],[Actual Finish Date]],TableAopCalendar[Date],0))," ")</f>
        <v>MARCH 26</v>
      </c>
      <c r="AD65" s="215">
        <v>1</v>
      </c>
      <c r="AE65" s="215">
        <v>1</v>
      </c>
      <c r="AF65" s="106" t="s">
        <v>408</v>
      </c>
      <c r="AG65" s="106"/>
      <c r="AH65" s="106"/>
      <c r="AI65" s="106" t="e">
        <f>VLOOKUP(TableAOPTarget[[#This Row],[PD]],[18]Backup!$C:$F,4,0)</f>
        <v>#N/A</v>
      </c>
      <c r="AJ65" s="106" t="e">
        <f>VLOOKUP(TableAOPTarget[[#This Row],[Apex ID]],'[17]Main Backup'!$A:$I,9,0)</f>
        <v>#N/A</v>
      </c>
      <c r="AK65" s="118" t="str">
        <f>IF(TableAOPTarget[[#This Row],[RFC Date]]="","",(TableAOPTarget[[#This Row],[RFC Date]]+3))</f>
        <v/>
      </c>
      <c r="AL65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65" s="106"/>
    </row>
    <row r="66" spans="2:39" ht="30" hidden="1" x14ac:dyDescent="0.25">
      <c r="B66" s="196" t="s">
        <v>641</v>
      </c>
      <c r="C66" s="104"/>
      <c r="D66" s="106"/>
      <c r="E66" s="108"/>
      <c r="F66" s="110" t="s">
        <v>441</v>
      </c>
      <c r="G66" s="110" t="s">
        <v>340</v>
      </c>
      <c r="H66" s="110" t="s">
        <v>343</v>
      </c>
      <c r="I66" s="110" t="s">
        <v>686</v>
      </c>
      <c r="J66" s="52" t="s">
        <v>608</v>
      </c>
      <c r="K66" s="110" t="s">
        <v>609</v>
      </c>
      <c r="L66" s="110" t="s">
        <v>597</v>
      </c>
      <c r="M66" s="80"/>
      <c r="N66" s="116"/>
      <c r="O66" s="116"/>
      <c r="P66" s="115"/>
      <c r="Q66" s="116" t="str">
        <f>IFERROR(VLOOKUP(TableAOPTarget[[#This Row],[RFC Date]],TableAopCalendar[[Date]:[Concatenate Month &amp; Week]],7,FALSE),"")</f>
        <v/>
      </c>
      <c r="R66" s="115"/>
      <c r="S66" s="116" t="str">
        <f>IFERROR(VLOOKUP(TableAOPTarget[[#This Row],[Actual Start Date]],TableAopCalendar[[Date]:[Concatenate Month &amp; Week]],7,FALSE),"")</f>
        <v/>
      </c>
      <c r="T66" s="116"/>
      <c r="U66" s="115">
        <f>TableAOPTarget[[#This Row],[Actual Start Date]]+TableAOPTarget[[#This Row],[Standard Duration]]</f>
        <v>0</v>
      </c>
      <c r="V66" s="116" t="str">
        <f>IFERROR(VLOOKUP(TableAOPTarget[[#This Row],[Planned Finish Date]],TableAopCalendar[[Date]:[Concatenate Month &amp; Week]],7,FALSE),"")</f>
        <v/>
      </c>
      <c r="W66" s="115"/>
      <c r="X66" s="116" t="str">
        <f>IFERROR(VLOOKUP(TableAOPTarget[[#This Row],[Actual Finish Date]],TableAopCalendar[[Date]:[Concatenate Month &amp; Week]],7,FALSE),"")</f>
        <v/>
      </c>
      <c r="Y66" s="115"/>
      <c r="Z66" s="116" t="str">
        <f>IFERROR(VLOOKUP(TableAOPTarget[[#This Row],[Forecasted Finish Date]],TableAopCalendar[[Date]:[Concatenate Month &amp; Week]],7,FALSE),"")</f>
        <v/>
      </c>
      <c r="AA66" s="115"/>
      <c r="AB66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66" s="116" t="str">
        <f>IF(TableAOPTarget[[#This Row],[EPC Status]]="EPC Ready",INDEX(TableAopCalendar[Month for Plan],MATCH(TableAOPTarget[[#This Row],[Actual Finish Date]],TableAopCalendar[Date],0))," ")</f>
        <v xml:space="preserve"> </v>
      </c>
      <c r="AD66" s="116"/>
      <c r="AE66" s="116"/>
      <c r="AF66" s="106" t="s">
        <v>583</v>
      </c>
      <c r="AG66" s="106"/>
      <c r="AH66" s="106"/>
      <c r="AI66" s="106" t="e">
        <f>VLOOKUP(TableAOPTarget[[#This Row],[PD]],[18]Backup!$C:$F,4,0)</f>
        <v>#N/A</v>
      </c>
      <c r="AJ66" s="106" t="e">
        <f>VLOOKUP(TableAOPTarget[[#This Row],[Apex ID]],'[17]Main Backup'!$A:$I,9,0)</f>
        <v>#N/A</v>
      </c>
      <c r="AK66" s="118" t="str">
        <f>IF(TableAOPTarget[[#This Row],[RFC Date]]="","",(TableAOPTarget[[#This Row],[RFC Date]]+3))</f>
        <v/>
      </c>
      <c r="AL66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66" s="106"/>
    </row>
    <row r="67" spans="2:39" ht="30" hidden="1" x14ac:dyDescent="0.25">
      <c r="B67" s="196" t="s">
        <v>642</v>
      </c>
      <c r="C67" s="104"/>
      <c r="D67" s="106"/>
      <c r="E67" s="108"/>
      <c r="F67" s="110" t="s">
        <v>441</v>
      </c>
      <c r="G67" s="110" t="s">
        <v>340</v>
      </c>
      <c r="H67" s="110" t="s">
        <v>343</v>
      </c>
      <c r="I67" s="110" t="s">
        <v>686</v>
      </c>
      <c r="J67" s="52" t="s">
        <v>608</v>
      </c>
      <c r="K67" s="110" t="s">
        <v>610</v>
      </c>
      <c r="L67" s="110" t="s">
        <v>597</v>
      </c>
      <c r="M67" s="80"/>
      <c r="N67" s="116"/>
      <c r="O67" s="116"/>
      <c r="P67" s="115"/>
      <c r="Q67" s="116" t="str">
        <f>IFERROR(VLOOKUP(TableAOPTarget[[#This Row],[RFC Date]],TableAopCalendar[[Date]:[Concatenate Month &amp; Week]],7,FALSE),"")</f>
        <v/>
      </c>
      <c r="R67" s="115"/>
      <c r="S67" s="116" t="str">
        <f>IFERROR(VLOOKUP(TableAOPTarget[[#This Row],[Actual Start Date]],TableAopCalendar[[Date]:[Concatenate Month &amp; Week]],7,FALSE),"")</f>
        <v/>
      </c>
      <c r="T67" s="116"/>
      <c r="U67" s="115">
        <f>TableAOPTarget[[#This Row],[Actual Start Date]]+TableAOPTarget[[#This Row],[Standard Duration]]</f>
        <v>0</v>
      </c>
      <c r="V67" s="116" t="str">
        <f>IFERROR(VLOOKUP(TableAOPTarget[[#This Row],[Planned Finish Date]],TableAopCalendar[[Date]:[Concatenate Month &amp; Week]],7,FALSE),"")</f>
        <v/>
      </c>
      <c r="W67" s="115"/>
      <c r="X67" s="116" t="str">
        <f>IFERROR(VLOOKUP(TableAOPTarget[[#This Row],[Actual Finish Date]],TableAopCalendar[[Date]:[Concatenate Month &amp; Week]],7,FALSE),"")</f>
        <v/>
      </c>
      <c r="Y67" s="115"/>
      <c r="Z67" s="116" t="str">
        <f>IFERROR(VLOOKUP(TableAOPTarget[[#This Row],[Forecasted Finish Date]],TableAopCalendar[[Date]:[Concatenate Month &amp; Week]],7,FALSE),"")</f>
        <v/>
      </c>
      <c r="AA67" s="115"/>
      <c r="AB67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67" s="116" t="str">
        <f>IF(TableAOPTarget[[#This Row],[EPC Status]]="EPC Ready",INDEX(TableAopCalendar[Month for Plan],MATCH(TableAOPTarget[[#This Row],[Actual Finish Date]],TableAopCalendar[Date],0))," ")</f>
        <v xml:space="preserve"> </v>
      </c>
      <c r="AD67" s="116"/>
      <c r="AE67" s="116"/>
      <c r="AF67" s="106" t="s">
        <v>583</v>
      </c>
      <c r="AG67" s="106"/>
      <c r="AH67" s="106"/>
      <c r="AI67" s="106" t="e">
        <f>VLOOKUP(TableAOPTarget[[#This Row],[PD]],[18]Backup!$C:$F,4,0)</f>
        <v>#N/A</v>
      </c>
      <c r="AJ67" s="106" t="e">
        <f>VLOOKUP(TableAOPTarget[[#This Row],[Apex ID]],'[17]Main Backup'!$A:$I,9,0)</f>
        <v>#N/A</v>
      </c>
      <c r="AK67" s="118" t="str">
        <f>IF(TableAOPTarget[[#This Row],[RFC Date]]="","",(TableAOPTarget[[#This Row],[RFC Date]]+3))</f>
        <v/>
      </c>
      <c r="AL67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67" s="106"/>
    </row>
    <row r="68" spans="2:39" ht="30" hidden="1" x14ac:dyDescent="0.25">
      <c r="B68" s="196" t="s">
        <v>643</v>
      </c>
      <c r="C68" s="104"/>
      <c r="D68" s="106"/>
      <c r="E68" s="108"/>
      <c r="F68" s="110" t="s">
        <v>441</v>
      </c>
      <c r="G68" s="110" t="s">
        <v>340</v>
      </c>
      <c r="H68" s="110" t="s">
        <v>343</v>
      </c>
      <c r="I68" s="110" t="s">
        <v>686</v>
      </c>
      <c r="J68" s="52" t="s">
        <v>608</v>
      </c>
      <c r="K68" s="110" t="s">
        <v>611</v>
      </c>
      <c r="L68" s="110" t="s">
        <v>597</v>
      </c>
      <c r="M68" s="80"/>
      <c r="N68" s="116"/>
      <c r="O68" s="116"/>
      <c r="P68" s="115"/>
      <c r="Q68" s="116" t="str">
        <f>IFERROR(VLOOKUP(TableAOPTarget[[#This Row],[RFC Date]],TableAopCalendar[[Date]:[Concatenate Month &amp; Week]],7,FALSE),"")</f>
        <v/>
      </c>
      <c r="R68" s="115"/>
      <c r="S68" s="116" t="str">
        <f>IFERROR(VLOOKUP(TableAOPTarget[[#This Row],[Actual Start Date]],TableAopCalendar[[Date]:[Concatenate Month &amp; Week]],7,FALSE),"")</f>
        <v/>
      </c>
      <c r="T68" s="116"/>
      <c r="U68" s="115">
        <f>TableAOPTarget[[#This Row],[Actual Start Date]]+TableAOPTarget[[#This Row],[Standard Duration]]</f>
        <v>0</v>
      </c>
      <c r="V68" s="116" t="str">
        <f>IFERROR(VLOOKUP(TableAOPTarget[[#This Row],[Planned Finish Date]],TableAopCalendar[[Date]:[Concatenate Month &amp; Week]],7,FALSE),"")</f>
        <v/>
      </c>
      <c r="W68" s="115"/>
      <c r="X68" s="116" t="str">
        <f>IFERROR(VLOOKUP(TableAOPTarget[[#This Row],[Actual Finish Date]],TableAopCalendar[[Date]:[Concatenate Month &amp; Week]],7,FALSE),"")</f>
        <v/>
      </c>
      <c r="Y68" s="115"/>
      <c r="Z68" s="116" t="str">
        <f>IFERROR(VLOOKUP(TableAOPTarget[[#This Row],[Forecasted Finish Date]],TableAopCalendar[[Date]:[Concatenate Month &amp; Week]],7,FALSE),"")</f>
        <v/>
      </c>
      <c r="AA68" s="115"/>
      <c r="AB68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68" s="116" t="str">
        <f>IF(TableAOPTarget[[#This Row],[EPC Status]]="EPC Ready",INDEX(TableAopCalendar[Month for Plan],MATCH(TableAOPTarget[[#This Row],[Actual Finish Date]],TableAopCalendar[Date],0))," ")</f>
        <v xml:space="preserve"> </v>
      </c>
      <c r="AD68" s="116"/>
      <c r="AE68" s="116"/>
      <c r="AF68" s="106" t="s">
        <v>583</v>
      </c>
      <c r="AG68" s="106"/>
      <c r="AH68" s="106"/>
      <c r="AI68" s="106" t="e">
        <f>VLOOKUP(TableAOPTarget[[#This Row],[PD]],[18]Backup!$C:$F,4,0)</f>
        <v>#N/A</v>
      </c>
      <c r="AJ68" s="106" t="e">
        <f>VLOOKUP(TableAOPTarget[[#This Row],[Apex ID]],'[17]Main Backup'!$A:$I,9,0)</f>
        <v>#N/A</v>
      </c>
      <c r="AK68" s="118" t="str">
        <f>IF(TableAOPTarget[[#This Row],[RFC Date]]="","",(TableAOPTarget[[#This Row],[RFC Date]]+3))</f>
        <v/>
      </c>
      <c r="AL68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68" s="106"/>
    </row>
    <row r="69" spans="2:39" ht="30" hidden="1" x14ac:dyDescent="0.25">
      <c r="B69" s="196" t="s">
        <v>644</v>
      </c>
      <c r="C69" s="104"/>
      <c r="D69" s="106"/>
      <c r="E69" s="108"/>
      <c r="F69" s="110" t="s">
        <v>441</v>
      </c>
      <c r="G69" s="110" t="s">
        <v>340</v>
      </c>
      <c r="H69" s="110" t="s">
        <v>343</v>
      </c>
      <c r="I69" s="110" t="s">
        <v>686</v>
      </c>
      <c r="J69" s="52" t="s">
        <v>604</v>
      </c>
      <c r="K69" s="110" t="s">
        <v>612</v>
      </c>
      <c r="L69" s="53" t="s">
        <v>598</v>
      </c>
      <c r="M69" s="80"/>
      <c r="N69" s="116"/>
      <c r="O69" s="116"/>
      <c r="P69" s="115"/>
      <c r="Q69" s="116" t="str">
        <f>IFERROR(VLOOKUP(TableAOPTarget[[#This Row],[RFC Date]],TableAopCalendar[[Date]:[Concatenate Month &amp; Week]],7,FALSE),"")</f>
        <v/>
      </c>
      <c r="R69" s="115"/>
      <c r="S69" s="116" t="str">
        <f>IFERROR(VLOOKUP(TableAOPTarget[[#This Row],[Actual Start Date]],TableAopCalendar[[Date]:[Concatenate Month &amp; Week]],7,FALSE),"")</f>
        <v/>
      </c>
      <c r="T69" s="116"/>
      <c r="U69" s="115">
        <f>TableAOPTarget[[#This Row],[Actual Start Date]]+TableAOPTarget[[#This Row],[Standard Duration]]</f>
        <v>0</v>
      </c>
      <c r="V69" s="116" t="str">
        <f>IFERROR(VLOOKUP(TableAOPTarget[[#This Row],[Planned Finish Date]],TableAopCalendar[[Date]:[Concatenate Month &amp; Week]],7,FALSE),"")</f>
        <v/>
      </c>
      <c r="W69" s="115"/>
      <c r="X69" s="116" t="str">
        <f>IFERROR(VLOOKUP(TableAOPTarget[[#This Row],[Actual Finish Date]],TableAopCalendar[[Date]:[Concatenate Month &amp; Week]],7,FALSE),"")</f>
        <v/>
      </c>
      <c r="Y69" s="115"/>
      <c r="Z69" s="116" t="str">
        <f>IFERROR(VLOOKUP(TableAOPTarget[[#This Row],[Forecasted Finish Date]],TableAopCalendar[[Date]:[Concatenate Month &amp; Week]],7,FALSE),"")</f>
        <v/>
      </c>
      <c r="AA69" s="115"/>
      <c r="AB69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69" s="116" t="str">
        <f>IF(TableAOPTarget[[#This Row],[EPC Status]]="EPC Ready",INDEX(TableAopCalendar[Month for Plan],MATCH(TableAOPTarget[[#This Row],[Actual Finish Date]],TableAopCalendar[Date],0))," ")</f>
        <v xml:space="preserve"> </v>
      </c>
      <c r="AD69" s="116"/>
      <c r="AE69" s="116"/>
      <c r="AF69" s="106" t="s">
        <v>583</v>
      </c>
      <c r="AG69" s="106"/>
      <c r="AH69" s="106"/>
      <c r="AI69" s="106" t="e">
        <f>VLOOKUP(TableAOPTarget[[#This Row],[PD]],[18]Backup!$C:$F,4,0)</f>
        <v>#N/A</v>
      </c>
      <c r="AJ69" s="106" t="e">
        <f>VLOOKUP(TableAOPTarget[[#This Row],[Apex ID]],'[17]Main Backup'!$A:$I,9,0)</f>
        <v>#N/A</v>
      </c>
      <c r="AK69" s="118" t="str">
        <f>IF(TableAOPTarget[[#This Row],[RFC Date]]="","",(TableAOPTarget[[#This Row],[RFC Date]]+3))</f>
        <v/>
      </c>
      <c r="AL69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69" s="106"/>
    </row>
    <row r="70" spans="2:39" ht="30" hidden="1" x14ac:dyDescent="0.25">
      <c r="B70" s="196" t="s">
        <v>645</v>
      </c>
      <c r="C70" s="104"/>
      <c r="D70" s="106"/>
      <c r="E70" s="108"/>
      <c r="F70" s="110" t="s">
        <v>441</v>
      </c>
      <c r="G70" s="110" t="s">
        <v>340</v>
      </c>
      <c r="H70" s="110" t="s">
        <v>343</v>
      </c>
      <c r="I70" s="110" t="s">
        <v>686</v>
      </c>
      <c r="J70" s="52" t="s">
        <v>604</v>
      </c>
      <c r="K70" s="110" t="s">
        <v>613</v>
      </c>
      <c r="L70" s="53" t="s">
        <v>598</v>
      </c>
      <c r="M70" s="80"/>
      <c r="N70" s="116"/>
      <c r="O70" s="116"/>
      <c r="P70" s="115"/>
      <c r="Q70" s="116" t="str">
        <f>IFERROR(VLOOKUP(TableAOPTarget[[#This Row],[RFC Date]],TableAopCalendar[[Date]:[Concatenate Month &amp; Week]],7,FALSE),"")</f>
        <v/>
      </c>
      <c r="R70" s="115"/>
      <c r="S70" s="116" t="str">
        <f>IFERROR(VLOOKUP(TableAOPTarget[[#This Row],[Actual Start Date]],TableAopCalendar[[Date]:[Concatenate Month &amp; Week]],7,FALSE),"")</f>
        <v/>
      </c>
      <c r="T70" s="116"/>
      <c r="U70" s="115">
        <f>TableAOPTarget[[#This Row],[Actual Start Date]]+TableAOPTarget[[#This Row],[Standard Duration]]</f>
        <v>0</v>
      </c>
      <c r="V70" s="116" t="str">
        <f>IFERROR(VLOOKUP(TableAOPTarget[[#This Row],[Planned Finish Date]],TableAopCalendar[[Date]:[Concatenate Month &amp; Week]],7,FALSE),"")</f>
        <v/>
      </c>
      <c r="W70" s="115"/>
      <c r="X70" s="116" t="str">
        <f>IFERROR(VLOOKUP(TableAOPTarget[[#This Row],[Actual Finish Date]],TableAopCalendar[[Date]:[Concatenate Month &amp; Week]],7,FALSE),"")</f>
        <v/>
      </c>
      <c r="Y70" s="115"/>
      <c r="Z70" s="116" t="str">
        <f>IFERROR(VLOOKUP(TableAOPTarget[[#This Row],[Forecasted Finish Date]],TableAopCalendar[[Date]:[Concatenate Month &amp; Week]],7,FALSE),"")</f>
        <v/>
      </c>
      <c r="AA70" s="115"/>
      <c r="AB70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70" s="116" t="str">
        <f>IF(TableAOPTarget[[#This Row],[EPC Status]]="EPC Ready",INDEX(TableAopCalendar[Month for Plan],MATCH(TableAOPTarget[[#This Row],[Actual Finish Date]],TableAopCalendar[Date],0))," ")</f>
        <v xml:space="preserve"> </v>
      </c>
      <c r="AD70" s="116"/>
      <c r="AE70" s="116"/>
      <c r="AF70" s="106" t="s">
        <v>583</v>
      </c>
      <c r="AG70" s="106"/>
      <c r="AH70" s="106"/>
      <c r="AI70" s="106" t="e">
        <f>VLOOKUP(TableAOPTarget[[#This Row],[PD]],[18]Backup!$C:$F,4,0)</f>
        <v>#N/A</v>
      </c>
      <c r="AJ70" s="106" t="e">
        <f>VLOOKUP(TableAOPTarget[[#This Row],[Apex ID]],'[17]Main Backup'!$A:$I,9,0)</f>
        <v>#N/A</v>
      </c>
      <c r="AK70" s="118" t="str">
        <f>IF(TableAOPTarget[[#This Row],[RFC Date]]="","",(TableAOPTarget[[#This Row],[RFC Date]]+3))</f>
        <v/>
      </c>
      <c r="AL70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70" s="106"/>
    </row>
    <row r="71" spans="2:39" ht="30" hidden="1" x14ac:dyDescent="0.25">
      <c r="B71" s="196" t="s">
        <v>646</v>
      </c>
      <c r="C71" s="104"/>
      <c r="D71" s="106"/>
      <c r="E71" s="108"/>
      <c r="F71" s="110" t="s">
        <v>441</v>
      </c>
      <c r="G71" s="110" t="s">
        <v>340</v>
      </c>
      <c r="H71" s="110" t="s">
        <v>343</v>
      </c>
      <c r="I71" s="110" t="s">
        <v>686</v>
      </c>
      <c r="J71" s="52" t="s">
        <v>604</v>
      </c>
      <c r="K71" s="110" t="s">
        <v>614</v>
      </c>
      <c r="L71" s="53" t="s">
        <v>598</v>
      </c>
      <c r="M71" s="80"/>
      <c r="N71" s="116"/>
      <c r="O71" s="116"/>
      <c r="P71" s="115"/>
      <c r="Q71" s="116" t="str">
        <f>IFERROR(VLOOKUP(TableAOPTarget[[#This Row],[RFC Date]],TableAopCalendar[[Date]:[Concatenate Month &amp; Week]],7,FALSE),"")</f>
        <v/>
      </c>
      <c r="R71" s="115"/>
      <c r="S71" s="116" t="str">
        <f>IFERROR(VLOOKUP(TableAOPTarget[[#This Row],[Actual Start Date]],TableAopCalendar[[Date]:[Concatenate Month &amp; Week]],7,FALSE),"")</f>
        <v/>
      </c>
      <c r="T71" s="116"/>
      <c r="U71" s="115">
        <f>TableAOPTarget[[#This Row],[Actual Start Date]]+TableAOPTarget[[#This Row],[Standard Duration]]</f>
        <v>0</v>
      </c>
      <c r="V71" s="116" t="str">
        <f>IFERROR(VLOOKUP(TableAOPTarget[[#This Row],[Planned Finish Date]],TableAopCalendar[[Date]:[Concatenate Month &amp; Week]],7,FALSE),"")</f>
        <v/>
      </c>
      <c r="W71" s="115"/>
      <c r="X71" s="116" t="str">
        <f>IFERROR(VLOOKUP(TableAOPTarget[[#This Row],[Actual Finish Date]],TableAopCalendar[[Date]:[Concatenate Month &amp; Week]],7,FALSE),"")</f>
        <v/>
      </c>
      <c r="Y71" s="115"/>
      <c r="Z71" s="116" t="str">
        <f>IFERROR(VLOOKUP(TableAOPTarget[[#This Row],[Forecasted Finish Date]],TableAopCalendar[[Date]:[Concatenate Month &amp; Week]],7,FALSE),"")</f>
        <v/>
      </c>
      <c r="AA71" s="115"/>
      <c r="AB71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71" s="116" t="str">
        <f>IF(TableAOPTarget[[#This Row],[EPC Status]]="EPC Ready",INDEX(TableAopCalendar[Month for Plan],MATCH(TableAOPTarget[[#This Row],[Actual Finish Date]],TableAopCalendar[Date],0))," ")</f>
        <v xml:space="preserve"> </v>
      </c>
      <c r="AD71" s="116"/>
      <c r="AE71" s="116"/>
      <c r="AF71" s="106" t="s">
        <v>583</v>
      </c>
      <c r="AG71" s="106"/>
      <c r="AH71" s="106"/>
      <c r="AI71" s="106" t="e">
        <f>VLOOKUP(TableAOPTarget[[#This Row],[PD]],[18]Backup!$C:$F,4,0)</f>
        <v>#N/A</v>
      </c>
      <c r="AJ71" s="106" t="e">
        <f>VLOOKUP(TableAOPTarget[[#This Row],[Apex ID]],'[17]Main Backup'!$A:$I,9,0)</f>
        <v>#N/A</v>
      </c>
      <c r="AK71" s="118" t="str">
        <f>IF(TableAOPTarget[[#This Row],[RFC Date]]="","",(TableAOPTarget[[#This Row],[RFC Date]]+3))</f>
        <v/>
      </c>
      <c r="AL71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71" s="106"/>
    </row>
    <row r="72" spans="2:39" ht="30" hidden="1" x14ac:dyDescent="0.25">
      <c r="B72" s="196" t="s">
        <v>647</v>
      </c>
      <c r="C72" s="50"/>
      <c r="D72" s="51"/>
      <c r="E72" s="49"/>
      <c r="F72" s="110" t="s">
        <v>441</v>
      </c>
      <c r="G72" s="110" t="s">
        <v>340</v>
      </c>
      <c r="H72" s="110" t="s">
        <v>343</v>
      </c>
      <c r="I72" s="110" t="s">
        <v>686</v>
      </c>
      <c r="J72" s="52" t="s">
        <v>604</v>
      </c>
      <c r="K72" s="110" t="s">
        <v>638</v>
      </c>
      <c r="L72" s="53" t="s">
        <v>598</v>
      </c>
      <c r="M72" s="80"/>
      <c r="N72" s="55"/>
      <c r="O72" s="55"/>
      <c r="P72" s="54"/>
      <c r="Q72" s="55" t="str">
        <f>IFERROR(VLOOKUP(TableAOPTarget[[#This Row],[RFC Date]],TableAopCalendar[[Date]:[Concatenate Month &amp; Week]],7,FALSE),"")</f>
        <v/>
      </c>
      <c r="R72" s="54"/>
      <c r="S72" s="55" t="str">
        <f>IFERROR(VLOOKUP(TableAOPTarget[[#This Row],[Actual Start Date]],TableAopCalendar[[Date]:[Concatenate Month &amp; Week]],7,FALSE),"")</f>
        <v/>
      </c>
      <c r="T72" s="55"/>
      <c r="U72" s="54">
        <f>TableAOPTarget[[#This Row],[Actual Start Date]]+TableAOPTarget[[#This Row],[Standard Duration]]</f>
        <v>0</v>
      </c>
      <c r="V72" s="55" t="str">
        <f>IFERROR(VLOOKUP(TableAOPTarget[[#This Row],[Planned Finish Date]],TableAopCalendar[[Date]:[Concatenate Month &amp; Week]],7,FALSE),"")</f>
        <v/>
      </c>
      <c r="W72" s="54"/>
      <c r="X72" s="55" t="str">
        <f>IFERROR(VLOOKUP(TableAOPTarget[[#This Row],[Actual Finish Date]],TableAopCalendar[[Date]:[Concatenate Month &amp; Week]],7,FALSE),"")</f>
        <v/>
      </c>
      <c r="Y72" s="54"/>
      <c r="Z72" s="55" t="str">
        <f>IFERROR(VLOOKUP(TableAOPTarget[[#This Row],[Forecasted Finish Date]],TableAopCalendar[[Date]:[Concatenate Month &amp; Week]],7,FALSE),"")</f>
        <v/>
      </c>
      <c r="AA72" s="54"/>
      <c r="AB72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72" s="55" t="str">
        <f>IF(TableAOPTarget[[#This Row],[EPC Status]]="EPC Ready",INDEX(TableAopCalendar[Month for Plan],MATCH(TableAOPTarget[[#This Row],[Actual Finish Date]],TableAopCalendar[Date],0))," ")</f>
        <v xml:space="preserve"> </v>
      </c>
      <c r="AD72" s="55"/>
      <c r="AE72" s="55"/>
      <c r="AF72" s="106" t="s">
        <v>583</v>
      </c>
      <c r="AG72" s="51"/>
      <c r="AH72" s="51"/>
      <c r="AI72" s="51" t="e">
        <f>VLOOKUP(TableAOPTarget[[#This Row],[PD]],[18]Backup!$C:$F,4,0)</f>
        <v>#N/A</v>
      </c>
      <c r="AJ72" s="51" t="e">
        <f>VLOOKUP(TableAOPTarget[[#This Row],[Apex ID]],'[17]Main Backup'!$A:$I,9,0)</f>
        <v>#N/A</v>
      </c>
      <c r="AK72" s="56" t="str">
        <f>IF(TableAOPTarget[[#This Row],[RFC Date]]="","",(TableAOPTarget[[#This Row],[RFC Date]]+3))</f>
        <v/>
      </c>
      <c r="AL72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72" s="51"/>
    </row>
    <row r="73" spans="2:39" ht="30" hidden="1" x14ac:dyDescent="0.25">
      <c r="B73" s="196" t="s">
        <v>648</v>
      </c>
      <c r="C73" s="50"/>
      <c r="D73" s="51"/>
      <c r="E73" s="49"/>
      <c r="F73" s="110" t="s">
        <v>441</v>
      </c>
      <c r="G73" s="52" t="s">
        <v>340</v>
      </c>
      <c r="H73" s="52" t="s">
        <v>343</v>
      </c>
      <c r="I73" s="110" t="s">
        <v>686</v>
      </c>
      <c r="J73" s="52" t="s">
        <v>353</v>
      </c>
      <c r="K73" s="110" t="s">
        <v>615</v>
      </c>
      <c r="L73" s="53" t="s">
        <v>599</v>
      </c>
      <c r="M73" s="80"/>
      <c r="N73" s="55"/>
      <c r="O73" s="55"/>
      <c r="P73" s="54"/>
      <c r="Q73" s="55" t="str">
        <f>IFERROR(VLOOKUP(TableAOPTarget[[#This Row],[RFC Date]],TableAopCalendar[[Date]:[Concatenate Month &amp; Week]],7,FALSE),"")</f>
        <v/>
      </c>
      <c r="R73" s="54"/>
      <c r="S73" s="55" t="str">
        <f>IFERROR(VLOOKUP(TableAOPTarget[[#This Row],[Actual Start Date]],TableAopCalendar[[Date]:[Concatenate Month &amp; Week]],7,FALSE),"")</f>
        <v/>
      </c>
      <c r="T73" s="55"/>
      <c r="U73" s="54">
        <f>TableAOPTarget[[#This Row],[Actual Start Date]]+TableAOPTarget[[#This Row],[Standard Duration]]</f>
        <v>0</v>
      </c>
      <c r="V73" s="55" t="str">
        <f>IFERROR(VLOOKUP(TableAOPTarget[[#This Row],[Planned Finish Date]],TableAopCalendar[[Date]:[Concatenate Month &amp; Week]],7,FALSE),"")</f>
        <v/>
      </c>
      <c r="W73" s="54"/>
      <c r="X73" s="55" t="str">
        <f>IFERROR(VLOOKUP(TableAOPTarget[[#This Row],[Actual Finish Date]],TableAopCalendar[[Date]:[Concatenate Month &amp; Week]],7,FALSE),"")</f>
        <v/>
      </c>
      <c r="Y73" s="54"/>
      <c r="Z73" s="55" t="str">
        <f>IFERROR(VLOOKUP(TableAOPTarget[[#This Row],[Forecasted Finish Date]],TableAopCalendar[[Date]:[Concatenate Month &amp; Week]],7,FALSE),"")</f>
        <v/>
      </c>
      <c r="AA73" s="54"/>
      <c r="AB73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73" s="55" t="str">
        <f>IF(TableAOPTarget[[#This Row],[EPC Status]]="EPC Ready",INDEX(TableAopCalendar[Month for Plan],MATCH(TableAOPTarget[[#This Row],[Actual Finish Date]],TableAopCalendar[Date],0))," ")</f>
        <v xml:space="preserve"> </v>
      </c>
      <c r="AD73" s="55"/>
      <c r="AE73" s="55"/>
      <c r="AF73" s="106" t="s">
        <v>583</v>
      </c>
      <c r="AG73" s="51"/>
      <c r="AH73" s="51"/>
      <c r="AI73" s="51" t="e">
        <f>VLOOKUP(TableAOPTarget[[#This Row],[PD]],[18]Backup!$C:$F,4,0)</f>
        <v>#N/A</v>
      </c>
      <c r="AJ73" s="51" t="e">
        <f>VLOOKUP(TableAOPTarget[[#This Row],[Apex ID]],'[17]Main Backup'!$A:$I,9,0)</f>
        <v>#N/A</v>
      </c>
      <c r="AK73" s="56" t="str">
        <f>IF(TableAOPTarget[[#This Row],[RFC Date]]="","",(TableAOPTarget[[#This Row],[RFC Date]]+3))</f>
        <v/>
      </c>
      <c r="AL73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73" s="51"/>
    </row>
    <row r="74" spans="2:39" ht="30" hidden="1" x14ac:dyDescent="0.25">
      <c r="B74" s="196" t="s">
        <v>649</v>
      </c>
      <c r="C74" s="50"/>
      <c r="D74" s="51"/>
      <c r="E74" s="49"/>
      <c r="F74" s="110" t="s">
        <v>441</v>
      </c>
      <c r="G74" s="52" t="s">
        <v>340</v>
      </c>
      <c r="H74" s="52" t="s">
        <v>343</v>
      </c>
      <c r="I74" s="110" t="s">
        <v>686</v>
      </c>
      <c r="J74" s="52" t="s">
        <v>353</v>
      </c>
      <c r="K74" s="110" t="s">
        <v>616</v>
      </c>
      <c r="L74" s="53" t="s">
        <v>599</v>
      </c>
      <c r="M74" s="80"/>
      <c r="N74" s="55"/>
      <c r="O74" s="55"/>
      <c r="P74" s="54"/>
      <c r="Q74" s="55" t="str">
        <f>IFERROR(VLOOKUP(TableAOPTarget[[#This Row],[RFC Date]],TableAopCalendar[[Date]:[Concatenate Month &amp; Week]],7,FALSE),"")</f>
        <v/>
      </c>
      <c r="R74" s="54"/>
      <c r="S74" s="55" t="str">
        <f>IFERROR(VLOOKUP(TableAOPTarget[[#This Row],[Actual Start Date]],TableAopCalendar[[Date]:[Concatenate Month &amp; Week]],7,FALSE),"")</f>
        <v/>
      </c>
      <c r="T74" s="55"/>
      <c r="U74" s="54">
        <f>TableAOPTarget[[#This Row],[Actual Start Date]]+TableAOPTarget[[#This Row],[Standard Duration]]</f>
        <v>0</v>
      </c>
      <c r="V74" s="55" t="str">
        <f>IFERROR(VLOOKUP(TableAOPTarget[[#This Row],[Planned Finish Date]],TableAopCalendar[[Date]:[Concatenate Month &amp; Week]],7,FALSE),"")</f>
        <v/>
      </c>
      <c r="W74" s="54"/>
      <c r="X74" s="55" t="str">
        <f>IFERROR(VLOOKUP(TableAOPTarget[[#This Row],[Actual Finish Date]],TableAopCalendar[[Date]:[Concatenate Month &amp; Week]],7,FALSE),"")</f>
        <v/>
      </c>
      <c r="Y74" s="54"/>
      <c r="Z74" s="55" t="str">
        <f>IFERROR(VLOOKUP(TableAOPTarget[[#This Row],[Forecasted Finish Date]],TableAopCalendar[[Date]:[Concatenate Month &amp; Week]],7,FALSE),"")</f>
        <v/>
      </c>
      <c r="AA74" s="54"/>
      <c r="AB74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74" s="55" t="str">
        <f>IF(TableAOPTarget[[#This Row],[EPC Status]]="EPC Ready",INDEX(TableAopCalendar[Month for Plan],MATCH(TableAOPTarget[[#This Row],[Actual Finish Date]],TableAopCalendar[Date],0))," ")</f>
        <v xml:space="preserve"> </v>
      </c>
      <c r="AD74" s="55"/>
      <c r="AE74" s="55"/>
      <c r="AF74" s="106" t="s">
        <v>583</v>
      </c>
      <c r="AG74" s="51"/>
      <c r="AH74" s="51"/>
      <c r="AI74" s="51" t="e">
        <f>VLOOKUP(TableAOPTarget[[#This Row],[PD]],[18]Backup!$C:$F,4,0)</f>
        <v>#N/A</v>
      </c>
      <c r="AJ74" s="51" t="e">
        <f>VLOOKUP(TableAOPTarget[[#This Row],[Apex ID]],'[17]Main Backup'!$A:$I,9,0)</f>
        <v>#N/A</v>
      </c>
      <c r="AK74" s="56" t="str">
        <f>IF(TableAOPTarget[[#This Row],[RFC Date]]="","",(TableAOPTarget[[#This Row],[RFC Date]]+3))</f>
        <v/>
      </c>
      <c r="AL74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74" s="51"/>
    </row>
    <row r="75" spans="2:39" ht="30" hidden="1" x14ac:dyDescent="0.25">
      <c r="B75" s="196" t="s">
        <v>650</v>
      </c>
      <c r="C75" s="50"/>
      <c r="D75" s="51"/>
      <c r="E75" s="49"/>
      <c r="F75" s="110" t="s">
        <v>441</v>
      </c>
      <c r="G75" s="52" t="s">
        <v>340</v>
      </c>
      <c r="H75" s="52" t="s">
        <v>343</v>
      </c>
      <c r="I75" s="110" t="s">
        <v>686</v>
      </c>
      <c r="J75" s="52" t="s">
        <v>353</v>
      </c>
      <c r="K75" s="110" t="s">
        <v>617</v>
      </c>
      <c r="L75" s="53" t="s">
        <v>599</v>
      </c>
      <c r="M75" s="80"/>
      <c r="N75" s="55"/>
      <c r="O75" s="55"/>
      <c r="P75" s="54"/>
      <c r="Q75" s="55" t="str">
        <f>IFERROR(VLOOKUP(TableAOPTarget[[#This Row],[RFC Date]],TableAopCalendar[[Date]:[Concatenate Month &amp; Week]],7,FALSE),"")</f>
        <v/>
      </c>
      <c r="R75" s="54"/>
      <c r="S75" s="55" t="str">
        <f>IFERROR(VLOOKUP(TableAOPTarget[[#This Row],[Actual Start Date]],TableAopCalendar[[Date]:[Concatenate Month &amp; Week]],7,FALSE),"")</f>
        <v/>
      </c>
      <c r="T75" s="55"/>
      <c r="U75" s="54">
        <f>TableAOPTarget[[#This Row],[Actual Start Date]]+TableAOPTarget[[#This Row],[Standard Duration]]</f>
        <v>0</v>
      </c>
      <c r="V75" s="55" t="str">
        <f>IFERROR(VLOOKUP(TableAOPTarget[[#This Row],[Planned Finish Date]],TableAopCalendar[[Date]:[Concatenate Month &amp; Week]],7,FALSE),"")</f>
        <v/>
      </c>
      <c r="W75" s="54"/>
      <c r="X75" s="55" t="str">
        <f>IFERROR(VLOOKUP(TableAOPTarget[[#This Row],[Actual Finish Date]],TableAopCalendar[[Date]:[Concatenate Month &amp; Week]],7,FALSE),"")</f>
        <v/>
      </c>
      <c r="Y75" s="54"/>
      <c r="Z75" s="55" t="str">
        <f>IFERROR(VLOOKUP(TableAOPTarget[[#This Row],[Forecasted Finish Date]],TableAopCalendar[[Date]:[Concatenate Month &amp; Week]],7,FALSE),"")</f>
        <v/>
      </c>
      <c r="AA75" s="54"/>
      <c r="AB75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75" s="55" t="str">
        <f>IF(TableAOPTarget[[#This Row],[EPC Status]]="EPC Ready",INDEX(TableAopCalendar[Month for Plan],MATCH(TableAOPTarget[[#This Row],[Actual Finish Date]],TableAopCalendar[Date],0))," ")</f>
        <v xml:space="preserve"> </v>
      </c>
      <c r="AD75" s="55"/>
      <c r="AE75" s="55"/>
      <c r="AF75" s="106" t="s">
        <v>583</v>
      </c>
      <c r="AG75" s="51"/>
      <c r="AH75" s="51"/>
      <c r="AI75" s="51" t="e">
        <f>VLOOKUP(TableAOPTarget[[#This Row],[PD]],[18]Backup!$C:$F,4,0)</f>
        <v>#N/A</v>
      </c>
      <c r="AJ75" s="51" t="e">
        <f>VLOOKUP(TableAOPTarget[[#This Row],[Apex ID]],'[17]Main Backup'!$A:$I,9,0)</f>
        <v>#N/A</v>
      </c>
      <c r="AK75" s="56" t="str">
        <f>IF(TableAOPTarget[[#This Row],[RFC Date]]="","",(TableAOPTarget[[#This Row],[RFC Date]]+3))</f>
        <v/>
      </c>
      <c r="AL75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75" s="51"/>
    </row>
    <row r="76" spans="2:39" ht="30" hidden="1" x14ac:dyDescent="0.25">
      <c r="B76" s="196" t="s">
        <v>651</v>
      </c>
      <c r="C76" s="50"/>
      <c r="D76" s="51"/>
      <c r="E76" s="49"/>
      <c r="F76" s="110" t="s">
        <v>441</v>
      </c>
      <c r="G76" s="52" t="s">
        <v>340</v>
      </c>
      <c r="H76" s="52" t="s">
        <v>343</v>
      </c>
      <c r="I76" s="110" t="s">
        <v>686</v>
      </c>
      <c r="J76" s="52" t="s">
        <v>353</v>
      </c>
      <c r="K76" s="110" t="s">
        <v>637</v>
      </c>
      <c r="L76" s="53" t="s">
        <v>599</v>
      </c>
      <c r="M76" s="80"/>
      <c r="N76" s="55"/>
      <c r="O76" s="55"/>
      <c r="P76" s="54"/>
      <c r="Q76" s="55" t="str">
        <f>IFERROR(VLOOKUP(TableAOPTarget[[#This Row],[RFC Date]],TableAopCalendar[[Date]:[Concatenate Month &amp; Week]],7,FALSE),"")</f>
        <v/>
      </c>
      <c r="R76" s="54"/>
      <c r="S76" s="55" t="str">
        <f>IFERROR(VLOOKUP(TableAOPTarget[[#This Row],[Actual Start Date]],TableAopCalendar[[Date]:[Concatenate Month &amp; Week]],7,FALSE),"")</f>
        <v/>
      </c>
      <c r="T76" s="55"/>
      <c r="U76" s="54">
        <f>TableAOPTarget[[#This Row],[Actual Start Date]]+TableAOPTarget[[#This Row],[Standard Duration]]</f>
        <v>0</v>
      </c>
      <c r="V76" s="55" t="str">
        <f>IFERROR(VLOOKUP(TableAOPTarget[[#This Row],[Planned Finish Date]],TableAopCalendar[[Date]:[Concatenate Month &amp; Week]],7,FALSE),"")</f>
        <v/>
      </c>
      <c r="W76" s="54"/>
      <c r="X76" s="55" t="str">
        <f>IFERROR(VLOOKUP(TableAOPTarget[[#This Row],[Actual Finish Date]],TableAopCalendar[[Date]:[Concatenate Month &amp; Week]],7,FALSE),"")</f>
        <v/>
      </c>
      <c r="Y76" s="54"/>
      <c r="Z76" s="55" t="str">
        <f>IFERROR(VLOOKUP(TableAOPTarget[[#This Row],[Forecasted Finish Date]],TableAopCalendar[[Date]:[Concatenate Month &amp; Week]],7,FALSE),"")</f>
        <v/>
      </c>
      <c r="AA76" s="54"/>
      <c r="AB76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76" s="55" t="str">
        <f>IF(TableAOPTarget[[#This Row],[EPC Status]]="EPC Ready",INDEX(TableAopCalendar[Month for Plan],MATCH(TableAOPTarget[[#This Row],[Actual Finish Date]],TableAopCalendar[Date],0))," ")</f>
        <v xml:space="preserve"> </v>
      </c>
      <c r="AD76" s="55"/>
      <c r="AE76" s="55"/>
      <c r="AF76" s="106" t="s">
        <v>583</v>
      </c>
      <c r="AG76" s="51"/>
      <c r="AH76" s="51"/>
      <c r="AI76" s="51" t="e">
        <f>VLOOKUP(TableAOPTarget[[#This Row],[PD]],[18]Backup!$C:$F,4,0)</f>
        <v>#N/A</v>
      </c>
      <c r="AJ76" s="51" t="e">
        <f>VLOOKUP(TableAOPTarget[[#This Row],[Apex ID]],'[17]Main Backup'!$A:$I,9,0)</f>
        <v>#N/A</v>
      </c>
      <c r="AK76" s="56" t="str">
        <f>IF(TableAOPTarget[[#This Row],[RFC Date]]="","",(TableAOPTarget[[#This Row],[RFC Date]]+3))</f>
        <v/>
      </c>
      <c r="AL76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76" s="51"/>
    </row>
    <row r="77" spans="2:39" ht="30" hidden="1" x14ac:dyDescent="0.25">
      <c r="B77" s="196" t="s">
        <v>652</v>
      </c>
      <c r="C77" s="50"/>
      <c r="D77" s="51"/>
      <c r="E77" s="49"/>
      <c r="F77" s="110" t="s">
        <v>441</v>
      </c>
      <c r="G77" s="52" t="s">
        <v>340</v>
      </c>
      <c r="H77" s="120" t="s">
        <v>344</v>
      </c>
      <c r="I77" s="110" t="s">
        <v>686</v>
      </c>
      <c r="J77" s="52" t="s">
        <v>352</v>
      </c>
      <c r="K77" s="110" t="s">
        <v>618</v>
      </c>
      <c r="L77" s="53" t="s">
        <v>603</v>
      </c>
      <c r="M77" s="80"/>
      <c r="N77" s="55"/>
      <c r="O77" s="55"/>
      <c r="P77" s="54"/>
      <c r="Q77" s="55" t="str">
        <f>IFERROR(VLOOKUP(TableAOPTarget[[#This Row],[RFC Date]],TableAopCalendar[[Date]:[Concatenate Month &amp; Week]],7,FALSE),"")</f>
        <v/>
      </c>
      <c r="R77" s="54"/>
      <c r="S77" s="55" t="str">
        <f>IFERROR(VLOOKUP(TableAOPTarget[[#This Row],[Actual Start Date]],TableAopCalendar[[Date]:[Concatenate Month &amp; Week]],7,FALSE),"")</f>
        <v/>
      </c>
      <c r="T77" s="55"/>
      <c r="U77" s="54">
        <f>TableAOPTarget[[#This Row],[Actual Start Date]]+TableAOPTarget[[#This Row],[Standard Duration]]</f>
        <v>0</v>
      </c>
      <c r="V77" s="55" t="str">
        <f>IFERROR(VLOOKUP(TableAOPTarget[[#This Row],[Planned Finish Date]],TableAopCalendar[[Date]:[Concatenate Month &amp; Week]],7,FALSE),"")</f>
        <v/>
      </c>
      <c r="W77" s="54"/>
      <c r="X77" s="55" t="str">
        <f>IFERROR(VLOOKUP(TableAOPTarget[[#This Row],[Actual Finish Date]],TableAopCalendar[[Date]:[Concatenate Month &amp; Week]],7,FALSE),"")</f>
        <v/>
      </c>
      <c r="Y77" s="54"/>
      <c r="Z77" s="55" t="str">
        <f>IFERROR(VLOOKUP(TableAOPTarget[[#This Row],[Forecasted Finish Date]],TableAopCalendar[[Date]:[Concatenate Month &amp; Week]],7,FALSE),"")</f>
        <v/>
      </c>
      <c r="AA77" s="54"/>
      <c r="AB77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77" s="55" t="str">
        <f>IF(TableAOPTarget[[#This Row],[EPC Status]]="EPC Ready",INDEX(TableAopCalendar[Month for Plan],MATCH(TableAOPTarget[[#This Row],[Actual Finish Date]],TableAopCalendar[Date],0))," ")</f>
        <v xml:space="preserve"> </v>
      </c>
      <c r="AD77" s="55"/>
      <c r="AE77" s="55"/>
      <c r="AF77" s="106" t="s">
        <v>583</v>
      </c>
      <c r="AG77" s="51"/>
      <c r="AH77" s="51"/>
      <c r="AI77" s="51" t="e">
        <f>VLOOKUP(TableAOPTarget[[#This Row],[PD]],[18]Backup!$C:$F,4,0)</f>
        <v>#N/A</v>
      </c>
      <c r="AJ77" s="51" t="e">
        <f>VLOOKUP(TableAOPTarget[[#This Row],[Apex ID]],'[17]Main Backup'!$A:$I,9,0)</f>
        <v>#N/A</v>
      </c>
      <c r="AK77" s="56" t="str">
        <f>IF(TableAOPTarget[[#This Row],[RFC Date]]="","",(TableAOPTarget[[#This Row],[RFC Date]]+3))</f>
        <v/>
      </c>
      <c r="AL77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77" s="51"/>
    </row>
    <row r="78" spans="2:39" ht="30" hidden="1" x14ac:dyDescent="0.25">
      <c r="B78" s="196" t="s">
        <v>653</v>
      </c>
      <c r="C78" s="50"/>
      <c r="D78" s="51"/>
      <c r="E78" s="49"/>
      <c r="F78" s="110" t="s">
        <v>441</v>
      </c>
      <c r="G78" s="52" t="s">
        <v>340</v>
      </c>
      <c r="H78" s="120" t="s">
        <v>344</v>
      </c>
      <c r="I78" s="110" t="s">
        <v>686</v>
      </c>
      <c r="J78" s="52" t="s">
        <v>352</v>
      </c>
      <c r="K78" s="110" t="s">
        <v>619</v>
      </c>
      <c r="L78" s="53" t="s">
        <v>603</v>
      </c>
      <c r="M78" s="80"/>
      <c r="N78" s="55"/>
      <c r="O78" s="55"/>
      <c r="P78" s="54"/>
      <c r="Q78" s="55" t="str">
        <f>IFERROR(VLOOKUP(TableAOPTarget[[#This Row],[RFC Date]],TableAopCalendar[[Date]:[Concatenate Month &amp; Week]],7,FALSE),"")</f>
        <v/>
      </c>
      <c r="R78" s="54"/>
      <c r="S78" s="55" t="str">
        <f>IFERROR(VLOOKUP(TableAOPTarget[[#This Row],[Actual Start Date]],TableAopCalendar[[Date]:[Concatenate Month &amp; Week]],7,FALSE),"")</f>
        <v/>
      </c>
      <c r="T78" s="55"/>
      <c r="U78" s="54">
        <f>TableAOPTarget[[#This Row],[Actual Start Date]]+TableAOPTarget[[#This Row],[Standard Duration]]</f>
        <v>0</v>
      </c>
      <c r="V78" s="55" t="str">
        <f>IFERROR(VLOOKUP(TableAOPTarget[[#This Row],[Planned Finish Date]],TableAopCalendar[[Date]:[Concatenate Month &amp; Week]],7,FALSE),"")</f>
        <v/>
      </c>
      <c r="W78" s="54"/>
      <c r="X78" s="55" t="str">
        <f>IFERROR(VLOOKUP(TableAOPTarget[[#This Row],[Actual Finish Date]],TableAopCalendar[[Date]:[Concatenate Month &amp; Week]],7,FALSE),"")</f>
        <v/>
      </c>
      <c r="Y78" s="54"/>
      <c r="Z78" s="55" t="str">
        <f>IFERROR(VLOOKUP(TableAOPTarget[[#This Row],[Forecasted Finish Date]],TableAopCalendar[[Date]:[Concatenate Month &amp; Week]],7,FALSE),"")</f>
        <v/>
      </c>
      <c r="AA78" s="54"/>
      <c r="AB78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78" s="55" t="str">
        <f>IF(TableAOPTarget[[#This Row],[EPC Status]]="EPC Ready",INDEX(TableAopCalendar[Month for Plan],MATCH(TableAOPTarget[[#This Row],[Actual Finish Date]],TableAopCalendar[Date],0))," ")</f>
        <v xml:space="preserve"> </v>
      </c>
      <c r="AD78" s="55"/>
      <c r="AE78" s="55"/>
      <c r="AF78" s="106" t="s">
        <v>583</v>
      </c>
      <c r="AG78" s="51"/>
      <c r="AH78" s="51"/>
      <c r="AI78" s="51" t="e">
        <f>VLOOKUP(TableAOPTarget[[#This Row],[PD]],[18]Backup!$C:$F,4,0)</f>
        <v>#N/A</v>
      </c>
      <c r="AJ78" s="51" t="e">
        <f>VLOOKUP(TableAOPTarget[[#This Row],[Apex ID]],'[17]Main Backup'!$A:$I,9,0)</f>
        <v>#N/A</v>
      </c>
      <c r="AK78" s="56" t="str">
        <f>IF(TableAOPTarget[[#This Row],[RFC Date]]="","",(TableAOPTarget[[#This Row],[RFC Date]]+3))</f>
        <v/>
      </c>
      <c r="AL78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78" s="51"/>
    </row>
    <row r="79" spans="2:39" ht="30" hidden="1" x14ac:dyDescent="0.25">
      <c r="B79" s="196" t="s">
        <v>654</v>
      </c>
      <c r="C79" s="50"/>
      <c r="D79" s="51"/>
      <c r="E79" s="49"/>
      <c r="F79" s="110" t="s">
        <v>441</v>
      </c>
      <c r="G79" s="52" t="s">
        <v>340</v>
      </c>
      <c r="H79" s="120" t="s">
        <v>344</v>
      </c>
      <c r="I79" s="110" t="s">
        <v>686</v>
      </c>
      <c r="J79" s="52" t="s">
        <v>352</v>
      </c>
      <c r="K79" s="110" t="s">
        <v>636</v>
      </c>
      <c r="L79" s="53" t="s">
        <v>603</v>
      </c>
      <c r="M79" s="80"/>
      <c r="N79" s="55"/>
      <c r="O79" s="55"/>
      <c r="P79" s="54"/>
      <c r="Q79" s="55" t="str">
        <f>IFERROR(VLOOKUP(TableAOPTarget[[#This Row],[RFC Date]],TableAopCalendar[[Date]:[Concatenate Month &amp; Week]],7,FALSE),"")</f>
        <v/>
      </c>
      <c r="R79" s="54"/>
      <c r="S79" s="55" t="str">
        <f>IFERROR(VLOOKUP(TableAOPTarget[[#This Row],[Actual Start Date]],TableAopCalendar[[Date]:[Concatenate Month &amp; Week]],7,FALSE),"")</f>
        <v/>
      </c>
      <c r="T79" s="55"/>
      <c r="U79" s="54">
        <f>TableAOPTarget[[#This Row],[Actual Start Date]]+TableAOPTarget[[#This Row],[Standard Duration]]</f>
        <v>0</v>
      </c>
      <c r="V79" s="55" t="str">
        <f>IFERROR(VLOOKUP(TableAOPTarget[[#This Row],[Planned Finish Date]],TableAopCalendar[[Date]:[Concatenate Month &amp; Week]],7,FALSE),"")</f>
        <v/>
      </c>
      <c r="W79" s="54"/>
      <c r="X79" s="55" t="str">
        <f>IFERROR(VLOOKUP(TableAOPTarget[[#This Row],[Actual Finish Date]],TableAopCalendar[[Date]:[Concatenate Month &amp; Week]],7,FALSE),"")</f>
        <v/>
      </c>
      <c r="Y79" s="54"/>
      <c r="Z79" s="55" t="str">
        <f>IFERROR(VLOOKUP(TableAOPTarget[[#This Row],[Forecasted Finish Date]],TableAopCalendar[[Date]:[Concatenate Month &amp; Week]],7,FALSE),"")</f>
        <v/>
      </c>
      <c r="AA79" s="54"/>
      <c r="AB79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79" s="55" t="str">
        <f>IF(TableAOPTarget[[#This Row],[EPC Status]]="EPC Ready",INDEX(TableAopCalendar[Month for Plan],MATCH(TableAOPTarget[[#This Row],[Actual Finish Date]],TableAopCalendar[Date],0))," ")</f>
        <v xml:space="preserve"> </v>
      </c>
      <c r="AD79" s="55"/>
      <c r="AE79" s="55"/>
      <c r="AF79" s="106" t="s">
        <v>583</v>
      </c>
      <c r="AG79" s="51"/>
      <c r="AH79" s="51"/>
      <c r="AI79" s="51" t="e">
        <f>VLOOKUP(TableAOPTarget[[#This Row],[PD]],[18]Backup!$C:$F,4,0)</f>
        <v>#N/A</v>
      </c>
      <c r="AJ79" s="51" t="e">
        <f>VLOOKUP(TableAOPTarget[[#This Row],[Apex ID]],'[17]Main Backup'!$A:$I,9,0)</f>
        <v>#N/A</v>
      </c>
      <c r="AK79" s="56" t="str">
        <f>IF(TableAOPTarget[[#This Row],[RFC Date]]="","",(TableAOPTarget[[#This Row],[RFC Date]]+3))</f>
        <v/>
      </c>
      <c r="AL79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79" s="51"/>
    </row>
    <row r="80" spans="2:39" ht="30" hidden="1" x14ac:dyDescent="0.25">
      <c r="B80" s="196" t="s">
        <v>655</v>
      </c>
      <c r="C80" s="50"/>
      <c r="D80" s="51"/>
      <c r="E80" s="49"/>
      <c r="F80" s="110" t="s">
        <v>441</v>
      </c>
      <c r="G80" s="110" t="s">
        <v>340</v>
      </c>
      <c r="H80" s="110" t="s">
        <v>343</v>
      </c>
      <c r="I80" s="110" t="s">
        <v>686</v>
      </c>
      <c r="J80" s="52" t="s">
        <v>607</v>
      </c>
      <c r="K80" s="110" t="s">
        <v>620</v>
      </c>
      <c r="L80" s="53" t="s">
        <v>600</v>
      </c>
      <c r="M80" s="80"/>
      <c r="N80" s="55"/>
      <c r="O80" s="55"/>
      <c r="P80" s="54"/>
      <c r="Q80" s="55" t="str">
        <f>IFERROR(VLOOKUP(TableAOPTarget[[#This Row],[RFC Date]],TableAopCalendar[[Date]:[Concatenate Month &amp; Week]],7,FALSE),"")</f>
        <v/>
      </c>
      <c r="R80" s="54"/>
      <c r="S80" s="55" t="str">
        <f>IFERROR(VLOOKUP(TableAOPTarget[[#This Row],[Actual Start Date]],TableAopCalendar[[Date]:[Concatenate Month &amp; Week]],7,FALSE),"")</f>
        <v/>
      </c>
      <c r="T80" s="55"/>
      <c r="U80" s="54">
        <f>TableAOPTarget[[#This Row],[Actual Start Date]]+TableAOPTarget[[#This Row],[Standard Duration]]</f>
        <v>0</v>
      </c>
      <c r="V80" s="55" t="str">
        <f>IFERROR(VLOOKUP(TableAOPTarget[[#This Row],[Planned Finish Date]],TableAopCalendar[[Date]:[Concatenate Month &amp; Week]],7,FALSE),"")</f>
        <v/>
      </c>
      <c r="W80" s="54"/>
      <c r="X80" s="55" t="str">
        <f>IFERROR(VLOOKUP(TableAOPTarget[[#This Row],[Actual Finish Date]],TableAopCalendar[[Date]:[Concatenate Month &amp; Week]],7,FALSE),"")</f>
        <v/>
      </c>
      <c r="Y80" s="54"/>
      <c r="Z80" s="55" t="str">
        <f>IFERROR(VLOOKUP(TableAOPTarget[[#This Row],[Forecasted Finish Date]],TableAopCalendar[[Date]:[Concatenate Month &amp; Week]],7,FALSE),"")</f>
        <v/>
      </c>
      <c r="AA80" s="54"/>
      <c r="AB80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80" s="55" t="str">
        <f>IF(TableAOPTarget[[#This Row],[EPC Status]]="EPC Ready",INDEX(TableAopCalendar[Month for Plan],MATCH(TableAOPTarget[[#This Row],[Actual Finish Date]],TableAopCalendar[Date],0))," ")</f>
        <v xml:space="preserve"> </v>
      </c>
      <c r="AD80" s="55"/>
      <c r="AE80" s="55"/>
      <c r="AF80" s="106" t="s">
        <v>583</v>
      </c>
      <c r="AG80" s="51"/>
      <c r="AH80" s="51"/>
      <c r="AI80" s="51" t="e">
        <f>VLOOKUP(TableAOPTarget[[#This Row],[PD]],[18]Backup!$C:$F,4,0)</f>
        <v>#N/A</v>
      </c>
      <c r="AJ80" s="51" t="e">
        <f>VLOOKUP(TableAOPTarget[[#This Row],[Apex ID]],'[17]Main Backup'!$A:$I,9,0)</f>
        <v>#N/A</v>
      </c>
      <c r="AK80" s="56" t="str">
        <f>IF(TableAOPTarget[[#This Row],[RFC Date]]="","",(TableAOPTarget[[#This Row],[RFC Date]]+3))</f>
        <v/>
      </c>
      <c r="AL80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80" s="51"/>
    </row>
    <row r="81" spans="2:39" ht="30" hidden="1" x14ac:dyDescent="0.25">
      <c r="B81" s="196" t="s">
        <v>656</v>
      </c>
      <c r="C81" s="50"/>
      <c r="D81" s="51"/>
      <c r="E81" s="49"/>
      <c r="F81" s="110" t="s">
        <v>441</v>
      </c>
      <c r="G81" s="110" t="s">
        <v>340</v>
      </c>
      <c r="H81" s="110" t="s">
        <v>343</v>
      </c>
      <c r="I81" s="110" t="s">
        <v>686</v>
      </c>
      <c r="J81" s="52" t="s">
        <v>607</v>
      </c>
      <c r="K81" s="110" t="s">
        <v>621</v>
      </c>
      <c r="L81" s="53" t="s">
        <v>600</v>
      </c>
      <c r="M81" s="80"/>
      <c r="N81" s="55"/>
      <c r="O81" s="55"/>
      <c r="P81" s="54"/>
      <c r="Q81" s="55" t="str">
        <f>IFERROR(VLOOKUP(TableAOPTarget[[#This Row],[RFC Date]],TableAopCalendar[[Date]:[Concatenate Month &amp; Week]],7,FALSE),"")</f>
        <v/>
      </c>
      <c r="R81" s="54"/>
      <c r="S81" s="55" t="str">
        <f>IFERROR(VLOOKUP(TableAOPTarget[[#This Row],[Actual Start Date]],TableAopCalendar[[Date]:[Concatenate Month &amp; Week]],7,FALSE),"")</f>
        <v/>
      </c>
      <c r="T81" s="55"/>
      <c r="U81" s="54">
        <f>TableAOPTarget[[#This Row],[Actual Start Date]]+TableAOPTarget[[#This Row],[Standard Duration]]</f>
        <v>0</v>
      </c>
      <c r="V81" s="55" t="str">
        <f>IFERROR(VLOOKUP(TableAOPTarget[[#This Row],[Planned Finish Date]],TableAopCalendar[[Date]:[Concatenate Month &amp; Week]],7,FALSE),"")</f>
        <v/>
      </c>
      <c r="W81" s="54"/>
      <c r="X81" s="55" t="str">
        <f>IFERROR(VLOOKUP(TableAOPTarget[[#This Row],[Actual Finish Date]],TableAopCalendar[[Date]:[Concatenate Month &amp; Week]],7,FALSE),"")</f>
        <v/>
      </c>
      <c r="Y81" s="54"/>
      <c r="Z81" s="55" t="str">
        <f>IFERROR(VLOOKUP(TableAOPTarget[[#This Row],[Forecasted Finish Date]],TableAopCalendar[[Date]:[Concatenate Month &amp; Week]],7,FALSE),"")</f>
        <v/>
      </c>
      <c r="AA81" s="54"/>
      <c r="AB81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81" s="55" t="str">
        <f>IF(TableAOPTarget[[#This Row],[EPC Status]]="EPC Ready",INDEX(TableAopCalendar[Month for Plan],MATCH(TableAOPTarget[[#This Row],[Actual Finish Date]],TableAopCalendar[Date],0))," ")</f>
        <v xml:space="preserve"> </v>
      </c>
      <c r="AD81" s="55"/>
      <c r="AE81" s="55"/>
      <c r="AF81" s="106" t="s">
        <v>583</v>
      </c>
      <c r="AG81" s="51"/>
      <c r="AH81" s="51"/>
      <c r="AI81" s="51" t="e">
        <f>VLOOKUP(TableAOPTarget[[#This Row],[PD]],[18]Backup!$C:$F,4,0)</f>
        <v>#N/A</v>
      </c>
      <c r="AJ81" s="51" t="e">
        <f>VLOOKUP(TableAOPTarget[[#This Row],[Apex ID]],'[17]Main Backup'!$A:$I,9,0)</f>
        <v>#N/A</v>
      </c>
      <c r="AK81" s="56" t="str">
        <f>IF(TableAOPTarget[[#This Row],[RFC Date]]="","",(TableAOPTarget[[#This Row],[RFC Date]]+3))</f>
        <v/>
      </c>
      <c r="AL81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81" s="51"/>
    </row>
    <row r="82" spans="2:39" ht="30" hidden="1" x14ac:dyDescent="0.25">
      <c r="B82" s="196" t="s">
        <v>657</v>
      </c>
      <c r="C82" s="50"/>
      <c r="D82" s="51"/>
      <c r="E82" s="49"/>
      <c r="F82" s="110" t="s">
        <v>441</v>
      </c>
      <c r="G82" s="110" t="s">
        <v>340</v>
      </c>
      <c r="H82" s="110" t="s">
        <v>343</v>
      </c>
      <c r="I82" s="110" t="s">
        <v>686</v>
      </c>
      <c r="J82" s="52" t="s">
        <v>607</v>
      </c>
      <c r="K82" s="110" t="s">
        <v>622</v>
      </c>
      <c r="L82" s="53" t="s">
        <v>600</v>
      </c>
      <c r="M82" s="80"/>
      <c r="N82" s="55"/>
      <c r="O82" s="55"/>
      <c r="P82" s="54"/>
      <c r="Q82" s="55" t="str">
        <f>IFERROR(VLOOKUP(TableAOPTarget[[#This Row],[RFC Date]],TableAopCalendar[[Date]:[Concatenate Month &amp; Week]],7,FALSE),"")</f>
        <v/>
      </c>
      <c r="R82" s="54"/>
      <c r="S82" s="55" t="str">
        <f>IFERROR(VLOOKUP(TableAOPTarget[[#This Row],[Actual Start Date]],TableAopCalendar[[Date]:[Concatenate Month &amp; Week]],7,FALSE),"")</f>
        <v/>
      </c>
      <c r="T82" s="55"/>
      <c r="U82" s="54">
        <f>TableAOPTarget[[#This Row],[Actual Start Date]]+TableAOPTarget[[#This Row],[Standard Duration]]</f>
        <v>0</v>
      </c>
      <c r="V82" s="55" t="str">
        <f>IFERROR(VLOOKUP(TableAOPTarget[[#This Row],[Planned Finish Date]],TableAopCalendar[[Date]:[Concatenate Month &amp; Week]],7,FALSE),"")</f>
        <v/>
      </c>
      <c r="W82" s="54"/>
      <c r="X82" s="55" t="str">
        <f>IFERROR(VLOOKUP(TableAOPTarget[[#This Row],[Actual Finish Date]],TableAopCalendar[[Date]:[Concatenate Month &amp; Week]],7,FALSE),"")</f>
        <v/>
      </c>
      <c r="Y82" s="54"/>
      <c r="Z82" s="55" t="str">
        <f>IFERROR(VLOOKUP(TableAOPTarget[[#This Row],[Forecasted Finish Date]],TableAopCalendar[[Date]:[Concatenate Month &amp; Week]],7,FALSE),"")</f>
        <v/>
      </c>
      <c r="AA82" s="54"/>
      <c r="AB82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82" s="55" t="str">
        <f>IF(TableAOPTarget[[#This Row],[EPC Status]]="EPC Ready",INDEX(TableAopCalendar[Month for Plan],MATCH(TableAOPTarget[[#This Row],[Actual Finish Date]],TableAopCalendar[Date],0))," ")</f>
        <v xml:space="preserve"> </v>
      </c>
      <c r="AD82" s="55"/>
      <c r="AE82" s="55"/>
      <c r="AF82" s="106" t="s">
        <v>583</v>
      </c>
      <c r="AG82" s="51"/>
      <c r="AH82" s="51"/>
      <c r="AI82" s="51" t="e">
        <f>VLOOKUP(TableAOPTarget[[#This Row],[PD]],[18]Backup!$C:$F,4,0)</f>
        <v>#N/A</v>
      </c>
      <c r="AJ82" s="51" t="e">
        <f>VLOOKUP(TableAOPTarget[[#This Row],[Apex ID]],'[17]Main Backup'!$A:$I,9,0)</f>
        <v>#N/A</v>
      </c>
      <c r="AK82" s="56" t="str">
        <f>IF(TableAOPTarget[[#This Row],[RFC Date]]="","",(TableAOPTarget[[#This Row],[RFC Date]]+3))</f>
        <v/>
      </c>
      <c r="AL82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82" s="51"/>
    </row>
    <row r="83" spans="2:39" ht="30" hidden="1" x14ac:dyDescent="0.25">
      <c r="B83" s="196" t="s">
        <v>658</v>
      </c>
      <c r="C83" s="50"/>
      <c r="D83" s="51"/>
      <c r="E83" s="49"/>
      <c r="F83" s="110" t="s">
        <v>441</v>
      </c>
      <c r="G83" s="52" t="s">
        <v>340</v>
      </c>
      <c r="H83" s="52" t="s">
        <v>342</v>
      </c>
      <c r="I83" s="52" t="s">
        <v>345</v>
      </c>
      <c r="J83" s="52" t="s">
        <v>606</v>
      </c>
      <c r="K83" s="110" t="s">
        <v>623</v>
      </c>
      <c r="L83" s="53" t="s">
        <v>601</v>
      </c>
      <c r="M83" s="80"/>
      <c r="N83" s="55"/>
      <c r="O83" s="55"/>
      <c r="P83" s="54"/>
      <c r="Q83" s="55" t="str">
        <f>IFERROR(VLOOKUP(TableAOPTarget[[#This Row],[RFC Date]],TableAopCalendar[[Date]:[Concatenate Month &amp; Week]],7,FALSE),"")</f>
        <v/>
      </c>
      <c r="R83" s="54"/>
      <c r="S83" s="55" t="str">
        <f>IFERROR(VLOOKUP(TableAOPTarget[[#This Row],[Actual Start Date]],TableAopCalendar[[Date]:[Concatenate Month &amp; Week]],7,FALSE),"")</f>
        <v/>
      </c>
      <c r="T83" s="55"/>
      <c r="U83" s="54">
        <f>TableAOPTarget[[#This Row],[Actual Start Date]]+TableAOPTarget[[#This Row],[Standard Duration]]</f>
        <v>0</v>
      </c>
      <c r="V83" s="55" t="str">
        <f>IFERROR(VLOOKUP(TableAOPTarget[[#This Row],[Planned Finish Date]],TableAopCalendar[[Date]:[Concatenate Month &amp; Week]],7,FALSE),"")</f>
        <v/>
      </c>
      <c r="W83" s="54"/>
      <c r="X83" s="55" t="str">
        <f>IFERROR(VLOOKUP(TableAOPTarget[[#This Row],[Actual Finish Date]],TableAopCalendar[[Date]:[Concatenate Month &amp; Week]],7,FALSE),"")</f>
        <v/>
      </c>
      <c r="Y83" s="54"/>
      <c r="Z83" s="55" t="str">
        <f>IFERROR(VLOOKUP(TableAOPTarget[[#This Row],[Forecasted Finish Date]],TableAopCalendar[[Date]:[Concatenate Month &amp; Week]],7,FALSE),"")</f>
        <v/>
      </c>
      <c r="AA83" s="54"/>
      <c r="AB83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83" s="55" t="str">
        <f>IF(TableAOPTarget[[#This Row],[EPC Status]]="EPC Ready",INDEX(TableAopCalendar[Month for Plan],MATCH(TableAOPTarget[[#This Row],[Actual Finish Date]],TableAopCalendar[Date],0))," ")</f>
        <v xml:space="preserve"> </v>
      </c>
      <c r="AD83" s="55"/>
      <c r="AE83" s="55"/>
      <c r="AF83" s="106" t="s">
        <v>583</v>
      </c>
      <c r="AG83" s="51"/>
      <c r="AH83" s="51"/>
      <c r="AI83" s="51" t="e">
        <f>VLOOKUP(TableAOPTarget[[#This Row],[PD]],[18]Backup!$C:$F,4,0)</f>
        <v>#N/A</v>
      </c>
      <c r="AJ83" s="51" t="e">
        <f>VLOOKUP(TableAOPTarget[[#This Row],[Apex ID]],'[17]Main Backup'!$A:$I,9,0)</f>
        <v>#N/A</v>
      </c>
      <c r="AK83" s="56" t="str">
        <f>IF(TableAOPTarget[[#This Row],[RFC Date]]="","",(TableAOPTarget[[#This Row],[RFC Date]]+3))</f>
        <v/>
      </c>
      <c r="AL83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83" s="51"/>
    </row>
    <row r="84" spans="2:39" ht="30" hidden="1" x14ac:dyDescent="0.25">
      <c r="B84" s="196" t="s">
        <v>659</v>
      </c>
      <c r="C84" s="50"/>
      <c r="D84" s="51"/>
      <c r="E84" s="49"/>
      <c r="F84" s="110" t="s">
        <v>441</v>
      </c>
      <c r="G84" s="52" t="s">
        <v>340</v>
      </c>
      <c r="H84" s="52" t="s">
        <v>342</v>
      </c>
      <c r="I84" s="52" t="s">
        <v>345</v>
      </c>
      <c r="J84" s="52" t="s">
        <v>606</v>
      </c>
      <c r="K84" s="110" t="s">
        <v>624</v>
      </c>
      <c r="L84" s="53" t="s">
        <v>601</v>
      </c>
      <c r="M84" s="80"/>
      <c r="N84" s="55"/>
      <c r="O84" s="55"/>
      <c r="P84" s="54"/>
      <c r="Q84" s="55" t="str">
        <f>IFERROR(VLOOKUP(TableAOPTarget[[#This Row],[RFC Date]],TableAopCalendar[[Date]:[Concatenate Month &amp; Week]],7,FALSE),"")</f>
        <v/>
      </c>
      <c r="R84" s="54"/>
      <c r="S84" s="55" t="str">
        <f>IFERROR(VLOOKUP(TableAOPTarget[[#This Row],[Actual Start Date]],TableAopCalendar[[Date]:[Concatenate Month &amp; Week]],7,FALSE),"")</f>
        <v/>
      </c>
      <c r="T84" s="55"/>
      <c r="U84" s="54">
        <f>TableAOPTarget[[#This Row],[Actual Start Date]]+TableAOPTarget[[#This Row],[Standard Duration]]</f>
        <v>0</v>
      </c>
      <c r="V84" s="55" t="str">
        <f>IFERROR(VLOOKUP(TableAOPTarget[[#This Row],[Planned Finish Date]],TableAopCalendar[[Date]:[Concatenate Month &amp; Week]],7,FALSE),"")</f>
        <v/>
      </c>
      <c r="W84" s="54"/>
      <c r="X84" s="55" t="str">
        <f>IFERROR(VLOOKUP(TableAOPTarget[[#This Row],[Actual Finish Date]],TableAopCalendar[[Date]:[Concatenate Month &amp; Week]],7,FALSE),"")</f>
        <v/>
      </c>
      <c r="Y84" s="54"/>
      <c r="Z84" s="55" t="str">
        <f>IFERROR(VLOOKUP(TableAOPTarget[[#This Row],[Forecasted Finish Date]],TableAopCalendar[[Date]:[Concatenate Month &amp; Week]],7,FALSE),"")</f>
        <v/>
      </c>
      <c r="AA84" s="54"/>
      <c r="AB84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84" s="55" t="str">
        <f>IF(TableAOPTarget[[#This Row],[EPC Status]]="EPC Ready",INDEX(TableAopCalendar[Month for Plan],MATCH(TableAOPTarget[[#This Row],[Actual Finish Date]],TableAopCalendar[Date],0))," ")</f>
        <v xml:space="preserve"> </v>
      </c>
      <c r="AD84" s="55"/>
      <c r="AE84" s="55"/>
      <c r="AF84" s="106" t="s">
        <v>583</v>
      </c>
      <c r="AG84" s="51"/>
      <c r="AH84" s="51"/>
      <c r="AI84" s="51" t="e">
        <f>VLOOKUP(TableAOPTarget[[#This Row],[PD]],[18]Backup!$C:$F,4,0)</f>
        <v>#N/A</v>
      </c>
      <c r="AJ84" s="51" t="e">
        <f>VLOOKUP(TableAOPTarget[[#This Row],[Apex ID]],'[17]Main Backup'!$A:$I,9,0)</f>
        <v>#N/A</v>
      </c>
      <c r="AK84" s="56" t="str">
        <f>IF(TableAOPTarget[[#This Row],[RFC Date]]="","",(TableAOPTarget[[#This Row],[RFC Date]]+3))</f>
        <v/>
      </c>
      <c r="AL84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84" s="51"/>
    </row>
    <row r="85" spans="2:39" ht="30" hidden="1" x14ac:dyDescent="0.25">
      <c r="B85" s="196" t="s">
        <v>660</v>
      </c>
      <c r="C85" s="50"/>
      <c r="D85" s="51"/>
      <c r="E85" s="49"/>
      <c r="F85" s="110" t="s">
        <v>441</v>
      </c>
      <c r="G85" s="52" t="s">
        <v>340</v>
      </c>
      <c r="H85" s="52" t="s">
        <v>342</v>
      </c>
      <c r="I85" s="52" t="s">
        <v>345</v>
      </c>
      <c r="J85" s="52" t="s">
        <v>606</v>
      </c>
      <c r="K85" s="110" t="s">
        <v>635</v>
      </c>
      <c r="L85" s="53" t="s">
        <v>601</v>
      </c>
      <c r="M85" s="80"/>
      <c r="N85" s="55"/>
      <c r="O85" s="55"/>
      <c r="P85" s="54"/>
      <c r="Q85" s="55" t="str">
        <f>IFERROR(VLOOKUP(TableAOPTarget[[#This Row],[RFC Date]],TableAopCalendar[[Date]:[Concatenate Month &amp; Week]],7,FALSE),"")</f>
        <v/>
      </c>
      <c r="R85" s="54"/>
      <c r="S85" s="55" t="str">
        <f>IFERROR(VLOOKUP(TableAOPTarget[[#This Row],[Actual Start Date]],TableAopCalendar[[Date]:[Concatenate Month &amp; Week]],7,FALSE),"")</f>
        <v/>
      </c>
      <c r="T85" s="55"/>
      <c r="U85" s="54">
        <f>TableAOPTarget[[#This Row],[Actual Start Date]]+TableAOPTarget[[#This Row],[Standard Duration]]</f>
        <v>0</v>
      </c>
      <c r="V85" s="55" t="str">
        <f>IFERROR(VLOOKUP(TableAOPTarget[[#This Row],[Planned Finish Date]],TableAopCalendar[[Date]:[Concatenate Month &amp; Week]],7,FALSE),"")</f>
        <v/>
      </c>
      <c r="W85" s="54"/>
      <c r="X85" s="55" t="str">
        <f>IFERROR(VLOOKUP(TableAOPTarget[[#This Row],[Actual Finish Date]],TableAopCalendar[[Date]:[Concatenate Month &amp; Week]],7,FALSE),"")</f>
        <v/>
      </c>
      <c r="Y85" s="54"/>
      <c r="Z85" s="55" t="str">
        <f>IFERROR(VLOOKUP(TableAOPTarget[[#This Row],[Forecasted Finish Date]],TableAopCalendar[[Date]:[Concatenate Month &amp; Week]],7,FALSE),"")</f>
        <v/>
      </c>
      <c r="AA85" s="54"/>
      <c r="AB85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85" s="55" t="str">
        <f>IF(TableAOPTarget[[#This Row],[EPC Status]]="EPC Ready",INDEX(TableAopCalendar[Month for Plan],MATCH(TableAOPTarget[[#This Row],[Actual Finish Date]],TableAopCalendar[Date],0))," ")</f>
        <v xml:space="preserve"> </v>
      </c>
      <c r="AD85" s="55"/>
      <c r="AE85" s="55"/>
      <c r="AF85" s="106" t="s">
        <v>583</v>
      </c>
      <c r="AG85" s="51"/>
      <c r="AH85" s="51"/>
      <c r="AI85" s="51" t="e">
        <f>VLOOKUP(TableAOPTarget[[#This Row],[PD]],[18]Backup!$C:$F,4,0)</f>
        <v>#N/A</v>
      </c>
      <c r="AJ85" s="51" t="e">
        <f>VLOOKUP(TableAOPTarget[[#This Row],[Apex ID]],'[17]Main Backup'!$A:$I,9,0)</f>
        <v>#N/A</v>
      </c>
      <c r="AK85" s="56" t="str">
        <f>IF(TableAOPTarget[[#This Row],[RFC Date]]="","",(TableAOPTarget[[#This Row],[RFC Date]]+3))</f>
        <v/>
      </c>
      <c r="AL85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85" s="51"/>
    </row>
    <row r="86" spans="2:39" ht="30" hidden="1" x14ac:dyDescent="0.25">
      <c r="B86" s="196" t="s">
        <v>661</v>
      </c>
      <c r="C86" s="104"/>
      <c r="D86" s="106"/>
      <c r="E86" s="108"/>
      <c r="F86" s="110" t="s">
        <v>441</v>
      </c>
      <c r="G86" s="52" t="s">
        <v>340</v>
      </c>
      <c r="H86" s="52" t="s">
        <v>342</v>
      </c>
      <c r="I86" s="52" t="s">
        <v>345</v>
      </c>
      <c r="J86" s="52" t="s">
        <v>605</v>
      </c>
      <c r="K86" s="110" t="s">
        <v>625</v>
      </c>
      <c r="L86" s="110" t="s">
        <v>602</v>
      </c>
      <c r="M86" s="80"/>
      <c r="N86" s="116"/>
      <c r="O86" s="116"/>
      <c r="P86" s="115"/>
      <c r="Q86" s="116" t="str">
        <f>IFERROR(VLOOKUP(TableAOPTarget[[#This Row],[RFC Date]],TableAopCalendar[[Date]:[Concatenate Month &amp; Week]],7,FALSE),"")</f>
        <v/>
      </c>
      <c r="R86" s="115"/>
      <c r="S86" s="116" t="str">
        <f>IFERROR(VLOOKUP(TableAOPTarget[[#This Row],[Actual Start Date]],TableAopCalendar[[Date]:[Concatenate Month &amp; Week]],7,FALSE),"")</f>
        <v/>
      </c>
      <c r="T86" s="116"/>
      <c r="U86" s="115">
        <f>TableAOPTarget[[#This Row],[Actual Start Date]]+TableAOPTarget[[#This Row],[Standard Duration]]</f>
        <v>0</v>
      </c>
      <c r="V86" s="116" t="str">
        <f>IFERROR(VLOOKUP(TableAOPTarget[[#This Row],[Planned Finish Date]],TableAopCalendar[[Date]:[Concatenate Month &amp; Week]],7,FALSE),"")</f>
        <v/>
      </c>
      <c r="W86" s="115"/>
      <c r="X86" s="116" t="str">
        <f>IFERROR(VLOOKUP(TableAOPTarget[[#This Row],[Actual Finish Date]],TableAopCalendar[[Date]:[Concatenate Month &amp; Week]],7,FALSE),"")</f>
        <v/>
      </c>
      <c r="Y86" s="115"/>
      <c r="Z86" s="116" t="str">
        <f>IFERROR(VLOOKUP(TableAOPTarget[[#This Row],[Forecasted Finish Date]],TableAopCalendar[[Date]:[Concatenate Month &amp; Week]],7,FALSE),"")</f>
        <v/>
      </c>
      <c r="AA86" s="115"/>
      <c r="AB86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86" s="116" t="str">
        <f>IF(TableAOPTarget[[#This Row],[EPC Status]]="EPC Ready",INDEX(TableAopCalendar[Month for Plan],MATCH(TableAOPTarget[[#This Row],[Actual Finish Date]],TableAopCalendar[Date],0))," ")</f>
        <v xml:space="preserve"> </v>
      </c>
      <c r="AD86" s="116"/>
      <c r="AE86" s="116"/>
      <c r="AF86" s="106" t="s">
        <v>583</v>
      </c>
      <c r="AG86" s="106"/>
      <c r="AH86" s="106"/>
      <c r="AI86" s="106" t="e">
        <f>VLOOKUP(TableAOPTarget[[#This Row],[PD]],[18]Backup!$C:$F,4,0)</f>
        <v>#N/A</v>
      </c>
      <c r="AJ86" s="106" t="e">
        <f>VLOOKUP(TableAOPTarget[[#This Row],[Apex ID]],'[17]Main Backup'!$A:$I,9,0)</f>
        <v>#N/A</v>
      </c>
      <c r="AK86" s="118" t="str">
        <f>IF(TableAOPTarget[[#This Row],[RFC Date]]="","",(TableAOPTarget[[#This Row],[RFC Date]]+3))</f>
        <v/>
      </c>
      <c r="AL86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86" s="106"/>
    </row>
    <row r="87" spans="2:39" ht="30" hidden="1" x14ac:dyDescent="0.25">
      <c r="B87" s="196" t="s">
        <v>662</v>
      </c>
      <c r="C87" s="104"/>
      <c r="D87" s="106"/>
      <c r="E87" s="108"/>
      <c r="F87" s="110" t="s">
        <v>441</v>
      </c>
      <c r="G87" s="52" t="s">
        <v>340</v>
      </c>
      <c r="H87" s="52" t="s">
        <v>342</v>
      </c>
      <c r="I87" s="52" t="s">
        <v>345</v>
      </c>
      <c r="J87" s="52" t="s">
        <v>605</v>
      </c>
      <c r="K87" s="110" t="s">
        <v>626</v>
      </c>
      <c r="L87" s="110" t="s">
        <v>602</v>
      </c>
      <c r="M87" s="80"/>
      <c r="N87" s="116"/>
      <c r="O87" s="116"/>
      <c r="P87" s="115"/>
      <c r="Q87" s="116" t="str">
        <f>IFERROR(VLOOKUP(TableAOPTarget[[#This Row],[RFC Date]],TableAopCalendar[[Date]:[Concatenate Month &amp; Week]],7,FALSE),"")</f>
        <v/>
      </c>
      <c r="R87" s="115"/>
      <c r="S87" s="116" t="str">
        <f>IFERROR(VLOOKUP(TableAOPTarget[[#This Row],[Actual Start Date]],TableAopCalendar[[Date]:[Concatenate Month &amp; Week]],7,FALSE),"")</f>
        <v/>
      </c>
      <c r="T87" s="116"/>
      <c r="U87" s="115">
        <f>TableAOPTarget[[#This Row],[Actual Start Date]]+TableAOPTarget[[#This Row],[Standard Duration]]</f>
        <v>0</v>
      </c>
      <c r="V87" s="116" t="str">
        <f>IFERROR(VLOOKUP(TableAOPTarget[[#This Row],[Planned Finish Date]],TableAopCalendar[[Date]:[Concatenate Month &amp; Week]],7,FALSE),"")</f>
        <v/>
      </c>
      <c r="W87" s="115"/>
      <c r="X87" s="116" t="str">
        <f>IFERROR(VLOOKUP(TableAOPTarget[[#This Row],[Actual Finish Date]],TableAopCalendar[[Date]:[Concatenate Month &amp; Week]],7,FALSE),"")</f>
        <v/>
      </c>
      <c r="Y87" s="115"/>
      <c r="Z87" s="116" t="str">
        <f>IFERROR(VLOOKUP(TableAOPTarget[[#This Row],[Forecasted Finish Date]],TableAopCalendar[[Date]:[Concatenate Month &amp; Week]],7,FALSE),"")</f>
        <v/>
      </c>
      <c r="AA87" s="115"/>
      <c r="AB87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87" s="116" t="str">
        <f>IF(TableAOPTarget[[#This Row],[EPC Status]]="EPC Ready",INDEX(TableAopCalendar[Month for Plan],MATCH(TableAOPTarget[[#This Row],[Actual Finish Date]],TableAopCalendar[Date],0))," ")</f>
        <v xml:space="preserve"> </v>
      </c>
      <c r="AD87" s="116"/>
      <c r="AE87" s="116"/>
      <c r="AF87" s="106" t="s">
        <v>583</v>
      </c>
      <c r="AG87" s="106"/>
      <c r="AH87" s="106"/>
      <c r="AI87" s="106" t="e">
        <f>VLOOKUP(TableAOPTarget[[#This Row],[PD]],[18]Backup!$C:$F,4,0)</f>
        <v>#N/A</v>
      </c>
      <c r="AJ87" s="106" t="e">
        <f>VLOOKUP(TableAOPTarget[[#This Row],[Apex ID]],'[17]Main Backup'!$A:$I,9,0)</f>
        <v>#N/A</v>
      </c>
      <c r="AK87" s="118" t="str">
        <f>IF(TableAOPTarget[[#This Row],[RFC Date]]="","",(TableAOPTarget[[#This Row],[RFC Date]]+3))</f>
        <v/>
      </c>
      <c r="AL87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87" s="106"/>
    </row>
    <row r="88" spans="2:39" ht="30" hidden="1" x14ac:dyDescent="0.25">
      <c r="B88" s="196" t="s">
        <v>663</v>
      </c>
      <c r="C88" s="104"/>
      <c r="D88" s="106"/>
      <c r="E88" s="108"/>
      <c r="F88" s="110" t="s">
        <v>441</v>
      </c>
      <c r="G88" s="52" t="s">
        <v>340</v>
      </c>
      <c r="H88" s="52" t="s">
        <v>342</v>
      </c>
      <c r="I88" s="52" t="s">
        <v>345</v>
      </c>
      <c r="J88" s="52" t="s">
        <v>605</v>
      </c>
      <c r="K88" s="110" t="s">
        <v>627</v>
      </c>
      <c r="L88" s="110" t="s">
        <v>602</v>
      </c>
      <c r="M88" s="80"/>
      <c r="N88" s="116"/>
      <c r="O88" s="116"/>
      <c r="P88" s="115"/>
      <c r="Q88" s="116" t="str">
        <f>IFERROR(VLOOKUP(TableAOPTarget[[#This Row],[RFC Date]],TableAopCalendar[[Date]:[Concatenate Month &amp; Week]],7,FALSE),"")</f>
        <v/>
      </c>
      <c r="R88" s="115"/>
      <c r="S88" s="116" t="str">
        <f>IFERROR(VLOOKUP(TableAOPTarget[[#This Row],[Actual Start Date]],TableAopCalendar[[Date]:[Concatenate Month &amp; Week]],7,FALSE),"")</f>
        <v/>
      </c>
      <c r="T88" s="116"/>
      <c r="U88" s="115">
        <f>TableAOPTarget[[#This Row],[Actual Start Date]]+TableAOPTarget[[#This Row],[Standard Duration]]</f>
        <v>0</v>
      </c>
      <c r="V88" s="116" t="str">
        <f>IFERROR(VLOOKUP(TableAOPTarget[[#This Row],[Planned Finish Date]],TableAopCalendar[[Date]:[Concatenate Month &amp; Week]],7,FALSE),"")</f>
        <v/>
      </c>
      <c r="W88" s="115"/>
      <c r="X88" s="116" t="str">
        <f>IFERROR(VLOOKUP(TableAOPTarget[[#This Row],[Actual Finish Date]],TableAopCalendar[[Date]:[Concatenate Month &amp; Week]],7,FALSE),"")</f>
        <v/>
      </c>
      <c r="Y88" s="115"/>
      <c r="Z88" s="116" t="str">
        <f>IFERROR(VLOOKUP(TableAOPTarget[[#This Row],[Forecasted Finish Date]],TableAopCalendar[[Date]:[Concatenate Month &amp; Week]],7,FALSE),"")</f>
        <v/>
      </c>
      <c r="AA88" s="115"/>
      <c r="AB88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88" s="116" t="str">
        <f>IF(TableAOPTarget[[#This Row],[EPC Status]]="EPC Ready",INDEX(TableAopCalendar[Month for Plan],MATCH(TableAOPTarget[[#This Row],[Actual Finish Date]],TableAopCalendar[Date],0))," ")</f>
        <v xml:space="preserve"> </v>
      </c>
      <c r="AD88" s="116"/>
      <c r="AE88" s="116"/>
      <c r="AF88" s="106" t="s">
        <v>583</v>
      </c>
      <c r="AG88" s="106"/>
      <c r="AH88" s="106"/>
      <c r="AI88" s="106" t="e">
        <f>VLOOKUP(TableAOPTarget[[#This Row],[PD]],[18]Backup!$C:$F,4,0)</f>
        <v>#N/A</v>
      </c>
      <c r="AJ88" s="106" t="e">
        <f>VLOOKUP(TableAOPTarget[[#This Row],[Apex ID]],'[17]Main Backup'!$A:$I,9,0)</f>
        <v>#N/A</v>
      </c>
      <c r="AK88" s="118" t="str">
        <f>IF(TableAOPTarget[[#This Row],[RFC Date]]="","",(TableAOPTarget[[#This Row],[RFC Date]]+3))</f>
        <v/>
      </c>
      <c r="AL88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88" s="106"/>
    </row>
    <row r="89" spans="2:39" ht="30" hidden="1" x14ac:dyDescent="0.25">
      <c r="B89" s="196" t="s">
        <v>664</v>
      </c>
      <c r="C89" s="104"/>
      <c r="D89" s="106"/>
      <c r="E89" s="108"/>
      <c r="F89" s="110" t="s">
        <v>441</v>
      </c>
      <c r="G89" s="110" t="s">
        <v>340</v>
      </c>
      <c r="H89" s="110" t="s">
        <v>343</v>
      </c>
      <c r="I89" s="110" t="s">
        <v>686</v>
      </c>
      <c r="J89" s="52" t="s">
        <v>354</v>
      </c>
      <c r="K89" s="110" t="s">
        <v>628</v>
      </c>
      <c r="L89" s="110" t="s">
        <v>355</v>
      </c>
      <c r="M89" s="80">
        <v>20000</v>
      </c>
      <c r="N89" s="116"/>
      <c r="O89" s="116" t="s">
        <v>406</v>
      </c>
      <c r="P89" s="115"/>
      <c r="Q89" s="116" t="str">
        <f>IFERROR(VLOOKUP(TableAOPTarget[[#This Row],[RFC Date]],TableAopCalendar[[Date]:[Concatenate Month &amp; Week]],7,FALSE),"")</f>
        <v/>
      </c>
      <c r="R89" s="115"/>
      <c r="S89" s="116" t="str">
        <f>IFERROR(VLOOKUP(TableAOPTarget[[#This Row],[Actual Start Date]],TableAopCalendar[[Date]:[Concatenate Month &amp; Week]],7,FALSE),"")</f>
        <v/>
      </c>
      <c r="T89" s="116"/>
      <c r="U89" s="115">
        <f>TableAOPTarget[[#This Row],[Actual Start Date]]+TableAOPTarget[[#This Row],[Standard Duration]]</f>
        <v>0</v>
      </c>
      <c r="V89" s="116" t="str">
        <f>IFERROR(VLOOKUP(TableAOPTarget[[#This Row],[Planned Finish Date]],TableAopCalendar[[Date]:[Concatenate Month &amp; Week]],7,FALSE),"")</f>
        <v/>
      </c>
      <c r="W89" s="115"/>
      <c r="X89" s="116" t="str">
        <f>IFERROR(VLOOKUP(TableAOPTarget[[#This Row],[Actual Finish Date]],TableAopCalendar[[Date]:[Concatenate Month &amp; Week]],7,FALSE),"")</f>
        <v/>
      </c>
      <c r="Y89" s="115"/>
      <c r="Z89" s="116" t="str">
        <f>IFERROR(VLOOKUP(TableAOPTarget[[#This Row],[Forecasted Finish Date]],TableAopCalendar[[Date]:[Concatenate Month &amp; Week]],7,FALSE),"")</f>
        <v/>
      </c>
      <c r="AA89" s="115"/>
      <c r="AB89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89" s="116" t="str">
        <f>IF(TableAOPTarget[[#This Row],[EPC Status]]="EPC Ready",INDEX(TableAopCalendar[Month for Plan],MATCH(TableAOPTarget[[#This Row],[Actual Finish Date]],TableAopCalendar[Date],0))," ")</f>
        <v xml:space="preserve"> </v>
      </c>
      <c r="AD89" s="116"/>
      <c r="AE89" s="116"/>
      <c r="AF89" s="106" t="s">
        <v>583</v>
      </c>
      <c r="AG89" s="106"/>
      <c r="AH89" s="106"/>
      <c r="AI89" s="106" t="e">
        <f>VLOOKUP(TableAOPTarget[[#This Row],[PD]],[18]Backup!$C:$F,4,0)</f>
        <v>#N/A</v>
      </c>
      <c r="AJ89" s="106" t="e">
        <f>VLOOKUP(TableAOPTarget[[#This Row],[Apex ID]],'[17]Main Backup'!$A:$I,9,0)</f>
        <v>#N/A</v>
      </c>
      <c r="AK89" s="118" t="str">
        <f>IF(TableAOPTarget[[#This Row],[RFC Date]]="","",(TableAOPTarget[[#This Row],[RFC Date]]+3))</f>
        <v/>
      </c>
      <c r="AL89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89" s="106"/>
    </row>
    <row r="90" spans="2:39" ht="30" hidden="1" x14ac:dyDescent="0.25">
      <c r="B90" s="196" t="s">
        <v>665</v>
      </c>
      <c r="C90" s="104"/>
      <c r="D90" s="106"/>
      <c r="E90" s="108"/>
      <c r="F90" s="110" t="s">
        <v>441</v>
      </c>
      <c r="G90" s="110" t="s">
        <v>340</v>
      </c>
      <c r="H90" s="110" t="s">
        <v>343</v>
      </c>
      <c r="I90" s="110" t="s">
        <v>686</v>
      </c>
      <c r="J90" s="52" t="s">
        <v>354</v>
      </c>
      <c r="K90" s="110" t="s">
        <v>629</v>
      </c>
      <c r="L90" s="110" t="s">
        <v>355</v>
      </c>
      <c r="M90" s="80">
        <v>20000</v>
      </c>
      <c r="N90" s="116"/>
      <c r="O90" s="116" t="s">
        <v>406</v>
      </c>
      <c r="P90" s="115"/>
      <c r="Q90" s="116" t="str">
        <f>IFERROR(VLOOKUP(TableAOPTarget[[#This Row],[RFC Date]],TableAopCalendar[[Date]:[Concatenate Month &amp; Week]],7,FALSE),"")</f>
        <v/>
      </c>
      <c r="R90" s="115"/>
      <c r="S90" s="116" t="str">
        <f>IFERROR(VLOOKUP(TableAOPTarget[[#This Row],[Actual Start Date]],TableAopCalendar[[Date]:[Concatenate Month &amp; Week]],7,FALSE),"")</f>
        <v/>
      </c>
      <c r="T90" s="116"/>
      <c r="U90" s="115">
        <f>TableAOPTarget[[#This Row],[Actual Start Date]]+TableAOPTarget[[#This Row],[Standard Duration]]</f>
        <v>0</v>
      </c>
      <c r="V90" s="116" t="str">
        <f>IFERROR(VLOOKUP(TableAOPTarget[[#This Row],[Planned Finish Date]],TableAopCalendar[[Date]:[Concatenate Month &amp; Week]],7,FALSE),"")</f>
        <v/>
      </c>
      <c r="W90" s="115"/>
      <c r="X90" s="116" t="str">
        <f>IFERROR(VLOOKUP(TableAOPTarget[[#This Row],[Actual Finish Date]],TableAopCalendar[[Date]:[Concatenate Month &amp; Week]],7,FALSE),"")</f>
        <v/>
      </c>
      <c r="Y90" s="115"/>
      <c r="Z90" s="116" t="str">
        <f>IFERROR(VLOOKUP(TableAOPTarget[[#This Row],[Forecasted Finish Date]],TableAopCalendar[[Date]:[Concatenate Month &amp; Week]],7,FALSE),"")</f>
        <v/>
      </c>
      <c r="AA90" s="115"/>
      <c r="AB90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90" s="116" t="str">
        <f>IF(TableAOPTarget[[#This Row],[EPC Status]]="EPC Ready",INDEX(TableAopCalendar[Month for Plan],MATCH(TableAOPTarget[[#This Row],[Actual Finish Date]],TableAopCalendar[Date],0))," ")</f>
        <v xml:space="preserve"> </v>
      </c>
      <c r="AD90" s="116"/>
      <c r="AE90" s="116"/>
      <c r="AF90" s="106" t="s">
        <v>583</v>
      </c>
      <c r="AG90" s="106"/>
      <c r="AH90" s="106"/>
      <c r="AI90" s="106" t="e">
        <f>VLOOKUP(TableAOPTarget[[#This Row],[PD]],[18]Backup!$C:$F,4,0)</f>
        <v>#N/A</v>
      </c>
      <c r="AJ90" s="106" t="e">
        <f>VLOOKUP(TableAOPTarget[[#This Row],[Apex ID]],'[17]Main Backup'!$A:$I,9,0)</f>
        <v>#N/A</v>
      </c>
      <c r="AK90" s="118" t="str">
        <f>IF(TableAOPTarget[[#This Row],[RFC Date]]="","",(TableAOPTarget[[#This Row],[RFC Date]]+3))</f>
        <v/>
      </c>
      <c r="AL90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90" s="106"/>
    </row>
    <row r="91" spans="2:39" ht="30" hidden="1" x14ac:dyDescent="0.25">
      <c r="B91" s="196" t="s">
        <v>666</v>
      </c>
      <c r="C91" s="104"/>
      <c r="D91" s="106"/>
      <c r="E91" s="108"/>
      <c r="F91" s="110" t="s">
        <v>441</v>
      </c>
      <c r="G91" s="110" t="s">
        <v>340</v>
      </c>
      <c r="H91" s="110" t="s">
        <v>343</v>
      </c>
      <c r="I91" s="110" t="s">
        <v>686</v>
      </c>
      <c r="J91" s="52" t="s">
        <v>354</v>
      </c>
      <c r="K91" s="110" t="s">
        <v>630</v>
      </c>
      <c r="L91" s="110" t="s">
        <v>355</v>
      </c>
      <c r="M91" s="80">
        <v>20000</v>
      </c>
      <c r="N91" s="116"/>
      <c r="O91" s="116" t="s">
        <v>406</v>
      </c>
      <c r="P91" s="115"/>
      <c r="Q91" s="116" t="str">
        <f>IFERROR(VLOOKUP(TableAOPTarget[[#This Row],[RFC Date]],TableAopCalendar[[Date]:[Concatenate Month &amp; Week]],7,FALSE),"")</f>
        <v/>
      </c>
      <c r="R91" s="115"/>
      <c r="S91" s="116" t="str">
        <f>IFERROR(VLOOKUP(TableAOPTarget[[#This Row],[Actual Start Date]],TableAopCalendar[[Date]:[Concatenate Month &amp; Week]],7,FALSE),"")</f>
        <v/>
      </c>
      <c r="T91" s="116"/>
      <c r="U91" s="115">
        <f>TableAOPTarget[[#This Row],[Actual Start Date]]+TableAOPTarget[[#This Row],[Standard Duration]]</f>
        <v>0</v>
      </c>
      <c r="V91" s="116" t="str">
        <f>IFERROR(VLOOKUP(TableAOPTarget[[#This Row],[Planned Finish Date]],TableAopCalendar[[Date]:[Concatenate Month &amp; Week]],7,FALSE),"")</f>
        <v/>
      </c>
      <c r="W91" s="115"/>
      <c r="X91" s="116" t="str">
        <f>IFERROR(VLOOKUP(TableAOPTarget[[#This Row],[Actual Finish Date]],TableAopCalendar[[Date]:[Concatenate Month &amp; Week]],7,FALSE),"")</f>
        <v/>
      </c>
      <c r="Y91" s="115"/>
      <c r="Z91" s="116" t="str">
        <f>IFERROR(VLOOKUP(TableAOPTarget[[#This Row],[Forecasted Finish Date]],TableAopCalendar[[Date]:[Concatenate Month &amp; Week]],7,FALSE),"")</f>
        <v/>
      </c>
      <c r="AA91" s="115"/>
      <c r="AB91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91" s="116" t="str">
        <f>IF(TableAOPTarget[[#This Row],[EPC Status]]="EPC Ready",INDEX(TableAopCalendar[Month for Plan],MATCH(TableAOPTarget[[#This Row],[Actual Finish Date]],TableAopCalendar[Date],0))," ")</f>
        <v xml:space="preserve"> </v>
      </c>
      <c r="AD91" s="116"/>
      <c r="AE91" s="116"/>
      <c r="AF91" s="106" t="s">
        <v>583</v>
      </c>
      <c r="AG91" s="106"/>
      <c r="AH91" s="106"/>
      <c r="AI91" s="106" t="e">
        <f>VLOOKUP(TableAOPTarget[[#This Row],[PD]],[18]Backup!$C:$F,4,0)</f>
        <v>#N/A</v>
      </c>
      <c r="AJ91" s="106" t="e">
        <f>VLOOKUP(TableAOPTarget[[#This Row],[Apex ID]],'[17]Main Backup'!$A:$I,9,0)</f>
        <v>#N/A</v>
      </c>
      <c r="AK91" s="118" t="str">
        <f>IF(TableAOPTarget[[#This Row],[RFC Date]]="","",(TableAOPTarget[[#This Row],[RFC Date]]+3))</f>
        <v/>
      </c>
      <c r="AL91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91" s="106"/>
    </row>
    <row r="92" spans="2:39" ht="30" hidden="1" x14ac:dyDescent="0.25">
      <c r="B92" s="196" t="s">
        <v>667</v>
      </c>
      <c r="C92" s="104"/>
      <c r="D92" s="106"/>
      <c r="E92" s="108"/>
      <c r="F92" s="110" t="s">
        <v>441</v>
      </c>
      <c r="G92" s="110" t="s">
        <v>340</v>
      </c>
      <c r="H92" s="110" t="s">
        <v>343</v>
      </c>
      <c r="I92" s="110" t="s">
        <v>686</v>
      </c>
      <c r="J92" s="52" t="s">
        <v>354</v>
      </c>
      <c r="K92" s="110" t="s">
        <v>634</v>
      </c>
      <c r="L92" s="110" t="s">
        <v>355</v>
      </c>
      <c r="M92" s="80">
        <v>20000</v>
      </c>
      <c r="N92" s="116"/>
      <c r="O92" s="116" t="s">
        <v>406</v>
      </c>
      <c r="P92" s="115"/>
      <c r="Q92" s="116" t="str">
        <f>IFERROR(VLOOKUP(TableAOPTarget[[#This Row],[RFC Date]],TableAopCalendar[[Date]:[Concatenate Month &amp; Week]],7,FALSE),"")</f>
        <v/>
      </c>
      <c r="R92" s="115"/>
      <c r="S92" s="116" t="str">
        <f>IFERROR(VLOOKUP(TableAOPTarget[[#This Row],[Actual Start Date]],TableAopCalendar[[Date]:[Concatenate Month &amp; Week]],7,FALSE),"")</f>
        <v/>
      </c>
      <c r="T92" s="116"/>
      <c r="U92" s="115">
        <f>TableAOPTarget[[#This Row],[Actual Start Date]]+TableAOPTarget[[#This Row],[Standard Duration]]</f>
        <v>0</v>
      </c>
      <c r="V92" s="116" t="str">
        <f>IFERROR(VLOOKUP(TableAOPTarget[[#This Row],[Planned Finish Date]],TableAopCalendar[[Date]:[Concatenate Month &amp; Week]],7,FALSE),"")</f>
        <v/>
      </c>
      <c r="W92" s="115"/>
      <c r="X92" s="116" t="str">
        <f>IFERROR(VLOOKUP(TableAOPTarget[[#This Row],[Actual Finish Date]],TableAopCalendar[[Date]:[Concatenate Month &amp; Week]],7,FALSE),"")</f>
        <v/>
      </c>
      <c r="Y92" s="115"/>
      <c r="Z92" s="116" t="str">
        <f>IFERROR(VLOOKUP(TableAOPTarget[[#This Row],[Forecasted Finish Date]],TableAopCalendar[[Date]:[Concatenate Month &amp; Week]],7,FALSE),"")</f>
        <v/>
      </c>
      <c r="AA92" s="115"/>
      <c r="AB92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92" s="116" t="str">
        <f>IF(TableAOPTarget[[#This Row],[EPC Status]]="EPC Ready",INDEX(TableAopCalendar[Month for Plan],MATCH(TableAOPTarget[[#This Row],[Actual Finish Date]],TableAopCalendar[Date],0))," ")</f>
        <v xml:space="preserve"> </v>
      </c>
      <c r="AD92" s="116"/>
      <c r="AE92" s="116"/>
      <c r="AF92" s="106" t="s">
        <v>583</v>
      </c>
      <c r="AG92" s="106"/>
      <c r="AH92" s="106"/>
      <c r="AI92" s="106" t="e">
        <f>VLOOKUP(TableAOPTarget[[#This Row],[PD]],[18]Backup!$C:$F,4,0)</f>
        <v>#N/A</v>
      </c>
      <c r="AJ92" s="106" t="e">
        <f>VLOOKUP(TableAOPTarget[[#This Row],[Apex ID]],'[17]Main Backup'!$A:$I,9,0)</f>
        <v>#N/A</v>
      </c>
      <c r="AK92" s="118" t="str">
        <f>IF(TableAOPTarget[[#This Row],[RFC Date]]="","",(TableAOPTarget[[#This Row],[RFC Date]]+3))</f>
        <v/>
      </c>
      <c r="AL92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92" s="106"/>
    </row>
    <row r="93" spans="2:39" ht="30" hidden="1" x14ac:dyDescent="0.25">
      <c r="B93" s="196" t="s">
        <v>668</v>
      </c>
      <c r="C93" s="104"/>
      <c r="D93" s="106"/>
      <c r="E93" s="108"/>
      <c r="F93" s="110" t="s">
        <v>441</v>
      </c>
      <c r="G93" s="52" t="s">
        <v>340</v>
      </c>
      <c r="H93" s="52" t="s">
        <v>342</v>
      </c>
      <c r="I93" s="52" t="s">
        <v>345</v>
      </c>
      <c r="J93" s="52" t="s">
        <v>349</v>
      </c>
      <c r="K93" s="110" t="s">
        <v>631</v>
      </c>
      <c r="L93" s="110" t="s">
        <v>591</v>
      </c>
      <c r="M93" s="80"/>
      <c r="N93" s="116"/>
      <c r="O93" s="116" t="s">
        <v>639</v>
      </c>
      <c r="P93" s="115"/>
      <c r="Q93" s="116" t="str">
        <f>IFERROR(VLOOKUP(TableAOPTarget[[#This Row],[RFC Date]],TableAopCalendar[[Date]:[Concatenate Month &amp; Week]],7,FALSE),"")</f>
        <v/>
      </c>
      <c r="R93" s="115"/>
      <c r="S93" s="116" t="str">
        <f>IFERROR(VLOOKUP(TableAOPTarget[[#This Row],[Actual Start Date]],TableAopCalendar[[Date]:[Concatenate Month &amp; Week]],7,FALSE),"")</f>
        <v/>
      </c>
      <c r="T93" s="116"/>
      <c r="U93" s="115">
        <f>TableAOPTarget[[#This Row],[Actual Start Date]]+TableAOPTarget[[#This Row],[Standard Duration]]</f>
        <v>0</v>
      </c>
      <c r="V93" s="116" t="str">
        <f>IFERROR(VLOOKUP(TableAOPTarget[[#This Row],[Planned Finish Date]],TableAopCalendar[[Date]:[Concatenate Month &amp; Week]],7,FALSE),"")</f>
        <v/>
      </c>
      <c r="W93" s="115"/>
      <c r="X93" s="116" t="str">
        <f>IFERROR(VLOOKUP(TableAOPTarget[[#This Row],[Actual Finish Date]],TableAopCalendar[[Date]:[Concatenate Month &amp; Week]],7,FALSE),"")</f>
        <v/>
      </c>
      <c r="Y93" s="115"/>
      <c r="Z93" s="116" t="str">
        <f>IFERROR(VLOOKUP(TableAOPTarget[[#This Row],[Forecasted Finish Date]],TableAopCalendar[[Date]:[Concatenate Month &amp; Week]],7,FALSE),"")</f>
        <v/>
      </c>
      <c r="AA93" s="115"/>
      <c r="AB93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93" s="116" t="str">
        <f>IF(TableAOPTarget[[#This Row],[EPC Status]]="EPC Ready",INDEX(TableAopCalendar[Month for Plan],MATCH(TableAOPTarget[[#This Row],[Actual Finish Date]],TableAopCalendar[Date],0))," ")</f>
        <v xml:space="preserve"> </v>
      </c>
      <c r="AD93" s="116"/>
      <c r="AE93" s="116"/>
      <c r="AF93" s="106" t="s">
        <v>583</v>
      </c>
      <c r="AG93" s="106"/>
      <c r="AH93" s="106"/>
      <c r="AI93" s="106" t="e">
        <f>VLOOKUP(TableAOPTarget[[#This Row],[PD]],[18]Backup!$C:$F,4,0)</f>
        <v>#N/A</v>
      </c>
      <c r="AJ93" s="106" t="e">
        <f>VLOOKUP(TableAOPTarget[[#This Row],[Apex ID]],'[17]Main Backup'!$A:$I,9,0)</f>
        <v>#N/A</v>
      </c>
      <c r="AK93" s="118" t="str">
        <f>IF(TableAOPTarget[[#This Row],[RFC Date]]="","",(TableAOPTarget[[#This Row],[RFC Date]]+3))</f>
        <v/>
      </c>
      <c r="AL93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93" s="106"/>
    </row>
    <row r="94" spans="2:39" ht="30" hidden="1" x14ac:dyDescent="0.25">
      <c r="B94" s="196" t="s">
        <v>669</v>
      </c>
      <c r="C94" s="104"/>
      <c r="D94" s="106"/>
      <c r="E94" s="108"/>
      <c r="F94" s="110" t="s">
        <v>441</v>
      </c>
      <c r="G94" s="52" t="s">
        <v>340</v>
      </c>
      <c r="H94" s="52" t="s">
        <v>342</v>
      </c>
      <c r="I94" s="52" t="s">
        <v>345</v>
      </c>
      <c r="J94" s="52" t="s">
        <v>349</v>
      </c>
      <c r="K94" s="110" t="s">
        <v>632</v>
      </c>
      <c r="L94" s="110" t="s">
        <v>591</v>
      </c>
      <c r="M94" s="80"/>
      <c r="N94" s="116"/>
      <c r="O94" s="116" t="s">
        <v>639</v>
      </c>
      <c r="P94" s="115"/>
      <c r="Q94" s="116" t="str">
        <f>IFERROR(VLOOKUP(TableAOPTarget[[#This Row],[RFC Date]],TableAopCalendar[[Date]:[Concatenate Month &amp; Week]],7,FALSE),"")</f>
        <v/>
      </c>
      <c r="R94" s="115"/>
      <c r="S94" s="116" t="str">
        <f>IFERROR(VLOOKUP(TableAOPTarget[[#This Row],[Actual Start Date]],TableAopCalendar[[Date]:[Concatenate Month &amp; Week]],7,FALSE),"")</f>
        <v/>
      </c>
      <c r="T94" s="116"/>
      <c r="U94" s="115">
        <f>TableAOPTarget[[#This Row],[Actual Start Date]]+TableAOPTarget[[#This Row],[Standard Duration]]</f>
        <v>0</v>
      </c>
      <c r="V94" s="116" t="str">
        <f>IFERROR(VLOOKUP(TableAOPTarget[[#This Row],[Planned Finish Date]],TableAopCalendar[[Date]:[Concatenate Month &amp; Week]],7,FALSE),"")</f>
        <v/>
      </c>
      <c r="W94" s="115"/>
      <c r="X94" s="116" t="str">
        <f>IFERROR(VLOOKUP(TableAOPTarget[[#This Row],[Actual Finish Date]],TableAopCalendar[[Date]:[Concatenate Month &amp; Week]],7,FALSE),"")</f>
        <v/>
      </c>
      <c r="Y94" s="115"/>
      <c r="Z94" s="116" t="str">
        <f>IFERROR(VLOOKUP(TableAOPTarget[[#This Row],[Forecasted Finish Date]],TableAopCalendar[[Date]:[Concatenate Month &amp; Week]],7,FALSE),"")</f>
        <v/>
      </c>
      <c r="AA94" s="115"/>
      <c r="AB94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94" s="116" t="str">
        <f>IF(TableAOPTarget[[#This Row],[EPC Status]]="EPC Ready",INDEX(TableAopCalendar[Month for Plan],MATCH(TableAOPTarget[[#This Row],[Actual Finish Date]],TableAopCalendar[Date],0))," ")</f>
        <v xml:space="preserve"> </v>
      </c>
      <c r="AD94" s="116"/>
      <c r="AE94" s="116"/>
      <c r="AF94" s="106" t="s">
        <v>583</v>
      </c>
      <c r="AG94" s="106"/>
      <c r="AH94" s="106"/>
      <c r="AI94" s="106" t="e">
        <f>VLOOKUP(TableAOPTarget[[#This Row],[PD]],[18]Backup!$C:$F,4,0)</f>
        <v>#N/A</v>
      </c>
      <c r="AJ94" s="106" t="e">
        <f>VLOOKUP(TableAOPTarget[[#This Row],[Apex ID]],'[17]Main Backup'!$A:$I,9,0)</f>
        <v>#N/A</v>
      </c>
      <c r="AK94" s="118" t="str">
        <f>IF(TableAOPTarget[[#This Row],[RFC Date]]="","",(TableAOPTarget[[#This Row],[RFC Date]]+3))</f>
        <v/>
      </c>
      <c r="AL94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94" s="106"/>
    </row>
    <row r="95" spans="2:39" ht="30" hidden="1" x14ac:dyDescent="0.25">
      <c r="B95" s="196" t="s">
        <v>670</v>
      </c>
      <c r="C95" s="104"/>
      <c r="D95" s="106"/>
      <c r="E95" s="108"/>
      <c r="F95" s="110" t="s">
        <v>441</v>
      </c>
      <c r="G95" s="52" t="s">
        <v>340</v>
      </c>
      <c r="H95" s="52" t="s">
        <v>342</v>
      </c>
      <c r="I95" s="52" t="s">
        <v>345</v>
      </c>
      <c r="J95" s="52" t="s">
        <v>349</v>
      </c>
      <c r="K95" s="110" t="s">
        <v>633</v>
      </c>
      <c r="L95" s="110" t="s">
        <v>591</v>
      </c>
      <c r="M95" s="80"/>
      <c r="N95" s="116"/>
      <c r="O95" s="116" t="s">
        <v>639</v>
      </c>
      <c r="P95" s="115"/>
      <c r="Q95" s="116" t="str">
        <f>IFERROR(VLOOKUP(TableAOPTarget[[#This Row],[RFC Date]],TableAopCalendar[[Date]:[Concatenate Month &amp; Week]],7,FALSE),"")</f>
        <v/>
      </c>
      <c r="R95" s="115"/>
      <c r="S95" s="116" t="str">
        <f>IFERROR(VLOOKUP(TableAOPTarget[[#This Row],[Actual Start Date]],TableAopCalendar[[Date]:[Concatenate Month &amp; Week]],7,FALSE),"")</f>
        <v/>
      </c>
      <c r="T95" s="116"/>
      <c r="U95" s="115">
        <f>TableAOPTarget[[#This Row],[Actual Start Date]]+TableAOPTarget[[#This Row],[Standard Duration]]</f>
        <v>0</v>
      </c>
      <c r="V95" s="116" t="str">
        <f>IFERROR(VLOOKUP(TableAOPTarget[[#This Row],[Planned Finish Date]],TableAopCalendar[[Date]:[Concatenate Month &amp; Week]],7,FALSE),"")</f>
        <v/>
      </c>
      <c r="W95" s="115"/>
      <c r="X95" s="116" t="str">
        <f>IFERROR(VLOOKUP(TableAOPTarget[[#This Row],[Actual Finish Date]],TableAopCalendar[[Date]:[Concatenate Month &amp; Week]],7,FALSE),"")</f>
        <v/>
      </c>
      <c r="Y95" s="115"/>
      <c r="Z95" s="116" t="str">
        <f>IFERROR(VLOOKUP(TableAOPTarget[[#This Row],[Forecasted Finish Date]],TableAopCalendar[[Date]:[Concatenate Month &amp; Week]],7,FALSE),"")</f>
        <v/>
      </c>
      <c r="AA95" s="115"/>
      <c r="AB95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95" s="116" t="str">
        <f>IF(TableAOPTarget[[#This Row],[EPC Status]]="EPC Ready",INDEX(TableAopCalendar[Month for Plan],MATCH(TableAOPTarget[[#This Row],[Actual Finish Date]],TableAopCalendar[Date],0))," ")</f>
        <v xml:space="preserve"> </v>
      </c>
      <c r="AD95" s="116"/>
      <c r="AE95" s="116"/>
      <c r="AF95" s="106" t="s">
        <v>583</v>
      </c>
      <c r="AG95" s="106"/>
      <c r="AH95" s="106"/>
      <c r="AI95" s="106" t="e">
        <f>VLOOKUP(TableAOPTarget[[#This Row],[PD]],[18]Backup!$C:$F,4,0)</f>
        <v>#N/A</v>
      </c>
      <c r="AJ95" s="106" t="e">
        <f>VLOOKUP(TableAOPTarget[[#This Row],[Apex ID]],'[17]Main Backup'!$A:$I,9,0)</f>
        <v>#N/A</v>
      </c>
      <c r="AK95" s="118" t="str">
        <f>IF(TableAOPTarget[[#This Row],[RFC Date]]="","",(TableAOPTarget[[#This Row],[RFC Date]]+3))</f>
        <v/>
      </c>
      <c r="AL95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95" s="106"/>
    </row>
    <row r="96" spans="2:39" ht="30" hidden="1" x14ac:dyDescent="0.25">
      <c r="B96" s="196" t="s">
        <v>674</v>
      </c>
      <c r="C96" s="104"/>
      <c r="D96" s="106"/>
      <c r="E96" s="108"/>
      <c r="F96" s="53" t="s">
        <v>478</v>
      </c>
      <c r="G96" s="52" t="s">
        <v>340</v>
      </c>
      <c r="H96" s="52" t="s">
        <v>341</v>
      </c>
      <c r="I96" s="52" t="s">
        <v>345</v>
      </c>
      <c r="J96" s="52" t="s">
        <v>350</v>
      </c>
      <c r="K96" s="110" t="s">
        <v>671</v>
      </c>
      <c r="L96" s="110" t="s">
        <v>423</v>
      </c>
      <c r="M96" s="80"/>
      <c r="N96" s="116"/>
      <c r="O96" s="137" t="s">
        <v>435</v>
      </c>
      <c r="P96" s="115"/>
      <c r="Q96" s="116" t="str">
        <f>IFERROR(VLOOKUP(TableAOPTarget[[#This Row],[RFC Date]],TableAopCalendar[[Date]:[Concatenate Month &amp; Week]],7,FALSE),"")</f>
        <v/>
      </c>
      <c r="R96" s="115"/>
      <c r="S96" s="116" t="str">
        <f>IFERROR(VLOOKUP(TableAOPTarget[[#This Row],[Actual Start Date]],TableAopCalendar[[Date]:[Concatenate Month &amp; Week]],7,FALSE),"")</f>
        <v/>
      </c>
      <c r="T96" s="116"/>
      <c r="U96" s="115">
        <f>TableAOPTarget[[#This Row],[Actual Start Date]]+TableAOPTarget[[#This Row],[Standard Duration]]</f>
        <v>0</v>
      </c>
      <c r="V96" s="116" t="str">
        <f>IFERROR(VLOOKUP(TableAOPTarget[[#This Row],[Planned Finish Date]],TableAopCalendar[[Date]:[Concatenate Month &amp; Week]],7,FALSE),"")</f>
        <v/>
      </c>
      <c r="W96" s="115"/>
      <c r="X96" s="116" t="str">
        <f>IFERROR(VLOOKUP(TableAOPTarget[[#This Row],[Actual Finish Date]],TableAopCalendar[[Date]:[Concatenate Month &amp; Week]],7,FALSE),"")</f>
        <v/>
      </c>
      <c r="Y96" s="115"/>
      <c r="Z96" s="116" t="str">
        <f>IFERROR(VLOOKUP(TableAOPTarget[[#This Row],[Forecasted Finish Date]],TableAopCalendar[[Date]:[Concatenate Month &amp; Week]],7,FALSE),"")</f>
        <v/>
      </c>
      <c r="AA96" s="115"/>
      <c r="AB96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96" s="116" t="str">
        <f>IF(TableAOPTarget[[#This Row],[EPC Status]]="EPC Ready",INDEX(TableAopCalendar[Month for Plan],MATCH(TableAOPTarget[[#This Row],[Actual Finish Date]],TableAopCalendar[Date],0))," ")</f>
        <v xml:space="preserve"> </v>
      </c>
      <c r="AD96" s="116"/>
      <c r="AE96" s="116"/>
      <c r="AF96" s="106" t="s">
        <v>583</v>
      </c>
      <c r="AG96" s="106"/>
      <c r="AH96" s="106"/>
      <c r="AI96" s="106" t="e">
        <f>VLOOKUP(TableAOPTarget[[#This Row],[PD]],[18]Backup!$C:$F,4,0)</f>
        <v>#N/A</v>
      </c>
      <c r="AJ96" s="106" t="e">
        <f>VLOOKUP(TableAOPTarget[[#This Row],[Apex ID]],'[17]Main Backup'!$A:$I,9,0)</f>
        <v>#N/A</v>
      </c>
      <c r="AK96" s="118" t="str">
        <f>IF(TableAOPTarget[[#This Row],[RFC Date]]="","",(TableAOPTarget[[#This Row],[RFC Date]]+3))</f>
        <v/>
      </c>
      <c r="AL96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96" s="106"/>
    </row>
    <row r="97" spans="2:39" ht="30" x14ac:dyDescent="0.25">
      <c r="B97" s="196" t="s">
        <v>675</v>
      </c>
      <c r="C97" s="104"/>
      <c r="D97" s="106"/>
      <c r="E97" s="108"/>
      <c r="F97" s="53" t="s">
        <v>478</v>
      </c>
      <c r="G97" s="52" t="s">
        <v>340</v>
      </c>
      <c r="H97" s="52" t="s">
        <v>342</v>
      </c>
      <c r="I97" s="50" t="s">
        <v>345</v>
      </c>
      <c r="J97" s="50" t="s">
        <v>349</v>
      </c>
      <c r="K97" s="110" t="s">
        <v>672</v>
      </c>
      <c r="L97" s="53" t="s">
        <v>437</v>
      </c>
      <c r="M97" s="80">
        <f>(4*4)*10.76</f>
        <v>172.16</v>
      </c>
      <c r="N97" s="116"/>
      <c r="O97" s="53" t="s">
        <v>477</v>
      </c>
      <c r="P97" s="115"/>
      <c r="Q97" s="116" t="str">
        <f>IFERROR(VLOOKUP(TableAOPTarget[[#This Row],[RFC Date]],TableAopCalendar[[Date]:[Concatenate Month &amp; Week]],7,FALSE),"")</f>
        <v/>
      </c>
      <c r="R97" s="115">
        <v>46090</v>
      </c>
      <c r="S97" s="116" t="str">
        <f>IFERROR(VLOOKUP(TableAOPTarget[[#This Row],[Actual Start Date]],TableAopCalendar[[Date]:[Concatenate Month &amp; Week]],7,FALSE),"")</f>
        <v>March 26 Week 2</v>
      </c>
      <c r="T97" s="116">
        <v>45</v>
      </c>
      <c r="U97" s="115">
        <f>TableAOPTarget[[#This Row],[Actual Start Date]]+TableAOPTarget[[#This Row],[Standard Duration]]</f>
        <v>46135</v>
      </c>
      <c r="V97" s="116" t="str">
        <f>IFERROR(VLOOKUP(TableAOPTarget[[#This Row],[Planned Finish Date]],TableAopCalendar[[Date]:[Concatenate Month &amp; Week]],7,FALSE),"")</f>
        <v>April 26 Week 4</v>
      </c>
      <c r="W97" s="54">
        <v>46200</v>
      </c>
      <c r="X97" s="116" t="str">
        <f>IFERROR(VLOOKUP(TableAOPTarget[[#This Row],[Actual Finish Date]],TableAopCalendar[[Date]:[Concatenate Month &amp; Week]],7,FALSE),"")</f>
        <v>June 26 Week 4</v>
      </c>
      <c r="Y97" s="54">
        <v>46172</v>
      </c>
      <c r="Z97" s="116" t="str">
        <f>IFERROR(VLOOKUP(TableAOPTarget[[#This Row],[Forecasted Finish Date]],TableAopCalendar[[Date]:[Concatenate Month &amp; Week]],7,FALSE),"")</f>
        <v>May 26 Week 5</v>
      </c>
      <c r="AA97" s="115"/>
      <c r="AB97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APRIL 26 PLANNED</v>
      </c>
      <c r="AC97" s="116" t="str">
        <f>IF(TableAOPTarget[[#This Row],[EPC Status]]="EPC Ready",INDEX(TableAopCalendar[Month for Plan],MATCH(TableAOPTarget[[#This Row],[Actual Finish Date]],TableAopCalendar[Date],0))," ")</f>
        <v>JUNE 26</v>
      </c>
      <c r="AD97" s="101">
        <v>1</v>
      </c>
      <c r="AE97" s="101">
        <v>1</v>
      </c>
      <c r="AF97" s="49" t="s">
        <v>408</v>
      </c>
      <c r="AG97" s="106"/>
      <c r="AH97" s="106"/>
      <c r="AI97" s="106" t="e">
        <f>VLOOKUP(TableAOPTarget[[#This Row],[PD]],[18]Backup!$C:$F,4,0)</f>
        <v>#N/A</v>
      </c>
      <c r="AJ97" s="106" t="e">
        <f>VLOOKUP(TableAOPTarget[[#This Row],[Apex ID]],'[17]Main Backup'!$A:$I,9,0)</f>
        <v>#N/A</v>
      </c>
      <c r="AK97" s="118" t="str">
        <f>IF(TableAOPTarget[[#This Row],[RFC Date]]="","",(TableAOPTarget[[#This Row],[RFC Date]]+3))</f>
        <v/>
      </c>
      <c r="AL97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97" s="106"/>
    </row>
    <row r="98" spans="2:39" ht="30" hidden="1" x14ac:dyDescent="0.25">
      <c r="B98" s="196" t="s">
        <v>676</v>
      </c>
      <c r="C98" s="104"/>
      <c r="D98" s="106"/>
      <c r="E98" s="108"/>
      <c r="F98" s="113" t="s">
        <v>445</v>
      </c>
      <c r="G98" s="110" t="s">
        <v>340</v>
      </c>
      <c r="H98" s="110" t="s">
        <v>343</v>
      </c>
      <c r="I98" s="110" t="s">
        <v>686</v>
      </c>
      <c r="J98" s="120" t="s">
        <v>607</v>
      </c>
      <c r="K98" s="110" t="s">
        <v>678</v>
      </c>
      <c r="L98" s="110" t="s">
        <v>673</v>
      </c>
      <c r="M98" s="80"/>
      <c r="N98" s="116"/>
      <c r="O98" s="116" t="s">
        <v>580</v>
      </c>
      <c r="P98" s="115"/>
      <c r="Q98" s="116" t="str">
        <f>IFERROR(VLOOKUP(TableAOPTarget[[#This Row],[RFC Date]],TableAopCalendar[[Date]:[Concatenate Month &amp; Week]],7,FALSE),"")</f>
        <v/>
      </c>
      <c r="R98" s="115"/>
      <c r="S98" s="116" t="str">
        <f>IFERROR(VLOOKUP(TableAOPTarget[[#This Row],[Actual Start Date]],TableAopCalendar[[Date]:[Concatenate Month &amp; Week]],7,FALSE),"")</f>
        <v/>
      </c>
      <c r="T98" s="116"/>
      <c r="U98" s="115">
        <f>TableAOPTarget[[#This Row],[Actual Start Date]]+TableAOPTarget[[#This Row],[Standard Duration]]</f>
        <v>0</v>
      </c>
      <c r="V98" s="116" t="str">
        <f>IFERROR(VLOOKUP(TableAOPTarget[[#This Row],[Planned Finish Date]],TableAopCalendar[[Date]:[Concatenate Month &amp; Week]],7,FALSE),"")</f>
        <v/>
      </c>
      <c r="W98" s="115"/>
      <c r="X98" s="116" t="str">
        <f>IFERROR(VLOOKUP(TableAOPTarget[[#This Row],[Actual Finish Date]],TableAopCalendar[[Date]:[Concatenate Month &amp; Week]],7,FALSE),"")</f>
        <v/>
      </c>
      <c r="Y98" s="115"/>
      <c r="Z98" s="116" t="str">
        <f>IFERROR(VLOOKUP(TableAOPTarget[[#This Row],[Forecasted Finish Date]],TableAopCalendar[[Date]:[Concatenate Month &amp; Week]],7,FALSE),"")</f>
        <v/>
      </c>
      <c r="AA98" s="115"/>
      <c r="AB98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98" s="116" t="str">
        <f>IF(TableAOPTarget[[#This Row],[EPC Status]]="EPC Ready",INDEX(TableAopCalendar[Month for Plan],MATCH(TableAOPTarget[[#This Row],[Actual Finish Date]],TableAopCalendar[Date],0))," ")</f>
        <v xml:space="preserve"> </v>
      </c>
      <c r="AD98" s="116"/>
      <c r="AE98" s="116"/>
      <c r="AF98" s="106" t="s">
        <v>679</v>
      </c>
      <c r="AG98" s="106"/>
      <c r="AH98" s="106"/>
      <c r="AI98" s="106" t="e">
        <f>VLOOKUP(TableAOPTarget[[#This Row],[PD]],[18]Backup!$C:$F,4,0)</f>
        <v>#N/A</v>
      </c>
      <c r="AJ98" s="106" t="e">
        <f>VLOOKUP(TableAOPTarget[[#This Row],[Apex ID]],'[17]Main Backup'!$A:$I,9,0)</f>
        <v>#N/A</v>
      </c>
      <c r="AK98" s="118" t="str">
        <f>IF(TableAOPTarget[[#This Row],[RFC Date]]="","",(TableAOPTarget[[#This Row],[RFC Date]]+3))</f>
        <v/>
      </c>
      <c r="AL98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98" s="106"/>
    </row>
    <row r="99" spans="2:39" ht="30" hidden="1" x14ac:dyDescent="0.25">
      <c r="B99" s="194" t="s">
        <v>683</v>
      </c>
      <c r="C99" s="104"/>
      <c r="D99" s="106"/>
      <c r="E99" s="108"/>
      <c r="F99" s="113" t="s">
        <v>445</v>
      </c>
      <c r="G99" s="52" t="s">
        <v>340</v>
      </c>
      <c r="H99" s="52" t="s">
        <v>342</v>
      </c>
      <c r="I99" s="50" t="s">
        <v>345</v>
      </c>
      <c r="J99" s="50" t="s">
        <v>349</v>
      </c>
      <c r="K99" s="110" t="s">
        <v>680</v>
      </c>
      <c r="L99" s="110" t="s">
        <v>681</v>
      </c>
      <c r="M99" s="191"/>
      <c r="N99" s="116"/>
      <c r="O99" s="116"/>
      <c r="P99" s="115"/>
      <c r="Q99" s="116" t="str">
        <f>IFERROR(VLOOKUP(TableAOPTarget[[#This Row],[RFC Date]],TableAopCalendar[[Date]:[Concatenate Month &amp; Week]],7,FALSE),"")</f>
        <v/>
      </c>
      <c r="R99" s="115"/>
      <c r="S99" s="116" t="str">
        <f>IFERROR(VLOOKUP(TableAOPTarget[[#This Row],[Actual Start Date]],TableAopCalendar[[Date]:[Concatenate Month &amp; Week]],7,FALSE),"")</f>
        <v/>
      </c>
      <c r="T99" s="116"/>
      <c r="U99" s="115">
        <f>TableAOPTarget[[#This Row],[Actual Start Date]]+TableAOPTarget[[#This Row],[Standard Duration]]</f>
        <v>0</v>
      </c>
      <c r="V99" s="116" t="str">
        <f>IFERROR(VLOOKUP(TableAOPTarget[[#This Row],[Planned Finish Date]],TableAopCalendar[[Date]:[Concatenate Month &amp; Week]],7,FALSE),"")</f>
        <v/>
      </c>
      <c r="W99" s="115"/>
      <c r="X99" s="116" t="str">
        <f>IFERROR(VLOOKUP(TableAOPTarget[[#This Row],[Actual Finish Date]],TableAopCalendar[[Date]:[Concatenate Month &amp; Week]],7,FALSE),"")</f>
        <v/>
      </c>
      <c r="Y99" s="115"/>
      <c r="Z99" s="116" t="str">
        <f>IFERROR(VLOOKUP(TableAOPTarget[[#This Row],[Forecasted Finish Date]],TableAopCalendar[[Date]:[Concatenate Month &amp; Week]],7,FALSE),"")</f>
        <v/>
      </c>
      <c r="AA99" s="115"/>
      <c r="AB99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99" s="116" t="str">
        <f>IF(TableAOPTarget[[#This Row],[EPC Status]]="EPC Ready",INDEX(TableAopCalendar[Month for Plan],MATCH(TableAOPTarget[[#This Row],[Actual Finish Date]],TableAopCalendar[Date],0))," ")</f>
        <v xml:space="preserve"> </v>
      </c>
      <c r="AD99" s="116"/>
      <c r="AE99" s="116"/>
      <c r="AF99" s="106" t="s">
        <v>679</v>
      </c>
      <c r="AG99" s="106"/>
      <c r="AH99" s="106"/>
      <c r="AI99" s="106" t="e">
        <f>VLOOKUP(TableAOPTarget[[#This Row],[PD]],[18]Backup!$C:$F,4,0)</f>
        <v>#N/A</v>
      </c>
      <c r="AJ99" s="106" t="e">
        <f>VLOOKUP(TableAOPTarget[[#This Row],[Apex ID]],'[17]Main Backup'!$A:$I,9,0)</f>
        <v>#N/A</v>
      </c>
      <c r="AK99" s="118" t="str">
        <f>IF(TableAOPTarget[[#This Row],[RFC Date]]="","",(TableAOPTarget[[#This Row],[RFC Date]]+3))</f>
        <v/>
      </c>
      <c r="AL99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99" s="106"/>
    </row>
    <row r="100" spans="2:39" ht="30" hidden="1" x14ac:dyDescent="0.25">
      <c r="B100" s="242" t="s">
        <v>710</v>
      </c>
      <c r="C100" s="104"/>
      <c r="D100" s="106"/>
      <c r="E100" s="108"/>
      <c r="F100" s="113" t="s">
        <v>445</v>
      </c>
      <c r="G100" s="52" t="s">
        <v>340</v>
      </c>
      <c r="H100" s="52" t="s">
        <v>343</v>
      </c>
      <c r="I100" s="50" t="s">
        <v>686</v>
      </c>
      <c r="J100" s="50" t="s">
        <v>590</v>
      </c>
      <c r="K100" s="110" t="s">
        <v>688</v>
      </c>
      <c r="L100" s="110" t="s">
        <v>689</v>
      </c>
      <c r="M100" s="191"/>
      <c r="N100" s="116"/>
      <c r="O100" s="116" t="s">
        <v>690</v>
      </c>
      <c r="P100" s="115"/>
      <c r="Q100" s="116" t="str">
        <f>IFERROR(VLOOKUP(TableAOPTarget[[#This Row],[RFC Date]],TableAopCalendar[[Date]:[Concatenate Month &amp; Week]],7,FALSE),"")</f>
        <v/>
      </c>
      <c r="R100" s="115">
        <v>46081</v>
      </c>
      <c r="S100" s="116" t="str">
        <f>IFERROR(VLOOKUP(TableAOPTarget[[#This Row],[Actual Start Date]],TableAopCalendar[[Date]:[Concatenate Month &amp; Week]],7,FALSE),"")</f>
        <v>February 26 Week 4</v>
      </c>
      <c r="T100" s="116">
        <v>15</v>
      </c>
      <c r="U100" s="115">
        <f>TableAOPTarget[[#This Row],[Actual Start Date]]+TableAOPTarget[[#This Row],[Standard Duration]]</f>
        <v>46096</v>
      </c>
      <c r="V100" s="116" t="str">
        <f>IFERROR(VLOOKUP(TableAOPTarget[[#This Row],[Planned Finish Date]],TableAopCalendar[[Date]:[Concatenate Month &amp; Week]],7,FALSE),"")</f>
        <v>March 26 Week 3</v>
      </c>
      <c r="W100" s="115"/>
      <c r="X100" s="116" t="str">
        <f>IFERROR(VLOOKUP(TableAOPTarget[[#This Row],[Actual Finish Date]],TableAopCalendar[[Date]:[Concatenate Month &amp; Week]],7,FALSE),"")</f>
        <v/>
      </c>
      <c r="Y100" s="115">
        <v>46091</v>
      </c>
      <c r="Z100" s="116" t="str">
        <f>IFERROR(VLOOKUP(TableAOPTarget[[#This Row],[Forecasted Finish Date]],TableAopCalendar[[Date]:[Concatenate Month &amp; Week]],7,FALSE),"")</f>
        <v>March 26 Week 2</v>
      </c>
      <c r="AA100" s="115"/>
      <c r="AB100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MARCH 26 PLANNED</v>
      </c>
      <c r="AC100" s="116" t="e">
        <f>IF(TableAOPTarget[[#This Row],[EPC Status]]="EPC Ready",INDEX(TableAopCalendar[Month for Plan],MATCH(TableAOPTarget[[#This Row],[Actual Finish Date]],TableAopCalendar[Date],0))," ")</f>
        <v>#N/A</v>
      </c>
      <c r="AD100" s="100">
        <v>1</v>
      </c>
      <c r="AE100" s="100">
        <v>1</v>
      </c>
      <c r="AF100" s="49" t="s">
        <v>408</v>
      </c>
      <c r="AG100" s="106"/>
      <c r="AH100" s="106"/>
      <c r="AI100" s="106" t="e">
        <f>VLOOKUP(TableAOPTarget[[#This Row],[PD]],[18]Backup!$C:$F,4,0)</f>
        <v>#N/A</v>
      </c>
      <c r="AJ100" s="106" t="e">
        <f>VLOOKUP(TableAOPTarget[[#This Row],[Apex ID]],'[17]Main Backup'!$A:$I,9,0)</f>
        <v>#N/A</v>
      </c>
      <c r="AK100" s="118" t="str">
        <f>IF(TableAOPTarget[[#This Row],[RFC Date]]="","",(TableAOPTarget[[#This Row],[RFC Date]]+3))</f>
        <v/>
      </c>
      <c r="AL100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00" s="106"/>
    </row>
    <row r="101" spans="2:39" ht="30" x14ac:dyDescent="0.25">
      <c r="B101" s="243" t="s">
        <v>711</v>
      </c>
      <c r="C101" s="50"/>
      <c r="D101" s="106"/>
      <c r="E101" s="108"/>
      <c r="F101" s="53" t="s">
        <v>441</v>
      </c>
      <c r="G101" s="53" t="s">
        <v>340</v>
      </c>
      <c r="H101" s="53" t="s">
        <v>343</v>
      </c>
      <c r="I101" s="53" t="s">
        <v>686</v>
      </c>
      <c r="J101" s="52" t="s">
        <v>354</v>
      </c>
      <c r="K101" s="53" t="s">
        <v>687</v>
      </c>
      <c r="L101" s="53" t="s">
        <v>355</v>
      </c>
      <c r="M101" s="80">
        <v>20000</v>
      </c>
      <c r="N101" s="55"/>
      <c r="O101" s="55" t="s">
        <v>580</v>
      </c>
      <c r="P101" s="54"/>
      <c r="Q101" s="55" t="str">
        <f>IFERROR(VLOOKUP(TableAOPTarget[[#This Row],[RFC Date]],TableAopCalendar[[Date]:[Concatenate Month &amp; Week]],7,FALSE),"")</f>
        <v/>
      </c>
      <c r="R101" s="54">
        <v>46078</v>
      </c>
      <c r="S101" s="55" t="str">
        <f>IFERROR(VLOOKUP(TableAOPTarget[[#This Row],[Actual Start Date]],TableAopCalendar[[Date]:[Concatenate Month &amp; Week]],7,FALSE),"")</f>
        <v>February 26 Week 4</v>
      </c>
      <c r="T101" s="55">
        <v>60</v>
      </c>
      <c r="U101" s="54">
        <f>TableAOPTarget[[#This Row],[Actual Start Date]]+TableAOPTarget[[#This Row],[Standard Duration]]</f>
        <v>46138</v>
      </c>
      <c r="V101" s="55" t="str">
        <f>IFERROR(VLOOKUP(TableAOPTarget[[#This Row],[Planned Finish Date]],TableAopCalendar[[Date]:[Concatenate Month &amp; Week]],7,FALSE),"")</f>
        <v>April 26 Week 4</v>
      </c>
      <c r="W101" s="54"/>
      <c r="X101" s="55" t="str">
        <f>IFERROR(VLOOKUP(TableAOPTarget[[#This Row],[Actual Finish Date]],TableAopCalendar[[Date]:[Concatenate Month &amp; Week]],7,FALSE),"")</f>
        <v/>
      </c>
      <c r="Y101" s="54">
        <v>46191</v>
      </c>
      <c r="Z101" s="55" t="str">
        <f>IFERROR(VLOOKUP(TableAOPTarget[[#This Row],[Forecasted Finish Date]],TableAopCalendar[[Date]:[Concatenate Month &amp; Week]],7,FALSE),"")</f>
        <v>June 26 Week 3</v>
      </c>
      <c r="AA101" s="54"/>
      <c r="AB101" s="55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APRIL 26 PLANNED</v>
      </c>
      <c r="AC101" s="55" t="str">
        <f>IF(TableAOPTarget[[#This Row],[EPC Status]]="EPC Ready",INDEX(TableAopCalendar[Month for Plan],MATCH(TableAOPTarget[[#This Row],[Actual Finish Date]],TableAopCalendar[Date],0))," ")</f>
        <v xml:space="preserve"> </v>
      </c>
      <c r="AD101" s="138">
        <v>1</v>
      </c>
      <c r="AE101" s="138">
        <v>0.79</v>
      </c>
      <c r="AF101" s="49" t="s">
        <v>409</v>
      </c>
      <c r="AG101" s="106"/>
      <c r="AH101" s="106"/>
      <c r="AI101" s="106" t="e">
        <f>VLOOKUP(TableAOPTarget[[#This Row],[PD]],[18]Backup!$C:$F,4,0)</f>
        <v>#N/A</v>
      </c>
      <c r="AJ101" s="106" t="e">
        <f>VLOOKUP(TableAOPTarget[[#This Row],[Apex ID]],'[17]Main Backup'!$A:$I,9,0)</f>
        <v>#N/A</v>
      </c>
      <c r="AK101" s="118" t="str">
        <f>IF(TableAOPTarget[[#This Row],[RFC Date]]="","",(TableAOPTarget[[#This Row],[RFC Date]]+3))</f>
        <v/>
      </c>
      <c r="AL101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01" s="106"/>
    </row>
    <row r="102" spans="2:39" ht="30" x14ac:dyDescent="0.25">
      <c r="B102" s="242" t="s">
        <v>712</v>
      </c>
      <c r="C102" s="235"/>
      <c r="D102" s="217"/>
      <c r="E102" s="218"/>
      <c r="F102" s="113" t="s">
        <v>445</v>
      </c>
      <c r="G102" s="152" t="s">
        <v>340</v>
      </c>
      <c r="H102" s="152" t="s">
        <v>343</v>
      </c>
      <c r="I102" s="153" t="s">
        <v>686</v>
      </c>
      <c r="J102" s="152" t="s">
        <v>354</v>
      </c>
      <c r="K102" s="236" t="s">
        <v>691</v>
      </c>
      <c r="L102" s="236" t="s">
        <v>697</v>
      </c>
      <c r="M102" s="237">
        <f>(10*5)*10.76</f>
        <v>538</v>
      </c>
      <c r="N102" s="238"/>
      <c r="O102" s="154" t="s">
        <v>580</v>
      </c>
      <c r="P102" s="239"/>
      <c r="Q102" s="238" t="str">
        <f>IFERROR(VLOOKUP(TableAOPTarget[[#This Row],[RFC Date]],TableAopCalendar[[Date]:[Concatenate Month &amp; Week]],7,FALSE),"")</f>
        <v/>
      </c>
      <c r="R102" s="239">
        <v>46111</v>
      </c>
      <c r="S102" s="238" t="str">
        <f>IFERROR(VLOOKUP(TableAOPTarget[[#This Row],[Actual Start Date]],TableAopCalendar[[Date]:[Concatenate Month &amp; Week]],7,FALSE),"")</f>
        <v>March 26 Week 5</v>
      </c>
      <c r="T102" s="55">
        <v>45</v>
      </c>
      <c r="U102" s="239">
        <f>TableAOPTarget[[#This Row],[Actual Start Date]]+TableAOPTarget[[#This Row],[Standard Duration]]</f>
        <v>46156</v>
      </c>
      <c r="V102" s="154" t="str">
        <f>IFERROR(VLOOKUP(TableAOPTarget[[#This Row],[Planned Finish Date]],TableAopCalendar[[Date]:[Concatenate Month &amp; Week]],7,FALSE),"")</f>
        <v>May 26 Week 2</v>
      </c>
      <c r="W102" s="239"/>
      <c r="X102" s="238" t="str">
        <f>IFERROR(VLOOKUP(TableAOPTarget[[#This Row],[Actual Finish Date]],TableAopCalendar[[Date]:[Concatenate Month &amp; Week]],7,FALSE),"")</f>
        <v/>
      </c>
      <c r="Y102" s="239">
        <f>TableAOPTarget[[#This Row],[Actual Start Date]]+TableAOPTarget[[#This Row],[Standard Duration]]</f>
        <v>46156</v>
      </c>
      <c r="Z102" s="238" t="str">
        <f>IFERROR(VLOOKUP(TableAOPTarget[[#This Row],[Forecasted Finish Date]],TableAopCalendar[[Date]:[Concatenate Month &amp; Week]],7,FALSE),"")</f>
        <v>May 26 Week 2</v>
      </c>
      <c r="AA102" s="239"/>
      <c r="AB102" s="238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102" s="238" t="str">
        <f>IF(TableAOPTarget[[#This Row],[EPC Status]]="EPC Ready",INDEX(TableAopCalendar[Month for Plan],MATCH(TableAOPTarget[[#This Row],[Actual Finish Date]],TableAopCalendar[Date],0))," ")</f>
        <v xml:space="preserve"> </v>
      </c>
      <c r="AD102" s="244">
        <v>0.11</v>
      </c>
      <c r="AE102" s="244">
        <v>0.09</v>
      </c>
      <c r="AF102" s="49" t="s">
        <v>410</v>
      </c>
      <c r="AG102" s="217"/>
      <c r="AH102" s="217"/>
      <c r="AI102" s="217" t="e">
        <f>VLOOKUP(TableAOPTarget[[#This Row],[PD]],[18]Backup!$C:$F,4,0)</f>
        <v>#N/A</v>
      </c>
      <c r="AJ102" s="217" t="e">
        <f>VLOOKUP(TableAOPTarget[[#This Row],[Apex ID]],'[17]Main Backup'!$A:$I,9,0)</f>
        <v>#N/A</v>
      </c>
      <c r="AK102" s="224" t="str">
        <f>IF(TableAOPTarget[[#This Row],[RFC Date]]="","",(TableAOPTarget[[#This Row],[RFC Date]]+3))</f>
        <v/>
      </c>
      <c r="AL102" s="2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02" s="217"/>
    </row>
    <row r="103" spans="2:39" ht="30" hidden="1" x14ac:dyDescent="0.25">
      <c r="B103" s="242" t="s">
        <v>713</v>
      </c>
      <c r="C103" s="216"/>
      <c r="D103" s="217"/>
      <c r="E103" s="218"/>
      <c r="F103" s="113" t="s">
        <v>445</v>
      </c>
      <c r="G103" s="52" t="s">
        <v>340</v>
      </c>
      <c r="H103" s="52" t="s">
        <v>343</v>
      </c>
      <c r="I103" s="110" t="s">
        <v>686</v>
      </c>
      <c r="J103" s="52" t="s">
        <v>354</v>
      </c>
      <c r="K103" s="219" t="s">
        <v>692</v>
      </c>
      <c r="L103" s="219" t="s">
        <v>698</v>
      </c>
      <c r="M103" s="237">
        <f>(10*5)*10.76</f>
        <v>538</v>
      </c>
      <c r="N103" s="222"/>
      <c r="O103" s="116" t="s">
        <v>580</v>
      </c>
      <c r="P103" s="223"/>
      <c r="Q103" s="222" t="str">
        <f>IFERROR(VLOOKUP(TableAOPTarget[[#This Row],[RFC Date]],TableAopCalendar[[Date]:[Concatenate Month &amp; Week]],7,FALSE),"")</f>
        <v/>
      </c>
      <c r="R103" s="239">
        <v>46111</v>
      </c>
      <c r="S103" s="222" t="str">
        <f>IFERROR(VLOOKUP(TableAOPTarget[[#This Row],[Actual Start Date]],TableAopCalendar[[Date]:[Concatenate Month &amp; Week]],7,FALSE),"")</f>
        <v>March 26 Week 5</v>
      </c>
      <c r="T103" s="55">
        <v>45</v>
      </c>
      <c r="U103" s="223">
        <f>TableAOPTarget[[#This Row],[Actual Start Date]]+TableAOPTarget[[#This Row],[Standard Duration]]</f>
        <v>46156</v>
      </c>
      <c r="V103" s="116" t="str">
        <f>IFERROR(VLOOKUP(TableAOPTarget[[#This Row],[Planned Finish Date]],TableAopCalendar[[Date]:[Concatenate Month &amp; Week]],7,FALSE),"")</f>
        <v>May 26 Week 2</v>
      </c>
      <c r="W103" s="223">
        <v>46158</v>
      </c>
      <c r="X103" s="222" t="str">
        <f>IFERROR(VLOOKUP(TableAOPTarget[[#This Row],[Actual Finish Date]],TableAopCalendar[[Date]:[Concatenate Month &amp; Week]],7,FALSE),"")</f>
        <v>May 26 Week 3</v>
      </c>
      <c r="Y103" s="239">
        <f>TableAOPTarget[[#This Row],[Actual Start Date]]+TableAOPTarget[[#This Row],[Standard Duration]]</f>
        <v>46156</v>
      </c>
      <c r="Z103" s="222" t="str">
        <f>IFERROR(VLOOKUP(TableAOPTarget[[#This Row],[Forecasted Finish Date]],TableAopCalendar[[Date]:[Concatenate Month &amp; Week]],7,FALSE),"")</f>
        <v>May 26 Week 2</v>
      </c>
      <c r="AA103" s="223"/>
      <c r="AB103" s="222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MAY 26 PLANNED</v>
      </c>
      <c r="AC103" s="222" t="str">
        <f>IF(TableAOPTarget[[#This Row],[EPC Status]]="EPC Ready",INDEX(TableAopCalendar[Month for Plan],MATCH(TableAOPTarget[[#This Row],[Actual Finish Date]],TableAopCalendar[Date],0))," ")</f>
        <v>MAY 26</v>
      </c>
      <c r="AD103" s="148">
        <v>1</v>
      </c>
      <c r="AE103" s="148">
        <v>1</v>
      </c>
      <c r="AF103" s="240" t="s">
        <v>408</v>
      </c>
      <c r="AG103" s="217"/>
      <c r="AH103" s="217"/>
      <c r="AI103" s="217" t="e">
        <f>VLOOKUP(TableAOPTarget[[#This Row],[PD]],[18]Backup!$C:$F,4,0)</f>
        <v>#N/A</v>
      </c>
      <c r="AJ103" s="217" t="e">
        <f>VLOOKUP(TableAOPTarget[[#This Row],[Apex ID]],'[17]Main Backup'!$A:$I,9,0)</f>
        <v>#N/A</v>
      </c>
      <c r="AK103" s="224" t="str">
        <f>IF(TableAOPTarget[[#This Row],[RFC Date]]="","",(TableAOPTarget[[#This Row],[RFC Date]]+3))</f>
        <v/>
      </c>
      <c r="AL103" s="2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03" s="217"/>
    </row>
    <row r="104" spans="2:39" ht="30" hidden="1" x14ac:dyDescent="0.25">
      <c r="B104" s="242" t="s">
        <v>714</v>
      </c>
      <c r="C104" s="216"/>
      <c r="D104" s="217"/>
      <c r="E104" s="218"/>
      <c r="F104" s="113" t="s">
        <v>445</v>
      </c>
      <c r="G104" s="52" t="s">
        <v>340</v>
      </c>
      <c r="H104" s="52" t="s">
        <v>342</v>
      </c>
      <c r="I104" s="52" t="s">
        <v>345</v>
      </c>
      <c r="J104" s="52" t="s">
        <v>349</v>
      </c>
      <c r="K104" s="219" t="s">
        <v>693</v>
      </c>
      <c r="L104" s="219" t="s">
        <v>699</v>
      </c>
      <c r="M104" s="221"/>
      <c r="N104" s="222"/>
      <c r="O104" s="222"/>
      <c r="P104" s="223"/>
      <c r="Q104" s="222" t="str">
        <f>IFERROR(VLOOKUP(TableAOPTarget[[#This Row],[RFC Date]],TableAopCalendar[[Date]:[Concatenate Month &amp; Week]],7,FALSE),"")</f>
        <v/>
      </c>
      <c r="R104" s="223"/>
      <c r="S104" s="222" t="str">
        <f>IFERROR(VLOOKUP(TableAOPTarget[[#This Row],[Actual Start Date]],TableAopCalendar[[Date]:[Concatenate Month &amp; Week]],7,FALSE),"")</f>
        <v/>
      </c>
      <c r="T104" s="222"/>
      <c r="U104" s="223">
        <f>TableAOPTarget[[#This Row],[Actual Start Date]]+TableAOPTarget[[#This Row],[Standard Duration]]</f>
        <v>0</v>
      </c>
      <c r="V104" s="116" t="str">
        <f>IFERROR(VLOOKUP(TableAOPTarget[[#This Row],[Planned Finish Date]],TableAopCalendar[[Date]:[Concatenate Month &amp; Week]],7,FALSE),"")</f>
        <v/>
      </c>
      <c r="W104" s="223"/>
      <c r="X104" s="222" t="str">
        <f>IFERROR(VLOOKUP(TableAOPTarget[[#This Row],[Actual Finish Date]],TableAopCalendar[[Date]:[Concatenate Month &amp; Week]],7,FALSE),"")</f>
        <v/>
      </c>
      <c r="Y104" s="223"/>
      <c r="Z104" s="222" t="str">
        <f>IFERROR(VLOOKUP(TableAOPTarget[[#This Row],[Forecasted Finish Date]],TableAopCalendar[[Date]:[Concatenate Month &amp; Week]],7,FALSE),"")</f>
        <v/>
      </c>
      <c r="AA104" s="223"/>
      <c r="AB104" s="222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104" s="222" t="str">
        <f>IF(TableAOPTarget[[#This Row],[EPC Status]]="EPC Ready",INDEX(TableAopCalendar[Month for Plan],MATCH(TableAOPTarget[[#This Row],[Actual Finish Date]],TableAopCalendar[Date],0))," ")</f>
        <v xml:space="preserve"> </v>
      </c>
      <c r="AD104" s="55"/>
      <c r="AE104" s="55"/>
      <c r="AF104" s="51" t="s">
        <v>583</v>
      </c>
      <c r="AG104" s="217"/>
      <c r="AH104" s="217"/>
      <c r="AI104" s="217" t="e">
        <f>VLOOKUP(TableAOPTarget[[#This Row],[PD]],[18]Backup!$C:$F,4,0)</f>
        <v>#N/A</v>
      </c>
      <c r="AJ104" s="217" t="e">
        <f>VLOOKUP(TableAOPTarget[[#This Row],[Apex ID]],'[17]Main Backup'!$A:$I,9,0)</f>
        <v>#N/A</v>
      </c>
      <c r="AK104" s="224" t="str">
        <f>IF(TableAOPTarget[[#This Row],[RFC Date]]="","",(TableAOPTarget[[#This Row],[RFC Date]]+3))</f>
        <v/>
      </c>
      <c r="AL104" s="2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04" s="217"/>
    </row>
    <row r="105" spans="2:39" ht="30" hidden="1" x14ac:dyDescent="0.25">
      <c r="B105" s="242" t="s">
        <v>715</v>
      </c>
      <c r="C105" s="216"/>
      <c r="D105" s="217"/>
      <c r="E105" s="218"/>
      <c r="F105" s="113" t="s">
        <v>445</v>
      </c>
      <c r="G105" s="52" t="s">
        <v>340</v>
      </c>
      <c r="H105" s="52" t="s">
        <v>342</v>
      </c>
      <c r="I105" s="52" t="s">
        <v>345</v>
      </c>
      <c r="J105" s="52" t="s">
        <v>349</v>
      </c>
      <c r="K105" s="219" t="s">
        <v>694</v>
      </c>
      <c r="L105" s="219" t="s">
        <v>700</v>
      </c>
      <c r="M105" s="221"/>
      <c r="N105" s="222"/>
      <c r="O105" s="222"/>
      <c r="P105" s="223"/>
      <c r="Q105" s="222" t="str">
        <f>IFERROR(VLOOKUP(TableAOPTarget[[#This Row],[RFC Date]],TableAopCalendar[[Date]:[Concatenate Month &amp; Week]],7,FALSE),"")</f>
        <v/>
      </c>
      <c r="R105" s="223"/>
      <c r="S105" s="222" t="str">
        <f>IFERROR(VLOOKUP(TableAOPTarget[[#This Row],[Actual Start Date]],TableAopCalendar[[Date]:[Concatenate Month &amp; Week]],7,FALSE),"")</f>
        <v/>
      </c>
      <c r="T105" s="222"/>
      <c r="U105" s="223">
        <f>TableAOPTarget[[#This Row],[Actual Start Date]]+TableAOPTarget[[#This Row],[Standard Duration]]</f>
        <v>0</v>
      </c>
      <c r="V105" s="116" t="str">
        <f>IFERROR(VLOOKUP(TableAOPTarget[[#This Row],[Planned Finish Date]],TableAopCalendar[[Date]:[Concatenate Month &amp; Week]],7,FALSE),"")</f>
        <v/>
      </c>
      <c r="W105" s="223"/>
      <c r="X105" s="222" t="str">
        <f>IFERROR(VLOOKUP(TableAOPTarget[[#This Row],[Actual Finish Date]],TableAopCalendar[[Date]:[Concatenate Month &amp; Week]],7,FALSE),"")</f>
        <v/>
      </c>
      <c r="Y105" s="223"/>
      <c r="Z105" s="222" t="str">
        <f>IFERROR(VLOOKUP(TableAOPTarget[[#This Row],[Forecasted Finish Date]],TableAopCalendar[[Date]:[Concatenate Month &amp; Week]],7,FALSE),"")</f>
        <v/>
      </c>
      <c r="AA105" s="223"/>
      <c r="AB105" s="222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105" s="222" t="str">
        <f>IF(TableAOPTarget[[#This Row],[EPC Status]]="EPC Ready",INDEX(TableAopCalendar[Month for Plan],MATCH(TableAOPTarget[[#This Row],[Actual Finish Date]],TableAopCalendar[Date],0))," ")</f>
        <v xml:space="preserve"> </v>
      </c>
      <c r="AD105" s="55"/>
      <c r="AE105" s="55"/>
      <c r="AF105" s="51" t="s">
        <v>583</v>
      </c>
      <c r="AG105" s="217"/>
      <c r="AH105" s="217"/>
      <c r="AI105" s="217" t="e">
        <f>VLOOKUP(TableAOPTarget[[#This Row],[PD]],[18]Backup!$C:$F,4,0)</f>
        <v>#N/A</v>
      </c>
      <c r="AJ105" s="217" t="e">
        <f>VLOOKUP(TableAOPTarget[[#This Row],[Apex ID]],'[17]Main Backup'!$A:$I,9,0)</f>
        <v>#N/A</v>
      </c>
      <c r="AK105" s="224" t="str">
        <f>IF(TableAOPTarget[[#This Row],[RFC Date]]="","",(TableAOPTarget[[#This Row],[RFC Date]]+3))</f>
        <v/>
      </c>
      <c r="AL105" s="2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05" s="217"/>
    </row>
    <row r="106" spans="2:39" ht="30" hidden="1" x14ac:dyDescent="0.25">
      <c r="B106" s="242" t="s">
        <v>716</v>
      </c>
      <c r="C106" s="216"/>
      <c r="D106" s="217"/>
      <c r="E106" s="218"/>
      <c r="F106" s="113" t="s">
        <v>445</v>
      </c>
      <c r="G106" s="52" t="s">
        <v>340</v>
      </c>
      <c r="H106" s="52" t="s">
        <v>342</v>
      </c>
      <c r="I106" s="52" t="s">
        <v>345</v>
      </c>
      <c r="J106" s="52" t="s">
        <v>349</v>
      </c>
      <c r="K106" s="219" t="s">
        <v>695</v>
      </c>
      <c r="L106" s="219" t="s">
        <v>701</v>
      </c>
      <c r="M106" s="221"/>
      <c r="N106" s="222"/>
      <c r="O106" s="222"/>
      <c r="P106" s="223"/>
      <c r="Q106" s="222" t="str">
        <f>IFERROR(VLOOKUP(TableAOPTarget[[#This Row],[RFC Date]],TableAopCalendar[[Date]:[Concatenate Month &amp; Week]],7,FALSE),"")</f>
        <v/>
      </c>
      <c r="R106" s="223"/>
      <c r="S106" s="222" t="str">
        <f>IFERROR(VLOOKUP(TableAOPTarget[[#This Row],[Actual Start Date]],TableAopCalendar[[Date]:[Concatenate Month &amp; Week]],7,FALSE),"")</f>
        <v/>
      </c>
      <c r="T106" s="222"/>
      <c r="U106" s="223">
        <f>TableAOPTarget[[#This Row],[Actual Start Date]]+TableAOPTarget[[#This Row],[Standard Duration]]</f>
        <v>0</v>
      </c>
      <c r="V106" s="116" t="str">
        <f>IFERROR(VLOOKUP(TableAOPTarget[[#This Row],[Planned Finish Date]],TableAopCalendar[[Date]:[Concatenate Month &amp; Week]],7,FALSE),"")</f>
        <v/>
      </c>
      <c r="W106" s="223"/>
      <c r="X106" s="222" t="str">
        <f>IFERROR(VLOOKUP(TableAOPTarget[[#This Row],[Actual Finish Date]],TableAopCalendar[[Date]:[Concatenate Month &amp; Week]],7,FALSE),"")</f>
        <v/>
      </c>
      <c r="Y106" s="223"/>
      <c r="Z106" s="222" t="str">
        <f>IFERROR(VLOOKUP(TableAOPTarget[[#This Row],[Forecasted Finish Date]],TableAopCalendar[[Date]:[Concatenate Month &amp; Week]],7,FALSE),"")</f>
        <v/>
      </c>
      <c r="AA106" s="223"/>
      <c r="AB106" s="222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106" s="222" t="str">
        <f>IF(TableAOPTarget[[#This Row],[EPC Status]]="EPC Ready",INDEX(TableAopCalendar[Month for Plan],MATCH(TableAOPTarget[[#This Row],[Actual Finish Date]],TableAopCalendar[Date],0))," ")</f>
        <v xml:space="preserve"> </v>
      </c>
      <c r="AD106" s="55"/>
      <c r="AE106" s="55"/>
      <c r="AF106" s="51" t="s">
        <v>583</v>
      </c>
      <c r="AG106" s="217"/>
      <c r="AH106" s="217"/>
      <c r="AI106" s="217" t="e">
        <f>VLOOKUP(TableAOPTarget[[#This Row],[PD]],[18]Backup!$C:$F,4,0)</f>
        <v>#N/A</v>
      </c>
      <c r="AJ106" s="217" t="e">
        <f>VLOOKUP(TableAOPTarget[[#This Row],[Apex ID]],'[17]Main Backup'!$A:$I,9,0)</f>
        <v>#N/A</v>
      </c>
      <c r="AK106" s="224" t="str">
        <f>IF(TableAOPTarget[[#This Row],[RFC Date]]="","",(TableAOPTarget[[#This Row],[RFC Date]]+3))</f>
        <v/>
      </c>
      <c r="AL106" s="2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06" s="217"/>
    </row>
    <row r="107" spans="2:39" ht="30" hidden="1" x14ac:dyDescent="0.25">
      <c r="B107" s="242" t="s">
        <v>717</v>
      </c>
      <c r="C107" s="225"/>
      <c r="D107" s="226"/>
      <c r="E107" s="227"/>
      <c r="F107" s="113" t="s">
        <v>445</v>
      </c>
      <c r="G107" s="52" t="s">
        <v>340</v>
      </c>
      <c r="H107" s="52" t="s">
        <v>342</v>
      </c>
      <c r="I107" s="52" t="s">
        <v>345</v>
      </c>
      <c r="J107" s="52" t="s">
        <v>349</v>
      </c>
      <c r="K107" s="228" t="s">
        <v>696</v>
      </c>
      <c r="L107" s="228" t="s">
        <v>702</v>
      </c>
      <c r="M107" s="230"/>
      <c r="N107" s="231"/>
      <c r="O107" s="231"/>
      <c r="P107" s="232"/>
      <c r="Q107" s="231" t="str">
        <f>IFERROR(VLOOKUP(TableAOPTarget[[#This Row],[RFC Date]],TableAopCalendar[[Date]:[Concatenate Month &amp; Week]],7,FALSE),"")</f>
        <v/>
      </c>
      <c r="R107" s="232"/>
      <c r="S107" s="231" t="str">
        <f>IFERROR(VLOOKUP(TableAOPTarget[[#This Row],[Actual Start Date]],TableAopCalendar[[Date]:[Concatenate Month &amp; Week]],7,FALSE),"")</f>
        <v/>
      </c>
      <c r="T107" s="231"/>
      <c r="U107" s="232">
        <f>TableAOPTarget[[#This Row],[Actual Start Date]]+TableAOPTarget[[#This Row],[Standard Duration]]</f>
        <v>0</v>
      </c>
      <c r="V107" s="116" t="str">
        <f>IFERROR(VLOOKUP(TableAOPTarget[[#This Row],[Planned Finish Date]],TableAopCalendar[[Date]:[Concatenate Month &amp; Week]],7,FALSE),"")</f>
        <v/>
      </c>
      <c r="W107" s="232"/>
      <c r="X107" s="231" t="str">
        <f>IFERROR(VLOOKUP(TableAOPTarget[[#This Row],[Actual Finish Date]],TableAopCalendar[[Date]:[Concatenate Month &amp; Week]],7,FALSE),"")</f>
        <v/>
      </c>
      <c r="Y107" s="232"/>
      <c r="Z107" s="231" t="str">
        <f>IFERROR(VLOOKUP(TableAOPTarget[[#This Row],[Forecasted Finish Date]],TableAopCalendar[[Date]:[Concatenate Month &amp; Week]],7,FALSE),"")</f>
        <v/>
      </c>
      <c r="AA107" s="232"/>
      <c r="AB107" s="231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 xml:space="preserve"> </v>
      </c>
      <c r="AC107" s="231" t="str">
        <f>IF(TableAOPTarget[[#This Row],[EPC Status]]="EPC Ready",INDEX(TableAopCalendar[Month for Plan],MATCH(TableAOPTarget[[#This Row],[Actual Finish Date]],TableAopCalendar[Date],0))," ")</f>
        <v xml:space="preserve"> </v>
      </c>
      <c r="AD107" s="116"/>
      <c r="AE107" s="116"/>
      <c r="AF107" s="51" t="s">
        <v>583</v>
      </c>
      <c r="AG107" s="226"/>
      <c r="AH107" s="226"/>
      <c r="AI107" s="226" t="e">
        <f>VLOOKUP(TableAOPTarget[[#This Row],[PD]],[18]Backup!$C:$F,4,0)</f>
        <v>#N/A</v>
      </c>
      <c r="AJ107" s="226" t="e">
        <f>VLOOKUP(TableAOPTarget[[#This Row],[Apex ID]],'[17]Main Backup'!$A:$I,9,0)</f>
        <v>#N/A</v>
      </c>
      <c r="AK107" s="233" t="str">
        <f>IF(TableAOPTarget[[#This Row],[RFC Date]]="","",(TableAOPTarget[[#This Row],[RFC Date]]+3))</f>
        <v/>
      </c>
      <c r="AL107" s="229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07" s="226"/>
    </row>
    <row r="108" spans="2:39" ht="30" hidden="1" x14ac:dyDescent="0.25">
      <c r="B108" s="242" t="s">
        <v>718</v>
      </c>
      <c r="C108" s="50"/>
      <c r="D108" s="51"/>
      <c r="E108" s="49"/>
      <c r="F108" s="53" t="s">
        <v>445</v>
      </c>
      <c r="G108" s="52" t="s">
        <v>340</v>
      </c>
      <c r="H108" s="52" t="s">
        <v>342</v>
      </c>
      <c r="I108" s="52" t="s">
        <v>345</v>
      </c>
      <c r="J108" s="52" t="s">
        <v>706</v>
      </c>
      <c r="K108" s="219" t="s">
        <v>703</v>
      </c>
      <c r="L108" s="53" t="s">
        <v>707</v>
      </c>
      <c r="M108" s="234"/>
      <c r="N108" s="55"/>
      <c r="O108" s="55"/>
      <c r="P108" s="54"/>
      <c r="Q108" s="55" t="str">
        <f>IFERROR(VLOOKUP(TableAOPTarget[[#This Row],[RFC Date]],TableAopCalendar[[Date]:[Concatenate Month &amp; Week]],7,FALSE),"")</f>
        <v/>
      </c>
      <c r="R108" s="54"/>
      <c r="S108" s="55" t="str">
        <f>IFERROR(VLOOKUP(TableAOPTarget[[#This Row],[Actual Start Date]],TableAopCalendar[[Date]:[Concatenate Month &amp; Week]],7,FALSE),"")</f>
        <v/>
      </c>
      <c r="T108" s="55">
        <v>45</v>
      </c>
      <c r="U108" s="54">
        <f>TableAOPTarget[[#This Row],[Actual Start Date]]+TableAOPTarget[[#This Row],[Standard Duration]]</f>
        <v>45</v>
      </c>
      <c r="V108" s="55" t="str">
        <f>IFERROR(VLOOKUP(TableAOPTarget[[#This Row],[Planned Finish Date]],TableAopCalendar[[Date]:[Concatenate Month &amp; Week]],7,FALSE),"")</f>
        <v/>
      </c>
      <c r="W108" s="54"/>
      <c r="X108" s="55" t="str">
        <f>IFERROR(VLOOKUP(TableAOPTarget[[#This Row],[Actual Finish Date]],TableAopCalendar[[Date]:[Concatenate Month &amp; Week]],7,FALSE),"")</f>
        <v/>
      </c>
      <c r="Y108" s="54"/>
      <c r="Z108" s="55" t="str">
        <f>IFERROR(VLOOKUP(TableAOPTarget[[#This Row],[Forecasted Finish Date]],TableAopCalendar[[Date]:[Concatenate Month &amp; Week]],7,FALSE),"")</f>
        <v/>
      </c>
      <c r="AA108" s="54"/>
      <c r="AB108" s="55" t="e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#N/A</v>
      </c>
      <c r="AC108" s="55" t="str">
        <f>IF(TableAOPTarget[[#This Row],[EPC Status]]="EPC Ready",INDEX(TableAopCalendar[Month for Plan],MATCH(TableAOPTarget[[#This Row],[Actual Finish Date]],TableAopCalendar[Date],0))," ")</f>
        <v xml:space="preserve"> </v>
      </c>
      <c r="AD108" s="148"/>
      <c r="AE108" s="148"/>
      <c r="AF108" s="51" t="s">
        <v>685</v>
      </c>
      <c r="AG108" s="51"/>
      <c r="AH108" s="51"/>
      <c r="AI108" s="51" t="e">
        <f>VLOOKUP(TableAOPTarget[[#This Row],[PD]],[18]Backup!$C:$F,4,0)</f>
        <v>#N/A</v>
      </c>
      <c r="AJ108" s="51" t="e">
        <f>VLOOKUP(TableAOPTarget[[#This Row],[Apex ID]],'[17]Main Backup'!$A:$I,9,0)</f>
        <v>#N/A</v>
      </c>
      <c r="AK108" s="56" t="str">
        <f>IF(TableAOPTarget[[#This Row],[RFC Date]]="","",(TableAOPTarget[[#This Row],[RFC Date]]+3))</f>
        <v/>
      </c>
      <c r="AL108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08" s="51"/>
    </row>
    <row r="109" spans="2:39" ht="30" hidden="1" x14ac:dyDescent="0.25">
      <c r="B109" s="242" t="s">
        <v>719</v>
      </c>
      <c r="C109" s="50"/>
      <c r="D109" s="51"/>
      <c r="E109" s="49"/>
      <c r="F109" s="53" t="s">
        <v>445</v>
      </c>
      <c r="G109" s="52" t="s">
        <v>340</v>
      </c>
      <c r="H109" s="52" t="s">
        <v>342</v>
      </c>
      <c r="I109" s="52" t="s">
        <v>345</v>
      </c>
      <c r="J109" s="52" t="s">
        <v>706</v>
      </c>
      <c r="K109" s="219" t="s">
        <v>704</v>
      </c>
      <c r="L109" s="53" t="s">
        <v>708</v>
      </c>
      <c r="M109" s="234"/>
      <c r="N109" s="55"/>
      <c r="O109" s="55"/>
      <c r="P109" s="54"/>
      <c r="Q109" s="55" t="str">
        <f>IFERROR(VLOOKUP(TableAOPTarget[[#This Row],[RFC Date]],TableAopCalendar[[Date]:[Concatenate Month &amp; Week]],7,FALSE),"")</f>
        <v/>
      </c>
      <c r="R109" s="54"/>
      <c r="S109" s="55" t="str">
        <f>IFERROR(VLOOKUP(TableAOPTarget[[#This Row],[Actual Start Date]],TableAopCalendar[[Date]:[Concatenate Month &amp; Week]],7,FALSE),"")</f>
        <v/>
      </c>
      <c r="T109" s="55">
        <v>45</v>
      </c>
      <c r="U109" s="54">
        <f>TableAOPTarget[[#This Row],[Actual Start Date]]+TableAOPTarget[[#This Row],[Standard Duration]]</f>
        <v>45</v>
      </c>
      <c r="V109" s="55" t="str">
        <f>IFERROR(VLOOKUP(TableAOPTarget[[#This Row],[Planned Finish Date]],TableAopCalendar[[Date]:[Concatenate Month &amp; Week]],7,FALSE),"")</f>
        <v/>
      </c>
      <c r="W109" s="54"/>
      <c r="X109" s="55" t="str">
        <f>IFERROR(VLOOKUP(TableAOPTarget[[#This Row],[Actual Finish Date]],TableAopCalendar[[Date]:[Concatenate Month &amp; Week]],7,FALSE),"")</f>
        <v/>
      </c>
      <c r="Y109" s="54"/>
      <c r="Z109" s="55" t="str">
        <f>IFERROR(VLOOKUP(TableAOPTarget[[#This Row],[Forecasted Finish Date]],TableAopCalendar[[Date]:[Concatenate Month &amp; Week]],7,FALSE),"")</f>
        <v/>
      </c>
      <c r="AA109" s="54"/>
      <c r="AB109" s="55" t="e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#N/A</v>
      </c>
      <c r="AC109" s="55" t="str">
        <f>IF(TableAOPTarget[[#This Row],[EPC Status]]="EPC Ready",INDEX(TableAopCalendar[Month for Plan],MATCH(TableAOPTarget[[#This Row],[Actual Finish Date]],TableAopCalendar[Date],0))," ")</f>
        <v xml:space="preserve"> </v>
      </c>
      <c r="AD109" s="148"/>
      <c r="AE109" s="148"/>
      <c r="AF109" s="51" t="s">
        <v>685</v>
      </c>
      <c r="AG109" s="51"/>
      <c r="AH109" s="51"/>
      <c r="AI109" s="51" t="e">
        <f>VLOOKUP(TableAOPTarget[[#This Row],[PD]],[18]Backup!$C:$F,4,0)</f>
        <v>#N/A</v>
      </c>
      <c r="AJ109" s="51" t="e">
        <f>VLOOKUP(TableAOPTarget[[#This Row],[Apex ID]],'[17]Main Backup'!$A:$I,9,0)</f>
        <v>#N/A</v>
      </c>
      <c r="AK109" s="56" t="str">
        <f>IF(TableAOPTarget[[#This Row],[RFC Date]]="","",(TableAOPTarget[[#This Row],[RFC Date]]+3))</f>
        <v/>
      </c>
      <c r="AL109" s="52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09" s="51"/>
    </row>
    <row r="110" spans="2:39" ht="30" x14ac:dyDescent="0.25">
      <c r="B110" s="243" t="s">
        <v>720</v>
      </c>
      <c r="C110" s="104"/>
      <c r="D110" s="106"/>
      <c r="E110" s="108"/>
      <c r="F110" s="110" t="s">
        <v>445</v>
      </c>
      <c r="G110" s="52" t="s">
        <v>340</v>
      </c>
      <c r="H110" s="52" t="s">
        <v>342</v>
      </c>
      <c r="I110" s="52" t="s">
        <v>345</v>
      </c>
      <c r="J110" s="52" t="s">
        <v>706</v>
      </c>
      <c r="K110" s="219" t="s">
        <v>705</v>
      </c>
      <c r="L110" s="110" t="s">
        <v>709</v>
      </c>
      <c r="M110" s="191">
        <v>1892</v>
      </c>
      <c r="N110" s="116"/>
      <c r="O110" s="116" t="s">
        <v>431</v>
      </c>
      <c r="P110" s="115"/>
      <c r="Q110" s="116" t="str">
        <f>IFERROR(VLOOKUP(TableAOPTarget[[#This Row],[RFC Date]],TableAopCalendar[[Date]:[Concatenate Month &amp; Week]],7,FALSE),"")</f>
        <v/>
      </c>
      <c r="R110" s="115">
        <v>46146</v>
      </c>
      <c r="S110" s="116" t="str">
        <f>IFERROR(VLOOKUP(TableAOPTarget[[#This Row],[Actual Start Date]],TableAopCalendar[[Date]:[Concatenate Month &amp; Week]],7,FALSE),"")</f>
        <v>May 26 Week 1</v>
      </c>
      <c r="T110" s="116">
        <v>45</v>
      </c>
      <c r="U110" s="115">
        <f>TableAOPTarget[[#This Row],[Actual Start Date]]+TableAOPTarget[[#This Row],[Standard Duration]]</f>
        <v>46191</v>
      </c>
      <c r="V110" s="116" t="str">
        <f>IFERROR(VLOOKUP(TableAOPTarget[[#This Row],[Planned Finish Date]],TableAopCalendar[[Date]:[Concatenate Month &amp; Week]],7,FALSE),"")</f>
        <v>June 26 Week 3</v>
      </c>
      <c r="W110" s="115"/>
      <c r="X110" s="116" t="str">
        <f>IFERROR(VLOOKUP(TableAOPTarget[[#This Row],[Actual Finish Date]],TableAopCalendar[[Date]:[Concatenate Month &amp; Week]],7,FALSE),"")</f>
        <v/>
      </c>
      <c r="Y110" s="115">
        <v>46191</v>
      </c>
      <c r="Z110" s="116" t="str">
        <f>IFERROR(VLOOKUP(TableAOPTarget[[#This Row],[Forecasted Finish Date]],TableAopCalendar[[Date]:[Concatenate Month &amp; Week]],7,FALSE),"")</f>
        <v>June 26 Week 3</v>
      </c>
      <c r="AA110" s="115"/>
      <c r="AB110" s="116" t="str">
        <f>IF(OR(TableAOPTarget[[#This Row],[EPC Status]]="EPC Ready",TableAOPTarget[[#This Row],[EPC Status]]="WIP",TableAOPTarget[[#This Row],[EPC Status]]="YTS"),INDEX(TableAopCalendar[Concatenate Month &amp; Plan],MATCH(TableAOPTarget[[#This Row],[Planned Finish Date]],TableAopCalendar[Date],0))," ")</f>
        <v>JUNE 26 PLANNED</v>
      </c>
      <c r="AC110" s="116" t="str">
        <f>IF(TableAOPTarget[[#This Row],[EPC Status]]="EPC Ready",INDEX(TableAopCalendar[Month for Plan],MATCH(TableAOPTarget[[#This Row],[Actual Finish Date]],TableAopCalendar[Date],0))," ")</f>
        <v xml:space="preserve"> </v>
      </c>
      <c r="AD110" s="245">
        <v>0.91</v>
      </c>
      <c r="AE110" s="245">
        <v>0.78</v>
      </c>
      <c r="AF110" s="106" t="s">
        <v>409</v>
      </c>
      <c r="AG110" s="106"/>
      <c r="AH110" s="106"/>
      <c r="AI110" s="106" t="e">
        <f>VLOOKUP(TableAOPTarget[[#This Row],[PD]],[18]Backup!$C:$F,4,0)</f>
        <v>#N/A</v>
      </c>
      <c r="AJ110" s="106" t="e">
        <f>VLOOKUP(TableAOPTarget[[#This Row],[Apex ID]],'[17]Main Backup'!$A:$I,9,0)</f>
        <v>#N/A</v>
      </c>
      <c r="AK110" s="118" t="str">
        <f>IF(TableAOPTarget[[#This Row],[RFC Date]]="","",(TableAOPTarget[[#This Row],[RFC Date]]+3))</f>
        <v/>
      </c>
      <c r="AL110" s="120" t="str">
        <f>IF(OR(TableAOPTarget[[#This Row],[EPC Status]]="Dropped",TableAOPTarget[[#This Row],[EPC Status]]="NRFC"),"",IF(TableAOPTarget[[#This Row],[Plan Start Date]]="","",(TableAOPTarget[[#This Row],[Actual Start Date]]-TableAOPTarget[[#This Row],[Plan Start Date]])))</f>
        <v/>
      </c>
      <c r="AM110" s="106"/>
    </row>
  </sheetData>
  <conditionalFormatting sqref="K102:K107 K96:K98 K1:K62 K65 K111:K1048576">
    <cfRule type="duplicateValues" dxfId="67" priority="56"/>
  </conditionalFormatting>
  <conditionalFormatting sqref="N57:N60 N1:N55">
    <cfRule type="duplicateValues" dxfId="66" priority="1481"/>
  </conditionalFormatting>
  <conditionalFormatting sqref="B15">
    <cfRule type="duplicateValues" dxfId="65" priority="31"/>
  </conditionalFormatting>
  <conditionalFormatting sqref="B16">
    <cfRule type="duplicateValues" dxfId="64" priority="29"/>
  </conditionalFormatting>
  <conditionalFormatting sqref="B52">
    <cfRule type="duplicateValues" dxfId="63" priority="28"/>
  </conditionalFormatting>
  <conditionalFormatting sqref="K60">
    <cfRule type="duplicateValues" dxfId="62" priority="25"/>
  </conditionalFormatting>
  <conditionalFormatting sqref="K60">
    <cfRule type="duplicateValues" dxfId="61" priority="26"/>
  </conditionalFormatting>
  <conditionalFormatting sqref="K60">
    <cfRule type="duplicateValues" dxfId="60" priority="27"/>
  </conditionalFormatting>
  <conditionalFormatting sqref="K62">
    <cfRule type="duplicateValues" dxfId="59" priority="24"/>
  </conditionalFormatting>
  <conditionalFormatting sqref="K64">
    <cfRule type="duplicateValues" dxfId="58" priority="19"/>
  </conditionalFormatting>
  <conditionalFormatting sqref="K64">
    <cfRule type="duplicateValues" dxfId="57" priority="20"/>
  </conditionalFormatting>
  <conditionalFormatting sqref="K64">
    <cfRule type="duplicateValues" dxfId="56" priority="21"/>
  </conditionalFormatting>
  <conditionalFormatting sqref="K64">
    <cfRule type="duplicateValues" dxfId="55" priority="22"/>
  </conditionalFormatting>
  <conditionalFormatting sqref="K64">
    <cfRule type="duplicateValues" dxfId="54" priority="18"/>
  </conditionalFormatting>
  <conditionalFormatting sqref="K66:K95">
    <cfRule type="duplicateValues" dxfId="53" priority="9"/>
  </conditionalFormatting>
  <conditionalFormatting sqref="K66:K95">
    <cfRule type="duplicateValues" dxfId="52" priority="10"/>
  </conditionalFormatting>
  <conditionalFormatting sqref="K66:K95">
    <cfRule type="duplicateValues" dxfId="51" priority="11"/>
  </conditionalFormatting>
  <conditionalFormatting sqref="K66:K95">
    <cfRule type="duplicateValues" dxfId="50" priority="12"/>
  </conditionalFormatting>
  <conditionalFormatting sqref="K99:K100">
    <cfRule type="duplicateValues" dxfId="49" priority="7"/>
  </conditionalFormatting>
  <conditionalFormatting sqref="K1:K62">
    <cfRule type="duplicateValues" dxfId="48" priority="1488"/>
  </conditionalFormatting>
  <conditionalFormatting sqref="B1:B2 B17:B37 B4:B14 B39:B51">
    <cfRule type="duplicateValues" dxfId="47" priority="1490"/>
  </conditionalFormatting>
  <conditionalFormatting sqref="K2:K62">
    <cfRule type="duplicateValues" dxfId="46" priority="1497"/>
  </conditionalFormatting>
  <conditionalFormatting sqref="K108">
    <cfRule type="duplicateValues" dxfId="45" priority="6"/>
  </conditionalFormatting>
  <conditionalFormatting sqref="K109">
    <cfRule type="duplicateValues" dxfId="44" priority="5"/>
  </conditionalFormatting>
  <conditionalFormatting sqref="K110">
    <cfRule type="duplicateValues" dxfId="43" priority="4"/>
  </conditionalFormatting>
  <conditionalFormatting sqref="B100">
    <cfRule type="duplicateValues" dxfId="42" priority="3"/>
  </conditionalFormatting>
  <conditionalFormatting sqref="B101">
    <cfRule type="duplicateValues" dxfId="41" priority="2"/>
  </conditionalFormatting>
  <conditionalFormatting sqref="B102:B110">
    <cfRule type="duplicateValues" dxfId="4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e46e1d5b-a57f-445c-9fcc-a400195bb3d8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61B39AA1BC7C641A8C792D302A77E3B" ma:contentTypeVersion="11" ma:contentTypeDescription="Create a new document." ma:contentTypeScope="" ma:versionID="a3246881972d556bc5f0dc4257808bf9">
  <xsd:schema xmlns:xsd="http://www.w3.org/2001/XMLSchema" xmlns:xs="http://www.w3.org/2001/XMLSchema" xmlns:p="http://schemas.microsoft.com/office/2006/metadata/properties" xmlns:ns3="e46e1d5b-a57f-445c-9fcc-a400195bb3d8" targetNamespace="http://schemas.microsoft.com/office/2006/metadata/properties" ma:root="true" ma:fieldsID="26cec12efda528d9f9f90ae3149c0501" ns3:_="">
    <xsd:import namespace="e46e1d5b-a57f-445c-9fcc-a400195bb3d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6e1d5b-a57f-445c-9fcc-a400195bb3d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_activity" ma:index="18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8FB6B07-4DF3-413C-B732-56DAF3B7390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835EDB72-E3F8-45F7-B7E9-27A43007C772}">
  <ds:schemaRefs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microsoft.com/office/2006/documentManagement/types"/>
    <ds:schemaRef ds:uri="e46e1d5b-a57f-445c-9fcc-a400195bb3d8"/>
    <ds:schemaRef ds:uri="http://schemas.openxmlformats.org/package/2006/metadata/core-properties"/>
    <ds:schemaRef ds:uri="http://schemas.microsoft.com/office/infopath/2007/PartnerControl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2D98CE64-8BB5-47B6-B7FA-52708CC799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46e1d5b-a57f-445c-9fcc-a400195bb3d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Main Dashboard</vt:lpstr>
      <vt:lpstr>Summary</vt:lpstr>
      <vt:lpstr>AOP Format</vt:lpstr>
      <vt:lpstr>AOP Calendar</vt:lpstr>
      <vt:lpstr>Backup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2026-06-01T11:36:16Z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0x010100861B39AA1BC7C641A8C792D302A77E3B</vt:lpwstr>
  </property>
</Properties>
</file>